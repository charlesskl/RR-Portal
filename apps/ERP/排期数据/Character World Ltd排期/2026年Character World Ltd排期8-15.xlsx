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fileSharing userName="Unknown User" reservationPassword="CC26"/>
  <workbookPr codeName="ThisWorkbook"/>
  <bookViews>
    <workbookView windowWidth="28125" windowHeight="12465" tabRatio="776" activeTab="1"/>
  </bookViews>
  <sheets>
    <sheet name="总接单" sheetId="41" r:id="rId1"/>
    <sheet name="排期" sheetId="50" r:id="rId2"/>
    <sheet name="已走货" sheetId="44" r:id="rId3"/>
    <sheet name="MA" sheetId="53" r:id="rId4"/>
    <sheet name="取消单" sheetId="51" r:id="rId5"/>
    <sheet name="配比图" sheetId="36" state="hidden" r:id="rId6"/>
    <sheet name="☆" sheetId="52" state="hidden" r:id="rId7"/>
  </sheets>
  <definedNames>
    <definedName name="_xlnm._FilterDatabase" localSheetId="0" hidden="1">总接单!$A$2:$N$10</definedName>
    <definedName name="_xlnm._FilterDatabase" localSheetId="2" hidden="1">已走货!$A$1:$AL$5</definedName>
    <definedName name="_xlnm._FilterDatabase" localSheetId="3" hidden="1">MA!$A$1:$AJ$12</definedName>
    <definedName name="_xlnm._FilterDatabase" localSheetId="4" hidden="1">取消单!$A$1:$AI$3</definedName>
    <definedName name="_xlnm._FilterDatabase" localSheetId="6" hidden="1">☆!$A$1:$D$199</definedName>
    <definedName name="_xlnm._FilterDatabase" localSheetId="1" hidden="1">排期!$A$1:$AH$1</definedName>
    <definedName name="_xlnm.Print_Area" localSheetId="3">MA!$A$1:$AA$9</definedName>
    <definedName name="_xlnm.Print_Area" localSheetId="1">排期!$A$1:$AA$1</definedName>
    <definedName name="_xlnm.Print_Area" localSheetId="4">取消单!$A$1:$AC$6</definedName>
    <definedName name="_xlnm.Print_Area" localSheetId="2">已走货!$A$1:$AB$1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G2" authorId="0">
      <text>
        <r>
          <rPr>
            <sz val="9"/>
            <rFont val="宋体"/>
            <charset val="134"/>
          </rPr>
          <t>扣960pcs到PO:808565 (179840)；
扣40pcs到PO:808568 (179839)
扣14pcs到PO：876446（232723）
扣90pcs
PO:876502(232722)
扣14pcs到PO:876520(232721)
扣40pcs到PO：876463（232720）
扣80pcs到PO：876492（232727）
扣98pcs到PO:876448(232726)
扣26pcs到PO:876483(232725)
扣36pcs到PO:876442(232724</t>
        </r>
      </text>
    </comment>
  </commentList>
</comments>
</file>

<file path=xl/sharedStrings.xml><?xml version="1.0" encoding="utf-8"?>
<sst xmlns="http://schemas.openxmlformats.org/spreadsheetml/2006/main" count="734" uniqueCount="288">
  <si>
    <t>产品名称</t>
  </si>
  <si>
    <t>确认走货期</t>
  </si>
  <si>
    <t>单价USD</t>
  </si>
  <si>
    <t>金额USD</t>
  </si>
  <si>
    <t>HK金额</t>
  </si>
  <si>
    <t>发票号</t>
  </si>
  <si>
    <t>备注</t>
  </si>
  <si>
    <t>接单期</t>
  </si>
  <si>
    <t>国家/客名</t>
  </si>
  <si>
    <t>PO号</t>
  </si>
  <si>
    <t>ItemCode</t>
  </si>
  <si>
    <t>货号</t>
  </si>
  <si>
    <t>名称</t>
  </si>
  <si>
    <t>数量</t>
  </si>
  <si>
    <t>Character World LTD</t>
  </si>
  <si>
    <t>PO000652</t>
  </si>
  <si>
    <t>14312.AF0.106L</t>
  </si>
  <si>
    <t>公仔夜灯</t>
  </si>
  <si>
    <t>合计：</t>
  </si>
  <si>
    <t>25年库存金额：</t>
  </si>
  <si>
    <t>2026年总接单：</t>
  </si>
  <si>
    <t>排期：</t>
  </si>
  <si>
    <t>已走货：</t>
  </si>
  <si>
    <t>以下标注内容区分识别备注：</t>
  </si>
  <si>
    <t>类型</t>
  </si>
  <si>
    <t>黄色填充</t>
  </si>
  <si>
    <t>绿色填充</t>
  </si>
  <si>
    <t>蓝色字体</t>
  </si>
  <si>
    <t>粉色字体</t>
  </si>
  <si>
    <t>红色字体</t>
  </si>
  <si>
    <t>装箱数</t>
  </si>
  <si>
    <t>总箱数</t>
  </si>
  <si>
    <t>客PO期</t>
  </si>
  <si>
    <t>计划验货期</t>
  </si>
  <si>
    <t>第三方验货</t>
  </si>
  <si>
    <t>产品描述</t>
  </si>
  <si>
    <t>验货时间</t>
  </si>
  <si>
    <t>SI日期</t>
  </si>
  <si>
    <t>验货 结果</t>
  </si>
  <si>
    <t>箱唛 资料</t>
  </si>
  <si>
    <t>外箱 贴纸</t>
  </si>
  <si>
    <t>客贴纸</t>
  </si>
  <si>
    <t>包装版本</t>
  </si>
  <si>
    <t>日期码</t>
  </si>
  <si>
    <t>是否扣FGMA</t>
  </si>
  <si>
    <t>单价</t>
  </si>
  <si>
    <t>金额HKD</t>
  </si>
  <si>
    <t>是否     入系统</t>
  </si>
  <si>
    <t>车间</t>
  </si>
  <si>
    <t>下单明细</t>
  </si>
  <si>
    <t>送回数量</t>
  </si>
  <si>
    <t>欠数</t>
  </si>
  <si>
    <t>贴纸</t>
  </si>
  <si>
    <t>外箱</t>
  </si>
  <si>
    <t>SY回复</t>
  </si>
  <si>
    <t>Bluey Blue GoGlow Buddy</t>
  </si>
  <si>
    <t xml:space="preserve">PASS
</t>
  </si>
  <si>
    <t>CW版本</t>
  </si>
  <si>
    <t>HS22026</t>
  </si>
  <si>
    <t>有一套销售办</t>
  </si>
  <si>
    <t>已入系统</t>
  </si>
  <si>
    <t>B</t>
  </si>
  <si>
    <t>已下半成品</t>
  </si>
  <si>
    <t>Customer</t>
  </si>
  <si>
    <t>发票日期</t>
  </si>
  <si>
    <t>出货方式</t>
  </si>
  <si>
    <t>50074两个装</t>
  </si>
  <si>
    <t>50074六个装</t>
  </si>
  <si>
    <t>13095.AC0.00WR</t>
  </si>
  <si>
    <t>C</t>
  </si>
  <si>
    <t>医药箱</t>
  </si>
  <si>
    <t>灯公仔</t>
  </si>
  <si>
    <t>14345.AF0.106L</t>
  </si>
  <si>
    <t>17344.AD0.005L</t>
  </si>
  <si>
    <t>A</t>
  </si>
  <si>
    <t>布鲁公仔一代</t>
  </si>
  <si>
    <t>17345.AB0.00WR</t>
  </si>
  <si>
    <t>校巴</t>
  </si>
  <si>
    <t>17529.AB0.00WR</t>
  </si>
  <si>
    <t>大树</t>
  </si>
  <si>
    <t>17552.AB0.00WR</t>
  </si>
  <si>
    <t>A-C</t>
  </si>
  <si>
    <t>玩具商场</t>
  </si>
  <si>
    <t>17563.AB0.0000</t>
  </si>
  <si>
    <t>校巴邮购盒装</t>
  </si>
  <si>
    <t>17588.AA0.005L</t>
  </si>
  <si>
    <t>玩具商场+车仔</t>
  </si>
  <si>
    <t>17644.AA0.0000</t>
  </si>
  <si>
    <t>13095.AC0.0000</t>
  </si>
  <si>
    <t>13095.AC0.00KL</t>
  </si>
  <si>
    <t>13095.AC0.00SS</t>
  </si>
  <si>
    <t>14300.AF0.106L</t>
  </si>
  <si>
    <t>14303.AF0.106L</t>
  </si>
  <si>
    <t>14305.AF0.106L</t>
  </si>
  <si>
    <t>14311.AB0.0000</t>
  </si>
  <si>
    <t>14311.AB0.00SS</t>
  </si>
  <si>
    <t>14312.AB0.0000</t>
  </si>
  <si>
    <t>14312.AB0.00SS</t>
  </si>
  <si>
    <t>14312.AF0.0000</t>
  </si>
  <si>
    <t>14317.AF0.106L</t>
  </si>
  <si>
    <t>14344.AF0.106L</t>
  </si>
  <si>
    <t>14345.AF0.0000</t>
  </si>
  <si>
    <t>14347.AG0.CT00</t>
  </si>
  <si>
    <t>14349.AF0.0000</t>
  </si>
  <si>
    <t>14764.AF0.106L</t>
  </si>
  <si>
    <t>14765.AG0.CT00</t>
  </si>
  <si>
    <t>14766.AG0.CT00</t>
  </si>
  <si>
    <t>14766.AG0.CT02</t>
  </si>
  <si>
    <t>14766</t>
  </si>
  <si>
    <t>14766.AG0.CT04</t>
  </si>
  <si>
    <t>14767.AG0.CT03</t>
  </si>
  <si>
    <t>14767</t>
  </si>
  <si>
    <t>14768.AG0.CT05</t>
  </si>
  <si>
    <t>14768</t>
  </si>
  <si>
    <t>14769.AG0.CT06</t>
  </si>
  <si>
    <t>14769</t>
  </si>
  <si>
    <t>17337.AB0.0000</t>
  </si>
  <si>
    <t>学校</t>
  </si>
  <si>
    <t>17337.AB0.005L</t>
  </si>
  <si>
    <t>17337.AB0.11AZ</t>
  </si>
  <si>
    <t>17337.AD0.0000</t>
  </si>
  <si>
    <t>17341.AB0.0000</t>
  </si>
  <si>
    <t>17341.AD0.0000</t>
  </si>
  <si>
    <t>17341.AD0.005L</t>
  </si>
  <si>
    <t>17341.EG0.0000</t>
  </si>
  <si>
    <t>17342.AD0.0000</t>
  </si>
  <si>
    <t>布鲁伊玩偶2只装-布鲁伊和温顿</t>
  </si>
  <si>
    <t>17342.AD0.005L</t>
  </si>
  <si>
    <t>17342.AF0.0000</t>
  </si>
  <si>
    <t>17343.AD0.0000</t>
  </si>
  <si>
    <t>布鲁伊玩偶2只装-学校茶话会</t>
  </si>
  <si>
    <t>17343.AD0.005L</t>
  </si>
  <si>
    <t>17344.AD0.0000</t>
  </si>
  <si>
    <t>17345.AB0.0000</t>
  </si>
  <si>
    <t>17345.AB0.005L</t>
  </si>
  <si>
    <t>17345.AB0.00SS</t>
  </si>
  <si>
    <t>17345.AD0.0000</t>
  </si>
  <si>
    <t>17389.AB0.0000</t>
  </si>
  <si>
    <t>学校邮购合装</t>
  </si>
  <si>
    <t>17392.AA0.0000</t>
  </si>
  <si>
    <t>17513.AA0.0000</t>
  </si>
  <si>
    <t>17513.AA0.005L</t>
  </si>
  <si>
    <t>17527.AD0.0000</t>
  </si>
  <si>
    <t>布鲁公仔二代</t>
  </si>
  <si>
    <t>17528.AD0.0000</t>
  </si>
  <si>
    <t>布鲁伊&amp;强盗</t>
  </si>
  <si>
    <t>17529.AB0.0000</t>
  </si>
  <si>
    <t>17529.AB0.005L</t>
  </si>
  <si>
    <t>17529.AD0.0000</t>
  </si>
  <si>
    <t>17529.BB0.0000</t>
  </si>
  <si>
    <t>17552.AB0.0000</t>
  </si>
  <si>
    <t>17588.AB0.0000</t>
  </si>
  <si>
    <t>18060.AB0.0000</t>
  </si>
  <si>
    <t>18060</t>
  </si>
  <si>
    <t>车子+公仔</t>
  </si>
  <si>
    <t>18947.AD0.005L</t>
  </si>
  <si>
    <t>大树，校巴，车仔</t>
  </si>
  <si>
    <t>50040.AB0.0000</t>
  </si>
  <si>
    <t>大头公仔</t>
  </si>
  <si>
    <t>50040.AB0.0200</t>
  </si>
  <si>
    <t>50040.AB0.11AZ</t>
  </si>
  <si>
    <t>50047.AC0.005L</t>
  </si>
  <si>
    <t>50047.AC0.0200</t>
  </si>
  <si>
    <t>50060.AB0.0000</t>
  </si>
  <si>
    <t>50064.AB0.0000</t>
  </si>
  <si>
    <t>50064.AB0.TB00</t>
  </si>
  <si>
    <t>50074.AB0.0000</t>
  </si>
  <si>
    <t>50074.AB0.0200</t>
  </si>
  <si>
    <t>50074.AB0.025L</t>
  </si>
  <si>
    <t>50110.AB0.0000</t>
  </si>
  <si>
    <t>50111.AB0.0000</t>
  </si>
  <si>
    <t>50111.AB0.025L</t>
  </si>
  <si>
    <t>50112.AB0.0000</t>
  </si>
  <si>
    <t>50112.AB0.025L</t>
  </si>
  <si>
    <t>50113.AB0.0000</t>
  </si>
  <si>
    <t>50113.AB0.025L</t>
  </si>
  <si>
    <t>50116.AB0.0000</t>
  </si>
  <si>
    <t>50119.AB0.0200</t>
  </si>
  <si>
    <t>50122.AB0.0000</t>
  </si>
  <si>
    <t>50122.AB0.0200</t>
  </si>
  <si>
    <t>50124.AB0.0200</t>
  </si>
  <si>
    <t>50125.AB0.0000</t>
  </si>
  <si>
    <t>五代BB公仔</t>
  </si>
  <si>
    <t>50125.AB0.0200</t>
  </si>
  <si>
    <t>50127.AB0.0000</t>
  </si>
  <si>
    <t>50127.AB0.0200</t>
  </si>
  <si>
    <t>50127.AB0.025L</t>
  </si>
  <si>
    <t>50128.AB0.0000</t>
  </si>
  <si>
    <t>50128.AB0.0200</t>
  </si>
  <si>
    <t>50128.AB0.025L</t>
  </si>
  <si>
    <t>50157.AB0.0000</t>
  </si>
  <si>
    <t>50157.AB0.0200</t>
  </si>
  <si>
    <t>50171.AB0.0000</t>
  </si>
  <si>
    <t>大头+BB公仔</t>
  </si>
  <si>
    <t>50171.AB0.0200</t>
  </si>
  <si>
    <t>50186.AB0.0000</t>
  </si>
  <si>
    <t>BB公仔</t>
  </si>
  <si>
    <t>50186.AB0.005L</t>
  </si>
  <si>
    <t>50186.AB0.BM00</t>
  </si>
  <si>
    <t>50187.AB0.0000</t>
  </si>
  <si>
    <t>50187.AB0.005L</t>
  </si>
  <si>
    <t>50187.AB0.0200</t>
  </si>
  <si>
    <t>50188.AB0.0000</t>
  </si>
  <si>
    <t>六代BB公仔</t>
  </si>
  <si>
    <t>50188.AB0.005L</t>
  </si>
  <si>
    <t>50188.AB0.0200</t>
  </si>
  <si>
    <t>50189.AB0.0000</t>
  </si>
  <si>
    <t>50189.AB0.005L</t>
  </si>
  <si>
    <t>50189.AB0.BM00</t>
  </si>
  <si>
    <t>50190.AB0.0000</t>
  </si>
  <si>
    <t>50190.AB0.005L</t>
  </si>
  <si>
    <t>50190.AB0.0200</t>
  </si>
  <si>
    <t>50191.AB0.0000</t>
  </si>
  <si>
    <t>50191.AB0.005L</t>
  </si>
  <si>
    <t>50191.AB0.0200</t>
  </si>
  <si>
    <t>50212.AB0.0200</t>
  </si>
  <si>
    <t>50221.AB0.025L</t>
  </si>
  <si>
    <t>50224.AB0.0200</t>
  </si>
  <si>
    <t>50238.AB0.0000</t>
  </si>
  <si>
    <t>50238.AB0.005L</t>
  </si>
  <si>
    <t>50239.AB0.0000</t>
  </si>
  <si>
    <t>50239.AB0.005L</t>
  </si>
  <si>
    <t>50239.AB0.00SS</t>
  </si>
  <si>
    <t>50239.AB0.BA00</t>
  </si>
  <si>
    <t>50240.AB0.0000</t>
  </si>
  <si>
    <t>50240.AB0.005L</t>
  </si>
  <si>
    <t>50240.AB0.00SS</t>
  </si>
  <si>
    <t>50240.AB0.BA00</t>
  </si>
  <si>
    <t>50241.AB0.0000</t>
  </si>
  <si>
    <t>50241.AB0.005L</t>
  </si>
  <si>
    <t>50241.AB0.00SS</t>
  </si>
  <si>
    <t>50241.AB0.BA00</t>
  </si>
  <si>
    <t>50242.AB0.0000</t>
  </si>
  <si>
    <t>50242.AB0.005L</t>
  </si>
  <si>
    <t>50242.AB0.BM00</t>
  </si>
  <si>
    <t>50243.AB0.0000</t>
  </si>
  <si>
    <t>50243.AB0.005L</t>
  </si>
  <si>
    <t>50243.AB0.00SS</t>
  </si>
  <si>
    <t>50243.AB0.BA00</t>
  </si>
  <si>
    <t>50244.AB0.0000</t>
  </si>
  <si>
    <t>50244.AB0.005L</t>
  </si>
  <si>
    <t>50244.AB0.00SS</t>
  </si>
  <si>
    <t>50244.AB0.BA00</t>
  </si>
  <si>
    <t>50245.AB0.0000</t>
  </si>
  <si>
    <t>50245.AB0.005L</t>
  </si>
  <si>
    <t>50245.AB0.00SS</t>
  </si>
  <si>
    <t>50245.AB0.BA00</t>
  </si>
  <si>
    <t>50246.AB0.0000</t>
  </si>
  <si>
    <t>50246.AB0.005L</t>
  </si>
  <si>
    <t>50246.AB0.00SS</t>
  </si>
  <si>
    <t>50246.AB0.BA00</t>
  </si>
  <si>
    <t>50247.AB0.0000</t>
  </si>
  <si>
    <t>独角兽</t>
  </si>
  <si>
    <t>50247.AB0.005L</t>
  </si>
  <si>
    <t>50247.AB0.00SS</t>
  </si>
  <si>
    <t>50247.AB0.BA00</t>
  </si>
  <si>
    <t>50247.AB0.BM00</t>
  </si>
  <si>
    <t>50253.AB0.0000</t>
  </si>
  <si>
    <t>50253.AB0.005L</t>
  </si>
  <si>
    <t>50256.AB0.0000</t>
  </si>
  <si>
    <t>50256.AB0.005L</t>
  </si>
  <si>
    <t>50263.AB0.0000</t>
  </si>
  <si>
    <t>50263.AB0.005L</t>
  </si>
  <si>
    <t>50267.AB0.0000</t>
  </si>
  <si>
    <t>50268.AB0.0000</t>
  </si>
  <si>
    <t>50268.AB0.005L</t>
  </si>
  <si>
    <t>50269.AB0.0000</t>
  </si>
  <si>
    <t>50269.AB0.005L</t>
  </si>
  <si>
    <t>50270.AB0.0000</t>
  </si>
  <si>
    <t>50270.AB0.005L</t>
  </si>
  <si>
    <t>50271.AB0.0000</t>
  </si>
  <si>
    <t>50272.AB0.0000</t>
  </si>
  <si>
    <t>50272.AB0.005L</t>
  </si>
  <si>
    <t>50273.AB0.0000</t>
  </si>
  <si>
    <t>50274.AB0.0000</t>
  </si>
  <si>
    <t>50274.AB0.005L</t>
  </si>
  <si>
    <t>50275.AB0.0000</t>
  </si>
  <si>
    <t>50275.AB0.005L</t>
  </si>
  <si>
    <t>50275.AB0.00SS</t>
  </si>
  <si>
    <t>50275.AB0.BA00</t>
  </si>
  <si>
    <t>50276.AB0.0000</t>
  </si>
  <si>
    <t>50276.AB0.005L</t>
  </si>
  <si>
    <t>50279.AB0.0000</t>
  </si>
  <si>
    <t>二代植绒公仔</t>
  </si>
  <si>
    <t>50279.AB0.005L</t>
  </si>
  <si>
    <t>50280.AB0.005L</t>
  </si>
  <si>
    <t>50281.AB0.BM00</t>
  </si>
  <si>
    <t>50282.AB0.BM00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</si>
</sst>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/yy;@"/>
    <numFmt numFmtId="177" formatCode="_(* #,##0.00_);_(* \(#,##0.00\);_(* &quot;-&quot;??_);_(@_)"/>
    <numFmt numFmtId="178" formatCode="yyyy/m/d&quot;周&quot;aaa"/>
    <numFmt numFmtId="179" formatCode="m&quot;月&quot;d&quot;日&quot;;@"/>
    <numFmt numFmtId="180" formatCode="0.000_ "/>
    <numFmt numFmtId="181" formatCode="0.00_ "/>
    <numFmt numFmtId="182" formatCode="0.00_);[Red]\(0.00\)"/>
    <numFmt numFmtId="183" formatCode="yyyy/m/d;@"/>
    <numFmt numFmtId="184" formatCode="0.000_);[Red]\(0.000\)"/>
  </numFmts>
  <fonts count="51"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20"/>
      <name val="宋体"/>
      <charset val="134"/>
    </font>
    <font>
      <sz val="12"/>
      <color rgb="FFFF0000"/>
      <name val="宋体"/>
      <charset val="134"/>
    </font>
    <font>
      <strike/>
      <sz val="10"/>
      <color rgb="FFFF0000"/>
      <name val="宋体"/>
      <charset val="134"/>
      <scheme val="major"/>
    </font>
    <font>
      <sz val="10"/>
      <name val="宋体"/>
      <charset val="134"/>
      <scheme val="major"/>
    </font>
    <font>
      <b/>
      <sz val="10"/>
      <color rgb="FFFF00FF"/>
      <name val="宋体"/>
      <charset val="134"/>
      <scheme val="major"/>
    </font>
    <font>
      <sz val="10"/>
      <color rgb="FF0000FF"/>
      <name val="宋体"/>
      <charset val="134"/>
    </font>
    <font>
      <sz val="10"/>
      <color rgb="FFFF0000"/>
      <name val="宋体"/>
      <charset val="134"/>
    </font>
    <font>
      <b/>
      <sz val="10"/>
      <name val="宋体"/>
      <charset val="134"/>
    </font>
    <font>
      <b/>
      <sz val="10"/>
      <color rgb="FFFF0000"/>
      <name val="宋体"/>
      <charset val="134"/>
    </font>
    <font>
      <sz val="10"/>
      <color rgb="FFFF0000"/>
      <name val="宋体"/>
      <charset val="134"/>
      <scheme val="major"/>
    </font>
    <font>
      <b/>
      <sz val="10"/>
      <color rgb="FFFF00FF"/>
      <name val="宋体"/>
      <charset val="134"/>
    </font>
    <font>
      <b/>
      <sz val="10"/>
      <color rgb="FFFF0000"/>
      <name val="宋体"/>
      <charset val="134"/>
      <scheme val="major"/>
    </font>
    <font>
      <b/>
      <sz val="10"/>
      <name val="宋体"/>
      <charset val="134"/>
      <scheme val="major"/>
    </font>
    <font>
      <sz val="12"/>
      <color rgb="FFFF00FF"/>
      <name val="宋体"/>
      <charset val="134"/>
    </font>
    <font>
      <sz val="10"/>
      <color rgb="FFFF00FF"/>
      <name val="宋体"/>
      <charset val="134"/>
      <scheme val="major"/>
    </font>
    <font>
      <sz val="10"/>
      <color rgb="FFFF00FF"/>
      <name val="宋体"/>
      <charset val="134"/>
    </font>
    <font>
      <sz val="12"/>
      <color rgb="FF417FF9"/>
      <name val="宋体"/>
      <charset val="134"/>
    </font>
    <font>
      <sz val="12"/>
      <color rgb="FF0000FF"/>
      <name val="宋体"/>
      <charset val="134"/>
    </font>
    <font>
      <sz val="10"/>
      <color rgb="FF417FF9"/>
      <name val="宋体"/>
      <charset val="134"/>
    </font>
    <font>
      <sz val="10"/>
      <color rgb="FF417FF9"/>
      <name val="宋体"/>
      <charset val="134"/>
      <scheme val="major"/>
    </font>
    <font>
      <strike/>
      <sz val="10"/>
      <name val="宋体"/>
      <charset val="134"/>
      <scheme val="major"/>
    </font>
    <font>
      <b/>
      <sz val="11"/>
      <name val="宋体"/>
      <charset val="134"/>
      <scheme val="major"/>
    </font>
    <font>
      <b/>
      <sz val="11"/>
      <color rgb="FF0000FF"/>
      <name val="宋体"/>
      <charset val="134"/>
      <scheme val="major"/>
    </font>
    <font>
      <b/>
      <sz val="11"/>
      <color rgb="FFFF00FF"/>
      <name val="宋体"/>
      <charset val="134"/>
      <scheme val="major"/>
    </font>
    <font>
      <b/>
      <sz val="11"/>
      <color rgb="FFFF0000"/>
      <name val="宋体"/>
      <charset val="134"/>
      <scheme val="major"/>
    </font>
    <font>
      <b/>
      <sz val="16"/>
      <color rgb="FFFF0000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Arial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176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7" fillId="0" borderId="4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5" borderId="5" applyNumberFormat="0" applyAlignment="0" applyProtection="0">
      <alignment vertical="center"/>
    </xf>
    <xf numFmtId="0" fontId="39" fillId="6" borderId="6" applyNumberFormat="0" applyAlignment="0" applyProtection="0">
      <alignment vertical="center"/>
    </xf>
    <xf numFmtId="0" fontId="40" fillId="6" borderId="5" applyNumberFormat="0" applyAlignment="0" applyProtection="0">
      <alignment vertical="center"/>
    </xf>
    <xf numFmtId="0" fontId="41" fillId="7" borderId="7" applyNumberFormat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176" fontId="0" fillId="0" borderId="0"/>
    <xf numFmtId="176" fontId="0" fillId="0" borderId="0"/>
    <xf numFmtId="176" fontId="2" fillId="0" borderId="0"/>
    <xf numFmtId="177" fontId="49" fillId="0" borderId="0" applyFont="0" applyFill="0" applyBorder="0" applyAlignment="0" applyProtection="0"/>
    <xf numFmtId="176" fontId="0" fillId="0" borderId="0">
      <alignment vertical="center"/>
    </xf>
    <xf numFmtId="176" fontId="0" fillId="0" borderId="0"/>
    <xf numFmtId="176" fontId="0" fillId="0" borderId="0"/>
  </cellStyleXfs>
  <cellXfs count="221">
    <xf numFmtId="176" fontId="0" fillId="0" borderId="0" xfId="0"/>
    <xf numFmtId="176" fontId="1" fillId="0" borderId="0" xfId="0" applyFont="1" applyFill="1" applyAlignment="1" applyProtection="1">
      <alignment horizontal="center" vertical="center"/>
    </xf>
    <xf numFmtId="176" fontId="2" fillId="0" borderId="0" xfId="0" applyFont="1" applyFill="1" applyAlignment="1" applyProtection="1">
      <alignment horizontal="center" vertical="center"/>
    </xf>
    <xf numFmtId="176" fontId="3" fillId="0" borderId="0" xfId="0" applyFont="1" applyFill="1" applyAlignment="1" applyProtection="1">
      <alignment horizontal="center" vertical="center" wrapText="1"/>
    </xf>
    <xf numFmtId="176" fontId="3" fillId="0" borderId="0" xfId="0" applyFont="1" applyFill="1" applyBorder="1" applyAlignment="1" applyProtection="1">
      <alignment horizontal="center" vertical="center"/>
    </xf>
    <xf numFmtId="0" fontId="2" fillId="0" borderId="0" xfId="0" applyNumberFormat="1" applyFont="1" applyFill="1" applyAlignment="1" applyProtection="1">
      <alignment horizontal="center" vertical="center"/>
    </xf>
    <xf numFmtId="176" fontId="0" fillId="0" borderId="0" xfId="0" applyAlignment="1">
      <alignment horizontal="center" vertical="center"/>
    </xf>
    <xf numFmtId="176" fontId="4" fillId="0" borderId="0" xfId="0" applyFont="1" applyAlignment="1">
      <alignment horizontal="center" vertical="center"/>
    </xf>
    <xf numFmtId="176" fontId="4" fillId="0" borderId="0" xfId="0" applyFont="1" applyAlignment="1">
      <alignment vertical="center"/>
    </xf>
    <xf numFmtId="176" fontId="0" fillId="0" borderId="0" xfId="0" applyFont="1" applyFill="1" applyAlignment="1" applyProtection="1">
      <alignment horizontal="center" vertical="center"/>
      <protection locked="0"/>
    </xf>
    <xf numFmtId="176" fontId="5" fillId="0" borderId="0" xfId="0" applyFont="1" applyFill="1" applyAlignment="1" applyProtection="1">
      <alignment horizontal="center" vertical="center"/>
      <protection locked="0"/>
    </xf>
    <xf numFmtId="178" fontId="6" fillId="0" borderId="0" xfId="0" applyNumberFormat="1" applyFont="1" applyFill="1" applyBorder="1" applyAlignment="1" applyProtection="1">
      <alignment horizontal="center" vertical="center" wrapText="1" shrinkToFit="1"/>
    </xf>
    <xf numFmtId="176" fontId="7" fillId="0" borderId="0" xfId="0" applyFont="1" applyFill="1" applyBorder="1" applyAlignment="1" applyProtection="1">
      <alignment horizontal="center" vertical="center"/>
      <protection locked="0"/>
    </xf>
    <xf numFmtId="176" fontId="7" fillId="0" borderId="0" xfId="0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179" fontId="7" fillId="0" borderId="0" xfId="0" applyNumberFormat="1" applyFont="1" applyFill="1" applyBorder="1" applyAlignment="1" applyProtection="1">
      <alignment horizontal="center" vertical="center"/>
      <protection locked="0"/>
    </xf>
    <xf numFmtId="176" fontId="7" fillId="0" borderId="0" xfId="0" applyNumberFormat="1" applyFont="1" applyFill="1" applyBorder="1" applyAlignment="1" applyProtection="1">
      <alignment horizontal="center" vertical="center"/>
      <protection locked="0"/>
    </xf>
    <xf numFmtId="180" fontId="7" fillId="0" borderId="0" xfId="0" applyNumberFormat="1" applyFont="1" applyFill="1" applyBorder="1" applyAlignment="1" applyProtection="1">
      <alignment horizontal="center" vertical="center"/>
    </xf>
    <xf numFmtId="176" fontId="8" fillId="0" borderId="0" xfId="0" applyFont="1" applyFill="1" applyBorder="1" applyAlignment="1" applyProtection="1">
      <alignment horizontal="center" vertical="center"/>
    </xf>
    <xf numFmtId="176" fontId="0" fillId="0" borderId="0" xfId="0" applyFont="1" applyFill="1" applyProtection="1">
      <protection locked="0"/>
    </xf>
    <xf numFmtId="0" fontId="0" fillId="0" borderId="0" xfId="0" applyNumberFormat="1" applyFont="1" applyFill="1" applyProtection="1">
      <protection locked="0"/>
    </xf>
    <xf numFmtId="176" fontId="0" fillId="0" borderId="0" xfId="0" applyFont="1" applyFill="1" applyProtection="1"/>
    <xf numFmtId="178" fontId="3" fillId="0" borderId="1" xfId="0" applyNumberFormat="1" applyFont="1" applyFill="1" applyBorder="1" applyAlignment="1" applyProtection="1">
      <alignment horizontal="center" vertical="center" wrapText="1" shrinkToFit="1"/>
    </xf>
    <xf numFmtId="0" fontId="3" fillId="0" borderId="1" xfId="0" applyNumberFormat="1" applyFont="1" applyFill="1" applyBorder="1" applyAlignment="1" applyProtection="1">
      <alignment horizontal="center" vertical="center" wrapText="1" shrinkToFit="1"/>
    </xf>
    <xf numFmtId="178" fontId="3" fillId="0" borderId="1" xfId="0" applyNumberFormat="1" applyFont="1" applyFill="1" applyBorder="1" applyAlignment="1" applyProtection="1">
      <alignment horizontal="center" vertical="center" shrinkToFit="1"/>
    </xf>
    <xf numFmtId="179" fontId="3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6" fontId="3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8" fontId="3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80" fontId="3" fillId="0" borderId="1" xfId="0" applyNumberFormat="1" applyFont="1" applyFill="1" applyBorder="1" applyAlignment="1" applyProtection="1">
      <alignment horizontal="center" vertical="center"/>
    </xf>
    <xf numFmtId="181" fontId="3" fillId="0" borderId="1" xfId="0" applyNumberFormat="1" applyFont="1" applyFill="1" applyBorder="1" applyAlignment="1" applyProtection="1">
      <alignment horizontal="center" vertical="center"/>
    </xf>
    <xf numFmtId="178" fontId="9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6" fontId="3" fillId="0" borderId="1" xfId="0" applyFont="1" applyFill="1" applyBorder="1" applyAlignment="1" applyProtection="1">
      <alignment horizontal="center" vertical="center"/>
      <protection locked="0"/>
    </xf>
    <xf numFmtId="58" fontId="10" fillId="0" borderId="1" xfId="0" applyNumberFormat="1" applyFont="1" applyFill="1" applyBorder="1" applyAlignment="1" applyProtection="1">
      <alignment horizontal="center" vertical="center" shrinkToFit="1"/>
      <protection locked="0"/>
    </xf>
    <xf numFmtId="176" fontId="0" fillId="0" borderId="1" xfId="0" applyBorder="1"/>
    <xf numFmtId="176" fontId="7" fillId="0" borderId="1" xfId="51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176" fontId="7" fillId="0" borderId="1" xfId="0" applyNumberFormat="1" applyFont="1" applyFill="1" applyBorder="1" applyAlignment="1" applyProtection="1">
      <alignment horizontal="center" vertical="center"/>
    </xf>
    <xf numFmtId="176" fontId="3" fillId="0" borderId="1" xfId="0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78" fontId="3" fillId="0" borderId="1" xfId="0" applyNumberFormat="1" applyFont="1" applyFill="1" applyBorder="1" applyAlignment="1" applyProtection="1">
      <alignment horizontal="center" vertical="center"/>
    </xf>
    <xf numFmtId="179" fontId="3" fillId="0" borderId="1" xfId="0" applyNumberFormat="1" applyFont="1" applyFill="1" applyBorder="1" applyAlignment="1" applyProtection="1">
      <alignment horizontal="center" vertical="center"/>
      <protection locked="0"/>
    </xf>
    <xf numFmtId="176" fontId="3" fillId="0" borderId="1" xfId="0" applyNumberFormat="1" applyFont="1" applyFill="1" applyBorder="1" applyAlignment="1" applyProtection="1">
      <alignment horizontal="center" vertical="center"/>
      <protection locked="0"/>
    </xf>
    <xf numFmtId="180" fontId="3" fillId="0" borderId="1" xfId="0" applyNumberFormat="1" applyFont="1" applyFill="1" applyBorder="1" applyAlignment="1" applyProtection="1">
      <alignment horizontal="center" vertical="center"/>
      <protection locked="0"/>
    </xf>
    <xf numFmtId="176" fontId="11" fillId="0" borderId="1" xfId="0" applyFont="1" applyFill="1" applyBorder="1" applyAlignment="1" applyProtection="1">
      <alignment horizontal="center" vertical="center"/>
    </xf>
    <xf numFmtId="176" fontId="3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/>
    </xf>
    <xf numFmtId="176" fontId="10" fillId="0" borderId="1" xfId="0" applyFont="1" applyFill="1" applyBorder="1" applyAlignment="1" applyProtection="1">
      <alignment horizontal="center" vertical="center"/>
    </xf>
    <xf numFmtId="179" fontId="10" fillId="0" borderId="1" xfId="0" applyNumberFormat="1" applyFont="1" applyFill="1" applyBorder="1" applyAlignment="1" applyProtection="1">
      <alignment horizontal="center" vertical="center"/>
      <protection locked="0"/>
    </xf>
    <xf numFmtId="176" fontId="10" fillId="0" borderId="1" xfId="0" applyNumberFormat="1" applyFont="1" applyFill="1" applyBorder="1" applyAlignment="1" applyProtection="1">
      <alignment horizontal="center" vertical="center"/>
      <protection locked="0"/>
    </xf>
    <xf numFmtId="176" fontId="10" fillId="0" borderId="1" xfId="0" applyFont="1" applyFill="1" applyBorder="1" applyAlignment="1" applyProtection="1">
      <alignment horizontal="center" vertical="center"/>
      <protection locked="0"/>
    </xf>
    <xf numFmtId="181" fontId="5" fillId="0" borderId="1" xfId="0" applyNumberFormat="1" applyFont="1" applyFill="1" applyBorder="1" applyAlignment="1" applyProtection="1">
      <alignment horizontal="center" vertical="center"/>
      <protection locked="0"/>
    </xf>
    <xf numFmtId="181" fontId="5" fillId="0" borderId="1" xfId="0" applyNumberFormat="1" applyFont="1" applyFill="1" applyBorder="1" applyAlignment="1" applyProtection="1">
      <alignment horizontal="center" vertical="center"/>
    </xf>
    <xf numFmtId="176" fontId="12" fillId="0" borderId="1" xfId="0" applyFont="1" applyFill="1" applyBorder="1" applyAlignment="1" applyProtection="1">
      <alignment horizontal="center" vertical="center"/>
    </xf>
    <xf numFmtId="176" fontId="5" fillId="0" borderId="0" xfId="0" applyFont="1" applyFill="1" applyProtection="1"/>
    <xf numFmtId="178" fontId="7" fillId="0" borderId="0" xfId="0" applyNumberFormat="1" applyFont="1" applyFill="1" applyBorder="1" applyAlignment="1" applyProtection="1">
      <alignment horizontal="center" vertical="center" wrapText="1" shrinkToFit="1"/>
    </xf>
    <xf numFmtId="0" fontId="7" fillId="0" borderId="0" xfId="0" applyNumberFormat="1" applyFont="1" applyFill="1" applyBorder="1" applyAlignment="1" applyProtection="1">
      <alignment horizontal="center" vertical="center" wrapText="1" shrinkToFit="1"/>
    </xf>
    <xf numFmtId="178" fontId="7" fillId="0" borderId="0" xfId="0" applyNumberFormat="1" applyFont="1" applyFill="1" applyBorder="1" applyAlignment="1" applyProtection="1">
      <alignment horizontal="center" vertical="center" wrapText="1" shrinkToFit="1"/>
      <protection locked="0"/>
    </xf>
    <xf numFmtId="179" fontId="7" fillId="0" borderId="0" xfId="0" applyNumberFormat="1" applyFont="1" applyFill="1" applyBorder="1" applyAlignment="1" applyProtection="1">
      <alignment horizontal="center" vertical="center" wrapText="1" shrinkToFit="1"/>
      <protection locked="0"/>
    </xf>
    <xf numFmtId="176" fontId="7" fillId="0" borderId="0" xfId="0" applyNumberFormat="1" applyFont="1" applyFill="1" applyBorder="1" applyAlignment="1" applyProtection="1">
      <alignment horizontal="center" vertical="center" wrapText="1" shrinkToFit="1"/>
      <protection locked="0"/>
    </xf>
    <xf numFmtId="181" fontId="7" fillId="0" borderId="0" xfId="0" applyNumberFormat="1" applyFont="1" applyFill="1" applyBorder="1" applyAlignment="1" applyProtection="1">
      <alignment horizontal="center" vertical="center"/>
    </xf>
    <xf numFmtId="178" fontId="8" fillId="0" borderId="0" xfId="0" applyNumberFormat="1" applyFont="1" applyFill="1" applyBorder="1" applyAlignment="1" applyProtection="1">
      <alignment horizontal="center" vertical="center" wrapText="1" shrinkToFit="1"/>
    </xf>
    <xf numFmtId="58" fontId="13" fillId="0" borderId="0" xfId="0" applyNumberFormat="1" applyFont="1" applyFill="1" applyBorder="1" applyAlignment="1" applyProtection="1">
      <alignment horizontal="center" vertical="center" shrinkToFit="1"/>
      <protection locked="0"/>
    </xf>
    <xf numFmtId="178" fontId="3" fillId="0" borderId="0" xfId="0" applyNumberFormat="1" applyFont="1" applyFill="1" applyBorder="1" applyAlignment="1" applyProtection="1">
      <alignment horizontal="center" vertical="center" wrapText="1" shrinkToFit="1"/>
    </xf>
    <xf numFmtId="176" fontId="3" fillId="0" borderId="0" xfId="0" applyFont="1" applyFill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 shrinkToFit="1"/>
    </xf>
    <xf numFmtId="178" fontId="3" fillId="0" borderId="0" xfId="0" applyNumberFormat="1" applyFont="1" applyFill="1" applyBorder="1" applyAlignment="1" applyProtection="1">
      <alignment horizontal="center" vertical="center" shrinkToFit="1"/>
    </xf>
    <xf numFmtId="179" fontId="3" fillId="0" borderId="0" xfId="0" applyNumberFormat="1" applyFont="1" applyFill="1" applyBorder="1" applyAlignment="1" applyProtection="1">
      <alignment horizontal="center" vertical="center"/>
      <protection locked="0"/>
    </xf>
    <xf numFmtId="176" fontId="3" fillId="0" borderId="0" xfId="0" applyNumberFormat="1" applyFont="1" applyFill="1" applyBorder="1" applyAlignment="1" applyProtection="1">
      <alignment horizontal="center" vertical="center"/>
      <protection locked="0"/>
    </xf>
    <xf numFmtId="176" fontId="3" fillId="0" borderId="0" xfId="0" applyFont="1" applyFill="1" applyBorder="1" applyAlignment="1" applyProtection="1">
      <alignment horizontal="center" vertical="center"/>
      <protection locked="0"/>
    </xf>
    <xf numFmtId="176" fontId="3" fillId="0" borderId="0" xfId="0" applyFont="1" applyFill="1" applyBorder="1" applyAlignment="1" applyProtection="1">
      <alignment horizontal="center" vertical="center" wrapText="1"/>
    </xf>
    <xf numFmtId="180" fontId="3" fillId="0" borderId="0" xfId="0" applyNumberFormat="1" applyFont="1" applyFill="1" applyBorder="1" applyAlignment="1" applyProtection="1">
      <alignment horizontal="center" vertical="center"/>
    </xf>
    <xf numFmtId="181" fontId="3" fillId="0" borderId="0" xfId="0" applyNumberFormat="1" applyFont="1" applyFill="1" applyBorder="1" applyAlignment="1" applyProtection="1">
      <alignment horizontal="center" vertical="center"/>
    </xf>
    <xf numFmtId="176" fontId="14" fillId="0" borderId="0" xfId="0" applyFont="1" applyFill="1" applyBorder="1" applyAlignment="1" applyProtection="1">
      <alignment horizontal="center" vertical="center"/>
    </xf>
    <xf numFmtId="178" fontId="7" fillId="0" borderId="0" xfId="0" applyNumberFormat="1" applyFont="1" applyFill="1" applyBorder="1" applyAlignment="1">
      <alignment horizontal="center" vertical="center" shrinkToFit="1"/>
    </xf>
    <xf numFmtId="176" fontId="7" fillId="0" borderId="0" xfId="0" applyFont="1" applyFill="1" applyAlignment="1">
      <alignment horizontal="center" vertical="center"/>
    </xf>
    <xf numFmtId="0" fontId="7" fillId="0" borderId="0" xfId="0" applyNumberFormat="1" applyFont="1" applyFill="1" applyAlignment="1">
      <alignment horizontal="center" vertical="center"/>
    </xf>
    <xf numFmtId="0" fontId="7" fillId="0" borderId="0" xfId="0" applyNumberFormat="1" applyFont="1" applyFill="1" applyBorder="1" applyAlignment="1">
      <alignment horizontal="center" vertical="center" shrinkToFit="1"/>
    </xf>
    <xf numFmtId="176" fontId="7" fillId="0" borderId="0" xfId="0" applyFont="1" applyFill="1" applyBorder="1" applyAlignment="1">
      <alignment horizontal="center" vertical="center"/>
    </xf>
    <xf numFmtId="176" fontId="7" fillId="0" borderId="0" xfId="0" applyFont="1" applyFill="1" applyBorder="1" applyAlignment="1">
      <alignment horizontal="center" vertical="center" wrapText="1"/>
    </xf>
    <xf numFmtId="58" fontId="7" fillId="0" borderId="0" xfId="0" applyNumberFormat="1" applyFont="1" applyFill="1" applyBorder="1" applyAlignment="1" applyProtection="1">
      <alignment horizontal="center" vertical="center" shrinkToFit="1"/>
    </xf>
    <xf numFmtId="178" fontId="13" fillId="0" borderId="0" xfId="0" applyNumberFormat="1" applyFont="1" applyFill="1" applyBorder="1" applyAlignment="1" applyProtection="1">
      <alignment horizontal="center" vertical="center" shrinkToFit="1"/>
    </xf>
    <xf numFmtId="176" fontId="13" fillId="0" borderId="0" xfId="0" applyFont="1" applyFill="1" applyBorder="1" applyAlignment="1" applyProtection="1">
      <alignment horizontal="center" vertical="center"/>
    </xf>
    <xf numFmtId="176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horizontal="center" vertical="center" shrinkToFit="1"/>
    </xf>
    <xf numFmtId="176" fontId="13" fillId="0" borderId="0" xfId="0" applyFont="1" applyFill="1" applyBorder="1" applyAlignment="1" applyProtection="1">
      <alignment horizontal="center" vertical="center" wrapText="1"/>
    </xf>
    <xf numFmtId="180" fontId="13" fillId="0" borderId="0" xfId="0" applyNumberFormat="1" applyFont="1" applyFill="1" applyBorder="1" applyAlignment="1" applyProtection="1">
      <alignment horizontal="center" vertical="center"/>
    </xf>
    <xf numFmtId="181" fontId="13" fillId="0" borderId="0" xfId="0" applyNumberFormat="1" applyFont="1" applyFill="1" applyBorder="1" applyAlignment="1" applyProtection="1">
      <alignment horizontal="center" vertical="center"/>
    </xf>
    <xf numFmtId="176" fontId="15" fillId="0" borderId="0" xfId="0" applyFont="1" applyFill="1" applyBorder="1" applyAlignment="1" applyProtection="1">
      <alignment horizontal="center" vertical="center"/>
    </xf>
    <xf numFmtId="176" fontId="15" fillId="0" borderId="0" xfId="0" applyFont="1" applyFill="1" applyAlignment="1" applyProtection="1">
      <alignment horizontal="center" vertical="center"/>
    </xf>
    <xf numFmtId="176" fontId="16" fillId="0" borderId="0" xfId="0" applyFont="1" applyFill="1" applyAlignment="1" applyProtection="1">
      <alignment horizontal="center" vertical="center"/>
    </xf>
    <xf numFmtId="176" fontId="17" fillId="0" borderId="0" xfId="0" applyFont="1" applyFill="1" applyAlignment="1" applyProtection="1">
      <alignment horizontal="center" vertical="center"/>
      <protection locked="0"/>
    </xf>
    <xf numFmtId="182" fontId="7" fillId="0" borderId="0" xfId="0" applyNumberFormat="1" applyFont="1" applyFill="1" applyBorder="1" applyAlignment="1" applyProtection="1">
      <alignment horizontal="center" vertical="center"/>
    </xf>
    <xf numFmtId="0" fontId="18" fillId="0" borderId="0" xfId="0" applyNumberFormat="1" applyFont="1" applyFill="1" applyBorder="1" applyAlignment="1" applyProtection="1">
      <alignment horizontal="center" vertical="center"/>
    </xf>
    <xf numFmtId="176" fontId="13" fillId="0" borderId="0" xfId="0" applyFont="1" applyFill="1" applyAlignment="1" applyProtection="1">
      <alignment horizontal="center" vertical="center"/>
    </xf>
    <xf numFmtId="178" fontId="12" fillId="0" borderId="1" xfId="0" applyNumberFormat="1" applyFont="1" applyFill="1" applyBorder="1" applyAlignment="1" applyProtection="1">
      <alignment horizontal="center" vertical="center" wrapText="1" shrinkToFit="1"/>
    </xf>
    <xf numFmtId="178" fontId="19" fillId="0" borderId="1" xfId="0" applyNumberFormat="1" applyFont="1" applyFill="1" applyBorder="1" applyAlignment="1" applyProtection="1">
      <alignment horizontal="center" vertical="center" wrapText="1" shrinkToFit="1"/>
    </xf>
    <xf numFmtId="176" fontId="19" fillId="0" borderId="1" xfId="0" applyFont="1" applyFill="1" applyBorder="1" applyAlignment="1" applyProtection="1">
      <alignment horizontal="center" vertical="center"/>
    </xf>
    <xf numFmtId="0" fontId="19" fillId="0" borderId="1" xfId="0" applyNumberFormat="1" applyFont="1" applyFill="1" applyBorder="1" applyAlignment="1" applyProtection="1">
      <alignment horizontal="center" vertical="center"/>
    </xf>
    <xf numFmtId="176" fontId="19" fillId="0" borderId="1" xfId="0" applyNumberFormat="1" applyFont="1" applyFill="1" applyBorder="1" applyAlignment="1" applyProtection="1">
      <alignment horizontal="center" vertical="center"/>
    </xf>
    <xf numFmtId="178" fontId="19" fillId="0" borderId="1" xfId="0" applyNumberFormat="1" applyFont="1" applyFill="1" applyBorder="1" applyAlignment="1" applyProtection="1">
      <alignment horizontal="center" vertical="center"/>
    </xf>
    <xf numFmtId="179" fontId="19" fillId="0" borderId="1" xfId="0" applyNumberFormat="1" applyFont="1" applyFill="1" applyBorder="1" applyAlignment="1" applyProtection="1">
      <alignment horizontal="center" vertical="center"/>
      <protection locked="0"/>
    </xf>
    <xf numFmtId="176" fontId="19" fillId="0" borderId="1" xfId="0" applyNumberFormat="1" applyFont="1" applyFill="1" applyBorder="1" applyAlignment="1" applyProtection="1">
      <alignment horizontal="center" vertical="center"/>
      <protection locked="0"/>
    </xf>
    <xf numFmtId="176" fontId="19" fillId="0" borderId="1" xfId="0" applyFont="1" applyFill="1" applyBorder="1" applyAlignment="1" applyProtection="1">
      <alignment horizontal="center" vertical="center"/>
      <protection locked="0"/>
    </xf>
    <xf numFmtId="180" fontId="19" fillId="0" borderId="1" xfId="0" applyNumberFormat="1" applyFont="1" applyFill="1" applyBorder="1" applyAlignment="1" applyProtection="1">
      <alignment horizontal="center" vertical="center"/>
      <protection locked="0"/>
    </xf>
    <xf numFmtId="181" fontId="19" fillId="0" borderId="1" xfId="0" applyNumberFormat="1" applyFont="1" applyFill="1" applyBorder="1" applyAlignment="1" applyProtection="1">
      <alignment horizontal="center" vertical="center"/>
    </xf>
    <xf numFmtId="176" fontId="14" fillId="0" borderId="1" xfId="0" applyFont="1" applyFill="1" applyBorder="1" applyAlignment="1" applyProtection="1">
      <alignment horizontal="center" vertical="center"/>
    </xf>
    <xf numFmtId="176" fontId="17" fillId="0" borderId="1" xfId="0" applyFont="1" applyFill="1" applyBorder="1" applyAlignment="1" applyProtection="1">
      <alignment horizontal="center" vertical="center"/>
      <protection locked="0"/>
    </xf>
    <xf numFmtId="176" fontId="18" fillId="0" borderId="1" xfId="51" applyNumberFormat="1" applyFont="1" applyFill="1" applyBorder="1" applyAlignment="1" applyProtection="1">
      <alignment horizontal="center" vertical="center"/>
    </xf>
    <xf numFmtId="0" fontId="18" fillId="0" borderId="1" xfId="0" applyNumberFormat="1" applyFont="1" applyFill="1" applyBorder="1" applyAlignment="1" applyProtection="1">
      <alignment horizontal="center" vertical="center" wrapText="1"/>
    </xf>
    <xf numFmtId="176" fontId="18" fillId="0" borderId="1" xfId="0" applyNumberFormat="1" applyFont="1" applyFill="1" applyBorder="1" applyAlignment="1" applyProtection="1">
      <alignment horizontal="center" vertical="center"/>
    </xf>
    <xf numFmtId="178" fontId="19" fillId="0" borderId="1" xfId="0" applyNumberFormat="1" applyFont="1" applyFill="1" applyBorder="1" applyAlignment="1" applyProtection="1">
      <alignment horizontal="center" vertical="center" shrinkToFit="1"/>
    </xf>
    <xf numFmtId="176" fontId="19" fillId="0" borderId="1" xfId="0" applyFont="1" applyFill="1" applyBorder="1" applyAlignment="1" applyProtection="1">
      <alignment horizontal="center" vertical="center" wrapText="1"/>
      <protection locked="0"/>
    </xf>
    <xf numFmtId="180" fontId="19" fillId="0" borderId="1" xfId="0" applyNumberFormat="1" applyFont="1" applyFill="1" applyBorder="1" applyAlignment="1" applyProtection="1">
      <alignment horizontal="center" vertical="center"/>
    </xf>
    <xf numFmtId="182" fontId="19" fillId="0" borderId="1" xfId="0" applyNumberFormat="1" applyFont="1" applyFill="1" applyBorder="1" applyAlignment="1" applyProtection="1">
      <alignment horizontal="center" vertical="center"/>
    </xf>
    <xf numFmtId="0" fontId="14" fillId="0" borderId="1" xfId="0" applyNumberFormat="1" applyFont="1" applyFill="1" applyBorder="1" applyAlignment="1" applyProtection="1">
      <alignment horizontal="center" vertical="center"/>
    </xf>
    <xf numFmtId="182" fontId="10" fillId="0" borderId="1" xfId="0" applyNumberFormat="1" applyFont="1" applyFill="1" applyBorder="1" applyAlignment="1" applyProtection="1">
      <alignment horizontal="center" vertical="center"/>
    </xf>
    <xf numFmtId="178" fontId="19" fillId="0" borderId="0" xfId="0" applyNumberFormat="1" applyFont="1" applyFill="1" applyBorder="1" applyAlignment="1" applyProtection="1">
      <alignment horizontal="center" vertical="center" wrapText="1" shrinkToFit="1"/>
    </xf>
    <xf numFmtId="176" fontId="19" fillId="0" borderId="0" xfId="0" applyFont="1" applyFill="1" applyBorder="1" applyAlignment="1" applyProtection="1">
      <alignment horizontal="center" vertical="center"/>
      <protection locked="0"/>
    </xf>
    <xf numFmtId="0" fontId="19" fillId="0" borderId="0" xfId="0" applyNumberFormat="1" applyFont="1" applyFill="1" applyAlignment="1" applyProtection="1">
      <alignment horizontal="center" vertical="center"/>
    </xf>
    <xf numFmtId="176" fontId="19" fillId="0" borderId="0" xfId="0" applyFont="1" applyFill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 vertical="center"/>
    </xf>
    <xf numFmtId="178" fontId="19" fillId="0" borderId="0" xfId="0" applyNumberFormat="1" applyFont="1" applyFill="1" applyBorder="1" applyAlignment="1" applyProtection="1">
      <alignment horizontal="center" vertical="center" shrinkToFit="1"/>
    </xf>
    <xf numFmtId="179" fontId="19" fillId="0" borderId="0" xfId="0" applyNumberFormat="1" applyFont="1" applyFill="1" applyBorder="1" applyAlignment="1" applyProtection="1">
      <alignment horizontal="center" vertical="center"/>
      <protection locked="0"/>
    </xf>
    <xf numFmtId="176" fontId="19" fillId="0" borderId="0" xfId="0" applyNumberFormat="1" applyFont="1" applyFill="1" applyBorder="1" applyAlignment="1" applyProtection="1">
      <alignment horizontal="center" vertical="center"/>
      <protection locked="0"/>
    </xf>
    <xf numFmtId="176" fontId="19" fillId="0" borderId="0" xfId="0" applyFont="1" applyFill="1" applyBorder="1" applyAlignment="1" applyProtection="1">
      <alignment horizontal="center" vertical="center"/>
    </xf>
    <xf numFmtId="176" fontId="19" fillId="0" borderId="0" xfId="0" applyFont="1" applyFill="1" applyBorder="1" applyAlignment="1" applyProtection="1">
      <alignment horizontal="center" vertical="center" wrapText="1"/>
      <protection locked="0"/>
    </xf>
    <xf numFmtId="180" fontId="19" fillId="0" borderId="0" xfId="0" applyNumberFormat="1" applyFont="1" applyFill="1" applyBorder="1" applyAlignment="1" applyProtection="1">
      <alignment horizontal="center" vertical="center"/>
    </xf>
    <xf numFmtId="181" fontId="19" fillId="0" borderId="0" xfId="0" applyNumberFormat="1" applyFont="1" applyFill="1" applyAlignment="1" applyProtection="1">
      <alignment horizontal="center" vertical="center"/>
    </xf>
    <xf numFmtId="182" fontId="19" fillId="0" borderId="0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</xf>
    <xf numFmtId="176" fontId="19" fillId="0" borderId="0" xfId="0" applyFont="1" applyFill="1" applyAlignment="1" applyProtection="1">
      <alignment horizontal="center" vertical="center"/>
      <protection locked="0"/>
    </xf>
    <xf numFmtId="176" fontId="10" fillId="0" borderId="0" xfId="0" applyFont="1" applyFill="1" applyAlignment="1" applyProtection="1">
      <alignment horizontal="center" vertical="center"/>
    </xf>
    <xf numFmtId="176" fontId="8" fillId="0" borderId="0" xfId="0" applyFont="1" applyFill="1" applyAlignment="1" applyProtection="1">
      <alignment horizontal="center" vertical="center"/>
    </xf>
    <xf numFmtId="182" fontId="8" fillId="0" borderId="0" xfId="0" applyNumberFormat="1" applyFont="1" applyFill="1" applyBorder="1" applyAlignment="1" applyProtection="1">
      <alignment horizontal="center" vertical="center"/>
    </xf>
    <xf numFmtId="181" fontId="8" fillId="0" borderId="0" xfId="0" applyNumberFormat="1" applyFont="1" applyFill="1" applyAlignment="1" applyProtection="1">
      <alignment vertical="center"/>
    </xf>
    <xf numFmtId="181" fontId="15" fillId="0" borderId="0" xfId="0" applyNumberFormat="1" applyFont="1" applyFill="1" applyAlignment="1" applyProtection="1">
      <alignment vertical="center"/>
    </xf>
    <xf numFmtId="176" fontId="18" fillId="0" borderId="0" xfId="0" applyFont="1" applyFill="1" applyAlignment="1" applyProtection="1">
      <alignment horizontal="center" vertical="center"/>
      <protection locked="0"/>
    </xf>
    <xf numFmtId="0" fontId="8" fillId="0" borderId="0" xfId="0" applyNumberFormat="1" applyFont="1" applyFill="1" applyBorder="1" applyAlignment="1" applyProtection="1">
      <alignment horizontal="center" vertical="center"/>
    </xf>
    <xf numFmtId="176" fontId="18" fillId="0" borderId="0" xfId="0" applyFont="1" applyFill="1" applyBorder="1" applyAlignment="1" applyProtection="1">
      <alignment horizontal="center" vertical="center"/>
    </xf>
    <xf numFmtId="176" fontId="18" fillId="0" borderId="0" xfId="0" applyFont="1" applyFill="1" applyAlignment="1" applyProtection="1">
      <alignment horizontal="center" vertical="center"/>
    </xf>
    <xf numFmtId="182" fontId="15" fillId="0" borderId="0" xfId="0" applyNumberFormat="1" applyFont="1" applyFill="1" applyBorder="1" applyAlignment="1" applyProtection="1">
      <alignment horizontal="center" vertical="center"/>
    </xf>
    <xf numFmtId="182" fontId="8" fillId="0" borderId="0" xfId="0" applyNumberFormat="1" applyFont="1" applyFill="1" applyAlignment="1" applyProtection="1">
      <alignment vertical="center"/>
    </xf>
    <xf numFmtId="176" fontId="20" fillId="0" borderId="0" xfId="0" applyFont="1" applyFill="1" applyAlignment="1">
      <alignment horizontal="center"/>
    </xf>
    <xf numFmtId="176" fontId="21" fillId="0" borderId="0" xfId="0" applyFont="1" applyFill="1" applyAlignment="1" applyProtection="1">
      <alignment horizontal="center" vertical="center"/>
      <protection locked="0"/>
    </xf>
    <xf numFmtId="178" fontId="22" fillId="0" borderId="1" xfId="0" applyNumberFormat="1" applyFont="1" applyFill="1" applyBorder="1" applyAlignment="1" applyProtection="1">
      <alignment horizontal="center" vertical="center" wrapText="1" shrinkToFit="1"/>
    </xf>
    <xf numFmtId="176" fontId="23" fillId="0" borderId="1" xfId="51" applyNumberFormat="1" applyFont="1" applyFill="1" applyBorder="1" applyAlignment="1" applyProtection="1">
      <alignment horizontal="center" vertical="center"/>
    </xf>
    <xf numFmtId="0" fontId="22" fillId="0" borderId="1" xfId="0" applyNumberFormat="1" applyFont="1" applyFill="1" applyBorder="1" applyAlignment="1" applyProtection="1">
      <alignment horizontal="center" vertical="center"/>
    </xf>
    <xf numFmtId="176" fontId="20" fillId="0" borderId="1" xfId="0" applyFont="1" applyFill="1" applyBorder="1" applyAlignment="1">
      <alignment horizontal="center"/>
    </xf>
    <xf numFmtId="0" fontId="23" fillId="0" borderId="1" xfId="51" applyNumberFormat="1" applyFont="1" applyFill="1" applyBorder="1" applyAlignment="1" applyProtection="1">
      <alignment horizontal="center" vertical="center"/>
    </xf>
    <xf numFmtId="183" fontId="23" fillId="0" borderId="1" xfId="51" applyNumberFormat="1" applyFont="1" applyFill="1" applyBorder="1" applyAlignment="1" applyProtection="1">
      <alignment horizontal="center" vertical="center"/>
    </xf>
    <xf numFmtId="183" fontId="23" fillId="2" borderId="1" xfId="51" applyNumberFormat="1" applyFont="1" applyFill="1" applyBorder="1" applyAlignment="1" applyProtection="1">
      <alignment horizontal="center" vertical="center"/>
    </xf>
    <xf numFmtId="176" fontId="22" fillId="0" borderId="1" xfId="51" applyNumberFormat="1" applyFont="1" applyFill="1" applyBorder="1" applyAlignment="1" applyProtection="1">
      <alignment horizontal="center" vertical="center" wrapText="1"/>
    </xf>
    <xf numFmtId="176" fontId="22" fillId="0" borderId="1" xfId="51" applyNumberFormat="1" applyFont="1" applyFill="1" applyBorder="1" applyAlignment="1" applyProtection="1">
      <alignment horizontal="center" vertical="center"/>
    </xf>
    <xf numFmtId="182" fontId="23" fillId="0" borderId="1" xfId="51" applyNumberFormat="1" applyFont="1" applyFill="1" applyBorder="1" applyAlignment="1" applyProtection="1">
      <alignment horizontal="center" vertical="center"/>
    </xf>
    <xf numFmtId="0" fontId="23" fillId="0" borderId="1" xfId="51" applyNumberFormat="1" applyFont="1" applyFill="1" applyBorder="1" applyAlignment="1" applyProtection="1">
      <alignment horizontal="center" vertical="center" wrapText="1"/>
    </xf>
    <xf numFmtId="176" fontId="20" fillId="0" borderId="1" xfId="0" applyFont="1" applyFill="1" applyBorder="1" applyAlignment="1">
      <alignment horizontal="center"/>
    </xf>
    <xf numFmtId="176" fontId="12" fillId="0" borderId="0" xfId="0" applyFont="1" applyFill="1" applyAlignment="1" applyProtection="1">
      <alignment horizontal="center" vertical="center"/>
    </xf>
    <xf numFmtId="0" fontId="12" fillId="0" borderId="0" xfId="0" applyNumberFormat="1" applyFont="1" applyFill="1" applyBorder="1" applyAlignment="1" applyProtection="1">
      <alignment horizontal="center" vertical="center"/>
    </xf>
    <xf numFmtId="176" fontId="3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Alignment="1" applyProtection="1">
      <alignment horizontal="center" vertical="center"/>
      <protection locked="0"/>
    </xf>
    <xf numFmtId="176" fontId="12" fillId="0" borderId="0" xfId="0" applyFont="1" applyFill="1" applyBorder="1" applyAlignment="1" applyProtection="1">
      <alignment horizontal="center" vertical="center"/>
    </xf>
    <xf numFmtId="176" fontId="7" fillId="0" borderId="0" xfId="0" applyNumberFormat="1" applyFont="1" applyFill="1" applyBorder="1" applyAlignment="1" applyProtection="1">
      <alignment horizontal="center" vertical="center"/>
    </xf>
    <xf numFmtId="176" fontId="7" fillId="0" borderId="0" xfId="0" applyNumberFormat="1" applyFont="1" applyFill="1" applyAlignment="1" applyProtection="1">
      <alignment horizontal="center" vertical="center"/>
    </xf>
    <xf numFmtId="176" fontId="18" fillId="0" borderId="0" xfId="0" applyNumberFormat="1" applyFont="1" applyFill="1" applyAlignment="1" applyProtection="1">
      <alignment horizontal="center" vertical="center"/>
    </xf>
    <xf numFmtId="176" fontId="3" fillId="0" borderId="0" xfId="0" applyFont="1" applyFill="1" applyAlignment="1" applyProtection="1">
      <alignment horizontal="center" vertical="center"/>
      <protection locked="0"/>
    </xf>
    <xf numFmtId="176" fontId="7" fillId="0" borderId="0" xfId="0" applyFont="1" applyFill="1" applyAlignment="1" applyProtection="1">
      <alignment horizontal="center" vertical="center"/>
    </xf>
    <xf numFmtId="178" fontId="7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  <protection locked="0"/>
    </xf>
    <xf numFmtId="176" fontId="3" fillId="0" borderId="0" xfId="0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 applyProtection="1">
      <alignment horizontal="center" vertical="center"/>
    </xf>
    <xf numFmtId="0" fontId="16" fillId="0" borderId="1" xfId="0" applyNumberFormat="1" applyFont="1" applyFill="1" applyBorder="1" applyAlignment="1" applyProtection="1">
      <alignment horizontal="center" vertical="center"/>
    </xf>
    <xf numFmtId="178" fontId="7" fillId="0" borderId="1" xfId="1" applyNumberFormat="1" applyFont="1" applyFill="1" applyBorder="1" applyAlignment="1" applyProtection="1">
      <alignment horizontal="center" vertical="center"/>
    </xf>
    <xf numFmtId="0" fontId="7" fillId="0" borderId="1" xfId="51" applyNumberFormat="1" applyFont="1" applyFill="1" applyBorder="1" applyAlignment="1" applyProtection="1">
      <alignment horizontal="center" vertical="center" wrapText="1"/>
      <protection locked="0"/>
    </xf>
    <xf numFmtId="182" fontId="7" fillId="0" borderId="1" xfId="51" applyNumberFormat="1" applyFont="1" applyFill="1" applyBorder="1" applyAlignment="1" applyProtection="1">
      <alignment horizontal="center" vertical="center" wrapText="1"/>
    </xf>
    <xf numFmtId="176" fontId="18" fillId="0" borderId="1" xfId="1" applyNumberFormat="1" applyFont="1" applyFill="1" applyBorder="1" applyAlignment="1" applyProtection="1">
      <alignment horizontal="center" vertical="center"/>
    </xf>
    <xf numFmtId="176" fontId="7" fillId="0" borderId="1" xfId="1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7" fillId="0" borderId="1" xfId="1" applyNumberFormat="1" applyFont="1" applyFill="1" applyBorder="1" applyAlignment="1" applyProtection="1">
      <alignment horizontal="center" vertical="center"/>
    </xf>
    <xf numFmtId="0" fontId="7" fillId="0" borderId="1" xfId="1" applyNumberFormat="1" applyFont="1" applyFill="1" applyBorder="1" applyAlignment="1" applyProtection="1">
      <alignment horizontal="center" vertical="center" wrapText="1"/>
    </xf>
    <xf numFmtId="0" fontId="18" fillId="0" borderId="1" xfId="1" applyNumberFormat="1" applyFont="1" applyFill="1" applyBorder="1" applyAlignment="1" applyProtection="1">
      <alignment horizontal="center" vertical="center"/>
    </xf>
    <xf numFmtId="0" fontId="18" fillId="0" borderId="1" xfId="51" applyNumberFormat="1" applyFont="1" applyFill="1" applyBorder="1" applyAlignment="1" applyProtection="1">
      <alignment horizontal="center" vertical="center" wrapText="1"/>
      <protection locked="0"/>
    </xf>
    <xf numFmtId="182" fontId="18" fillId="0" borderId="1" xfId="51" applyNumberFormat="1" applyFont="1" applyFill="1" applyBorder="1" applyAlignment="1" applyProtection="1">
      <alignment horizontal="center" vertical="center" wrapText="1"/>
    </xf>
    <xf numFmtId="178" fontId="18" fillId="0" borderId="1" xfId="1" applyNumberFormat="1" applyFont="1" applyFill="1" applyBorder="1" applyAlignment="1" applyProtection="1">
      <alignment horizontal="center" vertical="center"/>
    </xf>
    <xf numFmtId="184" fontId="3" fillId="0" borderId="1" xfId="0" applyNumberFormat="1" applyFont="1" applyFill="1" applyBorder="1" applyAlignment="1" applyProtection="1">
      <alignment horizontal="center" vertical="center"/>
      <protection locked="0"/>
    </xf>
    <xf numFmtId="182" fontId="7" fillId="0" borderId="1" xfId="0" applyNumberFormat="1" applyFont="1" applyFill="1" applyBorder="1" applyAlignment="1" applyProtection="1">
      <alignment horizontal="center" vertical="center"/>
    </xf>
    <xf numFmtId="176" fontId="7" fillId="0" borderId="1" xfId="0" applyFont="1" applyFill="1" applyBorder="1" applyAlignment="1" applyProtection="1">
      <alignment horizontal="center" vertical="center"/>
    </xf>
    <xf numFmtId="0" fontId="13" fillId="0" borderId="1" xfId="0" applyNumberFormat="1" applyFont="1" applyFill="1" applyBorder="1" applyAlignment="1" applyProtection="1">
      <alignment horizontal="center" vertical="center"/>
    </xf>
    <xf numFmtId="0" fontId="13" fillId="0" borderId="1" xfId="0" applyNumberFormat="1" applyFont="1" applyFill="1" applyBorder="1" applyAlignment="1" applyProtection="1">
      <alignment horizontal="center" vertical="center"/>
      <protection locked="0"/>
    </xf>
    <xf numFmtId="182" fontId="13" fillId="0" borderId="1" xfId="0" applyNumberFormat="1" applyFont="1" applyFill="1" applyBorder="1" applyAlignment="1" applyProtection="1">
      <alignment horizontal="center" vertical="center"/>
    </xf>
    <xf numFmtId="176" fontId="24" fillId="0" borderId="1" xfId="0" applyFont="1" applyFill="1" applyBorder="1" applyAlignment="1" applyProtection="1">
      <alignment horizontal="center" vertical="center"/>
    </xf>
    <xf numFmtId="0" fontId="7" fillId="0" borderId="0" xfId="0" applyNumberFormat="1" applyFont="1" applyFill="1" applyAlignment="1" applyProtection="1">
      <alignment horizontal="center" vertical="center"/>
    </xf>
    <xf numFmtId="0" fontId="15" fillId="2" borderId="0" xfId="0" applyNumberFormat="1" applyFont="1" applyFill="1" applyBorder="1" applyAlignment="1" applyProtection="1">
      <alignment horizontal="center" vertical="center"/>
    </xf>
    <xf numFmtId="178" fontId="15" fillId="2" borderId="0" xfId="0" applyNumberFormat="1" applyFont="1" applyFill="1" applyBorder="1" applyAlignment="1" applyProtection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182" fontId="15" fillId="2" borderId="0" xfId="0" applyNumberFormat="1" applyFont="1" applyFill="1" applyBorder="1" applyAlignment="1" applyProtection="1">
      <alignment horizontal="center" vertical="center"/>
    </xf>
    <xf numFmtId="43" fontId="7" fillId="0" borderId="0" xfId="1" applyNumberFormat="1" applyFont="1" applyFill="1" applyBorder="1" applyAlignment="1" applyProtection="1">
      <alignment horizontal="center" vertical="center"/>
    </xf>
    <xf numFmtId="178" fontId="7" fillId="0" borderId="0" xfId="0" applyNumberFormat="1" applyFont="1" applyFill="1" applyAlignment="1" applyProtection="1">
      <alignment horizontal="center" vertical="center"/>
    </xf>
    <xf numFmtId="0" fontId="7" fillId="0" borderId="0" xfId="0" applyNumberFormat="1" applyFont="1" applyFill="1" applyAlignment="1" applyProtection="1">
      <alignment horizontal="center" vertical="center"/>
      <protection locked="0"/>
    </xf>
    <xf numFmtId="182" fontId="7" fillId="0" borderId="0" xfId="0" applyNumberFormat="1" applyFont="1" applyFill="1" applyAlignment="1" applyProtection="1">
      <alignment horizontal="center" vertical="center"/>
    </xf>
    <xf numFmtId="0" fontId="15" fillId="0" borderId="0" xfId="0" applyNumberFormat="1" applyFont="1" applyFill="1" applyBorder="1" applyAlignment="1" applyProtection="1">
      <alignment horizontal="center" vertical="center"/>
    </xf>
    <xf numFmtId="181" fontId="12" fillId="0" borderId="0" xfId="0" applyNumberFormat="1" applyFont="1" applyFill="1" applyBorder="1" applyAlignment="1">
      <alignment horizontal="center" vertical="center"/>
    </xf>
    <xf numFmtId="181" fontId="15" fillId="0" borderId="0" xfId="0" applyNumberFormat="1" applyFont="1" applyFill="1" applyAlignment="1" applyProtection="1">
      <alignment horizontal="center" vertical="center"/>
    </xf>
    <xf numFmtId="0" fontId="15" fillId="0" borderId="0" xfId="0" applyNumberFormat="1" applyFont="1" applyFill="1" applyAlignment="1" applyProtection="1">
      <alignment horizontal="center" vertical="center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NumberFormat="1" applyFont="1" applyFill="1" applyAlignment="1" applyProtection="1">
      <alignment horizontal="center" vertical="center"/>
      <protection locked="0"/>
    </xf>
    <xf numFmtId="176" fontId="25" fillId="0" borderId="0" xfId="0" applyFont="1" applyFill="1" applyBorder="1" applyAlignment="1" applyProtection="1">
      <alignment horizontal="left" vertical="center"/>
    </xf>
    <xf numFmtId="176" fontId="25" fillId="0" borderId="1" xfId="0" applyFont="1" applyFill="1" applyBorder="1" applyAlignment="1" applyProtection="1">
      <alignment horizontal="center" vertical="center"/>
    </xf>
    <xf numFmtId="176" fontId="25" fillId="2" borderId="1" xfId="0" applyFont="1" applyFill="1" applyBorder="1" applyAlignment="1" applyProtection="1">
      <alignment horizontal="center" vertical="center"/>
    </xf>
    <xf numFmtId="176" fontId="25" fillId="3" borderId="1" xfId="0" applyFont="1" applyFill="1" applyBorder="1" applyAlignment="1" applyProtection="1">
      <alignment horizontal="center" vertical="center"/>
    </xf>
    <xf numFmtId="176" fontId="26" fillId="0" borderId="1" xfId="0" applyFont="1" applyFill="1" applyBorder="1" applyAlignment="1" applyProtection="1">
      <alignment horizontal="center" vertical="center"/>
    </xf>
    <xf numFmtId="176" fontId="27" fillId="0" borderId="1" xfId="0" applyFont="1" applyFill="1" applyBorder="1" applyAlignment="1" applyProtection="1">
      <alignment horizontal="center" vertical="center"/>
    </xf>
    <xf numFmtId="176" fontId="28" fillId="0" borderId="1" xfId="0" applyFont="1" applyFill="1" applyBorder="1" applyAlignment="1" applyProtection="1">
      <alignment horizontal="center" vertical="center"/>
    </xf>
    <xf numFmtId="176" fontId="29" fillId="0" borderId="0" xfId="0" applyFont="1" applyFill="1" applyAlignment="1" applyProtection="1">
      <alignment horizontal="left" vertical="center"/>
    </xf>
    <xf numFmtId="0" fontId="3" fillId="0" borderId="0" xfId="0" applyNumberFormat="1" applyFont="1" applyFill="1" applyBorder="1" applyAlignment="1">
      <alignment horizontal="center" vertical="center"/>
    </xf>
    <xf numFmtId="178" fontId="3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  <protection locked="0"/>
    </xf>
    <xf numFmtId="182" fontId="3" fillId="0" borderId="0" xfId="0" applyNumberFormat="1" applyFont="1" applyFill="1" applyBorder="1" applyAlignment="1">
      <alignment horizontal="center" vertical="center"/>
    </xf>
    <xf numFmtId="0" fontId="18" fillId="0" borderId="0" xfId="0" applyNumberFormat="1" applyFont="1" applyFill="1" applyBorder="1" applyAlignment="1" applyProtection="1">
      <alignment horizontal="center" vertical="center"/>
      <protection locked="0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2" xfId="49"/>
    <cellStyle name="常规_排期" xfId="50"/>
    <cellStyle name="常规_Famosa P0 2010-4-13" xfId="51"/>
    <cellStyle name="Normal 3" xfId="52"/>
    <cellStyle name="Comma 2 2" xfId="53"/>
    <cellStyle name="常规 130" xfId="54"/>
    <cellStyle name="常规 2" xfId="55"/>
    <cellStyle name="样式 1" xfId="56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CDBFB"/>
      <color rgb="00ECA7E6"/>
      <color rgb="00C9F3FF"/>
      <color rgb="00E82EE6"/>
      <color rgb="000033CC"/>
      <color rgb="000000FF"/>
      <color rgb="00FF00FF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35" dbFileVersion="0" changeLogVersion="0">
    <open main="32" threadCnt="1"/>
    <sheetInfos>
      <sheetInfo cellCmpFml="16" sheetStid="41">
        <open threadCnt="1"/>
      </sheetInfo>
      <sheetInfo cellCmpFml="6" sheetStid="50">
        <open threadCnt="1"/>
      </sheetInfo>
      <sheetInfo cellCmpFml="3" sheetStid="44">
        <open threadCnt="1"/>
      </sheetInfo>
      <sheetInfo cellCmpFml="3" sheetStid="53">
        <open main="1" threadCnt="1"/>
      </sheetInfo>
      <sheetInfo cellCmpFml="3" sheetStid="51">
        <open threadCnt="1"/>
      </sheetInfo>
      <sheetInfo cellCmpFml="0" sheetStid="36">
        <open threadCnt="1"/>
      </sheetInfo>
      <sheetInfo cellCmpFml="4" sheetStid="52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www.wps.cn/officeDocument/2023/relationships/woinfos" Target="woinfos.xml"/><Relationship Id="rId14" Type="http://schemas.openxmlformats.org/officeDocument/2006/relationships/styles" Target="styles.xml"/><Relationship Id="rId13" Type="http://schemas.openxmlformats.org/officeDocument/2006/relationships/customXml" Target="../customXml/item4.xml"/><Relationship Id="rId12" Type="http://schemas.openxmlformats.org/officeDocument/2006/relationships/customXml" Target="../customXml/item3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142875</xdr:colOff>
      <xdr:row>3</xdr:row>
      <xdr:rowOff>66675</xdr:rowOff>
    </xdr:from>
    <xdr:to>
      <xdr:col>7</xdr:col>
      <xdr:colOff>514350</xdr:colOff>
      <xdr:row>21</xdr:row>
      <xdr:rowOff>85725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4612" r="936" b="2807"/>
        <a:stretch>
          <a:fillRect/>
        </a:stretch>
      </xdr:blipFill>
      <xdr:spPr>
        <a:xfrm>
          <a:off x="828675" y="1038225"/>
          <a:ext cx="4486275" cy="3276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219075</xdr:colOff>
      <xdr:row>3</xdr:row>
      <xdr:rowOff>66675</xdr:rowOff>
    </xdr:from>
    <xdr:to>
      <xdr:col>15</xdr:col>
      <xdr:colOff>523875</xdr:colOff>
      <xdr:row>21</xdr:row>
      <xdr:rowOff>66675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rcRect l="4305" t="562" r="574" b="3371"/>
        <a:stretch>
          <a:fillRect/>
        </a:stretch>
      </xdr:blipFill>
      <xdr:spPr>
        <a:xfrm>
          <a:off x="6391275" y="1038225"/>
          <a:ext cx="4419600" cy="3257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N36"/>
  <sheetViews>
    <sheetView workbookViewId="0">
      <pane xSplit="8" ySplit="2" topLeftCell="I3" activePane="bottomRight" state="frozen"/>
      <selection/>
      <selection pane="topRight"/>
      <selection pane="bottomLeft"/>
      <selection pane="bottomRight" activeCell="H3" sqref="H3"/>
    </sheetView>
  </sheetViews>
  <sheetFormatPr defaultColWidth="9" defaultRowHeight="18" customHeight="1"/>
  <cols>
    <col min="1" max="1" width="14.25" style="13" customWidth="1"/>
    <col min="2" max="2" width="17.8416666666667" style="13" customWidth="1"/>
    <col min="3" max="4" width="15.6" style="13" customWidth="1"/>
    <col min="5" max="5" width="15.625" style="14" customWidth="1"/>
    <col min="6" max="7" width="8.6" style="14" customWidth="1"/>
    <col min="8" max="9" width="12.6" style="168" customWidth="1"/>
    <col min="10" max="10" width="8.6" style="169" customWidth="1"/>
    <col min="11" max="12" width="12.6" style="93" customWidth="1"/>
    <col min="13" max="13" width="8.25" style="13" customWidth="1"/>
    <col min="14" max="14" width="9" style="13"/>
    <col min="15" max="16384" width="9" style="170"/>
  </cols>
  <sheetData>
    <row r="1" s="163" customFormat="1" ht="19" customHeight="1" spans="1:14">
      <c r="A1" s="171" t="s">
        <v>0</v>
      </c>
      <c r="B1" s="171"/>
      <c r="C1" s="171"/>
      <c r="D1" s="171"/>
      <c r="E1" s="172"/>
      <c r="F1" s="172"/>
      <c r="G1" s="172"/>
      <c r="H1" s="173" t="s">
        <v>1</v>
      </c>
      <c r="I1" s="173"/>
      <c r="J1" s="174" t="s">
        <v>2</v>
      </c>
      <c r="K1" s="175" t="s">
        <v>3</v>
      </c>
      <c r="L1" s="175" t="s">
        <v>4</v>
      </c>
      <c r="M1" s="176" t="s">
        <v>5</v>
      </c>
      <c r="N1" s="177" t="s">
        <v>6</v>
      </c>
    </row>
    <row r="2" s="163" customFormat="1" ht="15" customHeight="1" spans="1:14">
      <c r="A2" s="34" t="s">
        <v>7</v>
      </c>
      <c r="B2" s="34" t="s">
        <v>8</v>
      </c>
      <c r="C2" s="36" t="s">
        <v>9</v>
      </c>
      <c r="D2" s="36" t="s">
        <v>10</v>
      </c>
      <c r="E2" s="178" t="s">
        <v>11</v>
      </c>
      <c r="F2" s="178" t="s">
        <v>12</v>
      </c>
      <c r="G2" s="178" t="s">
        <v>13</v>
      </c>
      <c r="H2" s="173"/>
      <c r="I2" s="179">
        <v>14312</v>
      </c>
      <c r="J2" s="174"/>
      <c r="K2" s="175"/>
      <c r="L2" s="175"/>
      <c r="M2" s="176"/>
      <c r="N2" s="177"/>
    </row>
    <row r="3" s="164" customFormat="1" customHeight="1" spans="1:14">
      <c r="A3" s="22">
        <v>46184</v>
      </c>
      <c r="B3" s="34" t="s">
        <v>14</v>
      </c>
      <c r="C3" s="38" t="s">
        <v>15</v>
      </c>
      <c r="D3" s="38" t="s">
        <v>16</v>
      </c>
      <c r="E3" s="38">
        <v>14312</v>
      </c>
      <c r="F3" s="38" t="s">
        <v>17</v>
      </c>
      <c r="G3" s="38">
        <v>2004</v>
      </c>
      <c r="H3" s="39">
        <v>46247</v>
      </c>
      <c r="I3" s="180">
        <f>G3</f>
        <v>2004</v>
      </c>
      <c r="J3" s="174">
        <v>2.75</v>
      </c>
      <c r="K3" s="175">
        <f>J3*G3</f>
        <v>5511</v>
      </c>
      <c r="L3" s="175">
        <f>K3*7.75</f>
        <v>42710.25</v>
      </c>
      <c r="M3" s="177"/>
      <c r="N3" s="177"/>
    </row>
    <row r="4" s="165" customFormat="1" customHeight="1" spans="1:14">
      <c r="A4" s="97"/>
      <c r="B4" s="109"/>
      <c r="C4" s="99"/>
      <c r="D4" s="99"/>
      <c r="E4" s="99"/>
      <c r="F4" s="99"/>
      <c r="G4" s="99"/>
      <c r="H4" s="101"/>
      <c r="I4" s="181"/>
      <c r="J4" s="182"/>
      <c r="K4" s="183"/>
      <c r="L4" s="183"/>
      <c r="M4" s="176"/>
      <c r="N4" s="176"/>
    </row>
    <row r="5" s="165" customFormat="1" customHeight="1" spans="1:14">
      <c r="A5" s="97"/>
      <c r="B5" s="109"/>
      <c r="C5" s="99"/>
      <c r="D5" s="99"/>
      <c r="E5" s="99"/>
      <c r="F5" s="99"/>
      <c r="G5" s="99"/>
      <c r="H5" s="184"/>
      <c r="I5" s="181"/>
      <c r="J5" s="182"/>
      <c r="K5" s="183"/>
      <c r="L5" s="183"/>
      <c r="M5" s="176"/>
      <c r="N5" s="176"/>
    </row>
    <row r="6" s="132" customFormat="1" customHeight="1" spans="1:14">
      <c r="A6" s="97"/>
      <c r="B6" s="109"/>
      <c r="C6" s="99"/>
      <c r="D6" s="99"/>
      <c r="E6" s="99"/>
      <c r="F6" s="99"/>
      <c r="G6" s="99"/>
      <c r="H6" s="101"/>
      <c r="I6" s="181"/>
      <c r="J6" s="182"/>
      <c r="K6" s="183"/>
      <c r="L6" s="183"/>
      <c r="M6" s="176"/>
      <c r="N6" s="104"/>
    </row>
    <row r="7" s="166" customFormat="1" customHeight="1" spans="1:14">
      <c r="A7" s="22"/>
      <c r="B7" s="22"/>
      <c r="C7" s="37"/>
      <c r="D7" s="37"/>
      <c r="E7" s="178"/>
      <c r="F7" s="178"/>
      <c r="G7" s="38"/>
      <c r="H7" s="24"/>
      <c r="I7" s="24"/>
      <c r="J7" s="185"/>
      <c r="K7" s="186"/>
      <c r="L7" s="186"/>
      <c r="M7" s="31"/>
      <c r="N7" s="31"/>
    </row>
    <row r="8" s="167" customFormat="1" customHeight="1" spans="1:14">
      <c r="A8" s="187"/>
      <c r="B8" s="187"/>
      <c r="C8" s="187"/>
      <c r="D8" s="187"/>
      <c r="E8" s="178" t="s">
        <v>18</v>
      </c>
      <c r="F8" s="178"/>
      <c r="G8" s="188">
        <f>SUM(G3:G7)</f>
        <v>2004</v>
      </c>
      <c r="H8" s="188">
        <f>排期!G6+已走货!H7+MA!G9</f>
        <v>2004</v>
      </c>
      <c r="I8" s="188"/>
      <c r="J8" s="189"/>
      <c r="K8" s="190">
        <f>SUM(K3:K7)</f>
        <v>5511</v>
      </c>
      <c r="L8" s="190">
        <f>SUM(L3:L7)</f>
        <v>42710.25</v>
      </c>
      <c r="M8" s="191"/>
      <c r="N8" s="191"/>
    </row>
    <row r="9" s="167" customFormat="1" customHeight="1" spans="1:14">
      <c r="A9" s="13"/>
      <c r="B9" s="13"/>
      <c r="C9" s="13"/>
      <c r="E9" s="192"/>
      <c r="F9" s="192"/>
      <c r="G9" s="193" t="b">
        <f>G8=SUM(I9:I9)</f>
        <v>1</v>
      </c>
      <c r="H9" s="194" t="b">
        <f>G8=H8</f>
        <v>1</v>
      </c>
      <c r="I9" s="195">
        <f>SUM(I3:I8)</f>
        <v>2004</v>
      </c>
      <c r="J9" s="196"/>
      <c r="K9" s="197" t="b">
        <f>K8=排期!Y6+已走货!Z7</f>
        <v>1</v>
      </c>
      <c r="L9" s="197" t="b">
        <f>L8=排期!Z6+已走货!AA7</f>
        <v>1</v>
      </c>
      <c r="M9" s="198"/>
      <c r="N9" s="198"/>
    </row>
    <row r="10" customHeight="1" spans="1:14">
      <c r="A10" s="167"/>
      <c r="B10" s="167"/>
      <c r="C10" s="167"/>
      <c r="D10" s="167"/>
      <c r="E10" s="192"/>
      <c r="F10" s="192"/>
      <c r="G10" s="192"/>
      <c r="H10" s="199"/>
      <c r="I10" s="199"/>
      <c r="J10" s="200"/>
      <c r="K10" s="201"/>
      <c r="L10" s="201"/>
      <c r="M10" s="167"/>
      <c r="N10" s="167"/>
    </row>
    <row r="11" customHeight="1" spans="1:14">
      <c r="A11" s="167"/>
      <c r="B11" s="167"/>
      <c r="C11" s="167"/>
      <c r="D11" s="167"/>
      <c r="E11" s="192"/>
      <c r="F11" s="192"/>
      <c r="G11" s="192"/>
      <c r="H11" s="199"/>
      <c r="I11" s="199"/>
      <c r="J11" s="200"/>
      <c r="K11" s="201"/>
      <c r="L11" s="201"/>
      <c r="M11" s="167"/>
      <c r="N11" s="167"/>
    </row>
    <row r="12" customHeight="1" spans="1:14">
      <c r="A12" s="202" t="s">
        <v>19</v>
      </c>
      <c r="B12" s="203">
        <v>0</v>
      </c>
      <c r="C12" s="167"/>
      <c r="D12" s="167"/>
      <c r="E12" s="192"/>
      <c r="F12" s="192"/>
      <c r="G12" s="192"/>
      <c r="H12" s="199"/>
      <c r="I12" s="199"/>
      <c r="J12" s="200"/>
      <c r="K12" s="201"/>
      <c r="L12" s="201"/>
      <c r="M12" s="167"/>
      <c r="N12" s="167"/>
    </row>
    <row r="13" customHeight="1" spans="1:14">
      <c r="A13" s="167"/>
      <c r="B13" s="167"/>
      <c r="C13" s="167"/>
      <c r="D13" s="167"/>
      <c r="E13" s="192"/>
      <c r="F13" s="192"/>
      <c r="G13" s="192"/>
      <c r="H13" s="199"/>
      <c r="I13" s="199"/>
      <c r="J13" s="200"/>
      <c r="K13" s="201"/>
      <c r="L13" s="201"/>
      <c r="M13" s="167"/>
      <c r="N13" s="167"/>
    </row>
    <row r="14" customHeight="1" spans="1:14">
      <c r="A14" s="89" t="s">
        <v>20</v>
      </c>
      <c r="B14" s="203">
        <f>L8</f>
        <v>42710.25</v>
      </c>
      <c r="C14" s="204">
        <f>B14-B15-B16</f>
        <v>0</v>
      </c>
      <c r="D14" s="204"/>
      <c r="E14" s="202"/>
      <c r="F14" s="205"/>
      <c r="G14" s="205"/>
      <c r="H14" s="199"/>
      <c r="I14" s="199"/>
      <c r="J14" s="200"/>
      <c r="K14" s="201"/>
      <c r="L14" s="201"/>
      <c r="M14" s="167"/>
      <c r="N14" s="167"/>
    </row>
    <row r="15" customHeight="1" spans="1:14">
      <c r="A15" s="89" t="s">
        <v>21</v>
      </c>
      <c r="B15" s="203">
        <f>排期!Z6</f>
        <v>42710.25</v>
      </c>
      <c r="C15" s="204"/>
      <c r="D15" s="204"/>
      <c r="E15" s="202"/>
      <c r="F15" s="205"/>
      <c r="G15" s="205"/>
      <c r="H15" s="199"/>
      <c r="I15" s="199"/>
      <c r="J15" s="200"/>
      <c r="K15" s="201"/>
      <c r="L15" s="201"/>
      <c r="M15" s="167"/>
      <c r="N15" s="167"/>
    </row>
    <row r="16" customHeight="1" spans="1:14">
      <c r="A16" s="89" t="s">
        <v>22</v>
      </c>
      <c r="B16" s="203">
        <f>已走货!AA7</f>
        <v>0</v>
      </c>
      <c r="C16" s="204"/>
      <c r="D16" s="204"/>
      <c r="E16" s="202"/>
      <c r="F16" s="205"/>
      <c r="G16" s="205"/>
      <c r="H16" s="199"/>
      <c r="I16" s="199"/>
      <c r="J16" s="200"/>
      <c r="K16" s="201"/>
      <c r="L16" s="201"/>
      <c r="M16" s="167"/>
      <c r="N16" s="167"/>
    </row>
    <row r="17" s="167" customFormat="1" customHeight="1" spans="1:14">
      <c r="A17" s="90"/>
      <c r="B17" s="90"/>
      <c r="C17" s="204"/>
      <c r="D17" s="204"/>
      <c r="E17" s="202"/>
      <c r="F17" s="205"/>
      <c r="G17" s="192"/>
      <c r="H17" s="199"/>
      <c r="I17" s="199"/>
      <c r="J17" s="200"/>
      <c r="K17" s="201"/>
      <c r="L17" s="201"/>
    </row>
    <row r="18" s="167" customFormat="1" customHeight="1" spans="1:14">
      <c r="A18" s="90"/>
      <c r="B18" s="90"/>
      <c r="C18" s="204"/>
      <c r="D18" s="204"/>
      <c r="E18" s="202"/>
      <c r="F18" s="205"/>
      <c r="G18" s="192"/>
      <c r="H18" s="199"/>
      <c r="I18" s="199"/>
      <c r="J18" s="200"/>
      <c r="K18" s="201"/>
      <c r="L18" s="201"/>
    </row>
    <row r="19" s="167" customFormat="1" customHeight="1" spans="1:14">
      <c r="A19" s="90"/>
      <c r="B19" s="90"/>
      <c r="C19" s="204"/>
      <c r="D19" s="204"/>
      <c r="E19" s="202"/>
      <c r="F19" s="205"/>
      <c r="G19" s="192"/>
      <c r="H19" s="199"/>
      <c r="I19" s="199"/>
      <c r="J19" s="200"/>
      <c r="K19" s="201"/>
      <c r="L19" s="201"/>
    </row>
    <row r="20" s="167" customFormat="1" customHeight="1" spans="1:14">
      <c r="A20" s="90"/>
      <c r="B20" s="90"/>
      <c r="C20" s="204"/>
      <c r="D20" s="204"/>
      <c r="E20" s="206"/>
      <c r="F20" s="207"/>
      <c r="G20" s="192"/>
      <c r="H20" s="199"/>
      <c r="I20" s="199"/>
      <c r="J20" s="200"/>
      <c r="K20" s="201"/>
      <c r="L20" s="201"/>
    </row>
    <row r="21" s="167" customFormat="1" customHeight="1" spans="1:14">
      <c r="A21" s="90"/>
      <c r="B21" s="90"/>
      <c r="C21" s="90"/>
      <c r="D21" s="90"/>
      <c r="E21" s="202"/>
      <c r="F21" s="205"/>
      <c r="G21" s="192"/>
      <c r="H21" s="199"/>
      <c r="I21" s="199"/>
      <c r="J21" s="200"/>
      <c r="K21" s="201"/>
      <c r="L21" s="201"/>
    </row>
    <row r="22" s="167" customFormat="1" customHeight="1" spans="1:14">
      <c r="A22" s="202"/>
      <c r="B22" s="202"/>
      <c r="C22" s="202"/>
      <c r="D22" s="205"/>
      <c r="E22" s="192"/>
      <c r="F22" s="192"/>
      <c r="G22" s="192"/>
      <c r="H22" s="199"/>
      <c r="I22" s="199"/>
      <c r="J22" s="200"/>
      <c r="K22" s="201"/>
      <c r="L22" s="201"/>
    </row>
    <row r="23" customHeight="1" spans="1:14">
      <c r="C23" s="90"/>
      <c r="D23" s="90"/>
      <c r="E23" s="192"/>
      <c r="F23" s="192"/>
      <c r="G23" s="192"/>
      <c r="H23" s="199"/>
      <c r="I23" s="199"/>
      <c r="J23" s="200"/>
      <c r="K23" s="201"/>
      <c r="L23" s="201"/>
      <c r="M23" s="167"/>
      <c r="N23" s="167"/>
    </row>
    <row r="24" customHeight="1" spans="1:14">
      <c r="A24" s="208" t="s">
        <v>23</v>
      </c>
      <c r="B24" s="208"/>
      <c r="C24" s="90"/>
      <c r="D24" s="90"/>
      <c r="E24" s="192"/>
      <c r="F24" s="192"/>
      <c r="G24" s="192"/>
      <c r="H24" s="199"/>
      <c r="I24" s="199"/>
      <c r="J24" s="200"/>
      <c r="K24" s="201"/>
      <c r="L24" s="201"/>
      <c r="M24" s="167"/>
      <c r="N24" s="167"/>
    </row>
    <row r="25" customHeight="1" spans="1:14">
      <c r="A25" s="209" t="s">
        <v>24</v>
      </c>
      <c r="B25" s="209"/>
      <c r="C25" s="90"/>
      <c r="D25" s="90"/>
      <c r="E25" s="192"/>
      <c r="F25" s="192"/>
      <c r="G25" s="192"/>
      <c r="H25" s="199"/>
      <c r="I25" s="199"/>
      <c r="J25" s="200"/>
      <c r="K25" s="201"/>
      <c r="L25" s="201"/>
      <c r="M25" s="167"/>
      <c r="N25" s="167"/>
    </row>
    <row r="26" customHeight="1" spans="1:14">
      <c r="A26" s="210" t="s">
        <v>25</v>
      </c>
      <c r="B26" s="210"/>
      <c r="C26" s="90"/>
      <c r="D26" s="90"/>
      <c r="E26" s="192"/>
      <c r="F26" s="192"/>
      <c r="G26" s="192"/>
      <c r="H26" s="199"/>
      <c r="I26" s="199"/>
      <c r="J26" s="200"/>
      <c r="K26" s="201"/>
      <c r="L26" s="201"/>
      <c r="M26" s="167"/>
      <c r="N26" s="167"/>
    </row>
    <row r="27" customHeight="1" spans="1:14">
      <c r="A27" s="211" t="s">
        <v>26</v>
      </c>
      <c r="B27" s="211"/>
      <c r="C27" s="90"/>
      <c r="D27" s="90"/>
      <c r="E27" s="192"/>
      <c r="F27" s="192"/>
      <c r="G27" s="192"/>
      <c r="H27" s="199"/>
      <c r="I27" s="199"/>
      <c r="J27" s="200"/>
      <c r="K27" s="201"/>
      <c r="L27" s="201"/>
      <c r="M27" s="167"/>
      <c r="N27" s="167"/>
    </row>
    <row r="28" customHeight="1" spans="1:14">
      <c r="A28" s="212" t="s">
        <v>27</v>
      </c>
      <c r="B28" s="212"/>
      <c r="C28" s="90"/>
      <c r="D28" s="90"/>
      <c r="E28" s="192"/>
      <c r="F28" s="192"/>
      <c r="G28" s="192"/>
      <c r="H28" s="199"/>
      <c r="I28" s="199"/>
      <c r="J28" s="200"/>
      <c r="K28" s="201"/>
      <c r="L28" s="201"/>
      <c r="M28" s="167"/>
      <c r="N28" s="167"/>
    </row>
    <row r="29" customHeight="1" spans="1:14">
      <c r="A29" s="213" t="s">
        <v>28</v>
      </c>
      <c r="B29" s="213"/>
      <c r="C29" s="90"/>
      <c r="D29" s="90"/>
    </row>
    <row r="30" customHeight="1" spans="1:14">
      <c r="A30" s="214" t="s">
        <v>29</v>
      </c>
      <c r="B30" s="214"/>
      <c r="C30" s="90"/>
      <c r="D30" s="90"/>
      <c r="E30" s="192"/>
      <c r="F30" s="192"/>
      <c r="G30" s="192"/>
      <c r="H30" s="199"/>
      <c r="I30" s="199"/>
      <c r="J30" s="200"/>
      <c r="K30" s="201"/>
      <c r="L30" s="201"/>
      <c r="M30" s="167"/>
      <c r="N30" s="167"/>
    </row>
    <row r="31" ht="19.95" customHeight="1" spans="1:14">
      <c r="A31" s="215"/>
      <c r="B31" s="215"/>
      <c r="C31" s="167"/>
      <c r="D31" s="167"/>
      <c r="E31" s="192"/>
      <c r="F31" s="192"/>
      <c r="G31" s="192"/>
      <c r="H31" s="199"/>
      <c r="I31" s="199"/>
      <c r="J31" s="200"/>
      <c r="K31" s="201"/>
      <c r="L31" s="201"/>
      <c r="M31" s="167"/>
      <c r="N31" s="167"/>
    </row>
    <row r="32" ht="19.95" customHeight="1" spans="1:14">
      <c r="A32" s="215"/>
      <c r="B32" s="215"/>
      <c r="C32" s="170"/>
      <c r="D32" s="170"/>
      <c r="E32" s="216"/>
      <c r="F32" s="216"/>
      <c r="G32" s="216"/>
      <c r="H32" s="217"/>
      <c r="I32" s="217"/>
      <c r="J32" s="218"/>
      <c r="K32" s="219"/>
      <c r="L32" s="219"/>
      <c r="M32" s="170"/>
      <c r="N32" s="170"/>
    </row>
    <row r="33" ht="19.95" customHeight="1" spans="1:14">
      <c r="A33" s="215"/>
      <c r="B33" s="215"/>
      <c r="C33" s="170"/>
      <c r="D33" s="170"/>
      <c r="E33" s="216"/>
      <c r="F33" s="216"/>
      <c r="G33" s="216"/>
      <c r="H33" s="217"/>
      <c r="I33" s="217"/>
      <c r="J33" s="218"/>
      <c r="K33" s="219"/>
      <c r="L33" s="219"/>
      <c r="M33" s="170"/>
      <c r="N33" s="170"/>
    </row>
    <row r="34" customHeight="1" spans="1:14">
      <c r="A34" s="90"/>
      <c r="B34" s="90"/>
      <c r="J34" s="220"/>
    </row>
    <row r="35" customHeight="1" spans="1:14">
      <c r="A35" s="90"/>
      <c r="B35" s="90"/>
      <c r="J35" s="220"/>
    </row>
    <row r="36" customHeight="1" spans="1:14">
      <c r="J36" s="218"/>
    </row>
  </sheetData>
  <sheetProtection formatCells="0" autoFilter="0"/>
  <autoFilter xmlns:etc="http://www.wps.cn/officeDocument/2017/etCustomData" ref="A2:N10" etc:filterBottomFollowUsedRange="0">
    <extLst/>
  </autoFilter>
  <mergeCells count="10">
    <mergeCell ref="A1:G1"/>
    <mergeCell ref="C14:C16"/>
    <mergeCell ref="C17:C18"/>
    <mergeCell ref="C19:C20"/>
    <mergeCell ref="H1:H2"/>
    <mergeCell ref="J1:J2"/>
    <mergeCell ref="K1:K2"/>
    <mergeCell ref="L1:L2"/>
    <mergeCell ref="M1:M2"/>
    <mergeCell ref="N1:N2"/>
  </mergeCells>
  <pageMargins left="0.75" right="0.75" top="1" bottom="1" header="0.5" footer="0.5"/>
  <pageSetup paperSize="9" orientation="portrait"/>
  <headerFooter/>
  <ignoredErrors>
    <ignoredError sqref="I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"/>
  <sheetViews>
    <sheetView tabSelected="1" workbookViewId="0">
      <pane xSplit="11" ySplit="1" topLeftCell="X2" activePane="bottomRight" state="frozen"/>
      <selection/>
      <selection pane="topRight"/>
      <selection pane="bottomLeft"/>
      <selection pane="bottomRight" activeCell="X21" sqref="X21"/>
    </sheetView>
  </sheetViews>
  <sheetFormatPr defaultColWidth="9" defaultRowHeight="18" customHeight="1"/>
  <cols>
    <col min="1" max="1" width="12.6" style="4" customWidth="1"/>
    <col min="2" max="2" width="18.25" style="4" customWidth="1"/>
    <col min="3" max="4" width="15.6" style="4" customWidth="1"/>
    <col min="5" max="5" width="15.2916666666667" style="64" customWidth="1"/>
    <col min="6" max="6" width="10.6" style="4" customWidth="1"/>
    <col min="7" max="7" width="9.25" style="64" customWidth="1"/>
    <col min="8" max="8" width="8.525" style="64" customWidth="1"/>
    <col min="9" max="9" width="7" style="64" customWidth="1"/>
    <col min="10" max="10" width="13.875" style="4" customWidth="1"/>
    <col min="11" max="11" width="17.65" style="4" customWidth="1"/>
    <col min="12" max="12" width="10.95" style="4" customWidth="1"/>
    <col min="13" max="13" width="25.625" style="4" customWidth="1"/>
    <col min="14" max="15" width="8.6" style="67" customWidth="1"/>
    <col min="16" max="16" width="5.6" style="68" customWidth="1"/>
    <col min="17" max="19" width="5.6" style="69" customWidth="1"/>
    <col min="20" max="21" width="8.6" style="4" customWidth="1"/>
    <col min="22" max="22" width="5.6" style="4" customWidth="1"/>
    <col min="23" max="23" width="25.2" style="69" customWidth="1"/>
    <col min="24" max="24" width="8.6" style="71" customWidth="1"/>
    <col min="25" max="26" width="12.6" style="4" customWidth="1"/>
    <col min="27" max="27" width="8.6" style="69" customWidth="1"/>
    <col min="28" max="28" width="5.6" style="4" customWidth="1"/>
    <col min="29" max="29" width="8.6" style="9" customWidth="1"/>
    <col min="30" max="30" width="8.6" style="145" customWidth="1"/>
    <col min="31" max="34" width="8.6" style="9" customWidth="1"/>
    <col min="35" max="16384" width="9" style="9"/>
  </cols>
  <sheetData>
    <row r="1" s="9" customFormat="1" ht="30" customHeight="1" spans="1:34">
      <c r="A1" s="22" t="s">
        <v>7</v>
      </c>
      <c r="B1" s="22" t="s">
        <v>8</v>
      </c>
      <c r="C1" s="22" t="s">
        <v>9</v>
      </c>
      <c r="D1" s="22" t="s">
        <v>10</v>
      </c>
      <c r="E1" s="23" t="s">
        <v>11</v>
      </c>
      <c r="F1" s="24" t="s">
        <v>12</v>
      </c>
      <c r="G1" s="23" t="s">
        <v>13</v>
      </c>
      <c r="H1" s="23" t="s">
        <v>30</v>
      </c>
      <c r="I1" s="23" t="s">
        <v>31</v>
      </c>
      <c r="J1" s="22" t="s">
        <v>32</v>
      </c>
      <c r="K1" s="22" t="s">
        <v>33</v>
      </c>
      <c r="L1" s="22" t="s">
        <v>34</v>
      </c>
      <c r="M1" s="22" t="s">
        <v>35</v>
      </c>
      <c r="N1" s="25" t="s">
        <v>36</v>
      </c>
      <c r="O1" s="25" t="s">
        <v>37</v>
      </c>
      <c r="P1" s="26" t="s">
        <v>38</v>
      </c>
      <c r="Q1" s="27" t="s">
        <v>39</v>
      </c>
      <c r="R1" s="27" t="s">
        <v>40</v>
      </c>
      <c r="S1" s="27" t="s">
        <v>41</v>
      </c>
      <c r="T1" s="22" t="s">
        <v>42</v>
      </c>
      <c r="U1" s="22" t="s">
        <v>43</v>
      </c>
      <c r="V1" s="22" t="s">
        <v>44</v>
      </c>
      <c r="W1" s="27" t="s">
        <v>6</v>
      </c>
      <c r="X1" s="28" t="s">
        <v>45</v>
      </c>
      <c r="Y1" s="29" t="s">
        <v>3</v>
      </c>
      <c r="Z1" s="29" t="s">
        <v>46</v>
      </c>
      <c r="AA1" s="27" t="s">
        <v>47</v>
      </c>
      <c r="AB1" s="22" t="s">
        <v>48</v>
      </c>
      <c r="AC1" s="27" t="s">
        <v>49</v>
      </c>
      <c r="AD1" s="30" t="s">
        <v>50</v>
      </c>
      <c r="AE1" s="27" t="s">
        <v>51</v>
      </c>
      <c r="AF1" s="27" t="s">
        <v>52</v>
      </c>
      <c r="AG1" s="31" t="s">
        <v>53</v>
      </c>
      <c r="AH1" s="32" t="s">
        <v>54</v>
      </c>
    </row>
    <row r="2" s="144" customFormat="1" customHeight="1" spans="1:34">
      <c r="A2" s="146">
        <v>46184</v>
      </c>
      <c r="B2" s="147" t="s">
        <v>14</v>
      </c>
      <c r="C2" s="148" t="s">
        <v>15</v>
      </c>
      <c r="D2" s="149" t="s">
        <v>16</v>
      </c>
      <c r="E2" s="148">
        <v>14312</v>
      </c>
      <c r="F2" s="147" t="s">
        <v>17</v>
      </c>
      <c r="G2" s="150">
        <v>2004</v>
      </c>
      <c r="H2" s="150">
        <v>6</v>
      </c>
      <c r="I2" s="150">
        <f>G2/H2</f>
        <v>334</v>
      </c>
      <c r="J2" s="151">
        <v>46247</v>
      </c>
      <c r="K2" s="152">
        <v>46245</v>
      </c>
      <c r="L2" s="152">
        <v>46245</v>
      </c>
      <c r="M2" s="147" t="s">
        <v>55</v>
      </c>
      <c r="N2" s="147">
        <v>46241</v>
      </c>
      <c r="O2" s="147"/>
      <c r="P2" s="153" t="s">
        <v>56</v>
      </c>
      <c r="Q2" s="147"/>
      <c r="R2" s="147"/>
      <c r="S2" s="147"/>
      <c r="T2" s="154" t="s">
        <v>57</v>
      </c>
      <c r="U2" s="154" t="s">
        <v>58</v>
      </c>
      <c r="V2" s="147"/>
      <c r="W2" s="147" t="s">
        <v>59</v>
      </c>
      <c r="X2" s="155">
        <v>2.75</v>
      </c>
      <c r="Y2" s="155">
        <f>X2*G2</f>
        <v>5511</v>
      </c>
      <c r="Z2" s="155">
        <f>Y2*7.75</f>
        <v>42710.25</v>
      </c>
      <c r="AA2" s="147" t="s">
        <v>60</v>
      </c>
      <c r="AB2" s="147" t="s">
        <v>61</v>
      </c>
      <c r="AC2" s="154" t="s">
        <v>62</v>
      </c>
      <c r="AD2" s="147"/>
      <c r="AE2" s="156"/>
      <c r="AF2" s="157"/>
      <c r="AG2" s="157"/>
      <c r="AH2" s="157"/>
    </row>
    <row r="3" customFormat="1" customHeight="1" spans="1:34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</row>
    <row r="4" s="9" customFormat="1" customHeight="1" spans="1:34">
      <c r="A4" s="22"/>
      <c r="B4" s="34"/>
      <c r="C4" s="36"/>
      <c r="D4" s="37"/>
      <c r="E4" s="38"/>
      <c r="F4" s="37"/>
      <c r="G4" s="38"/>
      <c r="H4" s="38"/>
      <c r="I4" s="38"/>
      <c r="J4" s="39"/>
      <c r="K4" s="39"/>
      <c r="L4" s="37"/>
      <c r="M4" s="37"/>
      <c r="N4" s="40"/>
      <c r="O4" s="40"/>
      <c r="P4" s="41"/>
      <c r="Q4" s="31"/>
      <c r="R4" s="31"/>
      <c r="S4" s="31"/>
      <c r="T4" s="37"/>
      <c r="U4" s="37"/>
      <c r="V4" s="37"/>
      <c r="W4" s="31"/>
      <c r="X4" s="42"/>
      <c r="Y4" s="29"/>
      <c r="Z4" s="29"/>
      <c r="AA4" s="31"/>
      <c r="AB4" s="37"/>
      <c r="AC4" s="43"/>
      <c r="AD4" s="31"/>
      <c r="AE4" s="31"/>
      <c r="AF4" s="31"/>
      <c r="AG4" s="31"/>
      <c r="AH4" s="31"/>
    </row>
    <row r="5" s="9" customFormat="1" customHeight="1" spans="1:34">
      <c r="A5" s="22"/>
      <c r="B5" s="37"/>
      <c r="C5" s="37"/>
      <c r="D5" s="37"/>
      <c r="E5" s="38"/>
      <c r="F5" s="44"/>
      <c r="G5" s="38"/>
      <c r="H5" s="38"/>
      <c r="I5" s="38"/>
      <c r="J5" s="39"/>
      <c r="K5" s="37"/>
      <c r="L5" s="37"/>
      <c r="M5" s="37"/>
      <c r="N5" s="40"/>
      <c r="O5" s="40"/>
      <c r="P5" s="41"/>
      <c r="Q5" s="31"/>
      <c r="R5" s="31"/>
      <c r="S5" s="31"/>
      <c r="T5" s="37"/>
      <c r="U5" s="37"/>
      <c r="V5" s="37"/>
      <c r="W5" s="31"/>
      <c r="X5" s="42"/>
      <c r="Y5" s="29"/>
      <c r="Z5" s="29"/>
      <c r="AA5" s="31"/>
      <c r="AB5" s="37"/>
      <c r="AC5" s="43"/>
      <c r="AD5" s="31"/>
      <c r="AE5" s="31"/>
      <c r="AF5" s="31"/>
      <c r="AG5" s="31"/>
      <c r="AH5" s="31"/>
    </row>
    <row r="6" s="10" customFormat="1" customHeight="1" spans="1:34">
      <c r="A6" s="22"/>
      <c r="B6" s="37"/>
      <c r="C6" s="46"/>
      <c r="D6" s="46"/>
      <c r="E6" s="45"/>
      <c r="F6" s="37"/>
      <c r="G6" s="45">
        <f>SUM(G1:G5)</f>
        <v>2004</v>
      </c>
      <c r="H6" s="45"/>
      <c r="I6" s="45"/>
      <c r="J6" s="46"/>
      <c r="K6" s="46"/>
      <c r="L6" s="46"/>
      <c r="M6" s="46"/>
      <c r="N6" s="47"/>
      <c r="O6" s="47"/>
      <c r="P6" s="48"/>
      <c r="Q6" s="49"/>
      <c r="R6" s="49"/>
      <c r="S6" s="49"/>
      <c r="T6" s="37"/>
      <c r="U6" s="37"/>
      <c r="V6" s="46"/>
      <c r="W6" s="49"/>
      <c r="X6" s="50"/>
      <c r="Y6" s="51">
        <f>SUM(Y1:Y5)</f>
        <v>5511</v>
      </c>
      <c r="Z6" s="51">
        <f>SUM(Z1:Z5)</f>
        <v>42710.25</v>
      </c>
      <c r="AA6" s="31"/>
      <c r="AB6" s="37"/>
      <c r="AC6" s="52"/>
      <c r="AD6" s="49"/>
      <c r="AE6" s="49"/>
      <c r="AF6" s="49"/>
      <c r="AG6" s="49"/>
      <c r="AH6" s="49"/>
    </row>
    <row r="7" customHeight="1" spans="1:34">
      <c r="A7" s="62"/>
      <c r="Y7" s="158"/>
      <c r="Z7" s="159"/>
      <c r="AB7" s="160"/>
      <c r="AC7" s="159"/>
      <c r="AD7" s="9"/>
    </row>
    <row r="8" customHeight="1" spans="1:34">
      <c r="A8" s="62"/>
      <c r="Y8" s="158"/>
      <c r="Z8" s="159"/>
      <c r="AB8" s="160"/>
      <c r="AC8" s="159"/>
      <c r="AD8" s="9"/>
    </row>
    <row r="9" customHeight="1" spans="1:34">
      <c r="A9" s="62"/>
      <c r="Y9" s="158"/>
      <c r="Z9" s="159"/>
      <c r="AB9" s="160"/>
      <c r="AC9" s="161"/>
      <c r="AD9" s="9"/>
    </row>
    <row r="10" customHeight="1" spans="1:34">
      <c r="Y10" s="158"/>
      <c r="Z10" s="159"/>
      <c r="AB10" s="160"/>
      <c r="AC10" s="161"/>
      <c r="AD10" s="9"/>
    </row>
    <row r="11" customHeight="1" spans="1:34">
      <c r="K11" s="66"/>
      <c r="Y11" s="158"/>
      <c r="Z11" s="162"/>
      <c r="AD11" s="9"/>
    </row>
    <row r="12" customHeight="1" spans="1:34">
      <c r="A12" s="62"/>
      <c r="Y12" s="158"/>
      <c r="Z12" s="162"/>
    </row>
    <row r="13" customHeight="1" spans="1:34">
      <c r="Y13" s="158"/>
      <c r="Z13" s="162"/>
    </row>
    <row r="14" customHeight="1" spans="1:34">
      <c r="Y14" s="158"/>
      <c r="Z14" s="162"/>
    </row>
    <row r="15" customHeight="1" spans="1:34">
      <c r="Y15" s="158"/>
      <c r="Z15" s="162"/>
    </row>
    <row r="16" customHeight="1" spans="1:34">
      <c r="Y16" s="158"/>
      <c r="Z16" s="162"/>
    </row>
  </sheetData>
  <sheetProtection formatCells="0" autoFilter="0"/>
  <sortState ref="A2:AK134">
    <sortCondition ref="K2:K134"/>
  </sortState>
  <pageMargins left="0.751388888888889" right="0.751388888888889" top="1" bottom="1" header="0.5" footer="0.5"/>
  <pageSetup paperSize="9" orientation="landscape"/>
  <headerFooter/>
  <ignoredErrors>
    <ignoredError sqref="Q1:AB1 I1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7"/>
  <sheetViews>
    <sheetView workbookViewId="0">
      <pane xSplit="8" ySplit="1" topLeftCell="I2" activePane="bottomRight" state="frozen"/>
      <selection/>
      <selection pane="topRight"/>
      <selection pane="bottomLeft"/>
      <selection pane="bottomRight" activeCell="Y9" sqref="Y9"/>
    </sheetView>
  </sheetViews>
  <sheetFormatPr defaultColWidth="9" defaultRowHeight="18" customHeight="1"/>
  <cols>
    <col min="1" max="1" width="12.6" style="13" customWidth="1"/>
    <col min="2" max="2" width="10.6" style="13" customWidth="1"/>
    <col min="3" max="3" width="10.6" style="14" customWidth="1"/>
    <col min="4" max="5" width="15.6" style="13" customWidth="1"/>
    <col min="6" max="6" width="9.25" style="14" customWidth="1"/>
    <col min="7" max="7" width="8.6" style="14" customWidth="1"/>
    <col min="8" max="8" width="9.25" style="14" customWidth="1"/>
    <col min="9" max="10" width="5.6" style="14" customWidth="1"/>
    <col min="11" max="12" width="12.6" style="13" customWidth="1"/>
    <col min="13" max="13" width="6.6" style="13" hidden="1" customWidth="1"/>
    <col min="14" max="15" width="8.6" style="13" hidden="1" customWidth="1"/>
    <col min="16" max="18" width="5.6" style="13" hidden="1" customWidth="1"/>
    <col min="19" max="19" width="6.6" style="13" hidden="1" customWidth="1"/>
    <col min="20" max="22" width="8.6" style="13" hidden="1" customWidth="1"/>
    <col min="23" max="23" width="20.6" style="13" hidden="1" customWidth="1"/>
    <col min="24" max="24" width="8.6" style="17" hidden="1" customWidth="1"/>
    <col min="25" max="25" width="12.6" style="13" customWidth="1"/>
    <col min="26" max="26" width="12.6" style="93" customWidth="1"/>
    <col min="27" max="27" width="10.6" style="94" customWidth="1"/>
    <col min="28" max="28" width="8.6" style="13" customWidth="1"/>
    <col min="29" max="29" width="5.6" style="13" customWidth="1"/>
    <col min="30" max="30" width="7.625" style="95" hidden="1" customWidth="1"/>
    <col min="31" max="35" width="9" style="21" hidden="1" customWidth="1"/>
    <col min="36" max="36" width="9" style="21" customWidth="1"/>
    <col min="37" max="38" width="10.9" style="13" customWidth="1"/>
    <col min="39" max="16384" width="9" style="21"/>
  </cols>
  <sheetData>
    <row r="1" s="9" customFormat="1" ht="30" customHeight="1" spans="1:38">
      <c r="A1" s="22" t="s">
        <v>7</v>
      </c>
      <c r="B1" s="22" t="s">
        <v>8</v>
      </c>
      <c r="C1" s="23" t="s">
        <v>63</v>
      </c>
      <c r="D1" s="22" t="s">
        <v>9</v>
      </c>
      <c r="E1" s="22" t="s">
        <v>10</v>
      </c>
      <c r="F1" s="23" t="s">
        <v>11</v>
      </c>
      <c r="G1" s="24" t="s">
        <v>12</v>
      </c>
      <c r="H1" s="23" t="s">
        <v>13</v>
      </c>
      <c r="I1" s="23" t="s">
        <v>30</v>
      </c>
      <c r="J1" s="23" t="s">
        <v>31</v>
      </c>
      <c r="K1" s="22" t="s">
        <v>32</v>
      </c>
      <c r="L1" s="22" t="s">
        <v>33</v>
      </c>
      <c r="M1" s="22" t="s">
        <v>34</v>
      </c>
      <c r="N1" s="22" t="s">
        <v>35</v>
      </c>
      <c r="O1" s="25" t="s">
        <v>36</v>
      </c>
      <c r="P1" s="25" t="s">
        <v>37</v>
      </c>
      <c r="Q1" s="26" t="s">
        <v>38</v>
      </c>
      <c r="R1" s="27" t="s">
        <v>39</v>
      </c>
      <c r="S1" s="27" t="s">
        <v>40</v>
      </c>
      <c r="T1" s="27" t="s">
        <v>41</v>
      </c>
      <c r="U1" s="22" t="s">
        <v>42</v>
      </c>
      <c r="V1" s="22" t="s">
        <v>43</v>
      </c>
      <c r="W1" s="22" t="s">
        <v>44</v>
      </c>
      <c r="X1" s="27" t="s">
        <v>6</v>
      </c>
      <c r="Y1" s="28" t="s">
        <v>45</v>
      </c>
      <c r="Z1" s="29" t="s">
        <v>3</v>
      </c>
      <c r="AA1" s="29" t="s">
        <v>46</v>
      </c>
      <c r="AB1" s="27" t="s">
        <v>47</v>
      </c>
      <c r="AC1" s="22" t="s">
        <v>48</v>
      </c>
      <c r="AD1" s="96" t="s">
        <v>49</v>
      </c>
      <c r="AE1" s="27" t="s">
        <v>50</v>
      </c>
      <c r="AF1" s="30" t="s">
        <v>51</v>
      </c>
      <c r="AG1" s="27" t="s">
        <v>52</v>
      </c>
      <c r="AH1" s="27" t="s">
        <v>53</v>
      </c>
      <c r="AI1" s="31" t="s">
        <v>54</v>
      </c>
      <c r="AJ1" s="32" t="s">
        <v>5</v>
      </c>
      <c r="AK1" s="32" t="s">
        <v>64</v>
      </c>
      <c r="AL1" s="32" t="s">
        <v>65</v>
      </c>
    </row>
    <row r="2" s="92" customFormat="1" customHeight="1" spans="1:38">
      <c r="A2" s="97"/>
      <c r="B2" s="98"/>
      <c r="C2" s="99"/>
      <c r="D2" s="99"/>
      <c r="E2" s="99"/>
      <c r="F2" s="99"/>
      <c r="G2" s="100"/>
      <c r="H2" s="99"/>
      <c r="I2" s="99"/>
      <c r="J2" s="99"/>
      <c r="K2" s="101"/>
      <c r="L2" s="101"/>
      <c r="M2" s="98"/>
      <c r="N2" s="98"/>
      <c r="O2" s="102"/>
      <c r="P2" s="102"/>
      <c r="Q2" s="103"/>
      <c r="R2" s="104"/>
      <c r="S2" s="104"/>
      <c r="T2" s="104"/>
      <c r="U2" s="98"/>
      <c r="V2" s="98"/>
      <c r="W2" s="98"/>
      <c r="X2" s="104"/>
      <c r="Y2" s="105"/>
      <c r="Z2" s="106"/>
      <c r="AA2" s="106"/>
      <c r="AB2" s="104"/>
      <c r="AC2" s="98"/>
      <c r="AD2" s="46"/>
      <c r="AE2" s="107"/>
      <c r="AF2" s="104"/>
      <c r="AG2" s="104"/>
      <c r="AH2" s="104"/>
      <c r="AI2" s="104"/>
      <c r="AJ2" s="104"/>
      <c r="AK2" s="108"/>
      <c r="AL2" s="108"/>
    </row>
    <row r="3" s="92" customFormat="1" customHeight="1" spans="1:38">
      <c r="A3" s="97"/>
      <c r="B3" s="98"/>
      <c r="C3" s="99"/>
      <c r="D3" s="99"/>
      <c r="E3" s="99"/>
      <c r="F3" s="99"/>
      <c r="G3" s="100"/>
      <c r="H3" s="99"/>
      <c r="I3" s="99"/>
      <c r="J3" s="99"/>
      <c r="K3" s="101"/>
      <c r="L3" s="101"/>
      <c r="M3" s="98"/>
      <c r="N3" s="98"/>
      <c r="O3" s="102"/>
      <c r="P3" s="102"/>
      <c r="Q3" s="103"/>
      <c r="R3" s="104"/>
      <c r="S3" s="104"/>
      <c r="T3" s="98"/>
      <c r="U3" s="98"/>
      <c r="V3" s="98"/>
      <c r="W3" s="98"/>
      <c r="X3" s="104"/>
      <c r="Y3" s="105"/>
      <c r="Z3" s="106"/>
      <c r="AA3" s="106"/>
      <c r="AB3" s="104"/>
      <c r="AC3" s="98"/>
      <c r="AD3" s="46"/>
      <c r="AE3" s="107"/>
      <c r="AF3" s="104"/>
      <c r="AG3" s="104"/>
      <c r="AH3" s="104"/>
      <c r="AI3" s="104"/>
      <c r="AJ3" s="104"/>
      <c r="AK3" s="108"/>
      <c r="AL3" s="108"/>
    </row>
    <row r="4" s="92" customFormat="1" customHeight="1" spans="1:38">
      <c r="A4" s="97"/>
      <c r="B4" s="109"/>
      <c r="C4" s="110"/>
      <c r="D4" s="111"/>
      <c r="E4" s="98"/>
      <c r="F4" s="99"/>
      <c r="G4" s="98"/>
      <c r="H4" s="99"/>
      <c r="I4" s="99"/>
      <c r="J4" s="99"/>
      <c r="K4" s="101"/>
      <c r="L4" s="101"/>
      <c r="M4" s="98"/>
      <c r="N4" s="98"/>
      <c r="O4" s="102"/>
      <c r="P4" s="102"/>
      <c r="Q4" s="103"/>
      <c r="R4" s="104"/>
      <c r="S4" s="104"/>
      <c r="T4" s="104"/>
      <c r="U4" s="98"/>
      <c r="V4" s="98"/>
      <c r="W4" s="98"/>
      <c r="X4" s="104"/>
      <c r="Y4" s="105"/>
      <c r="Z4" s="106"/>
      <c r="AA4" s="106"/>
      <c r="AB4" s="103"/>
      <c r="AC4" s="98"/>
      <c r="AD4" s="46"/>
      <c r="AE4" s="104"/>
      <c r="AF4" s="104"/>
      <c r="AG4" s="104"/>
      <c r="AH4" s="104"/>
      <c r="AI4" s="104"/>
      <c r="AJ4" s="108"/>
      <c r="AK4" s="108"/>
      <c r="AL4" s="108"/>
    </row>
    <row r="5" s="92" customFormat="1" customHeight="1" spans="1:38">
      <c r="A5" s="97"/>
      <c r="B5" s="109"/>
      <c r="C5" s="110"/>
      <c r="D5" s="99"/>
      <c r="E5" s="99"/>
      <c r="F5" s="99"/>
      <c r="G5" s="98"/>
      <c r="H5" s="99"/>
      <c r="I5" s="99"/>
      <c r="J5" s="99"/>
      <c r="K5" s="101"/>
      <c r="L5" s="101"/>
      <c r="M5" s="98"/>
      <c r="N5" s="98"/>
      <c r="O5" s="102"/>
      <c r="P5" s="102"/>
      <c r="Q5" s="103"/>
      <c r="R5" s="104"/>
      <c r="S5" s="104"/>
      <c r="T5" s="104"/>
      <c r="U5" s="98"/>
      <c r="V5" s="98"/>
      <c r="W5" s="98"/>
      <c r="X5" s="104"/>
      <c r="Y5" s="105"/>
      <c r="Z5" s="106"/>
      <c r="AA5" s="106"/>
      <c r="AB5" s="103"/>
      <c r="AC5" s="98"/>
      <c r="AD5" s="46"/>
      <c r="AE5" s="104"/>
      <c r="AF5" s="104"/>
      <c r="AG5" s="104"/>
      <c r="AH5" s="104"/>
      <c r="AI5" s="104"/>
      <c r="AJ5" s="108"/>
      <c r="AK5" s="108"/>
      <c r="AL5" s="108"/>
    </row>
    <row r="6" s="92" customFormat="1" customHeight="1" spans="1:38">
      <c r="A6" s="97"/>
      <c r="B6" s="98"/>
      <c r="C6" s="99"/>
      <c r="D6" s="98"/>
      <c r="E6" s="98"/>
      <c r="F6" s="99"/>
      <c r="G6" s="99"/>
      <c r="H6" s="99"/>
      <c r="I6" s="99"/>
      <c r="J6" s="99"/>
      <c r="K6" s="112"/>
      <c r="L6" s="112"/>
      <c r="M6" s="98"/>
      <c r="N6" s="102"/>
      <c r="O6" s="102"/>
      <c r="P6" s="103"/>
      <c r="Q6" s="104"/>
      <c r="R6" s="104"/>
      <c r="S6" s="104"/>
      <c r="T6" s="98"/>
      <c r="U6" s="98"/>
      <c r="V6" s="98"/>
      <c r="W6" s="113"/>
      <c r="X6" s="114"/>
      <c r="Y6" s="106"/>
      <c r="Z6" s="115"/>
      <c r="AA6" s="116"/>
      <c r="AB6" s="104"/>
      <c r="AC6" s="98"/>
      <c r="AD6" s="46"/>
      <c r="AE6" s="104"/>
      <c r="AF6" s="104"/>
      <c r="AG6" s="104"/>
      <c r="AH6" s="104"/>
      <c r="AI6" s="104"/>
      <c r="AJ6" s="104"/>
      <c r="AK6" s="113"/>
      <c r="AL6" s="113"/>
    </row>
    <row r="7" s="92" customFormat="1" customHeight="1" spans="1:38">
      <c r="A7" s="97"/>
      <c r="B7" s="104"/>
      <c r="C7" s="99"/>
      <c r="D7" s="98"/>
      <c r="E7" s="98"/>
      <c r="F7" s="99"/>
      <c r="G7" s="99"/>
      <c r="H7" s="45">
        <f>SUM(H2:H6)</f>
        <v>0</v>
      </c>
      <c r="I7" s="99"/>
      <c r="J7" s="99"/>
      <c r="K7" s="112"/>
      <c r="L7" s="112"/>
      <c r="M7" s="104"/>
      <c r="N7" s="102"/>
      <c r="O7" s="102"/>
      <c r="P7" s="103"/>
      <c r="Q7" s="104"/>
      <c r="R7" s="104"/>
      <c r="S7" s="104"/>
      <c r="T7" s="98"/>
      <c r="U7" s="98"/>
      <c r="V7" s="98"/>
      <c r="W7" s="113"/>
      <c r="X7" s="114"/>
      <c r="Y7" s="106"/>
      <c r="Z7" s="117">
        <f>SUM(Z2:Z6)</f>
        <v>0</v>
      </c>
      <c r="AA7" s="117">
        <f>SUM(AA2:AA6)</f>
        <v>0</v>
      </c>
      <c r="AB7" s="104"/>
      <c r="AC7" s="98"/>
      <c r="AD7" s="46"/>
      <c r="AE7" s="104"/>
      <c r="AF7" s="104"/>
      <c r="AG7" s="104"/>
      <c r="AH7" s="104"/>
      <c r="AI7" s="104"/>
      <c r="AJ7" s="104"/>
      <c r="AK7" s="113"/>
      <c r="AL7" s="113"/>
    </row>
    <row r="8" s="92" customFormat="1" customHeight="1" spans="1:38">
      <c r="A8" s="118"/>
      <c r="B8" s="119"/>
      <c r="C8" s="120"/>
      <c r="D8" s="121"/>
      <c r="E8" s="121"/>
      <c r="F8" s="122"/>
      <c r="G8" s="122"/>
      <c r="H8" s="122"/>
      <c r="I8" s="122"/>
      <c r="J8" s="122"/>
      <c r="K8" s="123"/>
      <c r="L8" s="123"/>
      <c r="M8" s="119"/>
      <c r="N8" s="124"/>
      <c r="O8" s="124"/>
      <c r="P8" s="125"/>
      <c r="Q8" s="119"/>
      <c r="R8" s="119"/>
      <c r="S8" s="119"/>
      <c r="T8" s="126"/>
      <c r="U8" s="126"/>
      <c r="V8" s="126"/>
      <c r="W8" s="127"/>
      <c r="X8" s="128"/>
      <c r="Y8" s="129"/>
      <c r="Z8" s="130"/>
      <c r="AA8" s="131"/>
      <c r="AB8" s="132"/>
      <c r="AC8" s="121"/>
      <c r="AD8" s="133"/>
      <c r="AE8" s="132"/>
      <c r="AF8" s="132"/>
      <c r="AG8" s="132"/>
      <c r="AH8" s="132"/>
      <c r="AI8" s="132"/>
      <c r="AJ8" s="132"/>
      <c r="AK8" s="127"/>
      <c r="AL8" s="127"/>
    </row>
    <row r="9" customHeight="1" spans="1:38">
      <c r="W9" s="18"/>
      <c r="Y9" s="134"/>
      <c r="Z9" s="135"/>
      <c r="AB9" s="136"/>
      <c r="AC9" s="136"/>
      <c r="AD9" s="137"/>
      <c r="AE9" s="138"/>
      <c r="AK9" s="18"/>
      <c r="AL9" s="18"/>
    </row>
    <row r="10" customHeight="1" spans="1:38">
      <c r="W10" s="18"/>
      <c r="Y10" s="134"/>
      <c r="Z10" s="135"/>
      <c r="AB10" s="136"/>
      <c r="AC10" s="136"/>
      <c r="AD10" s="137"/>
      <c r="AE10" s="138"/>
      <c r="AK10" s="18"/>
      <c r="AL10" s="18"/>
    </row>
    <row r="11" customHeight="1" spans="1:38">
      <c r="Y11" s="134"/>
      <c r="Z11" s="135"/>
      <c r="AB11" s="89"/>
      <c r="AC11" s="89"/>
      <c r="AD11" s="90"/>
      <c r="AE11" s="138"/>
    </row>
    <row r="12" customHeight="1" spans="1:38">
      <c r="Y12" s="134"/>
      <c r="Z12" s="135"/>
      <c r="AA12" s="139"/>
      <c r="AB12" s="140"/>
      <c r="AC12" s="141"/>
      <c r="AE12" s="138"/>
    </row>
    <row r="13" customHeight="1" spans="1:38">
      <c r="Y13" s="134"/>
      <c r="Z13" s="135"/>
      <c r="AA13" s="139"/>
      <c r="AB13" s="140"/>
      <c r="AC13" s="141"/>
      <c r="AE13" s="138"/>
    </row>
    <row r="14" customHeight="1" spans="1:38">
      <c r="Z14" s="142"/>
    </row>
    <row r="15" customHeight="1" spans="1:38">
      <c r="Y15" s="134"/>
      <c r="Z15" s="143"/>
    </row>
    <row r="16" customHeight="1" spans="1:38">
      <c r="Y16" s="134"/>
      <c r="Z16" s="143"/>
    </row>
    <row r="17" customHeight="1" spans="25:26">
      <c r="Y17" s="134"/>
      <c r="Z17" s="142"/>
    </row>
  </sheetData>
  <sheetProtection autoFilter="0"/>
  <autoFilter xmlns:etc="http://www.wps.cn/officeDocument/2017/etCustomData" ref="A1:AL5" etc:filterBottomFollowUsedRange="0">
    <extLst/>
  </autoFilter>
  <pageMargins left="0.751388888888889" right="0.751388888888889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2"/>
  <sheetViews>
    <sheetView zoomScale="115" zoomScaleNormal="115" workbookViewId="0">
      <pane xSplit="7" ySplit="1" topLeftCell="W2" activePane="bottomRight" state="frozen"/>
      <selection/>
      <selection pane="topRight"/>
      <selection pane="bottomLeft"/>
      <selection pane="bottomRight" activeCell="A2" sqref="$A2:$XFD2"/>
    </sheetView>
  </sheetViews>
  <sheetFormatPr defaultColWidth="9" defaultRowHeight="18" customHeight="1"/>
  <cols>
    <col min="1" max="1" width="12.6" style="13" customWidth="1"/>
    <col min="2" max="2" width="10.6" style="13" customWidth="1"/>
    <col min="3" max="3" width="12.6" style="13" customWidth="1"/>
    <col min="4" max="5" width="15.6" style="13" customWidth="1"/>
    <col min="6" max="6" width="8.6" style="13" customWidth="1"/>
    <col min="7" max="7" width="6.6" style="14" customWidth="1"/>
    <col min="8" max="9" width="5.6" style="14" customWidth="1"/>
    <col min="10" max="11" width="12.6" style="14" customWidth="1"/>
    <col min="12" max="14" width="6.6" style="13" customWidth="1"/>
    <col min="15" max="17" width="5.6" style="13" customWidth="1"/>
    <col min="18" max="18" width="6.6" style="13" customWidth="1"/>
    <col min="19" max="21" width="8.6" style="13" customWidth="1"/>
    <col min="22" max="22" width="20.6" style="13" customWidth="1"/>
    <col min="23" max="23" width="8.6" style="17" customWidth="1"/>
    <col min="24" max="25" width="12.6" style="13" customWidth="1"/>
    <col min="26" max="26" width="10.6" style="13" hidden="1" customWidth="1"/>
    <col min="27" max="27" width="8.6" style="13" customWidth="1"/>
    <col min="28" max="28" width="5.6" style="13" customWidth="1"/>
    <col min="29" max="37" width="9" style="21" customWidth="1"/>
    <col min="38" max="16384" width="9" style="21"/>
  </cols>
  <sheetData>
    <row r="1" s="19" customFormat="1" ht="30" customHeight="1" spans="1:36">
      <c r="A1" s="54" t="s">
        <v>7</v>
      </c>
      <c r="B1" s="54" t="s">
        <v>8</v>
      </c>
      <c r="C1" s="54" t="s">
        <v>63</v>
      </c>
      <c r="D1" s="54" t="s">
        <v>9</v>
      </c>
      <c r="E1" s="54" t="s">
        <v>10</v>
      </c>
      <c r="F1" s="54" t="s">
        <v>11</v>
      </c>
      <c r="G1" s="55" t="s">
        <v>13</v>
      </c>
      <c r="H1" s="55" t="s">
        <v>30</v>
      </c>
      <c r="I1" s="55" t="s">
        <v>31</v>
      </c>
      <c r="J1" s="55" t="s">
        <v>32</v>
      </c>
      <c r="K1" s="55" t="s">
        <v>33</v>
      </c>
      <c r="L1" s="56" t="s">
        <v>34</v>
      </c>
      <c r="M1" s="57" t="s">
        <v>36</v>
      </c>
      <c r="N1" s="57" t="s">
        <v>37</v>
      </c>
      <c r="O1" s="58" t="s">
        <v>38</v>
      </c>
      <c r="P1" s="56" t="s">
        <v>39</v>
      </c>
      <c r="Q1" s="56" t="s">
        <v>40</v>
      </c>
      <c r="R1" s="56" t="s">
        <v>41</v>
      </c>
      <c r="S1" s="54" t="s">
        <v>42</v>
      </c>
      <c r="T1" s="54" t="s">
        <v>43</v>
      </c>
      <c r="U1" s="54" t="s">
        <v>44</v>
      </c>
      <c r="V1" s="56" t="s">
        <v>6</v>
      </c>
      <c r="W1" s="17" t="s">
        <v>45</v>
      </c>
      <c r="X1" s="59" t="s">
        <v>3</v>
      </c>
      <c r="Y1" s="59" t="s">
        <v>46</v>
      </c>
      <c r="Z1" s="60" t="s">
        <v>5</v>
      </c>
      <c r="AA1" s="54" t="s">
        <v>47</v>
      </c>
      <c r="AB1" s="54" t="s">
        <v>48</v>
      </c>
      <c r="AC1" s="56" t="s">
        <v>49</v>
      </c>
      <c r="AD1" s="56" t="s">
        <v>50</v>
      </c>
      <c r="AE1" s="56" t="s">
        <v>51</v>
      </c>
      <c r="AF1" s="56" t="s">
        <v>52</v>
      </c>
      <c r="AG1" s="12" t="s">
        <v>53</v>
      </c>
      <c r="AH1" s="61" t="s">
        <v>54</v>
      </c>
    </row>
    <row r="2" s="9" customFormat="1" customHeight="1" spans="1:36">
      <c r="A2" s="62"/>
      <c r="B2" s="4"/>
      <c r="C2" s="13"/>
      <c r="D2" s="63"/>
      <c r="E2" s="63"/>
      <c r="F2" s="4"/>
      <c r="G2" s="64"/>
      <c r="H2" s="64"/>
      <c r="I2" s="64"/>
      <c r="J2" s="65"/>
      <c r="K2" s="65"/>
      <c r="L2" s="66"/>
      <c r="M2" s="4"/>
      <c r="N2" s="67"/>
      <c r="O2" s="67"/>
      <c r="P2" s="68"/>
      <c r="Q2" s="69"/>
      <c r="R2" s="69"/>
      <c r="S2" s="4"/>
      <c r="T2" s="4"/>
      <c r="U2" s="4"/>
      <c r="V2" s="70"/>
      <c r="W2" s="71"/>
      <c r="X2" s="71"/>
      <c r="Y2" s="72"/>
      <c r="Z2" s="72"/>
      <c r="AA2" s="73"/>
      <c r="AB2" s="4"/>
      <c r="AD2" s="69"/>
      <c r="AE2" s="69"/>
      <c r="AF2" s="69"/>
      <c r="AG2" s="69"/>
      <c r="AH2" s="69"/>
      <c r="AI2" s="69"/>
    </row>
    <row r="3" customHeight="1" spans="1:36">
      <c r="A3" s="74"/>
      <c r="B3" s="75"/>
      <c r="D3" s="75"/>
      <c r="E3" s="75"/>
      <c r="G3" s="76"/>
      <c r="H3" s="76"/>
      <c r="J3" s="77"/>
      <c r="K3" s="77"/>
      <c r="L3" s="75"/>
      <c r="M3" s="75"/>
      <c r="N3" s="75"/>
      <c r="O3" s="75"/>
      <c r="P3" s="75"/>
      <c r="Q3" s="75"/>
      <c r="R3" s="75"/>
      <c r="S3" s="78"/>
      <c r="T3" s="78"/>
      <c r="U3" s="75"/>
      <c r="V3" s="79"/>
      <c r="X3" s="59"/>
      <c r="Y3" s="59"/>
      <c r="Z3" s="75"/>
      <c r="AA3" s="75"/>
      <c r="AB3" s="21"/>
      <c r="AC3" s="13"/>
      <c r="AD3" s="13"/>
      <c r="AE3" s="13"/>
      <c r="AF3" s="13"/>
      <c r="AG3" s="13"/>
      <c r="AH3" s="13"/>
      <c r="AI3" s="13"/>
      <c r="AJ3" s="80"/>
    </row>
    <row r="4" customHeight="1" spans="1:36">
      <c r="A4" s="74"/>
      <c r="B4" s="75"/>
      <c r="D4" s="75"/>
      <c r="E4" s="75"/>
      <c r="G4" s="76"/>
      <c r="H4" s="76"/>
      <c r="J4" s="77"/>
      <c r="K4" s="77"/>
      <c r="L4" s="75"/>
      <c r="M4" s="75"/>
      <c r="N4" s="75"/>
      <c r="O4" s="75"/>
      <c r="P4" s="75"/>
      <c r="Q4" s="75"/>
      <c r="R4" s="75"/>
      <c r="S4" s="78"/>
      <c r="T4" s="78"/>
      <c r="U4" s="75"/>
      <c r="V4" s="79"/>
      <c r="X4" s="59"/>
      <c r="Y4" s="59"/>
      <c r="Z4" s="75"/>
      <c r="AA4" s="75"/>
      <c r="AB4" s="21"/>
      <c r="AC4" s="13"/>
      <c r="AD4" s="13"/>
      <c r="AE4" s="13"/>
      <c r="AF4" s="13"/>
      <c r="AG4" s="13"/>
      <c r="AH4" s="13"/>
      <c r="AI4" s="13"/>
      <c r="AJ4" s="80"/>
    </row>
    <row r="5" customHeight="1" spans="1:36">
      <c r="A5" s="74"/>
      <c r="B5" s="75"/>
      <c r="D5" s="75"/>
      <c r="E5" s="75"/>
      <c r="G5" s="76"/>
      <c r="H5" s="76"/>
      <c r="J5" s="77"/>
      <c r="K5" s="77"/>
      <c r="L5" s="75"/>
      <c r="M5" s="75"/>
      <c r="N5" s="75"/>
      <c r="O5" s="75"/>
      <c r="P5" s="75"/>
      <c r="Q5" s="75"/>
      <c r="R5" s="75"/>
      <c r="S5" s="78"/>
      <c r="T5" s="78"/>
      <c r="U5" s="75"/>
      <c r="V5" s="79"/>
      <c r="X5" s="59"/>
      <c r="Y5" s="59"/>
      <c r="Z5" s="75"/>
      <c r="AA5" s="75"/>
      <c r="AB5" s="21"/>
      <c r="AC5" s="13"/>
      <c r="AD5" s="13"/>
      <c r="AE5" s="13"/>
      <c r="AF5" s="13"/>
      <c r="AG5" s="13"/>
      <c r="AH5" s="13"/>
      <c r="AI5" s="13"/>
      <c r="AJ5" s="80"/>
    </row>
    <row r="6" customHeight="1" spans="1:36">
      <c r="A6" s="74"/>
      <c r="B6" s="75"/>
      <c r="D6" s="75"/>
      <c r="E6" s="75"/>
      <c r="G6" s="76"/>
      <c r="H6" s="76"/>
      <c r="J6" s="77"/>
      <c r="K6" s="77"/>
      <c r="L6" s="75"/>
      <c r="M6" s="75"/>
      <c r="N6" s="75"/>
      <c r="O6" s="75"/>
      <c r="P6" s="75"/>
      <c r="Q6" s="75"/>
      <c r="R6" s="75"/>
      <c r="S6" s="78"/>
      <c r="T6" s="78"/>
      <c r="U6" s="75"/>
      <c r="V6" s="79"/>
      <c r="X6" s="59"/>
      <c r="Y6" s="59"/>
      <c r="Z6" s="75"/>
      <c r="AA6" s="75"/>
      <c r="AB6" s="21"/>
      <c r="AC6" s="13"/>
      <c r="AD6" s="13"/>
      <c r="AE6" s="13"/>
      <c r="AF6" s="13"/>
      <c r="AG6" s="13"/>
      <c r="AH6" s="13"/>
      <c r="AI6" s="13"/>
      <c r="AJ6" s="80"/>
    </row>
    <row r="7" customHeight="1" spans="1:36">
      <c r="A7" s="74"/>
      <c r="B7" s="75"/>
      <c r="D7" s="75"/>
      <c r="E7" s="75"/>
      <c r="G7" s="76"/>
      <c r="H7" s="76"/>
      <c r="J7" s="77"/>
      <c r="K7" s="77"/>
      <c r="L7" s="75"/>
      <c r="M7" s="75"/>
      <c r="N7" s="75"/>
      <c r="O7" s="75"/>
      <c r="P7" s="75"/>
      <c r="Q7" s="75"/>
      <c r="R7" s="75"/>
      <c r="S7" s="78"/>
      <c r="T7" s="78"/>
      <c r="U7" s="75"/>
      <c r="V7" s="79"/>
      <c r="X7" s="59"/>
      <c r="Y7" s="59"/>
      <c r="Z7" s="75"/>
      <c r="AA7" s="75"/>
      <c r="AB7" s="21"/>
      <c r="AC7" s="13"/>
      <c r="AD7" s="13"/>
      <c r="AE7" s="13"/>
      <c r="AF7" s="13"/>
      <c r="AG7" s="13"/>
      <c r="AH7" s="13"/>
      <c r="AI7" s="13"/>
      <c r="AJ7" s="80"/>
    </row>
    <row r="8" customHeight="1" spans="1:36">
      <c r="A8" s="74"/>
      <c r="B8" s="75"/>
      <c r="D8" s="75"/>
      <c r="E8" s="75"/>
      <c r="G8" s="76"/>
      <c r="H8" s="76"/>
      <c r="J8" s="77"/>
      <c r="K8" s="77"/>
      <c r="L8" s="75"/>
      <c r="M8" s="75"/>
      <c r="N8" s="75"/>
      <c r="O8" s="75"/>
      <c r="P8" s="75"/>
      <c r="Q8" s="75"/>
      <c r="R8" s="75"/>
      <c r="S8" s="78"/>
      <c r="T8" s="78"/>
      <c r="U8" s="75"/>
      <c r="V8" s="79"/>
      <c r="X8" s="59"/>
      <c r="Y8" s="59"/>
      <c r="Z8" s="75"/>
      <c r="AA8" s="75"/>
      <c r="AB8" s="75"/>
      <c r="AC8" s="13"/>
      <c r="AD8" s="13"/>
      <c r="AE8" s="13"/>
      <c r="AF8" s="13"/>
      <c r="AG8" s="13"/>
      <c r="AH8" s="13"/>
      <c r="AI8" s="13"/>
      <c r="AJ8" s="80"/>
    </row>
    <row r="9" s="53" customFormat="1" customHeight="1" spans="1:36">
      <c r="A9" s="81"/>
      <c r="B9" s="82"/>
      <c r="C9" s="82"/>
      <c r="D9" s="82"/>
      <c r="E9" s="82"/>
      <c r="F9" s="83"/>
      <c r="G9" s="84">
        <f>SUM(G1:G8)</f>
        <v>0</v>
      </c>
      <c r="H9" s="84"/>
      <c r="I9" s="84"/>
      <c r="J9" s="85"/>
      <c r="K9" s="85"/>
      <c r="L9" s="82"/>
      <c r="M9" s="82"/>
      <c r="N9" s="82"/>
      <c r="O9" s="82"/>
      <c r="P9" s="82"/>
      <c r="Q9" s="82"/>
      <c r="R9" s="82"/>
      <c r="S9" s="82"/>
      <c r="T9" s="82"/>
      <c r="U9" s="82"/>
      <c r="V9" s="86"/>
      <c r="W9" s="87"/>
      <c r="X9" s="88">
        <f>SUM(X2:X8)</f>
        <v>0</v>
      </c>
      <c r="Y9" s="88">
        <f>SUM(Y2:Y8)</f>
        <v>0</v>
      </c>
      <c r="Z9" s="89"/>
      <c r="AA9" s="82"/>
      <c r="AB9" s="90"/>
    </row>
    <row r="10" customHeight="1" spans="1:36">
      <c r="AB10" s="91"/>
    </row>
    <row r="11" customHeight="1" spans="1:36">
      <c r="AB11" s="91"/>
    </row>
    <row r="12" customHeight="1" spans="1:36">
      <c r="AB12" s="91"/>
    </row>
  </sheetData>
  <sheetProtection autoFilter="0"/>
  <autoFilter xmlns:etc="http://www.wps.cn/officeDocument/2017/etCustomData" ref="A1:AJ12" etc:filterBottomFollowUsedRange="0">
    <extLst/>
  </autoFilter>
  <pageMargins left="0.751388888888889" right="0.751388888888889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"/>
  <sheetViews>
    <sheetView zoomScale="115" zoomScaleNormal="115" workbookViewId="0">
      <pane xSplit="8" ySplit="1" topLeftCell="I2" activePane="bottomRight" state="frozen"/>
      <selection/>
      <selection pane="topRight"/>
      <selection pane="bottomLeft"/>
      <selection pane="bottomRight" activeCell="F17" sqref="F17"/>
    </sheetView>
  </sheetViews>
  <sheetFormatPr defaultColWidth="9" defaultRowHeight="18" customHeight="1" outlineLevelRow="5"/>
  <cols>
    <col min="1" max="1" width="12.6" style="11" customWidth="1"/>
    <col min="2" max="2" width="10.6" style="12" customWidth="1"/>
    <col min="3" max="3" width="10.6" style="13" customWidth="1"/>
    <col min="4" max="5" width="15.6" style="13" customWidth="1"/>
    <col min="6" max="6" width="10.1" style="14" customWidth="1"/>
    <col min="7" max="7" width="10.6" style="13" customWidth="1"/>
    <col min="8" max="8" width="9.25" style="14" customWidth="1"/>
    <col min="9" max="9" width="8.7" style="14" customWidth="1"/>
    <col min="10" max="10" width="9.125" style="14" customWidth="1"/>
    <col min="11" max="11" width="12.6" style="13" customWidth="1"/>
    <col min="12" max="12" width="14.2" style="13" customWidth="1"/>
    <col min="13" max="13" width="5.6" style="12" customWidth="1"/>
    <col min="14" max="15" width="8.6" style="15" customWidth="1"/>
    <col min="16" max="16" width="5.6" style="16" customWidth="1"/>
    <col min="17" max="19" width="5.6" style="12" customWidth="1"/>
    <col min="20" max="21" width="8.6" style="13" customWidth="1"/>
    <col min="22" max="22" width="5.6" style="13" customWidth="1"/>
    <col min="23" max="23" width="39.1" style="12" customWidth="1"/>
    <col min="24" max="24" width="8.6" style="17" customWidth="1"/>
    <col min="25" max="26" width="12.6" style="13" customWidth="1"/>
    <col min="27" max="27" width="8.6" style="18" customWidth="1"/>
    <col min="28" max="28" width="8.6" style="13" customWidth="1"/>
    <col min="29" max="29" width="5.6" style="13" customWidth="1"/>
    <col min="30" max="30" width="8.6" style="19" customWidth="1"/>
    <col min="31" max="33" width="8.6" style="20" customWidth="1"/>
    <col min="34" max="35" width="8.6" style="19" customWidth="1"/>
    <col min="36" max="36" width="9" style="19"/>
    <col min="37" max="91" width="9" style="21"/>
    <col min="92" max="92" width="9.2" style="21"/>
    <col min="93" max="93" width="10.1" style="21"/>
    <col min="94" max="16384" width="9" style="21"/>
  </cols>
  <sheetData>
    <row r="1" s="9" customFormat="1" ht="30" customHeight="1" spans="1:35">
      <c r="A1" s="22" t="s">
        <v>7</v>
      </c>
      <c r="B1" s="22" t="s">
        <v>8</v>
      </c>
      <c r="C1" s="23" t="s">
        <v>63</v>
      </c>
      <c r="D1" s="22" t="s">
        <v>9</v>
      </c>
      <c r="E1" s="22" t="s">
        <v>10</v>
      </c>
      <c r="F1" s="23" t="s">
        <v>11</v>
      </c>
      <c r="G1" s="24" t="s">
        <v>12</v>
      </c>
      <c r="H1" s="23" t="s">
        <v>13</v>
      </c>
      <c r="I1" s="23" t="s">
        <v>30</v>
      </c>
      <c r="J1" s="23" t="s">
        <v>31</v>
      </c>
      <c r="K1" s="22" t="s">
        <v>32</v>
      </c>
      <c r="L1" s="22" t="s">
        <v>33</v>
      </c>
      <c r="M1" s="22" t="s">
        <v>34</v>
      </c>
      <c r="N1" s="22" t="s">
        <v>35</v>
      </c>
      <c r="O1" s="25" t="s">
        <v>36</v>
      </c>
      <c r="P1" s="25" t="s">
        <v>37</v>
      </c>
      <c r="Q1" s="26" t="s">
        <v>38</v>
      </c>
      <c r="R1" s="27" t="s">
        <v>39</v>
      </c>
      <c r="S1" s="27" t="s">
        <v>40</v>
      </c>
      <c r="T1" s="27" t="s">
        <v>41</v>
      </c>
      <c r="U1" s="22" t="s">
        <v>42</v>
      </c>
      <c r="V1" s="22" t="s">
        <v>43</v>
      </c>
      <c r="W1" s="22" t="s">
        <v>44</v>
      </c>
      <c r="X1" s="27" t="s">
        <v>6</v>
      </c>
      <c r="Y1" s="28" t="s">
        <v>45</v>
      </c>
      <c r="Z1" s="29" t="s">
        <v>3</v>
      </c>
      <c r="AA1" s="29" t="s">
        <v>46</v>
      </c>
      <c r="AB1" s="27" t="s">
        <v>47</v>
      </c>
      <c r="AC1" s="22" t="s">
        <v>48</v>
      </c>
      <c r="AD1" s="27" t="s">
        <v>49</v>
      </c>
      <c r="AE1" s="30" t="s">
        <v>50</v>
      </c>
      <c r="AF1" s="27" t="s">
        <v>51</v>
      </c>
      <c r="AG1" s="27" t="s">
        <v>52</v>
      </c>
      <c r="AH1" s="31" t="s">
        <v>53</v>
      </c>
      <c r="AI1" s="32" t="s">
        <v>54</v>
      </c>
    </row>
    <row r="2" customFormat="1" customHeight="1" spans="1:3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customFormat="1" customHeight="1" spans="1:3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</row>
    <row r="4" s="9" customFormat="1" customHeight="1" spans="1:35">
      <c r="A4" s="22"/>
      <c r="B4" s="34"/>
      <c r="C4" s="35"/>
      <c r="D4" s="36"/>
      <c r="E4" s="37"/>
      <c r="F4" s="38"/>
      <c r="G4" s="37"/>
      <c r="H4" s="38"/>
      <c r="I4" s="38"/>
      <c r="J4" s="38"/>
      <c r="K4" s="39"/>
      <c r="L4" s="39"/>
      <c r="M4" s="37"/>
      <c r="N4" s="37"/>
      <c r="O4" s="40"/>
      <c r="P4" s="40"/>
      <c r="Q4" s="41"/>
      <c r="R4" s="31"/>
      <c r="S4" s="31"/>
      <c r="T4" s="31"/>
      <c r="U4" s="37"/>
      <c r="V4" s="37"/>
      <c r="W4" s="37"/>
      <c r="X4" s="31"/>
      <c r="Y4" s="42"/>
      <c r="Z4" s="29"/>
      <c r="AA4" s="29"/>
      <c r="AB4" s="31"/>
      <c r="AC4" s="37"/>
      <c r="AD4" s="43"/>
      <c r="AE4" s="31"/>
      <c r="AF4" s="31"/>
      <c r="AG4" s="31"/>
      <c r="AH4" s="31"/>
      <c r="AI4" s="31"/>
    </row>
    <row r="5" s="9" customFormat="1" customHeight="1" spans="1:35">
      <c r="A5" s="22"/>
      <c r="B5" s="37"/>
      <c r="C5" s="38"/>
      <c r="D5" s="37"/>
      <c r="E5" s="37"/>
      <c r="F5" s="38"/>
      <c r="G5" s="44"/>
      <c r="H5" s="38"/>
      <c r="I5" s="38"/>
      <c r="J5" s="38"/>
      <c r="K5" s="39"/>
      <c r="L5" s="37"/>
      <c r="M5" s="37"/>
      <c r="N5" s="37"/>
      <c r="O5" s="40"/>
      <c r="P5" s="40"/>
      <c r="Q5" s="41"/>
      <c r="R5" s="31"/>
      <c r="S5" s="31"/>
      <c r="T5" s="31"/>
      <c r="U5" s="37"/>
      <c r="V5" s="37"/>
      <c r="W5" s="37"/>
      <c r="X5" s="31"/>
      <c r="Y5" s="42"/>
      <c r="Z5" s="29"/>
      <c r="AA5" s="29"/>
      <c r="AB5" s="31"/>
      <c r="AC5" s="37"/>
      <c r="AD5" s="43"/>
      <c r="AE5" s="31"/>
      <c r="AF5" s="31"/>
      <c r="AG5" s="31"/>
      <c r="AH5" s="31"/>
      <c r="AI5" s="31"/>
    </row>
    <row r="6" s="10" customFormat="1" customHeight="1" spans="1:35">
      <c r="A6" s="22"/>
      <c r="B6" s="37"/>
      <c r="C6" s="45"/>
      <c r="D6" s="46"/>
      <c r="E6" s="46"/>
      <c r="F6" s="45"/>
      <c r="G6" s="37"/>
      <c r="H6" s="45">
        <f>SUM(H1:H5)</f>
        <v>0</v>
      </c>
      <c r="I6" s="45"/>
      <c r="J6" s="45"/>
      <c r="K6" s="46"/>
      <c r="L6" s="46"/>
      <c r="M6" s="46"/>
      <c r="N6" s="46"/>
      <c r="O6" s="47"/>
      <c r="P6" s="47"/>
      <c r="Q6" s="48"/>
      <c r="R6" s="49"/>
      <c r="S6" s="49"/>
      <c r="T6" s="49"/>
      <c r="U6" s="37"/>
      <c r="V6" s="37"/>
      <c r="W6" s="46"/>
      <c r="X6" s="49"/>
      <c r="Y6" s="50"/>
      <c r="Z6" s="51">
        <f>SUM(Z1:Z5)</f>
        <v>0</v>
      </c>
      <c r="AA6" s="51">
        <f>SUM(AA1:AA5)</f>
        <v>0</v>
      </c>
      <c r="AB6" s="31"/>
      <c r="AC6" s="37"/>
      <c r="AD6" s="52"/>
      <c r="AE6" s="49"/>
      <c r="AF6" s="49"/>
      <c r="AG6" s="49"/>
      <c r="AH6" s="49"/>
      <c r="AI6" s="49"/>
    </row>
  </sheetData>
  <sheetProtection formatCells="0" autoFilter="0"/>
  <protectedRanges>
    <protectedRange sqref="AG1:AK1" name="区域1"/>
  </protectedRanges>
  <autoFilter xmlns:etc="http://www.wps.cn/officeDocument/2017/etCustomData" ref="A1:AI3" etc:filterBottomFollowUsedRange="0">
    <extLst/>
  </autoFilter>
  <pageMargins left="0.751388888888889" right="0.751388888888889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3"/>
  <sheetViews>
    <sheetView workbookViewId="0">
      <selection activeCell="O24" sqref="O24"/>
    </sheetView>
  </sheetViews>
  <sheetFormatPr defaultColWidth="9" defaultRowHeight="14.25" outlineLevelRow="2"/>
  <cols>
    <col min="1" max="16384" width="9" style="6"/>
  </cols>
  <sheetData>
    <row r="1" ht="25.5" spans="2:16">
      <c r="B1" s="7" t="s">
        <v>66</v>
      </c>
      <c r="C1" s="7"/>
      <c r="D1" s="7"/>
      <c r="E1" s="7"/>
      <c r="F1" s="7"/>
      <c r="G1" s="7"/>
      <c r="H1" s="7"/>
      <c r="I1" s="8"/>
      <c r="J1" s="7" t="s">
        <v>67</v>
      </c>
      <c r="K1" s="7"/>
      <c r="L1" s="7"/>
      <c r="M1" s="7"/>
      <c r="N1" s="7"/>
      <c r="O1" s="7"/>
      <c r="P1" s="7"/>
    </row>
    <row r="2" ht="25.5" spans="2:16">
      <c r="B2" s="7"/>
      <c r="C2" s="7"/>
      <c r="D2" s="7"/>
      <c r="E2" s="7"/>
      <c r="F2" s="7"/>
      <c r="G2" s="7"/>
      <c r="H2" s="7"/>
      <c r="I2" s="8"/>
      <c r="J2" s="7"/>
      <c r="K2" s="7"/>
      <c r="L2" s="7"/>
      <c r="M2" s="7"/>
      <c r="N2" s="7"/>
      <c r="O2" s="7"/>
      <c r="P2" s="7"/>
    </row>
    <row r="3" ht="25.5" spans="2:16">
      <c r="B3" s="7"/>
      <c r="C3" s="7"/>
      <c r="D3" s="7"/>
      <c r="E3" s="7"/>
      <c r="F3" s="7"/>
      <c r="G3" s="7"/>
      <c r="H3" s="7"/>
      <c r="I3" s="8"/>
      <c r="J3" s="7"/>
      <c r="K3" s="7"/>
      <c r="L3" s="7"/>
      <c r="M3" s="7"/>
      <c r="N3" s="7"/>
      <c r="O3" s="7"/>
      <c r="P3" s="7"/>
    </row>
  </sheetData>
  <sheetProtection formatCells="0" formatColumns="0" formatRows="0" insertRows="0" insertColumns="0" insertHyperlinks="0" deleteColumns="0" deleteRows="0" sort="0" autoFilter="0" pivotTables="0"/>
  <mergeCells count="2">
    <mergeCell ref="B1:H3"/>
    <mergeCell ref="J1:P3"/>
  </mergeCells>
  <pageMargins left="0.75" right="0.75" top="1" bottom="1" header="0.5" footer="0.5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0"/>
  <sheetViews>
    <sheetView workbookViewId="0">
      <pane ySplit="1" topLeftCell="A50" activePane="bottomLeft" state="frozen"/>
      <selection/>
      <selection pane="bottomLeft" activeCell="G67" sqref="G67"/>
    </sheetView>
  </sheetViews>
  <sheetFormatPr defaultColWidth="9" defaultRowHeight="15" customHeight="1" outlineLevelCol="3"/>
  <cols>
    <col min="1" max="1" width="18" style="2" customWidth="1"/>
    <col min="2" max="3" width="9" style="2" customWidth="1"/>
    <col min="4" max="4" width="12.6" style="2" customWidth="1"/>
    <col min="5" max="16384" width="9" style="2"/>
  </cols>
  <sheetData>
    <row r="1" s="1" customFormat="1" ht="19.95" customHeight="1" spans="1:4">
      <c r="A1" s="1" t="s">
        <v>10</v>
      </c>
      <c r="B1" s="1" t="s">
        <v>48</v>
      </c>
      <c r="C1" s="1" t="s">
        <v>48</v>
      </c>
      <c r="D1" s="1" t="s">
        <v>12</v>
      </c>
    </row>
    <row r="2" customHeight="1" spans="1:4">
      <c r="A2" s="2" t="s">
        <v>68</v>
      </c>
      <c r="B2" s="2">
        <v>13095</v>
      </c>
      <c r="C2" s="2" t="s">
        <v>69</v>
      </c>
      <c r="D2" s="2" t="s">
        <v>70</v>
      </c>
    </row>
    <row r="3" customHeight="1" spans="1:4">
      <c r="A3" s="2" t="s">
        <v>16</v>
      </c>
      <c r="B3" s="2">
        <v>14312</v>
      </c>
      <c r="C3" s="2" t="s">
        <v>61</v>
      </c>
      <c r="D3" s="2" t="s">
        <v>71</v>
      </c>
    </row>
    <row r="4" customHeight="1" spans="1:4">
      <c r="A4" s="2" t="s">
        <v>72</v>
      </c>
      <c r="B4" s="2">
        <v>14345</v>
      </c>
      <c r="C4" s="2" t="s">
        <v>61</v>
      </c>
      <c r="D4" s="2" t="s">
        <v>71</v>
      </c>
    </row>
    <row r="5" customHeight="1" spans="1:4">
      <c r="A5" s="2" t="s">
        <v>73</v>
      </c>
      <c r="B5" s="2">
        <v>17344</v>
      </c>
      <c r="C5" s="2" t="s">
        <v>74</v>
      </c>
      <c r="D5" s="2" t="s">
        <v>75</v>
      </c>
    </row>
    <row r="6" customHeight="1" spans="1:4">
      <c r="A6" s="2" t="s">
        <v>76</v>
      </c>
      <c r="B6" s="2">
        <v>17345</v>
      </c>
      <c r="C6" s="2" t="s">
        <v>74</v>
      </c>
      <c r="D6" s="2" t="s">
        <v>77</v>
      </c>
    </row>
    <row r="7" customHeight="1" spans="1:4">
      <c r="A7" s="2" t="s">
        <v>78</v>
      </c>
      <c r="B7" s="2">
        <v>17529</v>
      </c>
      <c r="C7" s="2" t="s">
        <v>69</v>
      </c>
      <c r="D7" s="2" t="s">
        <v>79</v>
      </c>
    </row>
    <row r="8" customHeight="1" spans="1:4">
      <c r="A8" s="2" t="s">
        <v>80</v>
      </c>
      <c r="B8" s="2">
        <v>17552</v>
      </c>
      <c r="C8" s="2" t="s">
        <v>81</v>
      </c>
      <c r="D8" s="2" t="s">
        <v>82</v>
      </c>
    </row>
    <row r="9" customHeight="1" spans="1:4">
      <c r="A9" s="2" t="s">
        <v>83</v>
      </c>
      <c r="B9" s="2">
        <v>17563</v>
      </c>
      <c r="C9" s="2" t="s">
        <v>74</v>
      </c>
      <c r="D9" s="2" t="s">
        <v>84</v>
      </c>
    </row>
    <row r="10" customHeight="1" spans="1:4">
      <c r="A10" s="3" t="s">
        <v>85</v>
      </c>
      <c r="B10" s="4">
        <v>17588</v>
      </c>
      <c r="C10" s="2" t="s">
        <v>69</v>
      </c>
      <c r="D10" s="2" t="s">
        <v>86</v>
      </c>
    </row>
    <row r="11" customHeight="1" spans="1:4">
      <c r="A11" s="2" t="s">
        <v>87</v>
      </c>
      <c r="B11" s="2">
        <v>17644</v>
      </c>
      <c r="C11" s="2" t="s">
        <v>81</v>
      </c>
      <c r="D11" s="4" t="s">
        <v>79</v>
      </c>
    </row>
    <row r="12" customHeight="1" spans="1:4">
      <c r="A12" s="2" t="s">
        <v>88</v>
      </c>
      <c r="B12" s="2" t="str">
        <f t="shared" ref="B12:B33" si="0">TEXT(MID(A12,1,5),"00000")</f>
        <v>13095</v>
      </c>
      <c r="C12" s="2" t="s">
        <v>69</v>
      </c>
      <c r="D12" s="2" t="s">
        <v>70</v>
      </c>
    </row>
    <row r="13" customHeight="1" spans="1:4">
      <c r="A13" s="2" t="s">
        <v>89</v>
      </c>
      <c r="B13" s="2" t="str">
        <f t="shared" si="0"/>
        <v>13095</v>
      </c>
      <c r="C13" s="2" t="s">
        <v>69</v>
      </c>
      <c r="D13" s="2" t="s">
        <v>70</v>
      </c>
    </row>
    <row r="14" customHeight="1" spans="1:4">
      <c r="A14" s="2" t="s">
        <v>90</v>
      </c>
      <c r="B14" s="2" t="str">
        <f t="shared" si="0"/>
        <v>13095</v>
      </c>
      <c r="C14" s="2" t="s">
        <v>69</v>
      </c>
      <c r="D14" s="2" t="s">
        <v>70</v>
      </c>
    </row>
    <row r="15" customHeight="1" spans="1:4">
      <c r="A15" s="2" t="s">
        <v>68</v>
      </c>
      <c r="B15" s="2" t="str">
        <f t="shared" si="0"/>
        <v>13095</v>
      </c>
      <c r="C15" s="2" t="s">
        <v>69</v>
      </c>
      <c r="D15" s="2" t="s">
        <v>70</v>
      </c>
    </row>
    <row r="16" customHeight="1" spans="1:4">
      <c r="A16" s="2" t="s">
        <v>91</v>
      </c>
      <c r="B16" s="2" t="str">
        <f t="shared" si="0"/>
        <v>14300</v>
      </c>
      <c r="C16" s="2" t="s">
        <v>61</v>
      </c>
      <c r="D16" s="2" t="s">
        <v>71</v>
      </c>
    </row>
    <row r="17" customHeight="1" spans="1:4">
      <c r="A17" s="2" t="s">
        <v>92</v>
      </c>
      <c r="B17" s="2" t="str">
        <f t="shared" si="0"/>
        <v>14303</v>
      </c>
      <c r="C17" s="2" t="s">
        <v>61</v>
      </c>
    </row>
    <row r="18" customHeight="1" spans="1:4">
      <c r="A18" s="2" t="s">
        <v>93</v>
      </c>
      <c r="B18" s="2" t="str">
        <f t="shared" si="0"/>
        <v>14305</v>
      </c>
      <c r="C18" s="2" t="s">
        <v>61</v>
      </c>
    </row>
    <row r="19" customHeight="1" spans="1:4">
      <c r="A19" s="2" t="s">
        <v>94</v>
      </c>
      <c r="B19" s="2" t="str">
        <f t="shared" si="0"/>
        <v>14311</v>
      </c>
      <c r="C19" s="2" t="s">
        <v>61</v>
      </c>
      <c r="D19" s="2" t="s">
        <v>71</v>
      </c>
    </row>
    <row r="20" customHeight="1" spans="1:4">
      <c r="A20" s="2" t="s">
        <v>95</v>
      </c>
      <c r="B20" s="2" t="str">
        <f t="shared" si="0"/>
        <v>14311</v>
      </c>
      <c r="C20" s="2" t="s">
        <v>61</v>
      </c>
      <c r="D20" s="2" t="s">
        <v>71</v>
      </c>
    </row>
    <row r="21" customHeight="1" spans="1:4">
      <c r="A21" s="2" t="s">
        <v>96</v>
      </c>
      <c r="B21" s="2" t="str">
        <f t="shared" si="0"/>
        <v>14312</v>
      </c>
      <c r="C21" s="2" t="s">
        <v>61</v>
      </c>
      <c r="D21" s="2" t="s">
        <v>71</v>
      </c>
    </row>
    <row r="22" customHeight="1" spans="1:4">
      <c r="A22" s="2" t="s">
        <v>97</v>
      </c>
      <c r="B22" s="2" t="str">
        <f t="shared" si="0"/>
        <v>14312</v>
      </c>
      <c r="C22" s="2" t="s">
        <v>61</v>
      </c>
      <c r="D22" s="2" t="s">
        <v>71</v>
      </c>
    </row>
    <row r="23" customHeight="1" spans="1:4">
      <c r="A23" s="2" t="s">
        <v>98</v>
      </c>
      <c r="B23" s="2" t="str">
        <f t="shared" si="0"/>
        <v>14312</v>
      </c>
      <c r="C23" s="2" t="s">
        <v>61</v>
      </c>
      <c r="D23" s="2" t="s">
        <v>71</v>
      </c>
    </row>
    <row r="24" customHeight="1" spans="1:4">
      <c r="A24" s="2" t="s">
        <v>16</v>
      </c>
      <c r="B24" s="2" t="str">
        <f t="shared" si="0"/>
        <v>14312</v>
      </c>
      <c r="C24" s="2" t="s">
        <v>61</v>
      </c>
      <c r="D24" s="2" t="s">
        <v>71</v>
      </c>
    </row>
    <row r="25" customHeight="1" spans="1:4">
      <c r="A25" s="2" t="s">
        <v>99</v>
      </c>
      <c r="B25" s="2" t="str">
        <f t="shared" si="0"/>
        <v>14317</v>
      </c>
      <c r="C25" s="2" t="s">
        <v>61</v>
      </c>
    </row>
    <row r="26" customHeight="1" spans="1:4">
      <c r="A26" s="2" t="s">
        <v>100</v>
      </c>
      <c r="B26" s="2" t="str">
        <f t="shared" si="0"/>
        <v>14344</v>
      </c>
      <c r="C26" s="2" t="s">
        <v>61</v>
      </c>
    </row>
    <row r="27" customHeight="1" spans="1:4">
      <c r="A27" s="2" t="s">
        <v>101</v>
      </c>
      <c r="B27" s="2" t="str">
        <f t="shared" si="0"/>
        <v>14345</v>
      </c>
      <c r="C27" s="2" t="s">
        <v>61</v>
      </c>
      <c r="D27" s="2" t="s">
        <v>71</v>
      </c>
    </row>
    <row r="28" customHeight="1" spans="1:4">
      <c r="A28" s="2" t="s">
        <v>72</v>
      </c>
      <c r="B28" s="2" t="str">
        <f t="shared" si="0"/>
        <v>14345</v>
      </c>
      <c r="C28" s="2" t="s">
        <v>61</v>
      </c>
      <c r="D28" s="2" t="s">
        <v>71</v>
      </c>
    </row>
    <row r="29" customHeight="1" spans="1:4">
      <c r="A29" s="2" t="s">
        <v>102</v>
      </c>
      <c r="B29" s="2" t="str">
        <f t="shared" si="0"/>
        <v>14347</v>
      </c>
      <c r="C29" s="2" t="s">
        <v>61</v>
      </c>
      <c r="D29" s="2" t="s">
        <v>71</v>
      </c>
    </row>
    <row r="30" customHeight="1" spans="1:4">
      <c r="A30" s="2" t="s">
        <v>103</v>
      </c>
      <c r="B30" s="2" t="str">
        <f t="shared" si="0"/>
        <v>14349</v>
      </c>
      <c r="C30" s="2" t="s">
        <v>61</v>
      </c>
    </row>
    <row r="31" customHeight="1" spans="1:4">
      <c r="A31" s="2" t="s">
        <v>104</v>
      </c>
      <c r="B31" s="2" t="str">
        <f t="shared" si="0"/>
        <v>14764</v>
      </c>
      <c r="C31" s="2" t="s">
        <v>61</v>
      </c>
      <c r="D31" s="2" t="s">
        <v>71</v>
      </c>
    </row>
    <row r="32" customHeight="1" spans="1:4">
      <c r="A32" s="2" t="s">
        <v>105</v>
      </c>
      <c r="B32" s="2" t="str">
        <f t="shared" si="0"/>
        <v>14765</v>
      </c>
      <c r="C32" s="2" t="s">
        <v>61</v>
      </c>
      <c r="D32" s="2" t="s">
        <v>71</v>
      </c>
    </row>
    <row r="33" customHeight="1" spans="1:4">
      <c r="A33" s="2" t="s">
        <v>106</v>
      </c>
      <c r="B33" s="2" t="str">
        <f t="shared" si="0"/>
        <v>14766</v>
      </c>
      <c r="C33" s="2" t="s">
        <v>61</v>
      </c>
      <c r="D33" s="2" t="s">
        <v>71</v>
      </c>
    </row>
    <row r="34" customHeight="1" spans="1:4">
      <c r="A34" s="2" t="s">
        <v>107</v>
      </c>
      <c r="B34" s="2" t="s">
        <v>108</v>
      </c>
      <c r="C34" s="2" t="s">
        <v>61</v>
      </c>
      <c r="D34" s="2" t="s">
        <v>71</v>
      </c>
    </row>
    <row r="35" customHeight="1" spans="1:4">
      <c r="A35" s="2" t="s">
        <v>109</v>
      </c>
      <c r="B35" s="2" t="s">
        <v>108</v>
      </c>
      <c r="C35" s="2" t="s">
        <v>61</v>
      </c>
      <c r="D35" s="2" t="s">
        <v>71</v>
      </c>
    </row>
    <row r="36" customHeight="1" spans="1:4">
      <c r="A36" s="2" t="s">
        <v>110</v>
      </c>
      <c r="B36" s="2" t="s">
        <v>111</v>
      </c>
      <c r="C36" s="2" t="s">
        <v>61</v>
      </c>
      <c r="D36" s="2" t="s">
        <v>71</v>
      </c>
    </row>
    <row r="37" customHeight="1" spans="1:4">
      <c r="A37" s="2" t="s">
        <v>112</v>
      </c>
      <c r="B37" s="2" t="s">
        <v>113</v>
      </c>
      <c r="C37" s="2" t="s">
        <v>61</v>
      </c>
      <c r="D37" s="2" t="s">
        <v>71</v>
      </c>
    </row>
    <row r="38" customHeight="1" spans="1:4">
      <c r="A38" s="2" t="s">
        <v>114</v>
      </c>
      <c r="B38" s="2" t="s">
        <v>115</v>
      </c>
      <c r="C38" s="2" t="s">
        <v>61</v>
      </c>
      <c r="D38" s="2" t="s">
        <v>71</v>
      </c>
    </row>
    <row r="39" customHeight="1" spans="1:4">
      <c r="A39" s="2" t="s">
        <v>116</v>
      </c>
      <c r="B39" s="2" t="str">
        <f t="shared" ref="B39:B72" si="1">TEXT(MID(A39,1,5),"00000")</f>
        <v>17337</v>
      </c>
      <c r="C39" s="2" t="s">
        <v>61</v>
      </c>
      <c r="D39" s="2" t="s">
        <v>117</v>
      </c>
    </row>
    <row r="40" customHeight="1" spans="1:4">
      <c r="A40" s="2" t="s">
        <v>118</v>
      </c>
      <c r="B40" s="2" t="str">
        <f t="shared" si="1"/>
        <v>17337</v>
      </c>
      <c r="C40" s="2" t="s">
        <v>61</v>
      </c>
      <c r="D40" s="2" t="s">
        <v>117</v>
      </c>
    </row>
    <row r="41" customHeight="1" spans="1:4">
      <c r="A41" s="2" t="s">
        <v>119</v>
      </c>
      <c r="B41" s="2" t="str">
        <f t="shared" si="1"/>
        <v>17337</v>
      </c>
      <c r="C41" s="2" t="s">
        <v>61</v>
      </c>
      <c r="D41" s="2" t="s">
        <v>117</v>
      </c>
    </row>
    <row r="42" customHeight="1" spans="1:4">
      <c r="A42" s="2" t="s">
        <v>120</v>
      </c>
      <c r="B42" s="2" t="str">
        <f t="shared" si="1"/>
        <v>17337</v>
      </c>
      <c r="C42" s="2" t="s">
        <v>61</v>
      </c>
      <c r="D42" s="2" t="s">
        <v>117</v>
      </c>
    </row>
    <row r="43" customHeight="1" spans="1:4">
      <c r="A43" s="2" t="s">
        <v>121</v>
      </c>
      <c r="B43" s="2" t="str">
        <f t="shared" si="1"/>
        <v>17341</v>
      </c>
      <c r="C43" s="2" t="s">
        <v>69</v>
      </c>
    </row>
    <row r="44" customHeight="1" spans="1:4">
      <c r="A44" s="2" t="s">
        <v>122</v>
      </c>
      <c r="B44" s="2" t="str">
        <f t="shared" si="1"/>
        <v>17341</v>
      </c>
      <c r="C44" s="2" t="s">
        <v>69</v>
      </c>
    </row>
    <row r="45" customHeight="1" spans="1:4">
      <c r="A45" s="2" t="s">
        <v>123</v>
      </c>
      <c r="B45" s="2" t="str">
        <f t="shared" si="1"/>
        <v>17341</v>
      </c>
      <c r="C45" s="2" t="s">
        <v>69</v>
      </c>
    </row>
    <row r="46" customHeight="1" spans="1:4">
      <c r="A46" s="2" t="s">
        <v>124</v>
      </c>
      <c r="B46" s="2" t="str">
        <f t="shared" si="1"/>
        <v>17341</v>
      </c>
      <c r="C46" s="2" t="s">
        <v>69</v>
      </c>
    </row>
    <row r="47" customHeight="1" spans="1:4">
      <c r="A47" s="2" t="s">
        <v>125</v>
      </c>
      <c r="B47" s="2" t="str">
        <f t="shared" si="1"/>
        <v>17342</v>
      </c>
      <c r="C47" s="2" t="s">
        <v>81</v>
      </c>
      <c r="D47" s="4" t="s">
        <v>126</v>
      </c>
    </row>
    <row r="48" customHeight="1" spans="1:4">
      <c r="A48" s="2" t="s">
        <v>127</v>
      </c>
      <c r="B48" s="2" t="str">
        <f t="shared" si="1"/>
        <v>17342</v>
      </c>
      <c r="C48" s="2" t="s">
        <v>81</v>
      </c>
      <c r="D48" s="4" t="s">
        <v>126</v>
      </c>
    </row>
    <row r="49" customHeight="1" spans="1:4">
      <c r="A49" s="2" t="s">
        <v>128</v>
      </c>
      <c r="B49" s="2" t="str">
        <f t="shared" si="1"/>
        <v>17342</v>
      </c>
      <c r="C49" s="2" t="s">
        <v>81</v>
      </c>
      <c r="D49" s="4" t="s">
        <v>126</v>
      </c>
    </row>
    <row r="50" customHeight="1" spans="1:4">
      <c r="A50" s="2" t="s">
        <v>129</v>
      </c>
      <c r="B50" s="2" t="str">
        <f t="shared" si="1"/>
        <v>17343</v>
      </c>
      <c r="C50" s="2" t="s">
        <v>81</v>
      </c>
      <c r="D50" s="4" t="s">
        <v>130</v>
      </c>
    </row>
    <row r="51" customHeight="1" spans="1:4">
      <c r="A51" s="2" t="s">
        <v>131</v>
      </c>
      <c r="B51" s="2" t="str">
        <f t="shared" si="1"/>
        <v>17343</v>
      </c>
      <c r="C51" s="2" t="s">
        <v>81</v>
      </c>
      <c r="D51" s="4" t="s">
        <v>130</v>
      </c>
    </row>
    <row r="52" customHeight="1" spans="1:4">
      <c r="A52" s="2" t="s">
        <v>132</v>
      </c>
      <c r="B52" s="2" t="str">
        <f t="shared" si="1"/>
        <v>17344</v>
      </c>
      <c r="C52" s="2" t="s">
        <v>74</v>
      </c>
      <c r="D52" s="2" t="s">
        <v>75</v>
      </c>
    </row>
    <row r="53" customHeight="1" spans="1:4">
      <c r="A53" s="2" t="s">
        <v>73</v>
      </c>
      <c r="B53" s="2" t="str">
        <f t="shared" si="1"/>
        <v>17344</v>
      </c>
      <c r="C53" s="2" t="s">
        <v>74</v>
      </c>
      <c r="D53" s="2" t="s">
        <v>75</v>
      </c>
    </row>
    <row r="54" customHeight="1" spans="1:4">
      <c r="A54" s="2" t="s">
        <v>133</v>
      </c>
      <c r="B54" s="2" t="str">
        <f t="shared" si="1"/>
        <v>17345</v>
      </c>
      <c r="C54" s="2" t="s">
        <v>74</v>
      </c>
      <c r="D54" s="2" t="s">
        <v>77</v>
      </c>
    </row>
    <row r="55" customHeight="1" spans="1:4">
      <c r="A55" s="2" t="s">
        <v>134</v>
      </c>
      <c r="B55" s="2" t="str">
        <f t="shared" si="1"/>
        <v>17345</v>
      </c>
      <c r="C55" s="2" t="s">
        <v>74</v>
      </c>
      <c r="D55" s="2" t="s">
        <v>77</v>
      </c>
    </row>
    <row r="56" customHeight="1" spans="1:4">
      <c r="A56" s="2" t="s">
        <v>135</v>
      </c>
      <c r="B56" s="2" t="str">
        <f t="shared" si="1"/>
        <v>17345</v>
      </c>
      <c r="C56" s="2" t="s">
        <v>74</v>
      </c>
      <c r="D56" s="2" t="s">
        <v>77</v>
      </c>
    </row>
    <row r="57" customHeight="1" spans="1:4">
      <c r="A57" s="2" t="s">
        <v>136</v>
      </c>
      <c r="B57" s="2" t="str">
        <f t="shared" si="1"/>
        <v>17345</v>
      </c>
      <c r="C57" s="2" t="s">
        <v>74</v>
      </c>
      <c r="D57" s="2" t="s">
        <v>77</v>
      </c>
    </row>
    <row r="58" customHeight="1" spans="1:4">
      <c r="A58" s="2" t="s">
        <v>137</v>
      </c>
      <c r="B58" s="2" t="str">
        <f t="shared" si="1"/>
        <v>17389</v>
      </c>
      <c r="C58" s="2" t="s">
        <v>61</v>
      </c>
      <c r="D58" s="2" t="s">
        <v>138</v>
      </c>
    </row>
    <row r="59" customHeight="1" spans="1:4">
      <c r="A59" s="2" t="s">
        <v>139</v>
      </c>
      <c r="B59" s="2" t="str">
        <f t="shared" si="1"/>
        <v>17392</v>
      </c>
      <c r="C59" s="2" t="s">
        <v>69</v>
      </c>
    </row>
    <row r="60" customHeight="1" spans="1:4">
      <c r="A60" s="2" t="s">
        <v>140</v>
      </c>
      <c r="B60" s="2" t="str">
        <f t="shared" si="1"/>
        <v>17513</v>
      </c>
      <c r="C60" s="2" t="s">
        <v>69</v>
      </c>
    </row>
    <row r="61" customHeight="1" spans="1:4">
      <c r="A61" s="2" t="s">
        <v>141</v>
      </c>
      <c r="B61" s="2" t="str">
        <f t="shared" si="1"/>
        <v>17513</v>
      </c>
      <c r="C61" s="2" t="s">
        <v>69</v>
      </c>
    </row>
    <row r="62" customHeight="1" spans="1:4">
      <c r="A62" s="2" t="s">
        <v>142</v>
      </c>
      <c r="B62" s="2" t="str">
        <f t="shared" si="1"/>
        <v>17527</v>
      </c>
      <c r="C62" s="2" t="s">
        <v>81</v>
      </c>
      <c r="D62" s="2" t="s">
        <v>143</v>
      </c>
    </row>
    <row r="63" customHeight="1" spans="1:4">
      <c r="A63" s="2" t="s">
        <v>144</v>
      </c>
      <c r="B63" s="2" t="str">
        <f t="shared" si="1"/>
        <v>17528</v>
      </c>
      <c r="C63" s="2" t="s">
        <v>69</v>
      </c>
      <c r="D63" s="2" t="s">
        <v>145</v>
      </c>
    </row>
    <row r="64" customHeight="1" spans="1:4">
      <c r="A64" s="2" t="s">
        <v>146</v>
      </c>
      <c r="B64" s="2" t="str">
        <f t="shared" si="1"/>
        <v>17529</v>
      </c>
      <c r="C64" s="2" t="s">
        <v>81</v>
      </c>
      <c r="D64" s="2" t="s">
        <v>79</v>
      </c>
    </row>
    <row r="65" customHeight="1" spans="1:4">
      <c r="A65" s="2" t="s">
        <v>147</v>
      </c>
      <c r="B65" s="2" t="str">
        <f t="shared" si="1"/>
        <v>17529</v>
      </c>
      <c r="C65" s="2" t="s">
        <v>81</v>
      </c>
      <c r="D65" s="2" t="s">
        <v>79</v>
      </c>
    </row>
    <row r="66" customHeight="1" spans="1:4">
      <c r="A66" s="2" t="s">
        <v>148</v>
      </c>
      <c r="B66" s="2" t="str">
        <f t="shared" si="1"/>
        <v>17529</v>
      </c>
      <c r="C66" s="2" t="s">
        <v>81</v>
      </c>
      <c r="D66" s="2" t="s">
        <v>79</v>
      </c>
    </row>
    <row r="67" customHeight="1" spans="1:4">
      <c r="A67" s="2" t="s">
        <v>149</v>
      </c>
      <c r="B67" s="2" t="str">
        <f t="shared" si="1"/>
        <v>17529</v>
      </c>
      <c r="C67" s="2" t="s">
        <v>81</v>
      </c>
      <c r="D67" s="2" t="s">
        <v>79</v>
      </c>
    </row>
    <row r="68" customHeight="1" spans="1:4">
      <c r="A68" s="2" t="s">
        <v>78</v>
      </c>
      <c r="B68" s="2" t="str">
        <f t="shared" si="1"/>
        <v>17529</v>
      </c>
      <c r="C68" s="2" t="s">
        <v>81</v>
      </c>
      <c r="D68" s="2" t="s">
        <v>79</v>
      </c>
    </row>
    <row r="69" customHeight="1" spans="1:4">
      <c r="A69" s="2" t="s">
        <v>150</v>
      </c>
      <c r="B69" s="2" t="str">
        <f t="shared" si="1"/>
        <v>17552</v>
      </c>
      <c r="C69" s="2" t="s">
        <v>81</v>
      </c>
      <c r="D69" s="2" t="s">
        <v>82</v>
      </c>
    </row>
    <row r="70" customHeight="1" spans="1:4">
      <c r="A70" s="2" t="s">
        <v>83</v>
      </c>
      <c r="B70" s="2" t="str">
        <f t="shared" si="1"/>
        <v>17563</v>
      </c>
      <c r="C70" s="2" t="s">
        <v>74</v>
      </c>
      <c r="D70" s="2" t="s">
        <v>84</v>
      </c>
    </row>
    <row r="71" customHeight="1" spans="1:4">
      <c r="A71" s="2" t="s">
        <v>151</v>
      </c>
      <c r="B71" s="2" t="str">
        <f t="shared" si="1"/>
        <v>17588</v>
      </c>
      <c r="C71" s="2" t="s">
        <v>81</v>
      </c>
      <c r="D71" s="2" t="s">
        <v>86</v>
      </c>
    </row>
    <row r="72" customHeight="1" spans="1:4">
      <c r="A72" s="2" t="s">
        <v>87</v>
      </c>
      <c r="B72" s="2" t="str">
        <f t="shared" si="1"/>
        <v>17644</v>
      </c>
      <c r="C72" s="2" t="s">
        <v>81</v>
      </c>
      <c r="D72" s="2" t="s">
        <v>79</v>
      </c>
    </row>
    <row r="73" customHeight="1" spans="1:4">
      <c r="A73" s="2" t="s">
        <v>152</v>
      </c>
      <c r="B73" s="2" t="s">
        <v>153</v>
      </c>
      <c r="C73" s="2" t="s">
        <v>81</v>
      </c>
      <c r="D73" s="2" t="s">
        <v>154</v>
      </c>
    </row>
    <row r="74" customHeight="1" spans="1:4">
      <c r="A74" s="2" t="s">
        <v>155</v>
      </c>
      <c r="B74" s="2">
        <v>18947</v>
      </c>
      <c r="C74" s="2" t="s">
        <v>81</v>
      </c>
      <c r="D74" s="2" t="s">
        <v>156</v>
      </c>
    </row>
    <row r="75" customHeight="1" spans="1:4">
      <c r="A75" s="2" t="s">
        <v>157</v>
      </c>
      <c r="B75" s="2" t="str">
        <f t="shared" ref="B75:B138" si="2">TEXT(MID(A75,1,5),"00000")</f>
        <v>50040</v>
      </c>
      <c r="C75" s="2" t="s">
        <v>74</v>
      </c>
      <c r="D75" s="2" t="s">
        <v>158</v>
      </c>
    </row>
    <row r="76" customHeight="1" spans="1:4">
      <c r="A76" s="2" t="s">
        <v>159</v>
      </c>
      <c r="B76" s="2" t="str">
        <f t="shared" si="2"/>
        <v>50040</v>
      </c>
      <c r="C76" s="2" t="s">
        <v>74</v>
      </c>
      <c r="D76" s="2" t="s">
        <v>158</v>
      </c>
    </row>
    <row r="77" customHeight="1" spans="1:4">
      <c r="A77" s="2" t="s">
        <v>160</v>
      </c>
      <c r="B77" s="2" t="str">
        <f t="shared" si="2"/>
        <v>50040</v>
      </c>
      <c r="C77" s="2" t="s">
        <v>74</v>
      </c>
      <c r="D77" s="2" t="s">
        <v>158</v>
      </c>
    </row>
    <row r="78" customHeight="1" spans="1:4">
      <c r="A78" s="2" t="s">
        <v>161</v>
      </c>
      <c r="B78" s="2" t="str">
        <f t="shared" si="2"/>
        <v>50047</v>
      </c>
      <c r="C78" s="2" t="s">
        <v>74</v>
      </c>
    </row>
    <row r="79" customHeight="1" spans="1:4">
      <c r="A79" s="2" t="s">
        <v>162</v>
      </c>
      <c r="B79" s="2" t="str">
        <f t="shared" si="2"/>
        <v>50047</v>
      </c>
      <c r="C79" s="2" t="s">
        <v>61</v>
      </c>
    </row>
    <row r="80" customHeight="1" spans="1:4">
      <c r="A80" s="2" t="s">
        <v>163</v>
      </c>
      <c r="B80" s="2" t="str">
        <f t="shared" si="2"/>
        <v>50060</v>
      </c>
      <c r="C80" s="2" t="s">
        <v>61</v>
      </c>
    </row>
    <row r="81" customHeight="1" spans="1:4">
      <c r="A81" s="2" t="s">
        <v>164</v>
      </c>
      <c r="B81" s="2" t="str">
        <f t="shared" si="2"/>
        <v>50064</v>
      </c>
      <c r="C81" s="2" t="s">
        <v>61</v>
      </c>
    </row>
    <row r="82" customHeight="1" spans="1:4">
      <c r="A82" s="2" t="s">
        <v>165</v>
      </c>
      <c r="B82" s="2" t="str">
        <f t="shared" si="2"/>
        <v>50064</v>
      </c>
      <c r="C82" s="2" t="s">
        <v>61</v>
      </c>
    </row>
    <row r="83" customHeight="1" spans="1:4">
      <c r="A83" s="2" t="s">
        <v>166</v>
      </c>
      <c r="B83" s="2" t="str">
        <f t="shared" si="2"/>
        <v>50074</v>
      </c>
      <c r="C83" s="2" t="s">
        <v>74</v>
      </c>
      <c r="D83" s="2" t="s">
        <v>158</v>
      </c>
    </row>
    <row r="84" customHeight="1" spans="1:4">
      <c r="A84" s="2" t="s">
        <v>167</v>
      </c>
      <c r="B84" s="2" t="str">
        <f t="shared" si="2"/>
        <v>50074</v>
      </c>
      <c r="C84" s="2" t="s">
        <v>74</v>
      </c>
      <c r="D84" s="2" t="s">
        <v>158</v>
      </c>
    </row>
    <row r="85" customHeight="1" spans="1:4">
      <c r="A85" s="2" t="s">
        <v>168</v>
      </c>
      <c r="B85" s="2" t="str">
        <f t="shared" si="2"/>
        <v>50074</v>
      </c>
      <c r="C85" s="2" t="s">
        <v>74</v>
      </c>
      <c r="D85" s="2" t="s">
        <v>158</v>
      </c>
    </row>
    <row r="86" customHeight="1" spans="1:4">
      <c r="A86" s="2" t="s">
        <v>169</v>
      </c>
      <c r="B86" s="2" t="str">
        <f t="shared" si="2"/>
        <v>50110</v>
      </c>
      <c r="C86" s="2" t="s">
        <v>74</v>
      </c>
    </row>
    <row r="87" customHeight="1" spans="1:4">
      <c r="A87" s="2" t="s">
        <v>170</v>
      </c>
      <c r="B87" s="2" t="str">
        <f t="shared" si="2"/>
        <v>50111</v>
      </c>
      <c r="C87" s="2" t="s">
        <v>74</v>
      </c>
    </row>
    <row r="88" customHeight="1" spans="1:4">
      <c r="A88" s="2" t="s">
        <v>171</v>
      </c>
      <c r="B88" s="2" t="str">
        <f t="shared" si="2"/>
        <v>50111</v>
      </c>
      <c r="C88" s="2" t="s">
        <v>74</v>
      </c>
    </row>
    <row r="89" customHeight="1" spans="1:4">
      <c r="A89" s="2" t="s">
        <v>172</v>
      </c>
      <c r="B89" s="2" t="str">
        <f t="shared" si="2"/>
        <v>50112</v>
      </c>
      <c r="C89" s="2" t="s">
        <v>74</v>
      </c>
    </row>
    <row r="90" customHeight="1" spans="1:4">
      <c r="A90" s="2" t="s">
        <v>173</v>
      </c>
      <c r="B90" s="2" t="str">
        <f t="shared" si="2"/>
        <v>50112</v>
      </c>
      <c r="C90" s="2" t="s">
        <v>74</v>
      </c>
    </row>
    <row r="91" customHeight="1" spans="1:4">
      <c r="A91" s="2" t="s">
        <v>174</v>
      </c>
      <c r="B91" s="2" t="str">
        <f t="shared" si="2"/>
        <v>50113</v>
      </c>
      <c r="C91" s="2" t="s">
        <v>74</v>
      </c>
    </row>
    <row r="92" customHeight="1" spans="1:4">
      <c r="A92" s="2" t="s">
        <v>175</v>
      </c>
      <c r="B92" s="2" t="str">
        <f t="shared" si="2"/>
        <v>50113</v>
      </c>
      <c r="C92" s="2" t="s">
        <v>74</v>
      </c>
    </row>
    <row r="93" customHeight="1" spans="1:4">
      <c r="A93" s="2" t="s">
        <v>176</v>
      </c>
      <c r="B93" s="2" t="str">
        <f t="shared" si="2"/>
        <v>50116</v>
      </c>
      <c r="C93" s="2" t="s">
        <v>61</v>
      </c>
      <c r="D93" s="2" t="s">
        <v>158</v>
      </c>
    </row>
    <row r="94" customHeight="1" spans="1:4">
      <c r="A94" s="2" t="s">
        <v>177</v>
      </c>
      <c r="B94" s="2" t="str">
        <f t="shared" si="2"/>
        <v>50119</v>
      </c>
      <c r="C94" s="2" t="s">
        <v>61</v>
      </c>
    </row>
    <row r="95" customHeight="1" spans="1:4">
      <c r="A95" s="2" t="s">
        <v>178</v>
      </c>
      <c r="B95" s="2" t="str">
        <f t="shared" si="2"/>
        <v>50122</v>
      </c>
      <c r="C95" s="2" t="s">
        <v>61</v>
      </c>
    </row>
    <row r="96" customHeight="1" spans="1:4">
      <c r="A96" s="2" t="s">
        <v>179</v>
      </c>
      <c r="B96" s="2" t="str">
        <f t="shared" si="2"/>
        <v>50122</v>
      </c>
      <c r="C96" s="2" t="s">
        <v>61</v>
      </c>
    </row>
    <row r="97" customHeight="1" spans="1:4">
      <c r="A97" s="2" t="s">
        <v>180</v>
      </c>
      <c r="B97" s="2" t="str">
        <f t="shared" si="2"/>
        <v>50124</v>
      </c>
      <c r="C97" s="2" t="s">
        <v>74</v>
      </c>
    </row>
    <row r="98" customHeight="1" spans="1:4">
      <c r="A98" s="2" t="s">
        <v>181</v>
      </c>
      <c r="B98" s="2" t="str">
        <f t="shared" si="2"/>
        <v>50125</v>
      </c>
      <c r="C98" s="2" t="s">
        <v>74</v>
      </c>
      <c r="D98" s="2" t="s">
        <v>182</v>
      </c>
    </row>
    <row r="99" customHeight="1" spans="1:4">
      <c r="A99" s="2" t="s">
        <v>183</v>
      </c>
      <c r="B99" s="2" t="str">
        <f t="shared" si="2"/>
        <v>50125</v>
      </c>
      <c r="C99" s="2" t="s">
        <v>74</v>
      </c>
      <c r="D99" s="2" t="s">
        <v>182</v>
      </c>
    </row>
    <row r="100" customHeight="1" spans="1:4">
      <c r="A100" s="2" t="s">
        <v>184</v>
      </c>
      <c r="B100" s="2" t="str">
        <f t="shared" si="2"/>
        <v>50127</v>
      </c>
      <c r="C100" s="2" t="s">
        <v>74</v>
      </c>
      <c r="D100" s="2" t="s">
        <v>182</v>
      </c>
    </row>
    <row r="101" customHeight="1" spans="1:4">
      <c r="A101" s="2" t="s">
        <v>185</v>
      </c>
      <c r="B101" s="2" t="str">
        <f t="shared" si="2"/>
        <v>50127</v>
      </c>
      <c r="C101" s="2" t="s">
        <v>74</v>
      </c>
      <c r="D101" s="2" t="s">
        <v>182</v>
      </c>
    </row>
    <row r="102" customHeight="1" spans="1:4">
      <c r="A102" s="2" t="s">
        <v>186</v>
      </c>
      <c r="B102" s="2" t="str">
        <f t="shared" si="2"/>
        <v>50127</v>
      </c>
      <c r="C102" s="2" t="s">
        <v>74</v>
      </c>
      <c r="D102" s="2" t="s">
        <v>182</v>
      </c>
    </row>
    <row r="103" customHeight="1" spans="1:4">
      <c r="A103" s="2" t="s">
        <v>187</v>
      </c>
      <c r="B103" s="2" t="str">
        <f t="shared" si="2"/>
        <v>50128</v>
      </c>
      <c r="C103" s="2" t="s">
        <v>74</v>
      </c>
      <c r="D103" s="2" t="s">
        <v>182</v>
      </c>
    </row>
    <row r="104" customHeight="1" spans="1:4">
      <c r="A104" s="2" t="s">
        <v>188</v>
      </c>
      <c r="B104" s="2" t="str">
        <f t="shared" si="2"/>
        <v>50128</v>
      </c>
      <c r="C104" s="2" t="s">
        <v>74</v>
      </c>
      <c r="D104" s="2" t="s">
        <v>182</v>
      </c>
    </row>
    <row r="105" customHeight="1" spans="1:4">
      <c r="A105" s="2" t="s">
        <v>189</v>
      </c>
      <c r="B105" s="2" t="str">
        <f t="shared" si="2"/>
        <v>50128</v>
      </c>
      <c r="C105" s="2" t="s">
        <v>74</v>
      </c>
      <c r="D105" s="2" t="s">
        <v>182</v>
      </c>
    </row>
    <row r="106" customHeight="1" spans="1:4">
      <c r="A106" s="2" t="s">
        <v>190</v>
      </c>
      <c r="B106" s="2" t="str">
        <f t="shared" si="2"/>
        <v>50157</v>
      </c>
      <c r="C106" s="2" t="s">
        <v>61</v>
      </c>
    </row>
    <row r="107" customHeight="1" spans="1:4">
      <c r="A107" s="2" t="s">
        <v>191</v>
      </c>
      <c r="B107" s="2" t="str">
        <f t="shared" si="2"/>
        <v>50157</v>
      </c>
      <c r="C107" s="2" t="s">
        <v>61</v>
      </c>
    </row>
    <row r="108" customHeight="1" spans="1:4">
      <c r="A108" s="2" t="s">
        <v>192</v>
      </c>
      <c r="B108" s="2" t="str">
        <f t="shared" si="2"/>
        <v>50171</v>
      </c>
      <c r="C108" s="2" t="s">
        <v>74</v>
      </c>
      <c r="D108" s="2" t="s">
        <v>193</v>
      </c>
    </row>
    <row r="109" customHeight="1" spans="1:4">
      <c r="A109" s="2" t="s">
        <v>194</v>
      </c>
      <c r="B109" s="2" t="str">
        <f t="shared" si="2"/>
        <v>50171</v>
      </c>
      <c r="C109" s="2" t="s">
        <v>74</v>
      </c>
      <c r="D109" s="2" t="s">
        <v>193</v>
      </c>
    </row>
    <row r="110" customHeight="1" spans="1:4">
      <c r="A110" s="2" t="s">
        <v>195</v>
      </c>
      <c r="B110" s="2" t="str">
        <f t="shared" si="2"/>
        <v>50186</v>
      </c>
      <c r="C110" s="2" t="s">
        <v>74</v>
      </c>
      <c r="D110" s="2" t="s">
        <v>196</v>
      </c>
    </row>
    <row r="111" customHeight="1" spans="1:4">
      <c r="A111" s="2" t="s">
        <v>197</v>
      </c>
      <c r="B111" s="2" t="str">
        <f t="shared" si="2"/>
        <v>50186</v>
      </c>
      <c r="C111" s="2" t="s">
        <v>74</v>
      </c>
      <c r="D111" s="2" t="s">
        <v>196</v>
      </c>
    </row>
    <row r="112" customHeight="1" spans="1:4">
      <c r="A112" s="2" t="s">
        <v>198</v>
      </c>
      <c r="B112" s="2" t="str">
        <f t="shared" si="2"/>
        <v>50186</v>
      </c>
      <c r="C112" s="2" t="s">
        <v>74</v>
      </c>
      <c r="D112" s="2" t="s">
        <v>196</v>
      </c>
    </row>
    <row r="113" customHeight="1" spans="1:4">
      <c r="A113" s="2" t="s">
        <v>199</v>
      </c>
      <c r="B113" s="2" t="str">
        <f t="shared" si="2"/>
        <v>50187</v>
      </c>
      <c r="C113" s="2" t="s">
        <v>74</v>
      </c>
    </row>
    <row r="114" customHeight="1" spans="1:4">
      <c r="A114" s="2" t="s">
        <v>200</v>
      </c>
      <c r="B114" s="2" t="str">
        <f t="shared" si="2"/>
        <v>50187</v>
      </c>
      <c r="C114" s="2" t="s">
        <v>74</v>
      </c>
    </row>
    <row r="115" customHeight="1" spans="1:4">
      <c r="A115" s="2" t="s">
        <v>201</v>
      </c>
      <c r="B115" s="2" t="str">
        <f t="shared" si="2"/>
        <v>50187</v>
      </c>
      <c r="C115" s="2" t="s">
        <v>74</v>
      </c>
    </row>
    <row r="116" customHeight="1" spans="1:4">
      <c r="A116" s="2" t="s">
        <v>202</v>
      </c>
      <c r="B116" s="2" t="str">
        <f t="shared" si="2"/>
        <v>50188</v>
      </c>
      <c r="C116" s="2" t="s">
        <v>74</v>
      </c>
      <c r="D116" s="2" t="s">
        <v>203</v>
      </c>
    </row>
    <row r="117" customHeight="1" spans="1:4">
      <c r="A117" s="2" t="s">
        <v>204</v>
      </c>
      <c r="B117" s="2" t="str">
        <f t="shared" si="2"/>
        <v>50188</v>
      </c>
      <c r="C117" s="2" t="s">
        <v>74</v>
      </c>
      <c r="D117" s="2" t="s">
        <v>203</v>
      </c>
    </row>
    <row r="118" customHeight="1" spans="1:4">
      <c r="A118" s="2" t="s">
        <v>205</v>
      </c>
      <c r="B118" s="2" t="str">
        <f t="shared" si="2"/>
        <v>50188</v>
      </c>
      <c r="C118" s="2" t="s">
        <v>74</v>
      </c>
      <c r="D118" s="2" t="s">
        <v>203</v>
      </c>
    </row>
    <row r="119" customHeight="1" spans="1:4">
      <c r="A119" s="2" t="s">
        <v>206</v>
      </c>
      <c r="B119" s="2" t="str">
        <f t="shared" si="2"/>
        <v>50189</v>
      </c>
      <c r="C119" s="2" t="s">
        <v>61</v>
      </c>
      <c r="D119" s="2" t="s">
        <v>158</v>
      </c>
    </row>
    <row r="120" customHeight="1" spans="1:4">
      <c r="A120" s="2" t="s">
        <v>207</v>
      </c>
      <c r="B120" s="2" t="str">
        <f t="shared" si="2"/>
        <v>50189</v>
      </c>
      <c r="C120" s="2" t="s">
        <v>61</v>
      </c>
      <c r="D120" s="2" t="s">
        <v>158</v>
      </c>
    </row>
    <row r="121" customHeight="1" spans="1:4">
      <c r="A121" s="2" t="s">
        <v>208</v>
      </c>
      <c r="B121" s="2" t="str">
        <f t="shared" si="2"/>
        <v>50189</v>
      </c>
      <c r="C121" s="2" t="s">
        <v>61</v>
      </c>
      <c r="D121" s="2" t="s">
        <v>158</v>
      </c>
    </row>
    <row r="122" customHeight="1" spans="1:4">
      <c r="A122" s="2" t="s">
        <v>209</v>
      </c>
      <c r="B122" s="2" t="str">
        <f t="shared" si="2"/>
        <v>50190</v>
      </c>
      <c r="C122" s="2" t="s">
        <v>61</v>
      </c>
    </row>
    <row r="123" customHeight="1" spans="1:4">
      <c r="A123" s="2" t="s">
        <v>210</v>
      </c>
      <c r="B123" s="2" t="str">
        <f t="shared" si="2"/>
        <v>50190</v>
      </c>
      <c r="C123" s="2" t="s">
        <v>61</v>
      </c>
    </row>
    <row r="124" customHeight="1" spans="1:4">
      <c r="A124" s="2" t="s">
        <v>211</v>
      </c>
      <c r="B124" s="2" t="str">
        <f t="shared" si="2"/>
        <v>50190</v>
      </c>
      <c r="C124" s="2" t="s">
        <v>61</v>
      </c>
    </row>
    <row r="125" customHeight="1" spans="1:4">
      <c r="A125" s="2" t="s">
        <v>212</v>
      </c>
      <c r="B125" s="2" t="str">
        <f t="shared" si="2"/>
        <v>50191</v>
      </c>
      <c r="C125" s="2" t="s">
        <v>61</v>
      </c>
    </row>
    <row r="126" customHeight="1" spans="1:4">
      <c r="A126" s="2" t="s">
        <v>213</v>
      </c>
      <c r="B126" s="2" t="str">
        <f t="shared" si="2"/>
        <v>50191</v>
      </c>
      <c r="C126" s="2" t="s">
        <v>61</v>
      </c>
    </row>
    <row r="127" customHeight="1" spans="1:4">
      <c r="A127" s="2" t="s">
        <v>214</v>
      </c>
      <c r="B127" s="2" t="str">
        <f t="shared" si="2"/>
        <v>50191</v>
      </c>
      <c r="C127" s="2" t="s">
        <v>61</v>
      </c>
    </row>
    <row r="128" customHeight="1" spans="1:4">
      <c r="A128" s="2" t="s">
        <v>215</v>
      </c>
      <c r="B128" s="2" t="str">
        <f t="shared" si="2"/>
        <v>50212</v>
      </c>
      <c r="C128" s="2" t="s">
        <v>74</v>
      </c>
    </row>
    <row r="129" customHeight="1" spans="1:4">
      <c r="A129" s="2" t="s">
        <v>216</v>
      </c>
      <c r="B129" s="2" t="str">
        <f t="shared" si="2"/>
        <v>50221</v>
      </c>
      <c r="C129" s="2" t="s">
        <v>74</v>
      </c>
    </row>
    <row r="130" customHeight="1" spans="1:4">
      <c r="A130" s="2" t="s">
        <v>217</v>
      </c>
      <c r="B130" s="2" t="str">
        <f t="shared" si="2"/>
        <v>50224</v>
      </c>
      <c r="C130" s="2" t="s">
        <v>61</v>
      </c>
    </row>
    <row r="131" customHeight="1" spans="1:4">
      <c r="A131" s="2" t="s">
        <v>218</v>
      </c>
      <c r="B131" s="2" t="str">
        <f t="shared" si="2"/>
        <v>50238</v>
      </c>
      <c r="C131" s="2" t="s">
        <v>74</v>
      </c>
      <c r="D131" s="2" t="s">
        <v>196</v>
      </c>
    </row>
    <row r="132" customHeight="1" spans="1:4">
      <c r="A132" s="2" t="s">
        <v>219</v>
      </c>
      <c r="B132" s="2" t="str">
        <f t="shared" si="2"/>
        <v>50238</v>
      </c>
      <c r="C132" s="2" t="s">
        <v>74</v>
      </c>
      <c r="D132" s="2" t="s">
        <v>196</v>
      </c>
    </row>
    <row r="133" customHeight="1" spans="1:4">
      <c r="A133" s="2" t="s">
        <v>220</v>
      </c>
      <c r="B133" s="2" t="str">
        <f t="shared" si="2"/>
        <v>50239</v>
      </c>
      <c r="C133" s="2" t="s">
        <v>74</v>
      </c>
      <c r="D133" s="2" t="s">
        <v>196</v>
      </c>
    </row>
    <row r="134" customHeight="1" spans="1:4">
      <c r="A134" s="2" t="s">
        <v>221</v>
      </c>
      <c r="B134" s="2" t="str">
        <f t="shared" si="2"/>
        <v>50239</v>
      </c>
      <c r="C134" s="2" t="s">
        <v>74</v>
      </c>
      <c r="D134" s="2" t="s">
        <v>196</v>
      </c>
    </row>
    <row r="135" customHeight="1" spans="1:4">
      <c r="A135" s="2" t="s">
        <v>222</v>
      </c>
      <c r="B135" s="2" t="str">
        <f t="shared" si="2"/>
        <v>50239</v>
      </c>
      <c r="C135" s="2" t="s">
        <v>74</v>
      </c>
      <c r="D135" s="2" t="s">
        <v>196</v>
      </c>
    </row>
    <row r="136" customHeight="1" spans="1:4">
      <c r="A136" s="2" t="s">
        <v>223</v>
      </c>
      <c r="B136" s="2" t="str">
        <f t="shared" si="2"/>
        <v>50239</v>
      </c>
      <c r="C136" s="2" t="s">
        <v>74</v>
      </c>
      <c r="D136" s="2" t="s">
        <v>196</v>
      </c>
    </row>
    <row r="137" customHeight="1" spans="1:4">
      <c r="A137" s="2" t="s">
        <v>224</v>
      </c>
      <c r="B137" s="2" t="str">
        <f t="shared" si="2"/>
        <v>50240</v>
      </c>
      <c r="C137" s="2" t="s">
        <v>74</v>
      </c>
      <c r="D137" s="2" t="s">
        <v>196</v>
      </c>
    </row>
    <row r="138" customHeight="1" spans="1:4">
      <c r="A138" s="2" t="s">
        <v>225</v>
      </c>
      <c r="B138" s="2" t="str">
        <f t="shared" si="2"/>
        <v>50240</v>
      </c>
      <c r="C138" s="2" t="s">
        <v>74</v>
      </c>
      <c r="D138" s="2" t="s">
        <v>196</v>
      </c>
    </row>
    <row r="139" customHeight="1" spans="1:4">
      <c r="A139" s="2" t="s">
        <v>226</v>
      </c>
      <c r="B139" s="2" t="str">
        <f t="shared" ref="B139:B199" si="3">TEXT(MID(A139,1,5),"00000")</f>
        <v>50240</v>
      </c>
      <c r="C139" s="2" t="s">
        <v>74</v>
      </c>
      <c r="D139" s="2" t="s">
        <v>196</v>
      </c>
    </row>
    <row r="140" customHeight="1" spans="1:4">
      <c r="A140" s="2" t="s">
        <v>227</v>
      </c>
      <c r="B140" s="2" t="str">
        <f t="shared" si="3"/>
        <v>50240</v>
      </c>
      <c r="C140" s="2" t="s">
        <v>74</v>
      </c>
      <c r="D140" s="2" t="s">
        <v>196</v>
      </c>
    </row>
    <row r="141" customHeight="1" spans="1:4">
      <c r="A141" s="2" t="s">
        <v>228</v>
      </c>
      <c r="B141" s="2" t="str">
        <f t="shared" si="3"/>
        <v>50241</v>
      </c>
      <c r="C141" s="2" t="s">
        <v>74</v>
      </c>
      <c r="D141" s="2" t="s">
        <v>196</v>
      </c>
    </row>
    <row r="142" customHeight="1" spans="1:4">
      <c r="A142" s="2" t="s">
        <v>229</v>
      </c>
      <c r="B142" s="2" t="str">
        <f t="shared" si="3"/>
        <v>50241</v>
      </c>
      <c r="C142" s="2" t="s">
        <v>74</v>
      </c>
      <c r="D142" s="2" t="s">
        <v>196</v>
      </c>
    </row>
    <row r="143" customHeight="1" spans="1:4">
      <c r="A143" s="2" t="s">
        <v>230</v>
      </c>
      <c r="B143" s="2" t="str">
        <f t="shared" si="3"/>
        <v>50241</v>
      </c>
      <c r="C143" s="2" t="s">
        <v>74</v>
      </c>
      <c r="D143" s="2" t="s">
        <v>196</v>
      </c>
    </row>
    <row r="144" customHeight="1" spans="1:4">
      <c r="A144" s="2" t="s">
        <v>231</v>
      </c>
      <c r="B144" s="2" t="str">
        <f t="shared" si="3"/>
        <v>50241</v>
      </c>
      <c r="C144" s="2" t="s">
        <v>74</v>
      </c>
      <c r="D144" s="2" t="s">
        <v>196</v>
      </c>
    </row>
    <row r="145" customHeight="1" spans="1:4">
      <c r="A145" s="2" t="s">
        <v>232</v>
      </c>
      <c r="B145" s="2" t="str">
        <f t="shared" si="3"/>
        <v>50242</v>
      </c>
      <c r="C145" s="2" t="s">
        <v>61</v>
      </c>
      <c r="D145" s="2" t="s">
        <v>158</v>
      </c>
    </row>
    <row r="146" customHeight="1" spans="1:4">
      <c r="A146" s="2" t="s">
        <v>233</v>
      </c>
      <c r="B146" s="2" t="str">
        <f t="shared" si="3"/>
        <v>50242</v>
      </c>
      <c r="C146" s="2" t="s">
        <v>61</v>
      </c>
      <c r="D146" s="2" t="s">
        <v>158</v>
      </c>
    </row>
    <row r="147" customHeight="1" spans="1:4">
      <c r="A147" s="2" t="s">
        <v>234</v>
      </c>
      <c r="B147" s="2" t="str">
        <f t="shared" si="3"/>
        <v>50242</v>
      </c>
      <c r="C147" s="2" t="s">
        <v>61</v>
      </c>
      <c r="D147" s="2" t="s">
        <v>158</v>
      </c>
    </row>
    <row r="148" customHeight="1" spans="1:4">
      <c r="A148" s="2" t="s">
        <v>235</v>
      </c>
      <c r="B148" s="2" t="str">
        <f t="shared" si="3"/>
        <v>50243</v>
      </c>
      <c r="C148" s="2" t="s">
        <v>61</v>
      </c>
      <c r="D148" s="2" t="s">
        <v>158</v>
      </c>
    </row>
    <row r="149" customHeight="1" spans="1:4">
      <c r="A149" s="2" t="s">
        <v>236</v>
      </c>
      <c r="B149" s="2" t="str">
        <f t="shared" si="3"/>
        <v>50243</v>
      </c>
      <c r="C149" s="2" t="s">
        <v>61</v>
      </c>
      <c r="D149" s="2" t="s">
        <v>158</v>
      </c>
    </row>
    <row r="150" customHeight="1" spans="1:4">
      <c r="A150" s="2" t="s">
        <v>237</v>
      </c>
      <c r="B150" s="2" t="str">
        <f t="shared" si="3"/>
        <v>50243</v>
      </c>
      <c r="C150" s="2" t="s">
        <v>61</v>
      </c>
      <c r="D150" s="2" t="s">
        <v>158</v>
      </c>
    </row>
    <row r="151" customHeight="1" spans="1:4">
      <c r="A151" s="2" t="s">
        <v>238</v>
      </c>
      <c r="B151" s="2" t="str">
        <f t="shared" si="3"/>
        <v>50243</v>
      </c>
      <c r="C151" s="2" t="s">
        <v>61</v>
      </c>
      <c r="D151" s="2" t="s">
        <v>158</v>
      </c>
    </row>
    <row r="152" customHeight="1" spans="1:4">
      <c r="A152" s="2" t="s">
        <v>239</v>
      </c>
      <c r="B152" s="2" t="str">
        <f t="shared" si="3"/>
        <v>50244</v>
      </c>
      <c r="C152" s="2" t="s">
        <v>61</v>
      </c>
      <c r="D152" s="2" t="s">
        <v>158</v>
      </c>
    </row>
    <row r="153" customHeight="1" spans="1:4">
      <c r="A153" s="2" t="s">
        <v>240</v>
      </c>
      <c r="B153" s="2" t="str">
        <f t="shared" si="3"/>
        <v>50244</v>
      </c>
      <c r="C153" s="2" t="s">
        <v>61</v>
      </c>
      <c r="D153" s="2" t="s">
        <v>158</v>
      </c>
    </row>
    <row r="154" customHeight="1" spans="1:4">
      <c r="A154" s="2" t="s">
        <v>241</v>
      </c>
      <c r="B154" s="2" t="str">
        <f t="shared" si="3"/>
        <v>50244</v>
      </c>
      <c r="C154" s="2" t="s">
        <v>61</v>
      </c>
      <c r="D154" s="2" t="s">
        <v>158</v>
      </c>
    </row>
    <row r="155" customHeight="1" spans="1:4">
      <c r="A155" s="2" t="s">
        <v>242</v>
      </c>
      <c r="B155" s="2" t="str">
        <f t="shared" si="3"/>
        <v>50244</v>
      </c>
      <c r="C155" s="2" t="s">
        <v>61</v>
      </c>
      <c r="D155" s="2" t="s">
        <v>158</v>
      </c>
    </row>
    <row r="156" customHeight="1" spans="1:4">
      <c r="A156" s="2" t="s">
        <v>243</v>
      </c>
      <c r="B156" s="2" t="str">
        <f t="shared" si="3"/>
        <v>50245</v>
      </c>
      <c r="C156" s="2" t="s">
        <v>61</v>
      </c>
      <c r="D156" s="2" t="s">
        <v>158</v>
      </c>
    </row>
    <row r="157" customHeight="1" spans="1:4">
      <c r="A157" s="2" t="s">
        <v>244</v>
      </c>
      <c r="B157" s="2" t="str">
        <f t="shared" si="3"/>
        <v>50245</v>
      </c>
      <c r="C157" s="2" t="s">
        <v>61</v>
      </c>
      <c r="D157" s="2" t="s">
        <v>158</v>
      </c>
    </row>
    <row r="158" customHeight="1" spans="1:4">
      <c r="A158" s="2" t="s">
        <v>245</v>
      </c>
      <c r="B158" s="2" t="str">
        <f t="shared" si="3"/>
        <v>50245</v>
      </c>
      <c r="C158" s="2" t="s">
        <v>61</v>
      </c>
      <c r="D158" s="2" t="s">
        <v>158</v>
      </c>
    </row>
    <row r="159" customHeight="1" spans="1:4">
      <c r="A159" s="2" t="s">
        <v>246</v>
      </c>
      <c r="B159" s="2" t="str">
        <f t="shared" si="3"/>
        <v>50245</v>
      </c>
      <c r="C159" s="2" t="s">
        <v>61</v>
      </c>
      <c r="D159" s="2" t="s">
        <v>158</v>
      </c>
    </row>
    <row r="160" customHeight="1" spans="1:4">
      <c r="A160" s="2" t="s">
        <v>247</v>
      </c>
      <c r="B160" s="2" t="str">
        <f t="shared" si="3"/>
        <v>50246</v>
      </c>
      <c r="C160" s="2" t="s">
        <v>61</v>
      </c>
      <c r="D160" s="2" t="s">
        <v>158</v>
      </c>
    </row>
    <row r="161" customHeight="1" spans="1:4">
      <c r="A161" s="2" t="s">
        <v>248</v>
      </c>
      <c r="B161" s="2" t="str">
        <f t="shared" si="3"/>
        <v>50246</v>
      </c>
      <c r="C161" s="2" t="s">
        <v>61</v>
      </c>
      <c r="D161" s="2" t="s">
        <v>158</v>
      </c>
    </row>
    <row r="162" customHeight="1" spans="1:4">
      <c r="A162" s="2" t="s">
        <v>249</v>
      </c>
      <c r="B162" s="2" t="str">
        <f t="shared" si="3"/>
        <v>50246</v>
      </c>
      <c r="C162" s="2" t="s">
        <v>61</v>
      </c>
      <c r="D162" s="2" t="s">
        <v>158</v>
      </c>
    </row>
    <row r="163" customHeight="1" spans="1:4">
      <c r="A163" s="2" t="s">
        <v>250</v>
      </c>
      <c r="B163" s="2" t="str">
        <f t="shared" si="3"/>
        <v>50246</v>
      </c>
      <c r="C163" s="2" t="s">
        <v>61</v>
      </c>
      <c r="D163" s="2" t="s">
        <v>158</v>
      </c>
    </row>
    <row r="164" customHeight="1" spans="1:4">
      <c r="A164" s="2" t="s">
        <v>251</v>
      </c>
      <c r="B164" s="2" t="str">
        <f t="shared" si="3"/>
        <v>50247</v>
      </c>
      <c r="C164" s="2" t="s">
        <v>69</v>
      </c>
      <c r="D164" s="2" t="s">
        <v>252</v>
      </c>
    </row>
    <row r="165" customHeight="1" spans="1:4">
      <c r="A165" s="2" t="s">
        <v>253</v>
      </c>
      <c r="B165" s="2" t="str">
        <f t="shared" si="3"/>
        <v>50247</v>
      </c>
      <c r="C165" s="2" t="s">
        <v>69</v>
      </c>
      <c r="D165" s="2" t="s">
        <v>252</v>
      </c>
    </row>
    <row r="166" customHeight="1" spans="1:4">
      <c r="A166" s="2" t="s">
        <v>254</v>
      </c>
      <c r="B166" s="2" t="str">
        <f t="shared" si="3"/>
        <v>50247</v>
      </c>
      <c r="C166" s="2" t="s">
        <v>69</v>
      </c>
      <c r="D166" s="2" t="s">
        <v>252</v>
      </c>
    </row>
    <row r="167" customHeight="1" spans="1:4">
      <c r="A167" s="2" t="s">
        <v>255</v>
      </c>
      <c r="B167" s="2" t="str">
        <f t="shared" si="3"/>
        <v>50247</v>
      </c>
      <c r="C167" s="2" t="s">
        <v>69</v>
      </c>
      <c r="D167" s="2" t="s">
        <v>252</v>
      </c>
    </row>
    <row r="168" customHeight="1" spans="1:4">
      <c r="A168" s="2" t="s">
        <v>256</v>
      </c>
      <c r="B168" s="2" t="str">
        <f t="shared" si="3"/>
        <v>50247</v>
      </c>
      <c r="C168" s="2" t="s">
        <v>69</v>
      </c>
      <c r="D168" s="2" t="s">
        <v>252</v>
      </c>
    </row>
    <row r="169" customHeight="1" spans="1:4">
      <c r="A169" s="2" t="s">
        <v>257</v>
      </c>
      <c r="B169" s="2" t="str">
        <f t="shared" si="3"/>
        <v>50253</v>
      </c>
      <c r="C169" s="2" t="s">
        <v>61</v>
      </c>
    </row>
    <row r="170" customHeight="1" spans="1:4">
      <c r="A170" s="2" t="s">
        <v>258</v>
      </c>
      <c r="B170" s="2" t="str">
        <f t="shared" si="3"/>
        <v>50253</v>
      </c>
      <c r="C170" s="2" t="s">
        <v>61</v>
      </c>
    </row>
    <row r="171" customHeight="1" spans="1:4">
      <c r="A171" s="2" t="s">
        <v>259</v>
      </c>
      <c r="B171" s="2" t="str">
        <f t="shared" si="3"/>
        <v>50256</v>
      </c>
      <c r="C171" s="2" t="s">
        <v>61</v>
      </c>
      <c r="D171" s="2" t="s">
        <v>158</v>
      </c>
    </row>
    <row r="172" customHeight="1" spans="1:4">
      <c r="A172" s="2" t="s">
        <v>260</v>
      </c>
      <c r="B172" s="2" t="str">
        <f t="shared" si="3"/>
        <v>50256</v>
      </c>
      <c r="C172" s="2" t="s">
        <v>61</v>
      </c>
      <c r="D172" s="2" t="s">
        <v>158</v>
      </c>
    </row>
    <row r="173" customHeight="1" spans="1:4">
      <c r="A173" s="2" t="s">
        <v>260</v>
      </c>
      <c r="B173" s="2" t="str">
        <f t="shared" si="3"/>
        <v>50256</v>
      </c>
      <c r="C173" s="2" t="s">
        <v>61</v>
      </c>
      <c r="D173" s="2" t="s">
        <v>158</v>
      </c>
    </row>
    <row r="174" customHeight="1" spans="1:4">
      <c r="A174" s="2" t="s">
        <v>261</v>
      </c>
      <c r="B174" s="2" t="str">
        <f t="shared" si="3"/>
        <v>50263</v>
      </c>
      <c r="C174" s="2" t="s">
        <v>61</v>
      </c>
      <c r="D174" s="2" t="s">
        <v>158</v>
      </c>
    </row>
    <row r="175" customHeight="1" spans="1:4">
      <c r="A175" s="2" t="s">
        <v>262</v>
      </c>
      <c r="B175" s="2" t="str">
        <f t="shared" si="3"/>
        <v>50263</v>
      </c>
      <c r="C175" s="2" t="s">
        <v>61</v>
      </c>
      <c r="D175" s="2" t="s">
        <v>158</v>
      </c>
    </row>
    <row r="176" customHeight="1" spans="1:4">
      <c r="A176" s="2" t="s">
        <v>263</v>
      </c>
      <c r="B176" s="2" t="str">
        <f t="shared" si="3"/>
        <v>50267</v>
      </c>
      <c r="C176" s="2" t="s">
        <v>74</v>
      </c>
    </row>
    <row r="177" customHeight="1" spans="1:4">
      <c r="A177" s="2" t="s">
        <v>264</v>
      </c>
      <c r="B177" s="2" t="str">
        <f t="shared" si="3"/>
        <v>50268</v>
      </c>
      <c r="C177" s="2" t="s">
        <v>74</v>
      </c>
      <c r="D177" s="2" t="s">
        <v>158</v>
      </c>
    </row>
    <row r="178" customHeight="1" spans="1:4">
      <c r="A178" s="2" t="s">
        <v>265</v>
      </c>
      <c r="B178" s="2" t="str">
        <f t="shared" si="3"/>
        <v>50268</v>
      </c>
      <c r="C178" s="2" t="s">
        <v>74</v>
      </c>
    </row>
    <row r="179" customHeight="1" spans="1:4">
      <c r="A179" s="2" t="s">
        <v>266</v>
      </c>
      <c r="B179" s="2" t="str">
        <f t="shared" si="3"/>
        <v>50269</v>
      </c>
      <c r="C179" s="2" t="s">
        <v>74</v>
      </c>
    </row>
    <row r="180" customHeight="1" spans="1:4">
      <c r="A180" s="2" t="s">
        <v>267</v>
      </c>
      <c r="B180" s="2" t="str">
        <f t="shared" si="3"/>
        <v>50269</v>
      </c>
      <c r="C180" s="2" t="s">
        <v>74</v>
      </c>
    </row>
    <row r="181" customHeight="1" spans="1:4">
      <c r="A181" s="2" t="s">
        <v>268</v>
      </c>
      <c r="B181" s="2" t="str">
        <f t="shared" si="3"/>
        <v>50270</v>
      </c>
      <c r="C181" s="2" t="s">
        <v>74</v>
      </c>
    </row>
    <row r="182" customHeight="1" spans="1:4">
      <c r="A182" s="2" t="s">
        <v>269</v>
      </c>
      <c r="B182" s="2" t="str">
        <f t="shared" si="3"/>
        <v>50270</v>
      </c>
      <c r="C182" s="2" t="s">
        <v>74</v>
      </c>
    </row>
    <row r="183" customHeight="1" spans="1:4">
      <c r="A183" s="2" t="s">
        <v>270</v>
      </c>
      <c r="B183" s="2" t="str">
        <f t="shared" si="3"/>
        <v>50271</v>
      </c>
      <c r="C183" s="2" t="s">
        <v>74</v>
      </c>
      <c r="D183" s="2" t="s">
        <v>196</v>
      </c>
    </row>
    <row r="184" customHeight="1" spans="1:4">
      <c r="A184" s="2" t="s">
        <v>271</v>
      </c>
      <c r="B184" s="2" t="str">
        <f t="shared" si="3"/>
        <v>50272</v>
      </c>
      <c r="C184" s="2" t="s">
        <v>74</v>
      </c>
      <c r="D184" s="2" t="s">
        <v>196</v>
      </c>
    </row>
    <row r="185" customHeight="1" spans="1:4">
      <c r="A185" s="2" t="s">
        <v>272</v>
      </c>
      <c r="B185" s="2" t="str">
        <f t="shared" si="3"/>
        <v>50272</v>
      </c>
      <c r="C185" s="2" t="s">
        <v>74</v>
      </c>
      <c r="D185" s="2" t="s">
        <v>196</v>
      </c>
    </row>
    <row r="186" customHeight="1" spans="1:4">
      <c r="A186" s="2" t="s">
        <v>273</v>
      </c>
      <c r="B186" s="2" t="str">
        <f t="shared" si="3"/>
        <v>50273</v>
      </c>
      <c r="C186" s="2" t="s">
        <v>61</v>
      </c>
      <c r="D186" s="2" t="s">
        <v>158</v>
      </c>
    </row>
    <row r="187" customHeight="1" spans="1:4">
      <c r="A187" s="2" t="s">
        <v>274</v>
      </c>
      <c r="B187" s="2" t="str">
        <f t="shared" si="3"/>
        <v>50274</v>
      </c>
      <c r="C187" s="2" t="s">
        <v>61</v>
      </c>
      <c r="D187" s="2" t="s">
        <v>158</v>
      </c>
    </row>
    <row r="188" customHeight="1" spans="1:4">
      <c r="A188" s="2" t="s">
        <v>275</v>
      </c>
      <c r="B188" s="2" t="str">
        <f t="shared" si="3"/>
        <v>50274</v>
      </c>
      <c r="C188" s="2" t="s">
        <v>61</v>
      </c>
      <c r="D188" s="2" t="s">
        <v>158</v>
      </c>
    </row>
    <row r="189" customHeight="1" spans="1:4">
      <c r="A189" s="2" t="s">
        <v>276</v>
      </c>
      <c r="B189" s="2" t="str">
        <f t="shared" si="3"/>
        <v>50275</v>
      </c>
      <c r="C189" s="2" t="s">
        <v>74</v>
      </c>
      <c r="D189" s="2" t="s">
        <v>196</v>
      </c>
    </row>
    <row r="190" customHeight="1" spans="1:4">
      <c r="A190" s="2" t="s">
        <v>277</v>
      </c>
      <c r="B190" s="2" t="str">
        <f t="shared" si="3"/>
        <v>50275</v>
      </c>
      <c r="C190" s="2" t="s">
        <v>74</v>
      </c>
      <c r="D190" s="2" t="s">
        <v>196</v>
      </c>
    </row>
    <row r="191" customHeight="1" spans="1:4">
      <c r="A191" s="2" t="s">
        <v>278</v>
      </c>
      <c r="B191" s="2" t="str">
        <f t="shared" si="3"/>
        <v>50275</v>
      </c>
      <c r="C191" s="2" t="s">
        <v>74</v>
      </c>
      <c r="D191" s="2" t="s">
        <v>196</v>
      </c>
    </row>
    <row r="192" customHeight="1" spans="1:4">
      <c r="A192" s="2" t="s">
        <v>279</v>
      </c>
      <c r="B192" s="2" t="str">
        <f t="shared" si="3"/>
        <v>50275</v>
      </c>
      <c r="C192" s="2" t="s">
        <v>74</v>
      </c>
      <c r="D192" s="2" t="s">
        <v>196</v>
      </c>
    </row>
    <row r="193" customHeight="1" spans="1:4">
      <c r="A193" s="2" t="s">
        <v>280</v>
      </c>
      <c r="B193" s="2" t="str">
        <f t="shared" si="3"/>
        <v>50276</v>
      </c>
      <c r="C193" s="2" t="s">
        <v>69</v>
      </c>
    </row>
    <row r="194" customHeight="1" spans="1:4">
      <c r="A194" s="2" t="s">
        <v>281</v>
      </c>
      <c r="B194" s="2" t="str">
        <f t="shared" si="3"/>
        <v>50276</v>
      </c>
      <c r="C194" s="2" t="s">
        <v>69</v>
      </c>
    </row>
    <row r="195" customHeight="1" spans="1:4">
      <c r="A195" s="2" t="s">
        <v>282</v>
      </c>
      <c r="B195" s="2" t="str">
        <f t="shared" si="3"/>
        <v>50279</v>
      </c>
      <c r="C195" s="2" t="s">
        <v>74</v>
      </c>
      <c r="D195" s="2" t="s">
        <v>283</v>
      </c>
    </row>
    <row r="196" customHeight="1" spans="1:4">
      <c r="A196" s="2" t="s">
        <v>284</v>
      </c>
      <c r="B196" s="2" t="str">
        <f t="shared" si="3"/>
        <v>50279</v>
      </c>
      <c r="C196" s="2" t="s">
        <v>74</v>
      </c>
      <c r="D196" s="2" t="s">
        <v>283</v>
      </c>
    </row>
    <row r="197" customHeight="1" spans="1:4">
      <c r="A197" s="2" t="s">
        <v>285</v>
      </c>
      <c r="B197" s="2" t="str">
        <f t="shared" si="3"/>
        <v>50280</v>
      </c>
      <c r="C197" s="2" t="s">
        <v>74</v>
      </c>
    </row>
    <row r="198" customHeight="1" spans="1:4">
      <c r="A198" s="2" t="s">
        <v>286</v>
      </c>
      <c r="B198" s="2" t="str">
        <f t="shared" si="3"/>
        <v>50281</v>
      </c>
      <c r="C198" s="2" t="s">
        <v>61</v>
      </c>
    </row>
    <row r="199" customHeight="1" spans="1:4">
      <c r="A199" s="2" t="s">
        <v>287</v>
      </c>
      <c r="B199" s="2" t="str">
        <f t="shared" si="3"/>
        <v>50282</v>
      </c>
      <c r="C199" s="2" t="s">
        <v>61</v>
      </c>
    </row>
    <row r="200" customHeight="1" spans="1:4">
      <c r="B200" s="5"/>
    </row>
  </sheetData>
  <sheetProtection autoFilter="0"/>
  <autoFilter xmlns:etc="http://www.wps.cn/officeDocument/2017/etCustomData" ref="A1:D199" etc:filterBottomFollowUsedRange="0">
    <extLst/>
  </autoFilter>
  <conditionalFormatting sqref="A133">
    <cfRule type="duplicateValues" dxfId="0" priority="9"/>
  </conditionalFormatting>
  <conditionalFormatting sqref="A134">
    <cfRule type="duplicateValues" dxfId="0" priority="8"/>
  </conditionalFormatting>
  <conditionalFormatting sqref="A179">
    <cfRule type="duplicateValues" dxfId="0" priority="6"/>
  </conditionalFormatting>
  <conditionalFormatting sqref="A181">
    <cfRule type="duplicateValues" dxfId="0" priority="3"/>
  </conditionalFormatting>
  <conditionalFormatting sqref="B181">
    <cfRule type="duplicateValues" dxfId="0" priority="2"/>
  </conditionalFormatting>
  <conditionalFormatting sqref="A155:A157">
    <cfRule type="duplicateValues" dxfId="0" priority="7"/>
  </conditionalFormatting>
  <conditionalFormatting sqref="B182:B183">
    <cfRule type="duplicateValues" dxfId="0" priority="1"/>
  </conditionalFormatting>
  <conditionalFormatting sqref="A1:A73 A75:A108">
    <cfRule type="duplicateValues" dxfId="0" priority="11"/>
  </conditionalFormatting>
  <conditionalFormatting sqref="B2:B73 B75:B180">
    <cfRule type="duplicateValues" dxfId="0" priority="4"/>
  </conditionalFormatting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41" master="" otherUserPermission="visible"/>
  <rangeList sheetStid="50" master="" otherUserPermission="visible"/>
  <rangeList sheetStid="44" master="" otherUserPermission="visible"/>
  <rangeList sheetStid="53" master="" otherUserPermission="visible"/>
  <rangeList sheetStid="51" master="" otherUserPermission="visible">
    <arrUserId title="区域1" rangeCreator="" othersAccessPermission="edit"/>
  </rangeList>
  <rangeList sheetStid="36" master="" otherUserPermission="edit"/>
  <rangeList sheetStid="52" master="" otherUserPermission="visible"/>
</allowEditUser>
</file>

<file path=customXml/item2.xml><?xml version="1.0" encoding="utf-8"?>
<comments xmlns="https://web.wps.cn/et/2018/main" xmlns:s="http://schemas.openxmlformats.org/spreadsheetml/2006/main" xmlns:r="http://schemas.openxmlformats.org/officeDocument/2006/relationships">
  <commentList sheetStid="53">
    <commentChains s:ref="G2" rgbClr="FF0000">
      <unresolved>
        <commentChain chainId="2807c19f4cb00f4c33adb13644843310e488e1be">
          <item id="9bd61d8b142e4b2c2c321f269a7da642cff686d9" isNormal="1">
            <s:text>
              <s:r>
                <s:t xml:space="preserve">扣960pcs到PO:808565 (179840)；
扣40pcs到PO:808568 (179839)
扣14pcs到PO：876446（232723）
扣90pcs
PO:876502(232722)
扣14pcs到PO:876520(232721)
扣40pcs到PO：876463（232720）
扣80pcs到PO：876492（232727）
扣98pcs到PO:876448(232726)
扣26pcs到PO:876483(232725)
扣36pcs到PO:876442(232724</s:t>
              </s:r>
            </s:text>
          </item>
        </commentChain>
      </unresolved>
      <resolved/>
    </commentChains>
  </commentList>
</comments>
</file>

<file path=customXml/item3.xml><?xml version="1.0" encoding="utf-8"?>
<woProps xmlns="https://web.wps.cn/et/2018/main" xmlns:s="http://schemas.openxmlformats.org/spreadsheetml/2006/main">
  <woSheetsProps>
    <woSheetProps sheetStid="41" interlineOnOff="0" interlineColor="0" isDbSheet="0" isDashBoardSheet="0" isDbDashBoardSheet="0" isFlexPaperSheet="0">
      <cellprotection/>
      <appEtDbRelations/>
    </woSheetProps>
    <woSheetProps sheetStid="50" interlineOnOff="0" interlineColor="0" isDbSheet="0" isDashBoardSheet="0" isDbDashBoardSheet="0" isFlexPaperSheet="0">
      <cellprotection/>
      <appEtDbRelations/>
    </woSheetProps>
    <woSheetProps sheetStid="44" interlineOnOff="0" interlineColor="0" isDbSheet="0" isDashBoardSheet="0" isDbDashBoardSheet="0" isFlexPaperSheet="0">
      <cellprotection/>
      <appEtDbRelations/>
    </woSheetProps>
    <woSheetProps sheetStid="53" interlineOnOff="0" interlineColor="0" isDbSheet="0" isDashBoardSheet="0" isDbDashBoardSheet="0" isFlexPaperSheet="0">
      <cellprotection/>
      <appEtDbRelations/>
    </woSheetProps>
    <woSheetProps sheetStid="51" interlineOnOff="0" interlineColor="0" isDbSheet="0" isDashBoardSheet="0" isDbDashBoardSheet="0" isFlexPaperSheet="0">
      <cellprotection/>
      <appEtDbRelations/>
    </woSheetProps>
    <woSheetProps sheetStid="36" interlineOnOff="0" interlineColor="0" isDbSheet="0" isDashBoardSheet="0" isDbDashBoardSheet="0" isFlexPaperSheet="0">
      <cellprotection/>
      <appEtDbRelations/>
    </woSheetProps>
    <woSheetProps sheetStid="52" interlineOnOff="0" interlineColor="0" isDbSheet="0" isDashBoardSheet="0" isDbDashBoardSheet="0" isFlexPaperSheet="0">
      <cellprotection/>
      <appEtDbRelations/>
    </woSheetProps>
  </woSheetsProps>
  <woBookProps>
    <bookSettings fileId="531919417515" isFilterShared="1" woEtMtcEnabled="0" coreConquerUserId="" isAutoUpdatePaused="0" filterType="conn" isMergeTasksAutoUpdate="0" isInserPicAsAttachment="0" supportDbFmlaDisp="0"/>
  </woBookProps>
</woProps>
</file>

<file path=customXml/item4.xml><?xml version="1.0" encoding="utf-8"?>
<pixelators xmlns="https://web.wps.cn/et/2018/main" xmlns:s="http://schemas.openxmlformats.org/spreadsheetml/2006/main">
  <pixelatorList sheetStid="41"/>
  <pixelatorList sheetStid="50"/>
  <pixelatorList sheetStid="44"/>
  <pixelatorList sheetStid="53"/>
  <pixelatorList sheetStid="51"/>
  <pixelatorList sheetStid="36"/>
  <pixelatorList sheetStid="52"/>
  <pixelatorList sheetStid="54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总接单</vt:lpstr>
      <vt:lpstr>排期</vt:lpstr>
      <vt:lpstr>已走货</vt:lpstr>
      <vt:lpstr>MA</vt:lpstr>
      <vt:lpstr>取消单</vt:lpstr>
      <vt:lpstr>配比图</vt:lpstr>
      <vt:lpstr>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Misaya</cp:lastModifiedBy>
  <dcterms:created xsi:type="dcterms:W3CDTF">1996-12-19T01:32:00Z</dcterms:created>
  <cp:lastPrinted>2018-12-15T09:58:00Z</cp:lastPrinted>
  <dcterms:modified xsi:type="dcterms:W3CDTF">2026-06-17T01:28:00Z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2052-12.9.0.28212</vt:lpwstr>
  </property>
  <property fmtid="{D5CDD505-2E9C-101B-9397-08002B2CF9AE}" pid="3" name="ICV">
    <vt:lpwstr>09A40B19C70D47E1B6B7B6EEEDB3B172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