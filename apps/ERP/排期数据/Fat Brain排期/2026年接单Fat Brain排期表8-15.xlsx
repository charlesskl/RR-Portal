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fileSharing userName="Unknown User" reservationPassword="CCA0"/>
  <workbookPr codeName="ThisWorkbook"/>
  <bookViews>
    <workbookView windowWidth="22188" windowHeight="9060" tabRatio="923" firstSheet="1" activeTab="3"/>
  </bookViews>
  <sheets>
    <sheet name="名称" sheetId="48" state="hidden" r:id="rId1"/>
    <sheet name="总接单" sheetId="47" r:id="rId2"/>
    <sheet name="总排期" sheetId="57" r:id="rId3"/>
    <sheet name="已走货" sheetId="55" r:id="rId4"/>
    <sheet name="取消单" sheetId="58" r:id="rId5"/>
  </sheets>
  <definedNames>
    <definedName name="_xlnm._FilterDatabase" localSheetId="0" hidden="1">名称!$A$1:$D$108</definedName>
    <definedName name="_xlnm._FilterDatabase" localSheetId="1" hidden="1">总接单!$A$2:$X$34</definedName>
    <definedName name="_xlnm._FilterDatabase" localSheetId="2" hidden="1">总排期!$A$1:$AQ$20</definedName>
    <definedName name="_xlnm._FilterDatabase" localSheetId="3" hidden="1">已走货!$A$1:$AS$18</definedName>
    <definedName name="_xlnm._FilterDatabase" localSheetId="4" hidden="1">取消单!$A$1:$AP$32</definedName>
    <definedName name="_xlnm.Print_Area" localSheetId="3">已走货!#REF!</definedName>
    <definedName name="_xlnm.Print_Area" localSheetId="2">总排期!$A$1:$AP$1</definedName>
    <definedName name="_xlnm.Print_Titles" localSheetId="2">总排期!$1:$1</definedName>
    <definedName name="_xlnm.Print_Area" localSheetId="4">取消单!$A$1:$AP$1</definedName>
    <definedName name="_xlnm.Print_Titles" localSheetId="4">取消单!$1:$1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  <author>dell</author>
  </authors>
  <commentList>
    <comment ref="F15" authorId="0">
      <text>
        <r>
          <rPr>
            <b/>
            <sz val="9"/>
            <rFont val="宋体"/>
            <charset val="134"/>
          </rPr>
          <t>卿颖:</t>
        </r>
        <r>
          <rPr>
            <sz val="9"/>
            <rFont val="宋体"/>
            <charset val="134"/>
          </rPr>
          <t xml:space="preserve">
7/18号出货600</t>
        </r>
      </text>
    </comment>
    <comment ref="F20" authorId="1">
      <text>
        <r>
          <rPr>
            <b/>
            <sz val="9"/>
            <rFont val="宋体"/>
            <charset val="134"/>
          </rPr>
          <t>20pcs/1set
四种颜色，每种颜色五个球</t>
        </r>
      </text>
    </comment>
    <comment ref="F21" authorId="1">
      <text>
        <r>
          <rPr>
            <b/>
            <sz val="9"/>
            <rFont val="宋体"/>
            <charset val="134"/>
          </rPr>
          <t>1pcs/1set</t>
        </r>
      </text>
    </comment>
    <comment ref="F22" authorId="1">
      <text>
        <r>
          <rPr>
            <b/>
            <sz val="9"/>
            <rFont val="宋体"/>
            <charset val="134"/>
          </rPr>
          <t>1pcs/1set</t>
        </r>
      </text>
    </comment>
    <comment ref="F23" authorId="1">
      <text>
        <r>
          <rPr>
            <b/>
            <sz val="9"/>
            <rFont val="宋体"/>
            <charset val="134"/>
          </rPr>
          <t>1pcs/1set</t>
        </r>
      </text>
    </comment>
    <comment ref="F24" authorId="1">
      <text>
        <r>
          <rPr>
            <b/>
            <sz val="9"/>
            <rFont val="宋体"/>
            <charset val="134"/>
          </rPr>
          <t>1pcs/1set</t>
        </r>
      </text>
    </comment>
  </commentList>
</comments>
</file>

<file path=xl/comments2.xml><?xml version="1.0" encoding="utf-8"?>
<comments xmlns="http://schemas.openxmlformats.org/spreadsheetml/2006/main">
  <authors>
    <author>dell</author>
    <author>Administrator</author>
    <author>Unknown User</author>
  </authors>
  <commentList>
    <comment ref="H8" authorId="0">
      <text>
        <r>
          <rPr>
            <b/>
            <sz val="9"/>
            <rFont val="宋体"/>
            <charset val="134"/>
          </rPr>
          <t>20pcs/1set
四种颜色，每种颜色五个球</t>
        </r>
      </text>
    </comment>
    <comment ref="H9" authorId="0">
      <text>
        <r>
          <rPr>
            <b/>
            <sz val="9"/>
            <rFont val="宋体"/>
            <charset val="134"/>
          </rPr>
          <t>1pcs/1set</t>
        </r>
      </text>
    </comment>
    <comment ref="H10" authorId="0">
      <text>
        <r>
          <rPr>
            <b/>
            <sz val="9"/>
            <rFont val="宋体"/>
            <charset val="134"/>
          </rPr>
          <t>1pcs/1set</t>
        </r>
      </text>
    </comment>
    <comment ref="H11" authorId="0">
      <text>
        <r>
          <rPr>
            <b/>
            <sz val="9"/>
            <rFont val="宋体"/>
            <charset val="134"/>
          </rPr>
          <t>1pcs/1set</t>
        </r>
      </text>
    </comment>
    <comment ref="H12" authorId="0">
      <text>
        <r>
          <rPr>
            <b/>
            <sz val="9"/>
            <rFont val="宋体"/>
            <charset val="134"/>
          </rPr>
          <t>1pcs/1set</t>
        </r>
      </text>
    </comment>
    <comment ref="H17" authorId="1">
      <text>
        <r>
          <rPr>
            <b/>
            <sz val="9"/>
            <rFont val="宋体"/>
            <charset val="134"/>
          </rPr>
          <t xml:space="preserve">3000套,每套4*5=20pcs
</t>
        </r>
        <r>
          <rPr>
            <sz val="9"/>
            <rFont val="宋体"/>
            <charset val="134"/>
          </rPr>
          <t xml:space="preserve">
</t>
        </r>
      </text>
    </comment>
    <comment ref="H18" authorId="2">
      <text>
        <r>
          <rPr>
            <b/>
            <sz val="9"/>
            <rFont val="宋体"/>
            <charset val="134"/>
          </rPr>
          <t>刘敏:</t>
        </r>
        <r>
          <rPr>
            <sz val="9"/>
            <rFont val="宋体"/>
            <charset val="134"/>
          </rPr>
          <t xml:space="preserve">
MA：6000套，每套=4种颜色*每种5个球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H7" authorId="0">
      <text>
        <r>
          <rPr>
            <b/>
            <sz val="9"/>
            <rFont val="宋体"/>
            <charset val="134"/>
          </rPr>
          <t>卿颖:</t>
        </r>
        <r>
          <rPr>
            <sz val="9"/>
            <rFont val="宋体"/>
            <charset val="134"/>
          </rPr>
          <t xml:space="preserve">
7/18号出货600</t>
        </r>
      </text>
    </comment>
  </commentList>
</comments>
</file>

<file path=xl/comments4.xml><?xml version="1.0" encoding="utf-8"?>
<comments xmlns="http://schemas.openxmlformats.org/spreadsheetml/2006/main">
  <authors>
    <author>dell</author>
    <author>DELL</author>
  </authors>
  <commentList>
    <comment ref="H2" authorId="0">
      <text>
        <r>
          <rPr>
            <b/>
            <sz val="9"/>
            <rFont val="宋体"/>
            <charset val="134"/>
          </rPr>
          <t xml:space="preserve">20pcs/1set
四种颜色，每种颜色五个球
</t>
        </r>
      </text>
    </comment>
    <comment ref="H3" authorId="0">
      <text>
        <r>
          <rPr>
            <b/>
            <sz val="9"/>
            <rFont val="宋体"/>
            <charset val="134"/>
          </rPr>
          <t>1pcs/1set</t>
        </r>
      </text>
    </comment>
    <comment ref="H4" authorId="0">
      <text>
        <r>
          <rPr>
            <b/>
            <sz val="9"/>
            <rFont val="宋体"/>
            <charset val="134"/>
          </rPr>
          <t>1pcs/1set</t>
        </r>
      </text>
    </comment>
    <comment ref="H5" authorId="0">
      <text>
        <r>
          <rPr>
            <b/>
            <sz val="9"/>
            <rFont val="宋体"/>
            <charset val="134"/>
          </rPr>
          <t>1pcs/1set</t>
        </r>
      </text>
    </comment>
    <comment ref="H6" authorId="0">
      <text>
        <r>
          <rPr>
            <b/>
            <sz val="9"/>
            <rFont val="宋体"/>
            <charset val="134"/>
          </rPr>
          <t>1pcs/1set</t>
        </r>
      </text>
    </comment>
    <comment ref="H7" authorId="0">
      <text>
        <r>
          <rPr>
            <b/>
            <sz val="9"/>
            <rFont val="宋体"/>
            <charset val="134"/>
          </rPr>
          <t>20pcs/1set
四种颜色，每种颜色五个球</t>
        </r>
      </text>
    </comment>
    <comment ref="H8" authorId="0">
      <text>
        <r>
          <rPr>
            <b/>
            <sz val="9"/>
            <rFont val="宋体"/>
            <charset val="134"/>
          </rPr>
          <t>1pcs/1set</t>
        </r>
      </text>
    </comment>
    <comment ref="H9" authorId="0">
      <text>
        <r>
          <rPr>
            <b/>
            <sz val="9"/>
            <rFont val="宋体"/>
            <charset val="134"/>
          </rPr>
          <t>1pcs/1set</t>
        </r>
      </text>
    </comment>
    <comment ref="H10" authorId="0">
      <text>
        <r>
          <rPr>
            <b/>
            <sz val="9"/>
            <rFont val="宋体"/>
            <charset val="134"/>
          </rPr>
          <t>1pcs/1set</t>
        </r>
      </text>
    </comment>
    <comment ref="H11" authorId="0">
      <text>
        <r>
          <rPr>
            <b/>
            <sz val="9"/>
            <rFont val="宋体"/>
            <charset val="134"/>
          </rPr>
          <t>1pcs/1set</t>
        </r>
      </text>
    </comment>
    <comment ref="H12" authorId="0">
      <text>
        <r>
          <rPr>
            <b/>
            <sz val="9"/>
            <rFont val="宋体"/>
            <charset val="134"/>
          </rPr>
          <t>20pcs/1set
四种颜色，每种颜色五个球</t>
        </r>
      </text>
    </comment>
    <comment ref="H13" authorId="0">
      <text>
        <r>
          <rPr>
            <b/>
            <sz val="9"/>
            <rFont val="宋体"/>
            <charset val="134"/>
          </rPr>
          <t>1pcs/1set</t>
        </r>
      </text>
    </comment>
    <comment ref="H14" authorId="0">
      <text>
        <r>
          <rPr>
            <b/>
            <sz val="9"/>
            <rFont val="宋体"/>
            <charset val="134"/>
          </rPr>
          <t>1pcs/1set</t>
        </r>
      </text>
    </comment>
    <comment ref="H15" authorId="0">
      <text>
        <r>
          <rPr>
            <b/>
            <sz val="9"/>
            <rFont val="宋体"/>
            <charset val="134"/>
          </rPr>
          <t>1pcs/1set</t>
        </r>
      </text>
    </comment>
    <comment ref="H16" authorId="0">
      <text>
        <r>
          <rPr>
            <b/>
            <sz val="9"/>
            <rFont val="宋体"/>
            <charset val="134"/>
          </rPr>
          <t>1pcs/1set</t>
        </r>
      </text>
    </comment>
    <comment ref="H17" authorId="0">
      <text>
        <r>
          <rPr>
            <b/>
            <sz val="9"/>
            <rFont val="宋体"/>
            <charset val="134"/>
          </rPr>
          <t>20pcs/1set
四种颜色，每种颜色五个球</t>
        </r>
      </text>
    </comment>
    <comment ref="H18" authorId="0">
      <text>
        <r>
          <rPr>
            <b/>
            <sz val="9"/>
            <rFont val="宋体"/>
            <charset val="134"/>
          </rPr>
          <t>1pcs/1set</t>
        </r>
      </text>
    </comment>
    <comment ref="H19" authorId="0">
      <text>
        <r>
          <rPr>
            <b/>
            <sz val="9"/>
            <rFont val="宋体"/>
            <charset val="134"/>
          </rPr>
          <t>1pcs/1set</t>
        </r>
      </text>
    </comment>
    <comment ref="H20" authorId="0">
      <text>
        <r>
          <rPr>
            <b/>
            <sz val="9"/>
            <rFont val="宋体"/>
            <charset val="134"/>
          </rPr>
          <t>1pcs/1set</t>
        </r>
      </text>
    </comment>
    <comment ref="H21" authorId="0">
      <text>
        <r>
          <rPr>
            <b/>
            <sz val="9"/>
            <rFont val="宋体"/>
            <charset val="134"/>
          </rPr>
          <t>1pcs/1set</t>
        </r>
      </text>
    </comment>
    <comment ref="H22" authorId="1">
      <text>
        <r>
          <rPr>
            <sz val="9"/>
            <rFont val="宋体"/>
            <charset val="134"/>
          </rPr>
          <t xml:space="preserve">10pcs/1set
两种颜色，每种颜色五个球
</t>
        </r>
      </text>
    </comment>
    <comment ref="H23" authorId="1">
      <text>
        <r>
          <rPr>
            <sz val="9"/>
            <rFont val="宋体"/>
            <charset val="134"/>
          </rPr>
          <t>10pcs/1set
两种颜色，每种颜色五个球</t>
        </r>
      </text>
    </comment>
    <comment ref="H24" authorId="1">
      <text>
        <r>
          <rPr>
            <sz val="9"/>
            <rFont val="宋体"/>
            <charset val="134"/>
          </rPr>
          <t>10pcs/1set
两种颜色，每种颜色五个球</t>
        </r>
      </text>
    </comment>
    <comment ref="H25" authorId="1">
      <text>
        <r>
          <rPr>
            <sz val="9"/>
            <rFont val="宋体"/>
            <charset val="134"/>
          </rPr>
          <t>10pcs/1set
两种颜色，每种颜色五个球</t>
        </r>
      </text>
    </comment>
    <comment ref="H26" authorId="1">
      <text>
        <r>
          <rPr>
            <sz val="9"/>
            <rFont val="宋体"/>
            <charset val="134"/>
          </rPr>
          <t>10pcs/1set
两种颜色，每种颜色五个球</t>
        </r>
      </text>
    </comment>
  </commentList>
</comments>
</file>

<file path=xl/sharedStrings.xml><?xml version="1.0" encoding="utf-8"?>
<sst xmlns="http://schemas.openxmlformats.org/spreadsheetml/2006/main" count="1013" uniqueCount="306">
  <si>
    <r>
      <rPr>
        <sz val="10"/>
        <color theme="1"/>
        <rFont val="宋体"/>
        <charset val="134"/>
      </rPr>
      <t>货号</t>
    </r>
  </si>
  <si>
    <r>
      <rPr>
        <sz val="10"/>
        <color theme="1"/>
        <rFont val="宋体"/>
        <charset val="134"/>
      </rPr>
      <t>产品名称</t>
    </r>
  </si>
  <si>
    <r>
      <rPr>
        <sz val="10"/>
        <color theme="1"/>
        <rFont val="宋体"/>
        <charset val="134"/>
      </rPr>
      <t>外箱</t>
    </r>
  </si>
  <si>
    <r>
      <rPr>
        <sz val="10"/>
        <color theme="1"/>
        <rFont val="宋体"/>
        <charset val="134"/>
      </rPr>
      <t>车间</t>
    </r>
  </si>
  <si>
    <r>
      <rPr>
        <sz val="10"/>
        <color theme="1"/>
        <rFont val="宋体"/>
        <charset val="134"/>
      </rPr>
      <t>收割车</t>
    </r>
  </si>
  <si>
    <t>A</t>
  </si>
  <si>
    <r>
      <rPr>
        <sz val="10"/>
        <color theme="1"/>
        <rFont val="宋体"/>
        <charset val="134"/>
      </rPr>
      <t>洒水车</t>
    </r>
  </si>
  <si>
    <t>B</t>
  </si>
  <si>
    <r>
      <rPr>
        <sz val="10"/>
        <color theme="1"/>
        <rFont val="宋体"/>
        <charset val="134"/>
      </rPr>
      <t>回力车</t>
    </r>
  </si>
  <si>
    <r>
      <rPr>
        <sz val="10"/>
        <color theme="1"/>
        <rFont val="宋体"/>
        <charset val="134"/>
      </rPr>
      <t>跳舞的玉米</t>
    </r>
  </si>
  <si>
    <r>
      <rPr>
        <sz val="10"/>
        <color theme="1"/>
        <rFont val="宋体"/>
        <charset val="134"/>
      </rPr>
      <t>半挂车</t>
    </r>
  </si>
  <si>
    <r>
      <rPr>
        <sz val="10"/>
        <color theme="1"/>
        <rFont val="宋体"/>
        <charset val="134"/>
      </rPr>
      <t>动物车</t>
    </r>
  </si>
  <si>
    <r>
      <rPr>
        <sz val="10"/>
        <color theme="1"/>
        <rFont val="宋体"/>
        <charset val="134"/>
      </rPr>
      <t>印尼</t>
    </r>
  </si>
  <si>
    <r>
      <rPr>
        <sz val="10"/>
        <color theme="1"/>
        <rFont val="Times New Roman"/>
        <charset val="134"/>
      </rPr>
      <t>JD LNS</t>
    </r>
    <r>
      <rPr>
        <sz val="10"/>
        <color theme="1"/>
        <rFont val="宋体"/>
        <charset val="134"/>
      </rPr>
      <t>圆轮拖拉机</t>
    </r>
  </si>
  <si>
    <t>35189AZ</t>
  </si>
  <si>
    <r>
      <rPr>
        <sz val="10"/>
        <color theme="1"/>
        <rFont val="宋体"/>
        <charset val="134"/>
      </rPr>
      <t>吹气车</t>
    </r>
  </si>
  <si>
    <t>35189B</t>
  </si>
  <si>
    <t>35189C</t>
  </si>
  <si>
    <t>35206B</t>
  </si>
  <si>
    <r>
      <rPr>
        <sz val="10"/>
        <color theme="1"/>
        <rFont val="宋体"/>
        <charset val="134"/>
      </rPr>
      <t>猪马牛羊车（单支装）</t>
    </r>
  </si>
  <si>
    <t>35802J</t>
  </si>
  <si>
    <r>
      <rPr>
        <sz val="10"/>
        <color theme="1"/>
        <rFont val="宋体"/>
        <charset val="134"/>
      </rPr>
      <t>挖土机</t>
    </r>
  </si>
  <si>
    <t>46644B</t>
  </si>
  <si>
    <r>
      <rPr>
        <sz val="10"/>
        <color theme="1"/>
        <rFont val="宋体"/>
        <charset val="134"/>
      </rPr>
      <t>发光车</t>
    </r>
  </si>
  <si>
    <t>46656EU1</t>
  </si>
  <si>
    <r>
      <rPr>
        <sz val="10"/>
        <color theme="1"/>
        <rFont val="Times New Roman"/>
        <charset val="134"/>
      </rPr>
      <t>6"</t>
    </r>
    <r>
      <rPr>
        <sz val="10"/>
        <color theme="1"/>
        <rFont val="宋体"/>
        <charset val="134"/>
      </rPr>
      <t>拖拉机</t>
    </r>
  </si>
  <si>
    <t>46670C</t>
  </si>
  <si>
    <r>
      <rPr>
        <sz val="10"/>
        <color theme="1"/>
        <rFont val="Times New Roman"/>
        <charset val="134"/>
      </rPr>
      <t xml:space="preserve">46656/46748
</t>
    </r>
    <r>
      <rPr>
        <sz val="10"/>
        <color theme="1"/>
        <rFont val="宋体"/>
        <charset val="134"/>
      </rPr>
      <t>混装</t>
    </r>
  </si>
  <si>
    <t>46670TSC</t>
  </si>
  <si>
    <t>46720J</t>
  </si>
  <si>
    <r>
      <rPr>
        <sz val="10"/>
        <color theme="1"/>
        <rFont val="宋体"/>
        <charset val="134"/>
      </rPr>
      <t>木材运输车</t>
    </r>
  </si>
  <si>
    <t>47101J</t>
  </si>
  <si>
    <r>
      <rPr>
        <sz val="10"/>
        <color theme="1"/>
        <rFont val="Times New Roman"/>
        <charset val="134"/>
      </rPr>
      <t>1:16</t>
    </r>
    <r>
      <rPr>
        <sz val="10"/>
        <color theme="1"/>
        <rFont val="宋体"/>
        <charset val="134"/>
      </rPr>
      <t>收割机</t>
    </r>
  </si>
  <si>
    <t>47280A</t>
  </si>
  <si>
    <r>
      <rPr>
        <sz val="10"/>
        <color theme="1"/>
        <rFont val="宋体"/>
        <charset val="134"/>
      </rPr>
      <t>童车</t>
    </r>
  </si>
  <si>
    <t>47367J</t>
  </si>
  <si>
    <r>
      <rPr>
        <sz val="10"/>
        <color theme="1"/>
        <rFont val="Times New Roman"/>
        <charset val="134"/>
      </rPr>
      <t>1:16</t>
    </r>
    <r>
      <rPr>
        <sz val="10"/>
        <color theme="1"/>
        <rFont val="宋体"/>
        <charset val="134"/>
      </rPr>
      <t>拖车厢</t>
    </r>
  </si>
  <si>
    <t>47465J1</t>
  </si>
  <si>
    <r>
      <rPr>
        <sz val="10"/>
        <color theme="1"/>
        <rFont val="宋体"/>
        <charset val="134"/>
      </rPr>
      <t>牵引车</t>
    </r>
  </si>
  <si>
    <t>47600J</t>
  </si>
  <si>
    <r>
      <rPr>
        <sz val="10"/>
        <color theme="1"/>
        <rFont val="Times New Roman"/>
        <charset val="134"/>
      </rPr>
      <t>1:16</t>
    </r>
    <r>
      <rPr>
        <sz val="10"/>
        <color theme="1"/>
        <rFont val="宋体"/>
        <charset val="134"/>
      </rPr>
      <t>货柜车</t>
    </r>
  </si>
  <si>
    <t>47602J</t>
  </si>
  <si>
    <r>
      <rPr>
        <sz val="10"/>
        <color theme="1"/>
        <rFont val="Times New Roman"/>
        <charset val="134"/>
      </rPr>
      <t>1:16</t>
    </r>
    <r>
      <rPr>
        <sz val="10"/>
        <color theme="1"/>
        <rFont val="宋体"/>
        <charset val="134"/>
      </rPr>
      <t>翻斗车</t>
    </r>
  </si>
  <si>
    <t>47669TSC</t>
  </si>
  <si>
    <t>47674DG</t>
  </si>
  <si>
    <t>47674TSC</t>
  </si>
  <si>
    <t>E73254</t>
  </si>
  <si>
    <r>
      <rPr>
        <sz val="10"/>
        <color theme="1"/>
        <rFont val="宋体"/>
        <charset val="134"/>
      </rPr>
      <t>恐龙推车（开窗盒）</t>
    </r>
  </si>
  <si>
    <t>E73622A</t>
  </si>
  <si>
    <r>
      <rPr>
        <sz val="10"/>
        <color theme="1"/>
        <rFont val="宋体"/>
        <charset val="134"/>
      </rPr>
      <t>布鲁伊家族杯子套装</t>
    </r>
  </si>
  <si>
    <t>E73622AWM</t>
  </si>
  <si>
    <r>
      <rPr>
        <sz val="10"/>
        <color theme="1"/>
        <rFont val="宋体"/>
        <charset val="134"/>
      </rPr>
      <t>布鲁伊家族沐浴玩具</t>
    </r>
  </si>
  <si>
    <t>E73622AZ</t>
  </si>
  <si>
    <t>E73623A1</t>
  </si>
  <si>
    <r>
      <rPr>
        <sz val="10"/>
        <color theme="1"/>
        <rFont val="宋体"/>
        <charset val="134"/>
      </rPr>
      <t>布鲁伊</t>
    </r>
    <r>
      <rPr>
        <sz val="10"/>
        <color theme="1"/>
        <rFont val="Times New Roman"/>
        <charset val="134"/>
      </rPr>
      <t>+</t>
    </r>
    <r>
      <rPr>
        <sz val="10"/>
        <color theme="1"/>
        <rFont val="宋体"/>
        <charset val="134"/>
      </rPr>
      <t>宾果沐浴玩具混装</t>
    </r>
  </si>
  <si>
    <t>E73635A</t>
  </si>
  <si>
    <r>
      <rPr>
        <sz val="10"/>
        <color theme="1"/>
        <rFont val="宋体"/>
        <charset val="134"/>
      </rPr>
      <t>布鲁伊沐浴玩具</t>
    </r>
  </si>
  <si>
    <t>E73636A</t>
  </si>
  <si>
    <r>
      <rPr>
        <sz val="10"/>
        <color theme="1"/>
        <rFont val="宋体"/>
        <charset val="134"/>
      </rPr>
      <t>宾果沐浴玩具</t>
    </r>
  </si>
  <si>
    <t>E73697</t>
  </si>
  <si>
    <r>
      <rPr>
        <sz val="10"/>
        <color theme="1"/>
        <rFont val="Times New Roman"/>
        <charset val="134"/>
      </rPr>
      <t>EVA</t>
    </r>
    <r>
      <rPr>
        <sz val="10"/>
        <color theme="1"/>
        <rFont val="宋体"/>
        <charset val="134"/>
      </rPr>
      <t>拼图</t>
    </r>
  </si>
  <si>
    <t>E73697WM</t>
  </si>
  <si>
    <t>E73814C</t>
  </si>
  <si>
    <r>
      <rPr>
        <sz val="10"/>
        <color theme="1"/>
        <rFont val="宋体"/>
        <charset val="134"/>
      </rPr>
      <t>泡泡壶</t>
    </r>
  </si>
  <si>
    <t>E73860C</t>
  </si>
  <si>
    <r>
      <rPr>
        <sz val="10"/>
        <color theme="1"/>
        <rFont val="宋体"/>
        <charset val="134"/>
      </rPr>
      <t>泡泡壶密封盒</t>
    </r>
  </si>
  <si>
    <t>L27870TG</t>
  </si>
  <si>
    <r>
      <rPr>
        <sz val="10"/>
        <color theme="1"/>
        <rFont val="宋体"/>
        <charset val="134"/>
      </rPr>
      <t>杯子</t>
    </r>
  </si>
  <si>
    <t>T72465EN6</t>
  </si>
  <si>
    <r>
      <rPr>
        <sz val="10"/>
        <color theme="1"/>
        <rFont val="宋体"/>
        <charset val="134"/>
      </rPr>
      <t>贪婪的老奶奶</t>
    </r>
  </si>
  <si>
    <t>T72465IT3</t>
  </si>
  <si>
    <t>T72465SPT</t>
  </si>
  <si>
    <t>T73785EN</t>
  </si>
  <si>
    <r>
      <rPr>
        <sz val="10"/>
        <color theme="1"/>
        <rFont val="宋体"/>
        <charset val="134"/>
      </rPr>
      <t>游戏转盘</t>
    </r>
  </si>
  <si>
    <t>Y2049L</t>
  </si>
  <si>
    <r>
      <rPr>
        <sz val="10"/>
        <color theme="1"/>
        <rFont val="宋体"/>
        <charset val="134"/>
      </rPr>
      <t>锁匙</t>
    </r>
  </si>
  <si>
    <t>Y2341G</t>
  </si>
  <si>
    <t>Y2049G1</t>
  </si>
  <si>
    <r>
      <rPr>
        <sz val="10"/>
        <color theme="1"/>
        <rFont val="宋体"/>
        <charset val="134"/>
      </rPr>
      <t>吹气三轮车</t>
    </r>
  </si>
  <si>
    <t>E73647BZR</t>
  </si>
  <si>
    <r>
      <rPr>
        <sz val="10"/>
        <color theme="1"/>
        <rFont val="宋体"/>
        <charset val="134"/>
      </rPr>
      <t>手镯和球</t>
    </r>
  </si>
  <si>
    <t>T72465ML3</t>
  </si>
  <si>
    <t>T72465ADR2</t>
  </si>
  <si>
    <t>L27870B</t>
  </si>
  <si>
    <t>T72465ASC1</t>
  </si>
  <si>
    <t>T72465RO</t>
  </si>
  <si>
    <t>T72465BZR2</t>
  </si>
  <si>
    <t>47391J</t>
  </si>
  <si>
    <t>Y2341C</t>
  </si>
  <si>
    <t>E73855A1</t>
  </si>
  <si>
    <r>
      <rPr>
        <sz val="10"/>
        <color theme="1"/>
        <rFont val="宋体"/>
        <charset val="134"/>
      </rPr>
      <t>马里奥能量蘑菇吸塑混装</t>
    </r>
  </si>
  <si>
    <t>E73906</t>
  </si>
  <si>
    <r>
      <rPr>
        <sz val="10"/>
        <color theme="1"/>
        <rFont val="宋体"/>
        <charset val="134"/>
      </rPr>
      <t>马里奥和他的蘑菇</t>
    </r>
  </si>
  <si>
    <t>E73907</t>
  </si>
  <si>
    <r>
      <rPr>
        <sz val="10"/>
        <color theme="1"/>
        <rFont val="宋体"/>
        <charset val="134"/>
      </rPr>
      <t>能量蘑菇</t>
    </r>
  </si>
  <si>
    <t>E73856</t>
  </si>
  <si>
    <r>
      <rPr>
        <sz val="10"/>
        <color theme="1"/>
        <rFont val="宋体"/>
        <charset val="134"/>
      </rPr>
      <t>宝箱马里奥</t>
    </r>
  </si>
  <si>
    <t>E73857</t>
  </si>
  <si>
    <r>
      <rPr>
        <sz val="10"/>
        <color theme="1"/>
        <rFont val="宋体"/>
        <charset val="134"/>
      </rPr>
      <t>管道马里奥</t>
    </r>
  </si>
  <si>
    <t>E73956</t>
  </si>
  <si>
    <r>
      <rPr>
        <sz val="10"/>
        <color theme="1"/>
        <rFont val="宋体"/>
        <charset val="134"/>
      </rPr>
      <t>马里奥能量蘑菇密封盒混装</t>
    </r>
  </si>
  <si>
    <t>T73955</t>
  </si>
  <si>
    <t>L27870C</t>
  </si>
  <si>
    <t>Y2049G2</t>
  </si>
  <si>
    <t>E73860PL</t>
  </si>
  <si>
    <t>47722A</t>
  </si>
  <si>
    <r>
      <rPr>
        <sz val="10"/>
        <color theme="1"/>
        <rFont val="宋体"/>
        <charset val="134"/>
      </rPr>
      <t>农场男孩套装</t>
    </r>
  </si>
  <si>
    <t>47723A</t>
  </si>
  <si>
    <r>
      <rPr>
        <sz val="10"/>
        <color theme="1"/>
        <rFont val="宋体"/>
        <charset val="134"/>
      </rPr>
      <t>农场女孩套装</t>
    </r>
  </si>
  <si>
    <t>47711A</t>
  </si>
  <si>
    <r>
      <rPr>
        <sz val="10"/>
        <color theme="1"/>
        <rFont val="宋体"/>
        <charset val="134"/>
      </rPr>
      <t>红色铲车</t>
    </r>
  </si>
  <si>
    <t>47713A</t>
  </si>
  <si>
    <r>
      <rPr>
        <sz val="10"/>
        <color theme="1"/>
        <rFont val="宋体"/>
        <charset val="134"/>
      </rPr>
      <t>黄色铲车</t>
    </r>
  </si>
  <si>
    <t>47714A</t>
  </si>
  <si>
    <r>
      <rPr>
        <sz val="10"/>
        <color theme="1"/>
        <rFont val="宋体"/>
        <charset val="134"/>
      </rPr>
      <t>绿色铲车</t>
    </r>
  </si>
  <si>
    <t>E73705A</t>
  </si>
  <si>
    <r>
      <rPr>
        <sz val="10"/>
        <color theme="1"/>
        <rFont val="宋体"/>
        <charset val="134"/>
      </rPr>
      <t>布鲁伊混装</t>
    </r>
  </si>
  <si>
    <t>E73907A</t>
  </si>
  <si>
    <t>47716A</t>
  </si>
  <si>
    <r>
      <rPr>
        <sz val="10"/>
        <color theme="1"/>
        <rFont val="宋体"/>
        <charset val="134"/>
      </rPr>
      <t>滑板拖车</t>
    </r>
  </si>
  <si>
    <t>47712A</t>
  </si>
  <si>
    <r>
      <rPr>
        <sz val="10"/>
        <color theme="1"/>
        <rFont val="宋体"/>
        <charset val="134"/>
      </rPr>
      <t>绿色拖拉机</t>
    </r>
  </si>
  <si>
    <t>E73906US</t>
  </si>
  <si>
    <t>E73907US</t>
  </si>
  <si>
    <t>E73855US</t>
  </si>
  <si>
    <t>E73956US</t>
  </si>
  <si>
    <t>47274J</t>
  </si>
  <si>
    <r>
      <rPr>
        <sz val="10"/>
        <color theme="1"/>
        <rFont val="Times New Roman"/>
        <charset val="134"/>
      </rPr>
      <t>1#</t>
    </r>
    <r>
      <rPr>
        <sz val="10"/>
        <color theme="1"/>
        <rFont val="宋体"/>
        <charset val="134"/>
      </rPr>
      <t>农场朋友混合</t>
    </r>
  </si>
  <si>
    <t>Y2049L1</t>
  </si>
  <si>
    <t>995135(E73857)</t>
  </si>
  <si>
    <t>995142(E73856)</t>
  </si>
  <si>
    <t>995159(E73906)</t>
  </si>
  <si>
    <t>096283(E73907)</t>
  </si>
  <si>
    <t>E74041BULK</t>
  </si>
  <si>
    <r>
      <rPr>
        <sz val="10"/>
        <color theme="1"/>
        <rFont val="宋体"/>
        <charset val="134"/>
      </rPr>
      <t>布鲁伊批量装</t>
    </r>
  </si>
  <si>
    <t>47674DG2</t>
  </si>
  <si>
    <t>35765D</t>
  </si>
  <si>
    <r>
      <rPr>
        <sz val="10"/>
        <color theme="1"/>
        <rFont val="Times New Roman"/>
        <charset val="134"/>
      </rPr>
      <t xml:space="preserve">JD </t>
    </r>
    <r>
      <rPr>
        <sz val="10"/>
        <color theme="1"/>
        <rFont val="宋体"/>
        <charset val="134"/>
      </rPr>
      <t>大铲斗挖掘机</t>
    </r>
  </si>
  <si>
    <t>35766C</t>
  </si>
  <si>
    <r>
      <rPr>
        <sz val="10"/>
        <color theme="1"/>
        <rFont val="Times New Roman"/>
        <charset val="134"/>
      </rPr>
      <t xml:space="preserve">JD15 </t>
    </r>
    <r>
      <rPr>
        <sz val="10"/>
        <color theme="1"/>
        <rFont val="宋体"/>
        <charset val="134"/>
      </rPr>
      <t>英寸大铲斗自卸卡车</t>
    </r>
  </si>
  <si>
    <t>E73956A1</t>
  </si>
  <si>
    <t>E73858</t>
  </si>
  <si>
    <r>
      <rPr>
        <sz val="10"/>
        <color theme="1"/>
        <rFont val="宋体"/>
        <charset val="134"/>
      </rPr>
      <t>浮水马里奥</t>
    </r>
  </si>
  <si>
    <t>L21106</t>
  </si>
  <si>
    <r>
      <rPr>
        <sz val="10"/>
        <color theme="1"/>
        <rFont val="宋体"/>
        <charset val="134"/>
      </rPr>
      <t>盲盒公仔</t>
    </r>
    <r>
      <rPr>
        <sz val="10"/>
        <color theme="1"/>
        <rFont val="Times New Roman"/>
        <charset val="134"/>
      </rPr>
      <t>(</t>
    </r>
    <r>
      <rPr>
        <sz val="10"/>
        <color theme="1"/>
        <rFont val="宋体"/>
        <charset val="134"/>
      </rPr>
      <t>塑胶毛绒</t>
    </r>
    <r>
      <rPr>
        <sz val="10"/>
        <color theme="1"/>
        <rFont val="Times New Roman"/>
        <charset val="134"/>
      </rPr>
      <t>)</t>
    </r>
  </si>
  <si>
    <t>河源</t>
  </si>
  <si>
    <r>
      <rPr>
        <sz val="10"/>
        <color theme="1"/>
        <rFont val="Times New Roman"/>
        <charset val="134"/>
      </rPr>
      <t>6</t>
    </r>
    <r>
      <rPr>
        <sz val="10"/>
        <rFont val="Times New Roman"/>
        <charset val="134"/>
      </rPr>
      <t>PCS</t>
    </r>
    <r>
      <rPr>
        <sz val="10"/>
        <rFont val="宋体"/>
        <charset val="134"/>
      </rPr>
      <t>一</t>
    </r>
    <r>
      <rPr>
        <sz val="10"/>
        <rFont val="Times New Roman"/>
        <charset val="134"/>
      </rPr>
      <t>PDQ</t>
    </r>
    <r>
      <rPr>
        <sz val="10"/>
        <rFont val="宋体"/>
        <charset val="134"/>
      </rPr>
      <t>，</t>
    </r>
    <r>
      <rPr>
        <sz val="10"/>
        <rFont val="Times New Roman"/>
        <charset val="134"/>
      </rPr>
      <t xml:space="preserve">1PDQ </t>
    </r>
    <r>
      <rPr>
        <sz val="10"/>
        <rFont val="宋体"/>
        <charset val="134"/>
      </rPr>
      <t>一箱</t>
    </r>
  </si>
  <si>
    <t>L21011</t>
  </si>
  <si>
    <r>
      <rPr>
        <sz val="10"/>
        <color theme="1"/>
        <rFont val="Times New Roman"/>
        <charset val="134"/>
      </rPr>
      <t>11</t>
    </r>
    <r>
      <rPr>
        <sz val="10"/>
        <color theme="1"/>
        <rFont val="宋体"/>
        <charset val="134"/>
      </rPr>
      <t>寸大毛绒</t>
    </r>
  </si>
  <si>
    <t>L19200</t>
  </si>
  <si>
    <t>L19201</t>
  </si>
  <si>
    <t>L19202</t>
  </si>
  <si>
    <t>E73907A1</t>
  </si>
  <si>
    <t>47669TSCA</t>
  </si>
  <si>
    <t>47674TSCA</t>
  </si>
  <si>
    <t>46670TSCA</t>
  </si>
  <si>
    <t>电子洒水车</t>
  </si>
  <si>
    <t>47674A</t>
  </si>
  <si>
    <t>E73858AZ</t>
  </si>
  <si>
    <t>47714ATSC</t>
  </si>
  <si>
    <t>43452PL</t>
  </si>
  <si>
    <r>
      <rPr>
        <sz val="10"/>
        <color theme="1"/>
        <rFont val="Times New Roman"/>
        <charset val="134"/>
      </rPr>
      <t>47674PL/47714PL</t>
    </r>
    <r>
      <rPr>
        <sz val="10"/>
        <color theme="1"/>
        <rFont val="宋体"/>
        <charset val="134"/>
      </rPr>
      <t>混装</t>
    </r>
  </si>
  <si>
    <t>47023A1</t>
  </si>
  <si>
    <t>工程玩具挖掘机</t>
  </si>
  <si>
    <t>47616A</t>
  </si>
  <si>
    <t>沙盒建造三件套</t>
  </si>
  <si>
    <t>产品名称</t>
  </si>
  <si>
    <t>接单日期</t>
  </si>
  <si>
    <t>国家</t>
  </si>
  <si>
    <t>PO</t>
  </si>
  <si>
    <t>CUSTOMER PO</t>
  </si>
  <si>
    <t>货号</t>
  </si>
  <si>
    <t>数量</t>
  </si>
  <si>
    <t>客PO走货期</t>
  </si>
  <si>
    <t>FA586-1</t>
  </si>
  <si>
    <t>FA586-2</t>
  </si>
  <si>
    <t>EVA Foam Ball
EVA泡沫球</t>
  </si>
  <si>
    <t>Battery
 电池</t>
  </si>
  <si>
    <t>PCBA 
印刷电路板组件</t>
  </si>
  <si>
    <t>Power Adapter
电源适配器</t>
  </si>
  <si>
    <t>Variable Speed Fan
变速风机性能</t>
  </si>
  <si>
    <t>FA590-1</t>
  </si>
  <si>
    <t>FA594-1</t>
  </si>
  <si>
    <t>FA595-1</t>
  </si>
  <si>
    <t>FA560-2</t>
  </si>
  <si>
    <t>FA596-1</t>
  </si>
  <si>
    <t>FA000-1</t>
  </si>
  <si>
    <t>单价USD</t>
  </si>
  <si>
    <t>金额USD</t>
  </si>
  <si>
    <t>金额HKD</t>
  </si>
  <si>
    <t>车间</t>
  </si>
  <si>
    <t>美国</t>
  </si>
  <si>
    <t>兴信B</t>
  </si>
  <si>
    <t>PO-000000116</t>
  </si>
  <si>
    <t>印尼RRM</t>
  </si>
  <si>
    <t>PO-000000274</t>
  </si>
  <si>
    <t>亚马逊</t>
  </si>
  <si>
    <t>PO-000000686</t>
  </si>
  <si>
    <t>MA</t>
  </si>
  <si>
    <t>PO-000001251</t>
  </si>
  <si>
    <t>PO-000001476</t>
  </si>
  <si>
    <r>
      <rPr>
        <b/>
        <sz val="9"/>
        <color rgb="FFFF0000"/>
        <rFont val="宋体"/>
        <charset val="134"/>
      </rPr>
      <t>美国</t>
    </r>
  </si>
  <si>
    <t>总接单：</t>
  </si>
  <si>
    <r>
      <rPr>
        <b/>
        <sz val="9"/>
        <color rgb="FFFF0000"/>
        <rFont val="宋体"/>
        <charset val="134"/>
      </rPr>
      <t>总接单：</t>
    </r>
  </si>
  <si>
    <r>
      <rPr>
        <b/>
        <sz val="9"/>
        <color rgb="FFFF0000"/>
        <rFont val="宋体"/>
        <charset val="134"/>
      </rPr>
      <t>总排期：</t>
    </r>
  </si>
  <si>
    <r>
      <rPr>
        <b/>
        <sz val="9"/>
        <color rgb="FFFF0000"/>
        <rFont val="宋体"/>
        <charset val="134"/>
      </rPr>
      <t>已走货：</t>
    </r>
  </si>
  <si>
    <t>以下标注内容区分识别备注：</t>
  </si>
  <si>
    <t>类型</t>
  </si>
  <si>
    <t>内容</t>
  </si>
  <si>
    <t>黄色填充</t>
  </si>
  <si>
    <t>新加单或更改</t>
  </si>
  <si>
    <t>粉色填充</t>
  </si>
  <si>
    <t>扣单/转单</t>
  </si>
  <si>
    <t>蓝色字体</t>
  </si>
  <si>
    <t>已经完成订单</t>
  </si>
  <si>
    <t>粉色字体</t>
  </si>
  <si>
    <t>已经出货</t>
  </si>
  <si>
    <t>红色字体</t>
  </si>
  <si>
    <t>取消单</t>
  </si>
  <si>
    <t>接单期</t>
  </si>
  <si>
    <t>提交化学测试</t>
  </si>
  <si>
    <t>第三客户名称</t>
  </si>
  <si>
    <t>外箱</t>
  </si>
  <si>
    <t>总箱数</t>
  </si>
  <si>
    <t>RR走货期</t>
  </si>
  <si>
    <t>验货期</t>
  </si>
  <si>
    <t>实际验货期</t>
  </si>
  <si>
    <t>日期码</t>
  </si>
  <si>
    <t>箱唛资料</t>
  </si>
  <si>
    <t>预配船期</t>
  </si>
  <si>
    <t>年报测试</t>
  </si>
  <si>
    <t>客贴纸</t>
  </si>
  <si>
    <t>印尼回复上拉时间</t>
  </si>
  <si>
    <t>印尼回复完成时间</t>
  </si>
  <si>
    <t>箱唛状态</t>
  </si>
  <si>
    <t>外箱条码</t>
  </si>
  <si>
    <t>备注</t>
  </si>
  <si>
    <t>发票号</t>
  </si>
  <si>
    <t>船期</t>
  </si>
  <si>
    <t>是否入系统</t>
  </si>
  <si>
    <t>混装比例</t>
  </si>
  <si>
    <t>预计物料上印尼时间</t>
  </si>
  <si>
    <t>物料到印尼时间</t>
  </si>
  <si>
    <t>包材上料时间</t>
  </si>
  <si>
    <t>塑胶件上料时间</t>
  </si>
  <si>
    <t>纸吉</t>
  </si>
  <si>
    <t>五金上料时间</t>
  </si>
  <si>
    <t>贴纸</t>
  </si>
  <si>
    <t>仓库复来料时间</t>
  </si>
  <si>
    <t>接单周期</t>
  </si>
  <si>
    <t>印尼周期</t>
  </si>
  <si>
    <t>Fat Brain</t>
  </si>
  <si>
    <t>扩展包</t>
  </si>
  <si>
    <t>2026/8/8pass</t>
  </si>
  <si>
    <t>E1226AV</t>
  </si>
  <si>
    <t>箱唛6/24放</t>
  </si>
  <si>
    <t>待定</t>
  </si>
  <si>
    <t>10810074279137</t>
  </si>
  <si>
    <t>管道吹风球</t>
  </si>
  <si>
    <t>E1326AV</t>
  </si>
  <si>
    <t>普通货代，待释放SO</t>
  </si>
  <si>
    <t>7/30已给亚马逊贴纸</t>
  </si>
  <si>
    <t>10810074278994</t>
  </si>
  <si>
    <t>美版适配器</t>
  </si>
  <si>
    <t>C2626AV</t>
  </si>
  <si>
    <t>7/3已给SGS贴纸</t>
  </si>
  <si>
    <t>D1526AV</t>
  </si>
  <si>
    <t>电池</t>
  </si>
  <si>
    <t>美规适配器</t>
  </si>
  <si>
    <t>管道吹风球主机</t>
  </si>
  <si>
    <t>主机版彩盒</t>
  </si>
  <si>
    <t>彩色EVA球混装</t>
  </si>
  <si>
    <t>12</t>
  </si>
  <si>
    <t>F1026AV</t>
  </si>
  <si>
    <t>箱唛8/15已放</t>
  </si>
  <si>
    <t>10810074279526</t>
  </si>
  <si>
    <t>转PO-000001476,3000套</t>
  </si>
  <si>
    <t>合计</t>
  </si>
  <si>
    <t>PO走货期</t>
  </si>
  <si>
    <t>Spot check</t>
  </si>
  <si>
    <t>2026/7/13pass</t>
  </si>
  <si>
    <t>7/4已给亚马逊外箱贴纸</t>
  </si>
  <si>
    <t>FB00013</t>
  </si>
  <si>
    <t>2026/7/7pass</t>
  </si>
  <si>
    <t>FB00015</t>
  </si>
  <si>
    <t>2026/7/21pass</t>
  </si>
  <si>
    <t>FB00016</t>
  </si>
  <si>
    <t>FB00017</t>
  </si>
  <si>
    <t>FB00018</t>
  </si>
  <si>
    <t>走亚马逊7500pcs船期：2026/8/10</t>
  </si>
  <si>
    <t>FB00022</t>
  </si>
  <si>
    <t>FB00023</t>
  </si>
  <si>
    <t>转PO-000000274:15000pcs</t>
  </si>
  <si>
    <t>美版适配器
转PO-000000274:15000pcs</t>
  </si>
  <si>
    <t>转PO单2640:5004pcs
转PO-000000686:9994pcs</t>
  </si>
  <si>
    <t>美版适配器
转PO单2640:5004pcs
转PO-000000686:9994pcs</t>
  </si>
  <si>
    <t>加拿大</t>
  </si>
  <si>
    <t>转PO-000000686:10000pcs</t>
  </si>
  <si>
    <t>印尼</t>
  </si>
  <si>
    <t>转PO-000000686:10000pcs
美版适配器</t>
  </si>
  <si>
    <t>转TOMT排期24992PCS</t>
  </si>
  <si>
    <t>拓展包</t>
  </si>
  <si>
    <t>转PO单2640:5000pcs</t>
  </si>
  <si>
    <t>转PO-000000686:5000pcs</t>
  </si>
  <si>
    <t>转PO-000000274:5000pcs</t>
  </si>
  <si>
    <t>转PO单2640:10000pcs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</si>
</sst>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/mmm/yy;@"/>
    <numFmt numFmtId="177" formatCode="yyyy/m/d&quot;周&quot;aaa"/>
    <numFmt numFmtId="178" formatCode="0.000_ "/>
    <numFmt numFmtId="179" formatCode="0.00_ ;[Red]\-0.00\ "/>
    <numFmt numFmtId="180" formatCode="m&quot;月&quot;d&quot;日&quot;\(aaa\)"/>
    <numFmt numFmtId="181" formatCode="0_ "/>
    <numFmt numFmtId="182" formatCode="0.000_ ;[Red]\-0.000\ "/>
    <numFmt numFmtId="183" formatCode="0_ ;[Red]\-0\ "/>
    <numFmt numFmtId="184" formatCode="yyyy&quot;年&quot;m&quot;月&quot;d&quot;日&quot;;@"/>
  </numFmts>
  <fonts count="51">
    <font>
      <sz val="12"/>
      <name val="宋体"/>
      <charset val="134"/>
    </font>
    <font>
      <sz val="9"/>
      <name val="宋体"/>
      <charset val="134"/>
      <scheme val="major"/>
    </font>
    <font>
      <sz val="9"/>
      <color rgb="FFFF0000"/>
      <name val="宋体"/>
      <charset val="134"/>
      <scheme val="major"/>
    </font>
    <font>
      <b/>
      <sz val="9"/>
      <color rgb="FFFF0000"/>
      <name val="宋体"/>
      <charset val="134"/>
      <scheme val="major"/>
    </font>
    <font>
      <sz val="9"/>
      <name val="宋体"/>
      <charset val="134"/>
    </font>
    <font>
      <sz val="9"/>
      <color rgb="FFFF0000"/>
      <name val="宋体"/>
      <charset val="134"/>
    </font>
    <font>
      <sz val="9"/>
      <color rgb="FFFF00FF"/>
      <name val="宋体"/>
      <charset val="134"/>
      <scheme val="major"/>
    </font>
    <font>
      <sz val="9"/>
      <color rgb="FFFF00FF"/>
      <name val="宋体"/>
      <charset val="134"/>
    </font>
    <font>
      <b/>
      <sz val="9"/>
      <color rgb="FFFF0000"/>
      <name val="宋体"/>
      <charset val="134"/>
    </font>
    <font>
      <sz val="9"/>
      <color rgb="FF000000"/>
      <name val="宋体"/>
      <charset val="134"/>
    </font>
    <font>
      <b/>
      <sz val="9"/>
      <color rgb="FFFF00FF"/>
      <name val="宋体"/>
      <charset val="134"/>
      <scheme val="major"/>
    </font>
    <font>
      <sz val="9"/>
      <color rgb="FF417FF9"/>
      <name val="宋体"/>
      <charset val="134"/>
      <scheme val="major"/>
    </font>
    <font>
      <sz val="9"/>
      <color rgb="FF417FF9"/>
      <name val="宋体"/>
      <charset val="134"/>
    </font>
    <font>
      <b/>
      <sz val="9"/>
      <color rgb="FF417FF9"/>
      <name val="宋体"/>
      <charset val="134"/>
      <scheme val="major"/>
    </font>
    <font>
      <sz val="9"/>
      <color rgb="FF000000"/>
      <name val="宋体"/>
      <charset val="134"/>
      <scheme val="major"/>
    </font>
    <font>
      <b/>
      <sz val="9"/>
      <color rgb="FFFF0000"/>
      <name val="Times New Roman"/>
      <charset val="134"/>
    </font>
    <font>
      <b/>
      <sz val="18"/>
      <name val="黑体"/>
      <charset val="134"/>
    </font>
    <font>
      <sz val="12"/>
      <name val="黑体"/>
      <charset val="134"/>
    </font>
    <font>
      <sz val="9"/>
      <color rgb="FF0000FF"/>
      <name val="宋体"/>
      <charset val="134"/>
      <scheme val="major"/>
    </font>
    <font>
      <sz val="10"/>
      <color theme="1"/>
      <name val="Times New Roman"/>
      <charset val="134"/>
    </font>
    <font>
      <sz val="10"/>
      <name val="Times New Roman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0"/>
      <name val="Helv"/>
      <charset val="134"/>
    </font>
    <font>
      <sz val="12"/>
      <name val="Times New Roman"/>
      <charset val="134"/>
    </font>
    <font>
      <sz val="10"/>
      <name val="Helv"/>
      <charset val="0"/>
    </font>
    <font>
      <sz val="10"/>
      <color indexed="8"/>
      <name val="Arial"/>
      <charset val="134"/>
    </font>
    <font>
      <sz val="10"/>
      <name val="Arial"/>
      <charset val="0"/>
    </font>
    <font>
      <sz val="1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0">
    <xf numFmtId="0" fontId="0" fillId="0" borderId="0"/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3" borderId="4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4" borderId="7" applyNumberFormat="0" applyAlignment="0" applyProtection="0">
      <alignment vertical="center"/>
    </xf>
    <xf numFmtId="0" fontId="32" fillId="5" borderId="8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4" fillId="6" borderId="9" applyNumberFormat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176" fontId="0" fillId="0" borderId="0"/>
    <xf numFmtId="0" fontId="0" fillId="0" borderId="0" applyProtection="0"/>
    <xf numFmtId="0" fontId="42" fillId="0" borderId="0"/>
    <xf numFmtId="0" fontId="22" fillId="0" borderId="0">
      <alignment vertical="center"/>
    </xf>
    <xf numFmtId="0" fontId="43" fillId="0" borderId="0"/>
    <xf numFmtId="0" fontId="22" fillId="0" borderId="0">
      <alignment vertical="center"/>
    </xf>
    <xf numFmtId="0" fontId="0" fillId="0" borderId="0" applyProtection="0"/>
    <xf numFmtId="0" fontId="0" fillId="0" borderId="0"/>
    <xf numFmtId="176" fontId="0" fillId="0" borderId="0"/>
    <xf numFmtId="176" fontId="0" fillId="0" borderId="0"/>
    <xf numFmtId="0" fontId="0" fillId="0" borderId="0"/>
    <xf numFmtId="0" fontId="44" fillId="0" borderId="0"/>
    <xf numFmtId="176" fontId="0" fillId="0" borderId="0"/>
    <xf numFmtId="0" fontId="0" fillId="0" borderId="0"/>
    <xf numFmtId="0" fontId="0" fillId="0" borderId="0" applyProtection="0"/>
    <xf numFmtId="0" fontId="0" fillId="0" borderId="0" applyProtection="0"/>
    <xf numFmtId="176" fontId="0" fillId="0" borderId="0"/>
    <xf numFmtId="0" fontId="0" fillId="0" borderId="0" applyProtection="0"/>
    <xf numFmtId="0" fontId="0" fillId="0" borderId="0" applyProtection="0"/>
    <xf numFmtId="0" fontId="0" fillId="0" borderId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0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45" fillId="0" borderId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>
      <alignment vertical="top"/>
    </xf>
    <xf numFmtId="0" fontId="0" fillId="0" borderId="0"/>
    <xf numFmtId="0" fontId="47" fillId="0" borderId="0"/>
    <xf numFmtId="0" fontId="47" fillId="0" borderId="0"/>
  </cellStyleXfs>
  <cellXfs count="219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7" fontId="1" fillId="0" borderId="0" xfId="0" applyNumberFormat="1" applyFont="1" applyFill="1" applyBorder="1" applyAlignment="1" applyProtection="1">
      <alignment horizontal="center" vertical="center" wrapText="1"/>
    </xf>
    <xf numFmtId="177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178" fontId="1" fillId="0" borderId="0" xfId="0" applyNumberFormat="1" applyFont="1" applyFill="1" applyBorder="1" applyAlignment="1" applyProtection="1">
      <alignment horizontal="center" vertical="center" wrapText="1"/>
    </xf>
    <xf numFmtId="179" fontId="1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 wrapText="1" shrinkToFit="1"/>
    </xf>
    <xf numFmtId="177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ill="1" applyProtection="1">
      <protection locked="0"/>
    </xf>
    <xf numFmtId="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177" fontId="4" fillId="0" borderId="1" xfId="0" applyNumberFormat="1" applyFont="1" applyFill="1" applyBorder="1" applyAlignment="1" applyProtection="1">
      <alignment horizontal="center" vertical="center" wrapText="1" shrinkToFit="1"/>
    </xf>
    <xf numFmtId="177" fontId="5" fillId="0" borderId="1" xfId="0" applyNumberFormat="1" applyFont="1" applyFill="1" applyBorder="1" applyAlignment="1" applyProtection="1">
      <alignment horizontal="center" vertical="center" wrapText="1" shrinkToFit="1"/>
    </xf>
    <xf numFmtId="177" fontId="1" fillId="0" borderId="1" xfId="0" applyNumberFormat="1" applyFont="1" applyFill="1" applyBorder="1" applyAlignment="1" applyProtection="1">
      <alignment horizontal="center" vertical="center" wrapText="1" shrinkToFit="1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 shrinkToFit="1"/>
    </xf>
    <xf numFmtId="0" fontId="1" fillId="0" borderId="1" xfId="0" applyFont="1" applyFill="1" applyBorder="1" applyAlignment="1" applyProtection="1">
      <alignment horizontal="center" vertical="center" wrapText="1" shrinkToFi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/>
    </xf>
    <xf numFmtId="178" fontId="1" fillId="0" borderId="1" xfId="0" applyNumberFormat="1" applyFont="1" applyFill="1" applyBorder="1" applyAlignment="1" applyProtection="1">
      <alignment horizontal="center" vertical="center" wrapText="1"/>
    </xf>
    <xf numFmtId="179" fontId="1" fillId="0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 wrapText="1" shrinkToFit="1"/>
    </xf>
    <xf numFmtId="0" fontId="1" fillId="0" borderId="1" xfId="0" applyFont="1" applyFill="1" applyBorder="1" applyAlignment="1" applyProtection="1">
      <alignment horizontal="center" vertical="center"/>
    </xf>
    <xf numFmtId="177" fontId="4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7" fontId="5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177" fontId="2" fillId="0" borderId="1" xfId="0" applyNumberFormat="1" applyFont="1" applyFill="1" applyBorder="1" applyAlignment="1" applyProtection="1">
      <alignment horizontal="center" vertical="center" wrapText="1"/>
    </xf>
    <xf numFmtId="180" fontId="2" fillId="0" borderId="1" xfId="0" applyNumberFormat="1" applyFont="1" applyFill="1" applyBorder="1" applyAlignment="1" applyProtection="1">
      <alignment horizontal="center" vertical="center" wrapText="1"/>
    </xf>
    <xf numFmtId="177" fontId="5" fillId="0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179" fontId="2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 shrinkToFit="1"/>
    </xf>
    <xf numFmtId="177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81" fontId="2" fillId="0" borderId="1" xfId="0" applyNumberFormat="1" applyFont="1" applyFill="1" applyBorder="1" applyAlignment="1" applyProtection="1">
      <alignment horizontal="center" vertical="center" wrapText="1"/>
    </xf>
    <xf numFmtId="3" fontId="2" fillId="0" borderId="1" xfId="0" applyNumberFormat="1" applyFont="1" applyFill="1" applyBorder="1" applyAlignment="1" applyProtection="1">
      <alignment horizontal="center" vertical="center" wrapText="1" shrinkToFit="1"/>
    </xf>
    <xf numFmtId="177" fontId="1" fillId="0" borderId="1" xfId="0" applyNumberFormat="1" applyFont="1" applyFill="1" applyBorder="1" applyAlignment="1" applyProtection="1">
      <alignment horizontal="center" vertical="center" wrapText="1"/>
    </xf>
    <xf numFmtId="180" fontId="1" fillId="0" borderId="1" xfId="0" applyNumberFormat="1" applyFont="1" applyFill="1" applyBorder="1" applyAlignment="1" applyProtection="1">
      <alignment horizontal="center" vertical="center" wrapText="1"/>
    </xf>
    <xf numFmtId="181" fontId="1" fillId="0" borderId="1" xfId="0" applyNumberFormat="1" applyFont="1" applyFill="1" applyBorder="1" applyAlignment="1" applyProtection="1">
      <alignment horizontal="center" vertical="center" wrapText="1"/>
    </xf>
    <xf numFmtId="179" fontId="1" fillId="0" borderId="1" xfId="0" applyNumberFormat="1" applyFont="1" applyFill="1" applyBorder="1" applyAlignment="1" applyProtection="1">
      <alignment horizontal="center" vertical="center" wrapText="1"/>
    </xf>
    <xf numFmtId="177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177" fontId="1" fillId="0" borderId="1" xfId="0" applyNumberFormat="1" applyFont="1" applyFill="1" applyBorder="1" applyAlignment="1" applyProtection="1">
      <alignment horizontal="center" vertical="center"/>
    </xf>
    <xf numFmtId="177" fontId="2" fillId="0" borderId="1" xfId="0" applyNumberFormat="1" applyFont="1" applyFill="1" applyBorder="1" applyAlignment="1" applyProtection="1">
      <alignment horizontal="center" vertical="center"/>
    </xf>
    <xf numFmtId="0" fontId="0" fillId="0" borderId="1" xfId="0" applyFill="1" applyBorder="1" applyProtection="1"/>
    <xf numFmtId="177" fontId="1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 applyProtection="1">
      <alignment horizontal="center" vertical="center" wrapText="1"/>
    </xf>
    <xf numFmtId="180" fontId="6" fillId="0" borderId="1" xfId="0" applyNumberFormat="1" applyFont="1" applyFill="1" applyBorder="1" applyAlignment="1" applyProtection="1">
      <alignment horizontal="center" vertical="center" wrapText="1"/>
    </xf>
    <xf numFmtId="177" fontId="7" fillId="2" borderId="1" xfId="0" applyNumberFormat="1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 shrinkToFit="1"/>
    </xf>
    <xf numFmtId="3" fontId="6" fillId="2" borderId="1" xfId="0" applyNumberFormat="1" applyFont="1" applyFill="1" applyBorder="1" applyAlignment="1" applyProtection="1">
      <alignment horizontal="center" vertical="center" wrapText="1" shrinkToFit="1"/>
    </xf>
    <xf numFmtId="0" fontId="6" fillId="2" borderId="1" xfId="0" applyNumberFormat="1" applyFont="1" applyFill="1" applyBorder="1" applyAlignment="1" applyProtection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 applyProtection="1">
      <alignment horizontal="center" vertical="center" wrapText="1" shrinkToFit="1"/>
    </xf>
    <xf numFmtId="177" fontId="7" fillId="0" borderId="1" xfId="0" applyNumberFormat="1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182" fontId="6" fillId="0" borderId="1" xfId="0" applyNumberFormat="1" applyFont="1" applyFill="1" applyBorder="1" applyAlignment="1" applyProtection="1">
      <alignment horizontal="center" vertical="center" wrapText="1"/>
    </xf>
    <xf numFmtId="179" fontId="6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/>
    </xf>
    <xf numFmtId="177" fontId="9" fillId="0" borderId="1" xfId="0" applyNumberFormat="1" applyFont="1" applyFill="1" applyBorder="1" applyAlignment="1" applyProtection="1">
      <alignment horizontal="center" vertical="center" wrapText="1"/>
    </xf>
    <xf numFmtId="181" fontId="6" fillId="2" borderId="1" xfId="0" applyNumberFormat="1" applyFont="1" applyFill="1" applyBorder="1" applyAlignment="1" applyProtection="1">
      <alignment horizontal="center" vertical="center" wrapText="1"/>
    </xf>
    <xf numFmtId="181" fontId="6" fillId="0" borderId="1" xfId="0" applyNumberFormat="1" applyFont="1" applyFill="1" applyBorder="1" applyAlignment="1" applyProtection="1">
      <alignment horizontal="center" vertical="center" wrapText="1"/>
    </xf>
    <xf numFmtId="3" fontId="6" fillId="0" borderId="1" xfId="0" applyNumberFormat="1" applyFont="1" applyFill="1" applyBorder="1" applyAlignment="1" applyProtection="1">
      <alignment horizontal="center" vertical="center" wrapText="1" shrinkToFit="1"/>
    </xf>
    <xf numFmtId="0" fontId="6" fillId="0" borderId="1" xfId="0" applyFont="1" applyFill="1" applyBorder="1" applyAlignment="1" applyProtection="1">
      <alignment horizontal="center" vertical="center" wrapText="1" shrinkToFit="1"/>
    </xf>
    <xf numFmtId="58" fontId="7" fillId="0" borderId="1" xfId="0" applyNumberFormat="1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 applyProtection="1">
      <alignment horizontal="center" vertical="center"/>
    </xf>
    <xf numFmtId="177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NumberFormat="1" applyFont="1" applyFill="1" applyBorder="1" applyAlignment="1" applyProtection="1">
      <alignment horizontal="center" vertical="center" wrapText="1"/>
      <protection locked="0"/>
    </xf>
    <xf numFmtId="177" fontId="6" fillId="0" borderId="2" xfId="0" applyNumberFormat="1" applyFont="1" applyFill="1" applyBorder="1" applyAlignment="1" applyProtection="1">
      <alignment horizontal="center" vertical="center" wrapText="1"/>
    </xf>
    <xf numFmtId="180" fontId="6" fillId="0" borderId="2" xfId="0" applyNumberFormat="1" applyFont="1" applyFill="1" applyBorder="1" applyAlignment="1" applyProtection="1">
      <alignment horizontal="center" vertical="center" wrapText="1"/>
    </xf>
    <xf numFmtId="0" fontId="6" fillId="0" borderId="2" xfId="0" applyFont="1" applyFill="1" applyBorder="1" applyAlignment="1" applyProtection="1">
      <alignment horizontal="center" vertical="center" wrapText="1"/>
    </xf>
    <xf numFmtId="0" fontId="6" fillId="0" borderId="2" xfId="0" applyFont="1" applyFill="1" applyBorder="1" applyAlignment="1" applyProtection="1">
      <alignment horizontal="center" vertical="center" wrapText="1" shrinkToFit="1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>
      <alignment horizontal="center" vertical="center" wrapText="1"/>
    </xf>
    <xf numFmtId="58" fontId="7" fillId="2" borderId="2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 shrinkToFit="1"/>
    </xf>
    <xf numFmtId="0" fontId="11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ill="1"/>
    <xf numFmtId="177" fontId="9" fillId="0" borderId="1" xfId="0" applyNumberFormat="1" applyFont="1" applyFill="1" applyBorder="1" applyAlignment="1" applyProtection="1">
      <alignment horizontal="center" vertical="center" wrapText="1" shrinkToFit="1"/>
    </xf>
    <xf numFmtId="177" fontId="11" fillId="0" borderId="1" xfId="0" applyNumberFormat="1" applyFont="1" applyFill="1" applyBorder="1" applyAlignment="1" applyProtection="1">
      <alignment horizontal="center" vertical="center" wrapText="1"/>
    </xf>
    <xf numFmtId="180" fontId="11" fillId="0" borderId="1" xfId="0" applyNumberFormat="1" applyFont="1" applyFill="1" applyBorder="1" applyAlignment="1" applyProtection="1">
      <alignment horizontal="center" vertical="center" wrapText="1"/>
    </xf>
    <xf numFmtId="177" fontId="12" fillId="0" borderId="1" xfId="0" applyNumberFormat="1" applyFont="1" applyFill="1" applyBorder="1" applyAlignment="1" applyProtection="1">
      <alignment horizontal="center" vertical="center" wrapText="1"/>
    </xf>
    <xf numFmtId="0" fontId="11" fillId="0" borderId="1" xfId="0" applyFont="1" applyFill="1" applyBorder="1" applyAlignment="1" applyProtection="1">
      <alignment horizontal="center" vertical="center" wrapText="1"/>
    </xf>
    <xf numFmtId="181" fontId="11" fillId="0" borderId="1" xfId="0" applyNumberFormat="1" applyFont="1" applyFill="1" applyBorder="1" applyAlignment="1" applyProtection="1">
      <alignment horizontal="center" vertical="center" wrapText="1"/>
    </xf>
    <xf numFmtId="3" fontId="11" fillId="0" borderId="1" xfId="0" applyNumberFormat="1" applyFont="1" applyFill="1" applyBorder="1" applyAlignment="1" applyProtection="1">
      <alignment horizontal="center" vertical="center" wrapText="1" shrinkToFit="1"/>
    </xf>
    <xf numFmtId="0" fontId="11" fillId="0" borderId="1" xfId="0" applyFont="1" applyFill="1" applyBorder="1" applyAlignment="1" applyProtection="1">
      <alignment horizontal="center" vertical="center" wrapText="1" shrinkToFit="1"/>
    </xf>
    <xf numFmtId="0" fontId="11" fillId="0" borderId="1" xfId="0" applyNumberFormat="1" applyFont="1" applyFill="1" applyBorder="1" applyAlignment="1" applyProtection="1">
      <alignment horizontal="center" vertical="center" wrapText="1"/>
    </xf>
    <xf numFmtId="177" fontId="11" fillId="0" borderId="1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Fill="1" applyBorder="1" applyAlignment="1" applyProtection="1">
      <alignment horizontal="center" vertical="center" wrapText="1" shrinkToFit="1"/>
    </xf>
    <xf numFmtId="177" fontId="12" fillId="2" borderId="1" xfId="0" applyNumberFormat="1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center" wrapText="1"/>
    </xf>
    <xf numFmtId="0" fontId="12" fillId="2" borderId="1" xfId="0" applyFont="1" applyFill="1" applyBorder="1" applyAlignment="1" applyProtection="1">
      <alignment horizontal="center" vertical="center" wrapText="1"/>
    </xf>
    <xf numFmtId="182" fontId="11" fillId="0" borderId="1" xfId="0" applyNumberFormat="1" applyFont="1" applyFill="1" applyBorder="1" applyAlignment="1" applyProtection="1">
      <alignment horizontal="center" vertical="center" wrapText="1"/>
    </xf>
    <xf numFmtId="179" fontId="11" fillId="0" borderId="1" xfId="0" applyNumberFormat="1" applyFont="1" applyFill="1" applyBorder="1" applyAlignment="1" applyProtection="1">
      <alignment horizontal="center" vertical="center" wrapText="1"/>
    </xf>
    <xf numFmtId="0" fontId="13" fillId="0" borderId="1" xfId="0" applyFont="1" applyFill="1" applyBorder="1" applyAlignment="1" applyProtection="1">
      <alignment horizontal="center" vertical="center"/>
    </xf>
    <xf numFmtId="177" fontId="1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1" xfId="0" applyNumberFormat="1" applyFont="1" applyFill="1" applyBorder="1" applyAlignment="1" applyProtection="1">
      <alignment horizontal="center" vertical="center" wrapText="1"/>
      <protection locked="0"/>
    </xf>
    <xf numFmtId="177" fontId="11" fillId="0" borderId="2" xfId="0" applyNumberFormat="1" applyFont="1" applyFill="1" applyBorder="1" applyAlignment="1" applyProtection="1">
      <alignment horizontal="center" vertical="center" wrapText="1"/>
    </xf>
    <xf numFmtId="180" fontId="11" fillId="0" borderId="2" xfId="0" applyNumberFormat="1" applyFont="1" applyFill="1" applyBorder="1" applyAlignment="1" applyProtection="1">
      <alignment horizontal="center" vertical="center" wrapText="1"/>
    </xf>
    <xf numFmtId="0" fontId="11" fillId="0" borderId="2" xfId="0" applyFont="1" applyFill="1" applyBorder="1" applyAlignment="1" applyProtection="1">
      <alignment horizontal="center" vertical="center" wrapText="1"/>
    </xf>
    <xf numFmtId="0" fontId="11" fillId="0" borderId="2" xfId="0" applyFont="1" applyFill="1" applyBorder="1" applyAlignment="1" applyProtection="1">
      <alignment horizontal="center" vertical="center" wrapText="1" shrinkToFit="1"/>
    </xf>
    <xf numFmtId="0" fontId="11" fillId="0" borderId="2" xfId="0" applyNumberFormat="1" applyFont="1" applyFill="1" applyBorder="1" applyAlignment="1" applyProtection="1">
      <alignment horizontal="center" vertical="center" wrapText="1"/>
    </xf>
    <xf numFmtId="177" fontId="11" fillId="0" borderId="2" xfId="0" applyNumberFormat="1" applyFont="1" applyFill="1" applyBorder="1" applyAlignment="1">
      <alignment horizontal="center" vertical="center" wrapText="1"/>
    </xf>
    <xf numFmtId="58" fontId="12" fillId="2" borderId="2" xfId="0" applyNumberFormat="1" applyFont="1" applyFill="1" applyBorder="1" applyAlignment="1" applyProtection="1">
      <alignment horizontal="center" vertical="center" wrapText="1"/>
    </xf>
    <xf numFmtId="0" fontId="13" fillId="0" borderId="2" xfId="0" applyFont="1" applyFill="1" applyBorder="1" applyAlignment="1" applyProtection="1">
      <alignment horizontal="center" vertical="center"/>
    </xf>
    <xf numFmtId="177" fontId="11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2" xfId="0" applyNumberFormat="1" applyFont="1" applyFill="1" applyBorder="1" applyAlignment="1" applyProtection="1">
      <alignment horizontal="center" vertical="center" wrapText="1"/>
      <protection locked="0"/>
    </xf>
    <xf numFmtId="3" fontId="1" fillId="0" borderId="1" xfId="0" applyNumberFormat="1" applyFont="1" applyFill="1" applyBorder="1" applyAlignment="1" applyProtection="1">
      <alignment horizontal="center" vertical="center" wrapText="1" shrinkToFit="1"/>
    </xf>
    <xf numFmtId="177" fontId="9" fillId="0" borderId="2" xfId="0" applyNumberFormat="1" applyFont="1" applyFill="1" applyBorder="1" applyAlignment="1" applyProtection="1">
      <alignment horizontal="center" vertical="center" wrapText="1"/>
    </xf>
    <xf numFmtId="0" fontId="9" fillId="0" borderId="1" xfId="0" applyFont="1" applyFill="1" applyBorder="1" applyAlignment="1" applyProtection="1">
      <alignment horizontal="center" vertical="center" wrapText="1"/>
    </xf>
    <xf numFmtId="182" fontId="1" fillId="0" borderId="1" xfId="0" applyNumberFormat="1" applyFont="1" applyFill="1" applyBorder="1" applyAlignment="1" applyProtection="1">
      <alignment horizontal="center" vertical="center" wrapText="1"/>
    </xf>
    <xf numFmtId="177" fontId="2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 wrapText="1" shrinkToFi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177" fontId="1" fillId="0" borderId="2" xfId="0" applyNumberFormat="1" applyFont="1" applyFill="1" applyBorder="1" applyAlignment="1">
      <alignment horizontal="center" vertical="center" wrapText="1"/>
    </xf>
    <xf numFmtId="177" fontId="4" fillId="0" borderId="2" xfId="0" applyNumberFormat="1" applyFont="1" applyFill="1" applyBorder="1" applyAlignment="1" applyProtection="1">
      <alignment horizontal="center" vertical="center" wrapText="1" shrinkToFit="1"/>
    </xf>
    <xf numFmtId="177" fontId="1" fillId="0" borderId="2" xfId="0" applyNumberFormat="1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/>
    </xf>
    <xf numFmtId="177" fontId="1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" xfId="0" applyNumberFormat="1" applyFont="1" applyFill="1" applyBorder="1" applyAlignment="1" applyProtection="1">
      <alignment horizontal="center" vertical="center" wrapText="1"/>
      <protection locked="0"/>
    </xf>
    <xf numFmtId="177" fontId="9" fillId="2" borderId="1" xfId="0" applyNumberFormat="1" applyFont="1" applyFill="1" applyBorder="1" applyAlignment="1" applyProtection="1">
      <alignment horizontal="center" vertical="center" wrapText="1"/>
    </xf>
    <xf numFmtId="179" fontId="4" fillId="0" borderId="1" xfId="0" applyNumberFormat="1" applyFont="1" applyFill="1" applyBorder="1" applyAlignment="1">
      <alignment horizontal="center" vertical="center" wrapText="1"/>
    </xf>
    <xf numFmtId="177" fontId="1" fillId="0" borderId="3" xfId="0" applyNumberFormat="1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 shrinkToFit="1"/>
    </xf>
    <xf numFmtId="182" fontId="1" fillId="0" borderId="3" xfId="0" applyNumberFormat="1" applyFont="1" applyFill="1" applyBorder="1" applyAlignment="1" applyProtection="1">
      <alignment horizontal="center" vertical="center" wrapText="1"/>
    </xf>
    <xf numFmtId="179" fontId="4" fillId="0" borderId="3" xfId="0" applyNumberFormat="1" applyFont="1" applyFill="1" applyBorder="1" applyAlignment="1">
      <alignment horizontal="center" vertical="center" wrapText="1"/>
    </xf>
    <xf numFmtId="181" fontId="1" fillId="0" borderId="3" xfId="0" applyNumberFormat="1" applyFont="1" applyFill="1" applyBorder="1" applyAlignment="1" applyProtection="1">
      <alignment horizontal="center" vertical="center" wrapText="1"/>
    </xf>
    <xf numFmtId="0" fontId="9" fillId="2" borderId="3" xfId="0" applyFont="1" applyFill="1" applyBorder="1" applyAlignment="1" applyProtection="1">
      <alignment horizontal="center" vertical="center" wrapText="1"/>
    </xf>
    <xf numFmtId="1" fontId="1" fillId="0" borderId="1" xfId="0" applyNumberFormat="1" applyFont="1" applyFill="1" applyBorder="1" applyAlignment="1" applyProtection="1">
      <alignment horizontal="center" vertical="center" wrapText="1"/>
    </xf>
    <xf numFmtId="182" fontId="1" fillId="2" borderId="3" xfId="0" applyNumberFormat="1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 applyProtection="1">
      <alignment horizontal="center" vertical="center" wrapText="1" shrinkToFit="1"/>
    </xf>
    <xf numFmtId="0" fontId="1" fillId="0" borderId="3" xfId="0" applyFont="1" applyFill="1" applyBorder="1" applyAlignment="1" applyProtection="1">
      <alignment horizontal="center" vertical="center" wrapText="1" shrinkToFit="1"/>
    </xf>
    <xf numFmtId="177" fontId="1" fillId="0" borderId="3" xfId="0" applyNumberFormat="1" applyFont="1" applyFill="1" applyBorder="1" applyAlignment="1">
      <alignment horizontal="center" vertical="center" wrapText="1"/>
    </xf>
    <xf numFmtId="177" fontId="4" fillId="0" borderId="3" xfId="0" applyNumberFormat="1" applyFont="1" applyFill="1" applyBorder="1" applyAlignment="1" applyProtection="1">
      <alignment horizontal="center" vertical="center" wrapText="1" shrinkToFi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3" fillId="0" borderId="3" xfId="0" applyFont="1" applyFill="1" applyBorder="1" applyAlignment="1" applyProtection="1">
      <alignment horizontal="center" vertical="center"/>
    </xf>
    <xf numFmtId="177" fontId="1" fillId="0" borderId="3" xfId="0" applyNumberFormat="1" applyFont="1" applyFill="1" applyBorder="1" applyAlignment="1" applyProtection="1">
      <alignment horizontal="center" vertical="center" wrapText="1"/>
      <protection locked="0"/>
    </xf>
    <xf numFmtId="181" fontId="9" fillId="0" borderId="3" xfId="0" applyNumberFormat="1" applyFont="1" applyFill="1" applyBorder="1" applyAlignment="1" applyProtection="1">
      <alignment horizontal="center" vertical="center" wrapText="1"/>
    </xf>
    <xf numFmtId="177" fontId="14" fillId="0" borderId="3" xfId="0" applyNumberFormat="1" applyFont="1" applyFill="1" applyBorder="1" applyAlignment="1">
      <alignment horizontal="center" vertical="center" wrapText="1"/>
    </xf>
    <xf numFmtId="0" fontId="9" fillId="0" borderId="3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177" fontId="1" fillId="0" borderId="0" xfId="0" applyNumberFormat="1" applyFont="1" applyFill="1" applyBorder="1" applyAlignment="1">
      <alignment horizontal="center" vertical="center" wrapText="1"/>
    </xf>
    <xf numFmtId="181" fontId="4" fillId="0" borderId="0" xfId="0" applyNumberFormat="1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182" fontId="4" fillId="0" borderId="0" xfId="0" applyNumberFormat="1" applyFont="1" applyFill="1" applyAlignment="1">
      <alignment horizontal="center" vertical="center" wrapText="1"/>
    </xf>
    <xf numFmtId="179" fontId="4" fillId="0" borderId="0" xfId="0" applyNumberFormat="1" applyFont="1" applyFill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181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82" fontId="4" fillId="0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shrinkToFit="1"/>
    </xf>
    <xf numFmtId="177" fontId="1" fillId="0" borderId="1" xfId="0" applyNumberFormat="1" applyFont="1" applyFill="1" applyBorder="1" applyAlignment="1">
      <alignment horizontal="center" vertical="center" wrapText="1" shrinkToFit="1"/>
    </xf>
    <xf numFmtId="177" fontId="4" fillId="0" borderId="1" xfId="0" applyNumberFormat="1" applyFont="1" applyFill="1" applyBorder="1" applyAlignment="1">
      <alignment horizontal="center" vertical="center" wrapText="1" shrinkToFit="1"/>
    </xf>
    <xf numFmtId="182" fontId="1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179" fontId="7" fillId="0" borderId="1" xfId="0" applyNumberFormat="1" applyFont="1" applyFill="1" applyBorder="1" applyAlignment="1">
      <alignment horizontal="center" vertical="center" wrapText="1"/>
    </xf>
    <xf numFmtId="182" fontId="6" fillId="2" borderId="1" xfId="0" applyNumberFormat="1" applyFont="1" applyFill="1" applyBorder="1" applyAlignment="1" applyProtection="1">
      <alignment horizontal="center" vertical="center" wrapText="1"/>
    </xf>
    <xf numFmtId="182" fontId="11" fillId="2" borderId="1" xfId="0" applyNumberFormat="1" applyFont="1" applyFill="1" applyBorder="1" applyAlignment="1" applyProtection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3" fontId="1" fillId="0" borderId="3" xfId="0" applyNumberFormat="1" applyFont="1" applyFill="1" applyBorder="1" applyAlignment="1" applyProtection="1">
      <alignment horizontal="center" vertical="center" wrapText="1"/>
    </xf>
    <xf numFmtId="177" fontId="3" fillId="0" borderId="1" xfId="0" applyNumberFormat="1" applyFont="1" applyFill="1" applyBorder="1" applyAlignment="1" applyProtection="1">
      <alignment horizontal="center" vertical="center" wrapText="1"/>
    </xf>
    <xf numFmtId="180" fontId="3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wrapText="1"/>
    </xf>
    <xf numFmtId="181" fontId="3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179" fontId="8" fillId="0" borderId="1" xfId="0" applyNumberFormat="1" applyFont="1" applyFill="1" applyBorder="1" applyAlignment="1">
      <alignment horizontal="center" vertical="center" wrapText="1"/>
    </xf>
    <xf numFmtId="177" fontId="3" fillId="0" borderId="0" xfId="0" applyNumberFormat="1" applyFont="1" applyFill="1" applyBorder="1" applyAlignment="1" applyProtection="1">
      <alignment horizontal="center" vertical="center" wrapText="1"/>
    </xf>
    <xf numFmtId="180" fontId="3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Alignment="1" applyProtection="1">
      <alignment horizontal="center" vertical="center" wrapText="1"/>
    </xf>
    <xf numFmtId="181" fontId="3" fillId="0" borderId="0" xfId="0" applyNumberFormat="1" applyFont="1" applyFill="1" applyAlignment="1" applyProtection="1">
      <alignment horizontal="center" vertical="center" wrapText="1"/>
    </xf>
    <xf numFmtId="0" fontId="3" fillId="0" borderId="0" xfId="0" applyNumberFormat="1" applyFont="1" applyFill="1" applyAlignment="1" applyProtection="1">
      <alignment horizontal="center" vertical="center" wrapText="1" shrinkToFit="1"/>
    </xf>
    <xf numFmtId="179" fontId="8" fillId="0" borderId="0" xfId="0" applyNumberFormat="1" applyFont="1" applyFill="1" applyAlignment="1">
      <alignment horizontal="center" vertical="center" wrapText="1"/>
    </xf>
    <xf numFmtId="18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center" vertical="center" wrapText="1"/>
    </xf>
    <xf numFmtId="181" fontId="1" fillId="0" borderId="0" xfId="0" applyNumberFormat="1" applyFont="1" applyFill="1" applyAlignment="1" applyProtection="1">
      <alignment horizontal="center" vertical="center" wrapText="1"/>
    </xf>
    <xf numFmtId="0" fontId="1" fillId="0" borderId="0" xfId="0" applyNumberFormat="1" applyFont="1" applyFill="1" applyAlignment="1" applyProtection="1">
      <alignment horizontal="center" vertical="center" wrapText="1" shrinkToFit="1"/>
    </xf>
    <xf numFmtId="177" fontId="1" fillId="0" borderId="0" xfId="0" applyNumberFormat="1" applyFont="1" applyFill="1" applyAlignment="1" applyProtection="1">
      <alignment horizontal="center" vertical="center" wrapText="1"/>
    </xf>
    <xf numFmtId="177" fontId="15" fillId="0" borderId="0" xfId="0" applyNumberFormat="1" applyFont="1" applyFill="1" applyBorder="1" applyAlignment="1">
      <alignment horizontal="center" vertical="center" wrapText="1"/>
    </xf>
    <xf numFmtId="177" fontId="8" fillId="0" borderId="0" xfId="0" applyNumberFormat="1" applyFont="1" applyFill="1" applyBorder="1" applyAlignment="1">
      <alignment horizontal="right" vertical="center" wrapText="1"/>
    </xf>
    <xf numFmtId="179" fontId="15" fillId="0" borderId="0" xfId="0" applyNumberFormat="1" applyFont="1" applyFill="1" applyBorder="1" applyAlignment="1">
      <alignment horizontal="center" vertical="center" wrapText="1"/>
    </xf>
    <xf numFmtId="177" fontId="15" fillId="0" borderId="0" xfId="0" applyNumberFormat="1" applyFont="1" applyFill="1" applyBorder="1" applyAlignment="1">
      <alignment horizontal="right" vertical="center" wrapText="1"/>
    </xf>
    <xf numFmtId="183" fontId="15" fillId="0" borderId="0" xfId="0" applyNumberFormat="1" applyFont="1" applyFill="1" applyBorder="1" applyAlignment="1">
      <alignment horizontal="center" vertical="center" wrapText="1"/>
    </xf>
    <xf numFmtId="184" fontId="16" fillId="0" borderId="0" xfId="0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177" fontId="1" fillId="0" borderId="0" xfId="0" applyNumberFormat="1" applyFont="1" applyFill="1" applyAlignment="1">
      <alignment horizontal="left" vertical="center"/>
    </xf>
    <xf numFmtId="177" fontId="1" fillId="0" borderId="0" xfId="0" applyNumberFormat="1" applyFont="1" applyFill="1" applyAlignment="1">
      <alignment horizontal="center" vertical="center" wrapText="1"/>
    </xf>
    <xf numFmtId="177" fontId="18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left" vertical="center"/>
    </xf>
    <xf numFmtId="0" fontId="21" fillId="0" borderId="0" xfId="0" applyFont="1" applyFill="1" applyAlignment="1">
      <alignment horizontal="center" vertical="center"/>
    </xf>
    <xf numFmtId="0" fontId="19" fillId="0" borderId="0" xfId="0" applyFont="1" applyFill="1" applyAlignment="1" quotePrefix="1">
      <alignment horizontal="center" vertical="center"/>
    </xf>
    <xf numFmtId="0" fontId="11" fillId="0" borderId="1" xfId="0" applyFont="1" applyFill="1" applyBorder="1" applyAlignment="1" applyProtection="1" quotePrefix="1">
      <alignment horizontal="center" vertical="center" wrapText="1"/>
    </xf>
    <xf numFmtId="0" fontId="1" fillId="0" borderId="1" xfId="0" applyFont="1" applyFill="1" applyBorder="1" applyAlignment="1" applyProtection="1" quotePrefix="1">
      <alignment horizontal="center" vertical="center" wrapText="1"/>
    </xf>
    <xf numFmtId="0" fontId="9" fillId="0" borderId="1" xfId="0" applyFont="1" applyFill="1" applyBorder="1" applyAlignment="1" applyProtection="1" quotePrefix="1">
      <alignment horizontal="center" vertical="center" wrapText="1"/>
    </xf>
    <xf numFmtId="0" fontId="1" fillId="0" borderId="3" xfId="0" applyFont="1" applyFill="1" applyBorder="1" applyAlignment="1" applyProtection="1" quotePrefix="1">
      <alignment horizontal="center" vertical="center" wrapText="1"/>
    </xf>
    <xf numFmtId="0" fontId="6" fillId="0" borderId="1" xfId="0" applyFont="1" applyFill="1" applyBorder="1" applyAlignment="1" applyProtection="1" quotePrefix="1">
      <alignment horizontal="center" vertical="center" wrapText="1"/>
    </xf>
    <xf numFmtId="0" fontId="7" fillId="0" borderId="1" xfId="0" applyFont="1" applyFill="1" applyBorder="1" applyAlignment="1" applyProtection="1" quotePrefix="1">
      <alignment horizontal="center" vertical="center" wrapText="1"/>
    </xf>
  </cellXfs>
  <cellStyles count="10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" xfId="49"/>
    <cellStyle name="常规 2 3 3" xfId="50"/>
    <cellStyle name="Normal_Book1_INVOICE (Tray 2+ 3) 2003070091&amp;031212" xfId="51"/>
    <cellStyle name="常规 6" xfId="52"/>
    <cellStyle name="_ET_STYLE_NoName_00_" xfId="53"/>
    <cellStyle name="常规 5 2" xfId="54"/>
    <cellStyle name="常规 2 5" xfId="55"/>
    <cellStyle name="样式 1 2 2" xfId="56"/>
    <cellStyle name="常规 2 2 2" xfId="57"/>
    <cellStyle name="常规 2 2 3" xfId="58"/>
    <cellStyle name="样式 1 2 3" xfId="59"/>
    <cellStyle name="Normal 2" xfId="60"/>
    <cellStyle name="常规 2 2" xfId="61"/>
    <cellStyle name="常规_评审表" xfId="62"/>
    <cellStyle name="常规 2 3" xfId="63"/>
    <cellStyle name="常规 2 3 2" xfId="64"/>
    <cellStyle name="常规 2" xfId="65"/>
    <cellStyle name="常规 2 3 2 2" xfId="66"/>
    <cellStyle name="常规 2 4" xfId="67"/>
    <cellStyle name="常规 2 4 2" xfId="68"/>
    <cellStyle name="常规 3" xfId="69"/>
    <cellStyle name="常规 3 2" xfId="70"/>
    <cellStyle name="常规 3 2 2" xfId="71"/>
    <cellStyle name="常规 3 3" xfId="72"/>
    <cellStyle name="常规 4" xfId="73"/>
    <cellStyle name="常规 4 2" xfId="74"/>
    <cellStyle name="常规 4 2 2" xfId="75"/>
    <cellStyle name="常规 4 3" xfId="76"/>
    <cellStyle name="常规 5" xfId="77"/>
    <cellStyle name="常规_2014年Basic Concepts合同评审表(3)" xfId="78"/>
    <cellStyle name="常规_Sheet3" xfId="79"/>
    <cellStyle name="常规_排期" xfId="80"/>
    <cellStyle name="千位分隔 2" xfId="81"/>
    <cellStyle name="千位分隔 2 2" xfId="82"/>
    <cellStyle name="千位分隔 2 4" xfId="83"/>
    <cellStyle name="千位分隔 2 2 2" xfId="84"/>
    <cellStyle name="千位分隔 2 2 2 2" xfId="85"/>
    <cellStyle name="千位分隔 2 2 3" xfId="86"/>
    <cellStyle name="常规_华登制品" xfId="87"/>
    <cellStyle name="千位分隔 2 3" xfId="88"/>
    <cellStyle name="千位分隔 2 3 2" xfId="89"/>
    <cellStyle name="样式 1" xfId="90"/>
    <cellStyle name="样式 1 2" xfId="91"/>
    <cellStyle name="样式 1 2 2 2" xfId="92"/>
    <cellStyle name="样式 1 3" xfId="93"/>
    <cellStyle name="样式 1 3 2" xfId="94"/>
    <cellStyle name="样式 1 4" xfId="95"/>
    <cellStyle name="常规_内部明细" xfId="96"/>
    <cellStyle name="常规_成品库存总表_成品库存表1" xfId="97"/>
    <cellStyle name="Normal_RCI CON_ERTL EUROPE - Oct 2002 (1A)_RCIL - JAN 2004  (CPD)1_RCIL - MAR 2004  (CPD)" xfId="98"/>
    <cellStyle name="Normal_RCI CON_ERTL EUROPE - Oct 2002 (1A)_RCIL - JAN 2004  (CPD)1_RCIL - MAR 2004  (CPD) 2" xfId="9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colors>
    <mruColors>
      <color rgb="00FAE5F8"/>
      <color rgb="000000FF"/>
      <color rgb="001552D1"/>
      <color rgb="001B1BFB"/>
      <color rgb="00E82EE6"/>
      <color rgb="00FF00FF"/>
      <color rgb="00ECA7E6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149" dbFileVersion="0" changeLogVersion="0">
    <open main="24" threadCnt="1"/>
    <sheetInfos>
      <sheetInfo cellCmpFml="0" sheetStid="48">
        <open main="1" threadCnt="1"/>
      </sheetInfo>
      <sheetInfo cellCmpFml="43" sheetStid="47">
        <open main="2" threadCnt="1"/>
      </sheetInfo>
      <sheetInfo cellCmpFml="55" sheetStid="57">
        <open main="2" threadCnt="1"/>
      </sheetInfo>
      <sheetInfo cellCmpFml="25" sheetStid="55">
        <open main="2" threadCnt="1"/>
      </sheetInfo>
      <sheetInfo cellCmpFml="26" sheetStid="58">
        <open main="3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www.wps.cn/officeDocument/2023/relationships/woinfos" Target="woinfos.xml"/><Relationship Id="rId11" Type="http://schemas.openxmlformats.org/officeDocument/2006/relationships/styles" Target="styles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8"/>
  <sheetViews>
    <sheetView workbookViewId="0">
      <pane ySplit="1" topLeftCell="A90" activePane="bottomLeft" state="frozen"/>
      <selection/>
      <selection pane="bottomLeft" activeCell="C109" sqref="C109"/>
    </sheetView>
  </sheetViews>
  <sheetFormatPr defaultColWidth="9" defaultRowHeight="20.1" customHeight="1" outlineLevelCol="5"/>
  <cols>
    <col min="1" max="1" width="15.625" style="213" customWidth="1"/>
    <col min="2" max="2" width="21.25" style="213" customWidth="1"/>
    <col min="3" max="3" width="5.625" style="213" customWidth="1"/>
    <col min="4" max="4" width="8.625" style="213" customWidth="1"/>
    <col min="5" max="6" width="9" style="214"/>
    <col min="7" max="16384" width="9" style="213"/>
  </cols>
  <sheetData>
    <row r="1" s="213" customFormat="1" customHeight="1" spans="1:6">
      <c r="A1" s="213" t="s">
        <v>0</v>
      </c>
      <c r="B1" s="213" t="s">
        <v>1</v>
      </c>
      <c r="C1" s="213" t="s">
        <v>2</v>
      </c>
      <c r="D1" s="213" t="s">
        <v>3</v>
      </c>
    </row>
    <row r="2" s="213" customFormat="1" customHeight="1" spans="1:6">
      <c r="A2" s="213">
        <v>47329</v>
      </c>
      <c r="B2" s="215" t="s">
        <v>4</v>
      </c>
      <c r="C2" s="215">
        <v>2</v>
      </c>
      <c r="D2" s="215" t="s">
        <v>5</v>
      </c>
      <c r="E2" s="214"/>
      <c r="F2" s="214"/>
    </row>
    <row r="3" s="213" customFormat="1" customHeight="1" spans="1:6">
      <c r="A3" s="213">
        <v>47399</v>
      </c>
      <c r="B3" s="215" t="s">
        <v>6</v>
      </c>
      <c r="C3" s="215">
        <v>4</v>
      </c>
      <c r="D3" s="215" t="s">
        <v>7</v>
      </c>
      <c r="E3" s="214"/>
      <c r="F3" s="214"/>
    </row>
    <row r="4" s="213" customFormat="1" customHeight="1" spans="1:6">
      <c r="A4" s="215">
        <v>47550</v>
      </c>
      <c r="B4" s="215" t="s">
        <v>8</v>
      </c>
      <c r="C4" s="215">
        <v>4</v>
      </c>
      <c r="D4" s="215" t="s">
        <v>7</v>
      </c>
      <c r="E4" s="214"/>
      <c r="F4" s="214"/>
    </row>
    <row r="5" s="213" customFormat="1" customHeight="1" spans="1:6">
      <c r="A5" s="213">
        <v>47615</v>
      </c>
      <c r="B5" s="215" t="s">
        <v>9</v>
      </c>
      <c r="C5" s="215">
        <v>6</v>
      </c>
      <c r="D5" s="215" t="s">
        <v>7</v>
      </c>
      <c r="E5" s="214"/>
      <c r="F5" s="214"/>
    </row>
    <row r="6" s="213" customFormat="1" customHeight="1" spans="1:6">
      <c r="A6" s="213">
        <v>47640</v>
      </c>
      <c r="B6" s="215" t="s">
        <v>10</v>
      </c>
      <c r="C6" s="215">
        <v>2</v>
      </c>
      <c r="D6" s="215" t="s">
        <v>7</v>
      </c>
      <c r="E6" s="214"/>
      <c r="F6" s="214"/>
    </row>
    <row r="7" s="213" customFormat="1" customHeight="1" spans="1:6">
      <c r="A7" s="215">
        <v>47669</v>
      </c>
      <c r="B7" s="215" t="s">
        <v>11</v>
      </c>
      <c r="C7" s="215">
        <v>4</v>
      </c>
      <c r="D7" s="215" t="s">
        <v>12</v>
      </c>
      <c r="E7" s="214"/>
      <c r="F7" s="214"/>
    </row>
    <row r="8" s="213" customFormat="1" customHeight="1" spans="1:6">
      <c r="A8" s="215">
        <v>47674</v>
      </c>
      <c r="B8" s="215" t="s">
        <v>13</v>
      </c>
      <c r="C8" s="215">
        <v>2</v>
      </c>
      <c r="D8" s="215" t="s">
        <v>12</v>
      </c>
      <c r="E8" s="214"/>
      <c r="F8" s="214"/>
    </row>
    <row r="9" s="213" customFormat="1" customHeight="1" spans="1:6">
      <c r="A9" s="215" t="s">
        <v>14</v>
      </c>
      <c r="B9" s="215" t="s">
        <v>15</v>
      </c>
      <c r="C9" s="215">
        <v>2</v>
      </c>
      <c r="D9" s="215" t="s">
        <v>5</v>
      </c>
      <c r="E9" s="214"/>
      <c r="F9" s="214"/>
    </row>
    <row r="10" s="213" customFormat="1" customHeight="1" spans="1:6">
      <c r="A10" s="215" t="s">
        <v>16</v>
      </c>
      <c r="B10" s="215" t="s">
        <v>15</v>
      </c>
      <c r="C10" s="215">
        <v>2</v>
      </c>
      <c r="D10" s="215" t="s">
        <v>5</v>
      </c>
      <c r="E10" s="214"/>
      <c r="F10" s="214"/>
    </row>
    <row r="11" s="213" customFormat="1" customHeight="1" spans="1:6">
      <c r="A11" s="215" t="s">
        <v>17</v>
      </c>
      <c r="B11" s="215" t="s">
        <v>15</v>
      </c>
      <c r="C11" s="215">
        <v>2</v>
      </c>
      <c r="D11" s="215" t="s">
        <v>5</v>
      </c>
      <c r="E11" s="214"/>
      <c r="F11" s="214"/>
    </row>
    <row r="12" s="213" customFormat="1" customHeight="1" spans="1:6">
      <c r="A12" s="215" t="s">
        <v>18</v>
      </c>
      <c r="B12" s="215" t="s">
        <v>19</v>
      </c>
      <c r="C12" s="215">
        <v>2</v>
      </c>
      <c r="D12" s="215" t="s">
        <v>5</v>
      </c>
      <c r="E12" s="214"/>
      <c r="F12" s="214"/>
    </row>
    <row r="13" s="213" customFormat="1" customHeight="1" spans="1:6">
      <c r="A13" s="215" t="s">
        <v>20</v>
      </c>
      <c r="B13" s="215" t="s">
        <v>21</v>
      </c>
      <c r="C13" s="215">
        <v>2</v>
      </c>
      <c r="D13" s="215" t="s">
        <v>12</v>
      </c>
      <c r="E13" s="214"/>
      <c r="F13" s="214"/>
    </row>
    <row r="14" s="213" customFormat="1" customHeight="1" spans="1:6">
      <c r="A14" s="215" t="s">
        <v>22</v>
      </c>
      <c r="B14" s="215" t="s">
        <v>23</v>
      </c>
      <c r="C14" s="215">
        <v>2</v>
      </c>
      <c r="D14" s="215" t="s">
        <v>5</v>
      </c>
      <c r="E14" s="214"/>
      <c r="F14" s="214"/>
    </row>
    <row r="15" s="213" customFormat="1" customHeight="1" spans="1:6">
      <c r="A15" s="213" t="s">
        <v>24</v>
      </c>
      <c r="B15" s="215" t="s">
        <v>25</v>
      </c>
      <c r="C15" s="215">
        <v>4</v>
      </c>
      <c r="D15" s="215" t="s">
        <v>7</v>
      </c>
      <c r="E15" s="214"/>
      <c r="F15" s="214"/>
    </row>
    <row r="16" s="213" customFormat="1" customHeight="1" spans="1:6">
      <c r="A16" s="213" t="s">
        <v>26</v>
      </c>
      <c r="B16" s="215" t="s">
        <v>27</v>
      </c>
      <c r="C16" s="215">
        <v>4</v>
      </c>
      <c r="D16" s="215" t="s">
        <v>7</v>
      </c>
      <c r="E16" s="214"/>
      <c r="F16" s="214"/>
    </row>
    <row r="17" s="213" customFormat="1" customHeight="1" spans="1:6">
      <c r="A17" s="213" t="s">
        <v>28</v>
      </c>
      <c r="B17" s="215" t="s">
        <v>27</v>
      </c>
      <c r="C17" s="215">
        <v>4</v>
      </c>
      <c r="D17" s="215" t="s">
        <v>7</v>
      </c>
      <c r="E17" s="214"/>
      <c r="F17" s="214"/>
    </row>
    <row r="18" s="213" customFormat="1" customHeight="1" spans="1:6">
      <c r="A18" s="215" t="s">
        <v>29</v>
      </c>
      <c r="B18" s="215" t="s">
        <v>30</v>
      </c>
      <c r="C18" s="213">
        <v>4</v>
      </c>
      <c r="D18" s="215" t="s">
        <v>12</v>
      </c>
      <c r="E18" s="214"/>
      <c r="F18" s="214"/>
    </row>
    <row r="19" s="213" customFormat="1" customHeight="1" spans="1:6">
      <c r="A19" s="215" t="s">
        <v>31</v>
      </c>
      <c r="B19" s="215" t="s">
        <v>32</v>
      </c>
      <c r="C19" s="213">
        <v>1</v>
      </c>
      <c r="D19" s="215" t="s">
        <v>12</v>
      </c>
      <c r="E19" s="214"/>
      <c r="F19" s="214"/>
    </row>
    <row r="20" s="213" customFormat="1" customHeight="1" spans="1:6">
      <c r="A20" s="213" t="s">
        <v>33</v>
      </c>
      <c r="B20" s="215" t="s">
        <v>34</v>
      </c>
      <c r="C20" s="215">
        <v>1</v>
      </c>
      <c r="D20" s="215" t="s">
        <v>7</v>
      </c>
      <c r="E20" s="214"/>
      <c r="F20" s="214"/>
    </row>
    <row r="21" s="213" customFormat="1" customHeight="1" spans="1:6">
      <c r="A21" s="215" t="s">
        <v>35</v>
      </c>
      <c r="B21" s="215" t="s">
        <v>36</v>
      </c>
      <c r="C21" s="213">
        <v>2</v>
      </c>
      <c r="D21" s="215" t="s">
        <v>12</v>
      </c>
      <c r="E21" s="214"/>
      <c r="F21" s="214"/>
    </row>
    <row r="22" s="213" customFormat="1" customHeight="1" spans="1:6">
      <c r="A22" s="215" t="s">
        <v>37</v>
      </c>
      <c r="B22" s="215" t="s">
        <v>38</v>
      </c>
      <c r="C22" s="213">
        <v>4</v>
      </c>
      <c r="D22" s="215" t="s">
        <v>12</v>
      </c>
      <c r="E22" s="214"/>
      <c r="F22" s="214"/>
    </row>
    <row r="23" s="213" customFormat="1" customHeight="1" spans="1:6">
      <c r="A23" s="215" t="s">
        <v>39</v>
      </c>
      <c r="B23" s="215" t="s">
        <v>40</v>
      </c>
      <c r="C23" s="213">
        <v>2</v>
      </c>
      <c r="D23" s="215" t="s">
        <v>12</v>
      </c>
      <c r="E23" s="214"/>
      <c r="F23" s="214"/>
    </row>
    <row r="24" s="213" customFormat="1" customHeight="1" spans="1:6">
      <c r="A24" s="215" t="s">
        <v>41</v>
      </c>
      <c r="B24" s="215" t="s">
        <v>42</v>
      </c>
      <c r="C24" s="213">
        <v>4</v>
      </c>
      <c r="D24" s="215" t="s">
        <v>12</v>
      </c>
      <c r="E24" s="214"/>
      <c r="F24" s="214"/>
    </row>
    <row r="25" s="213" customFormat="1" customHeight="1" spans="1:6">
      <c r="A25" s="215" t="s">
        <v>43</v>
      </c>
      <c r="B25" s="215" t="s">
        <v>11</v>
      </c>
      <c r="C25" s="213">
        <v>4</v>
      </c>
      <c r="D25" s="215" t="s">
        <v>12</v>
      </c>
      <c r="E25" s="214"/>
      <c r="F25" s="214"/>
    </row>
    <row r="26" s="213" customFormat="1" customHeight="1" spans="1:6">
      <c r="A26" s="215" t="s">
        <v>44</v>
      </c>
      <c r="B26" s="215" t="s">
        <v>13</v>
      </c>
      <c r="C26" s="213">
        <v>2</v>
      </c>
      <c r="D26" s="215" t="s">
        <v>12</v>
      </c>
      <c r="E26" s="214"/>
      <c r="F26" s="214"/>
    </row>
    <row r="27" s="213" customFormat="1" customHeight="1" spans="1:6">
      <c r="A27" s="215" t="s">
        <v>45</v>
      </c>
      <c r="B27" s="215" t="s">
        <v>13</v>
      </c>
      <c r="C27" s="213">
        <v>2</v>
      </c>
      <c r="D27" s="215" t="s">
        <v>12</v>
      </c>
      <c r="E27" s="214"/>
      <c r="F27" s="214"/>
    </row>
    <row r="28" s="213" customFormat="1" customHeight="1" spans="1:6">
      <c r="A28" s="215" t="s">
        <v>46</v>
      </c>
      <c r="B28" s="215" t="s">
        <v>47</v>
      </c>
      <c r="C28" s="215">
        <v>2</v>
      </c>
      <c r="D28" s="215" t="s">
        <v>7</v>
      </c>
      <c r="E28" s="214"/>
      <c r="F28" s="214"/>
    </row>
    <row r="29" s="213" customFormat="1" customHeight="1" spans="1:6">
      <c r="A29" s="215" t="s">
        <v>48</v>
      </c>
      <c r="B29" s="215" t="s">
        <v>49</v>
      </c>
      <c r="C29" s="213">
        <v>4</v>
      </c>
      <c r="D29" s="215" t="s">
        <v>12</v>
      </c>
      <c r="E29" s="214"/>
      <c r="F29" s="214"/>
    </row>
    <row r="30" s="213" customFormat="1" customHeight="1" spans="1:6">
      <c r="A30" s="215" t="s">
        <v>50</v>
      </c>
      <c r="B30" s="215" t="s">
        <v>51</v>
      </c>
      <c r="C30" s="213">
        <v>2</v>
      </c>
      <c r="D30" s="215" t="s">
        <v>12</v>
      </c>
      <c r="E30" s="214"/>
      <c r="F30" s="214"/>
    </row>
    <row r="31" s="213" customFormat="1" customHeight="1" spans="1:6">
      <c r="A31" s="215" t="s">
        <v>52</v>
      </c>
      <c r="B31" s="215" t="s">
        <v>51</v>
      </c>
      <c r="C31" s="213">
        <v>6</v>
      </c>
      <c r="D31" s="215" t="s">
        <v>12</v>
      </c>
      <c r="E31" s="214"/>
      <c r="F31" s="214"/>
    </row>
    <row r="32" s="213" customFormat="1" customHeight="1" spans="1:6">
      <c r="A32" s="215" t="s">
        <v>53</v>
      </c>
      <c r="B32" s="215" t="s">
        <v>54</v>
      </c>
      <c r="C32" s="213">
        <v>6</v>
      </c>
      <c r="D32" s="215" t="s">
        <v>12</v>
      </c>
      <c r="E32" s="214"/>
      <c r="F32" s="214"/>
    </row>
    <row r="33" s="213" customFormat="1" customHeight="1" spans="1:6">
      <c r="A33" s="215" t="s">
        <v>55</v>
      </c>
      <c r="B33" s="215" t="s">
        <v>56</v>
      </c>
      <c r="C33" s="213">
        <v>6</v>
      </c>
      <c r="D33" s="215" t="s">
        <v>12</v>
      </c>
      <c r="E33" s="214"/>
      <c r="F33" s="214"/>
    </row>
    <row r="34" s="213" customFormat="1" customHeight="1" spans="1:6">
      <c r="A34" s="215" t="s">
        <v>57</v>
      </c>
      <c r="B34" s="215" t="s">
        <v>58</v>
      </c>
      <c r="C34" s="213">
        <v>6</v>
      </c>
      <c r="D34" s="215" t="s">
        <v>12</v>
      </c>
      <c r="E34" s="214"/>
      <c r="F34" s="214"/>
    </row>
    <row r="35" s="213" customFormat="1" customHeight="1" spans="1:6">
      <c r="A35" s="213" t="s">
        <v>59</v>
      </c>
      <c r="B35" s="215" t="s">
        <v>60</v>
      </c>
      <c r="C35" s="215">
        <v>6</v>
      </c>
      <c r="D35" s="215" t="s">
        <v>7</v>
      </c>
      <c r="E35" s="214"/>
      <c r="F35" s="214"/>
    </row>
    <row r="36" s="213" customFormat="1" customHeight="1" spans="1:6">
      <c r="A36" s="213" t="s">
        <v>61</v>
      </c>
      <c r="B36" s="215" t="s">
        <v>60</v>
      </c>
      <c r="C36" s="215">
        <v>4</v>
      </c>
      <c r="D36" s="215" t="s">
        <v>7</v>
      </c>
      <c r="E36" s="214"/>
      <c r="F36" s="214"/>
    </row>
    <row r="37" s="213" customFormat="1" customHeight="1" spans="1:6">
      <c r="A37" s="215" t="s">
        <v>62</v>
      </c>
      <c r="B37" s="215" t="s">
        <v>63</v>
      </c>
      <c r="C37" s="215">
        <v>4</v>
      </c>
      <c r="D37" s="215" t="s">
        <v>12</v>
      </c>
      <c r="E37" s="214"/>
      <c r="F37" s="214"/>
    </row>
    <row r="38" s="213" customFormat="1" customHeight="1" spans="1:6">
      <c r="A38" s="215" t="s">
        <v>64</v>
      </c>
      <c r="B38" s="215" t="s">
        <v>65</v>
      </c>
      <c r="C38" s="213">
        <v>4</v>
      </c>
      <c r="D38" s="215" t="s">
        <v>12</v>
      </c>
      <c r="E38" s="214"/>
      <c r="F38" s="214"/>
    </row>
    <row r="39" s="213" customFormat="1" customHeight="1" spans="1:6">
      <c r="A39" s="213" t="s">
        <v>66</v>
      </c>
      <c r="B39" s="215" t="s">
        <v>67</v>
      </c>
      <c r="C39" s="215">
        <v>18</v>
      </c>
      <c r="D39" s="215" t="s">
        <v>7</v>
      </c>
      <c r="E39" s="214"/>
      <c r="F39" s="214"/>
    </row>
    <row r="40" s="213" customFormat="1" customHeight="1" spans="1:6">
      <c r="A40" s="213" t="s">
        <v>68</v>
      </c>
      <c r="B40" s="215" t="s">
        <v>69</v>
      </c>
      <c r="C40" s="215">
        <v>6</v>
      </c>
      <c r="D40" s="215" t="s">
        <v>7</v>
      </c>
      <c r="E40" s="214"/>
      <c r="F40" s="214"/>
    </row>
    <row r="41" s="213" customFormat="1" customHeight="1" spans="1:6">
      <c r="A41" s="213" t="s">
        <v>70</v>
      </c>
      <c r="B41" s="215" t="s">
        <v>69</v>
      </c>
      <c r="C41" s="215">
        <v>6</v>
      </c>
      <c r="D41" s="213" t="s">
        <v>7</v>
      </c>
      <c r="E41" s="214"/>
      <c r="F41" s="214"/>
    </row>
    <row r="42" s="213" customFormat="1" customHeight="1" spans="1:6">
      <c r="A42" s="215" t="s">
        <v>71</v>
      </c>
      <c r="B42" s="215" t="s">
        <v>69</v>
      </c>
      <c r="C42" s="215">
        <v>6</v>
      </c>
      <c r="D42" s="215" t="s">
        <v>7</v>
      </c>
      <c r="E42" s="214"/>
      <c r="F42" s="214"/>
    </row>
    <row r="43" s="213" customFormat="1" customHeight="1" spans="1:6">
      <c r="A43" s="215" t="s">
        <v>72</v>
      </c>
      <c r="B43" s="215" t="s">
        <v>73</v>
      </c>
      <c r="C43" s="213">
        <v>6</v>
      </c>
      <c r="D43" s="215" t="s">
        <v>12</v>
      </c>
      <c r="E43" s="214"/>
      <c r="F43" s="214"/>
    </row>
    <row r="44" s="213" customFormat="1" customHeight="1" spans="1:6">
      <c r="A44" s="213" t="s">
        <v>74</v>
      </c>
      <c r="B44" s="215" t="s">
        <v>75</v>
      </c>
      <c r="C44" s="215">
        <v>36</v>
      </c>
      <c r="D44" s="215" t="s">
        <v>7</v>
      </c>
      <c r="E44" s="214"/>
      <c r="F44" s="214"/>
    </row>
    <row r="45" s="213" customFormat="1" customHeight="1" spans="1:6">
      <c r="A45" s="213" t="s">
        <v>76</v>
      </c>
      <c r="B45" s="215" t="s">
        <v>67</v>
      </c>
      <c r="C45" s="215">
        <v>18</v>
      </c>
      <c r="D45" s="215" t="s">
        <v>7</v>
      </c>
      <c r="E45" s="214"/>
      <c r="F45" s="214"/>
    </row>
    <row r="46" s="213" customFormat="1" customHeight="1" spans="1:6">
      <c r="A46" s="213" t="s">
        <v>77</v>
      </c>
      <c r="B46" s="213" t="s">
        <v>75</v>
      </c>
      <c r="C46" s="213">
        <v>36</v>
      </c>
      <c r="D46" s="213" t="s">
        <v>7</v>
      </c>
      <c r="E46" s="214"/>
      <c r="F46" s="214"/>
    </row>
    <row r="47" s="213" customFormat="1" customHeight="1" spans="1:6">
      <c r="A47" s="213">
        <v>46088</v>
      </c>
      <c r="B47" s="213" t="s">
        <v>78</v>
      </c>
      <c r="C47" s="213">
        <v>1</v>
      </c>
      <c r="D47" s="213" t="s">
        <v>5</v>
      </c>
      <c r="E47" s="214"/>
      <c r="F47" s="214"/>
    </row>
    <row r="48" s="213" customFormat="1" customHeight="1" spans="1:6">
      <c r="A48" s="213" t="s">
        <v>79</v>
      </c>
      <c r="B48" s="213" t="s">
        <v>80</v>
      </c>
      <c r="C48" s="213">
        <v>12</v>
      </c>
      <c r="D48" s="213" t="s">
        <v>7</v>
      </c>
      <c r="E48" s="214"/>
      <c r="F48" s="214"/>
    </row>
    <row r="49" s="213" customFormat="1" customHeight="1" spans="1:6">
      <c r="A49" s="213">
        <v>43379</v>
      </c>
      <c r="B49" s="213" t="s">
        <v>80</v>
      </c>
      <c r="C49" s="213">
        <v>12</v>
      </c>
      <c r="D49" s="213" t="s">
        <v>7</v>
      </c>
      <c r="E49" s="214"/>
      <c r="F49" s="214"/>
    </row>
    <row r="50" s="213" customFormat="1" customHeight="1" spans="1:6">
      <c r="A50" s="213" t="s">
        <v>81</v>
      </c>
      <c r="B50" s="215" t="s">
        <v>69</v>
      </c>
      <c r="C50" s="215">
        <v>6</v>
      </c>
      <c r="D50" s="215" t="s">
        <v>7</v>
      </c>
      <c r="E50" s="214"/>
      <c r="F50" s="214"/>
    </row>
    <row r="51" s="213" customFormat="1" customHeight="1" spans="1:6">
      <c r="A51" s="213" t="s">
        <v>82</v>
      </c>
      <c r="B51" s="215" t="s">
        <v>69</v>
      </c>
      <c r="C51" s="215">
        <v>6</v>
      </c>
      <c r="D51" s="215" t="s">
        <v>7</v>
      </c>
      <c r="E51" s="214"/>
      <c r="F51" s="214"/>
    </row>
    <row r="52" s="213" customFormat="1" customHeight="1" spans="1:6">
      <c r="A52" s="213" t="s">
        <v>83</v>
      </c>
      <c r="B52" s="215" t="s">
        <v>67</v>
      </c>
      <c r="C52" s="215">
        <v>18</v>
      </c>
      <c r="D52" s="215" t="s">
        <v>7</v>
      </c>
      <c r="E52" s="214"/>
      <c r="F52" s="214"/>
    </row>
    <row r="53" s="213" customFormat="1" customHeight="1" spans="1:6">
      <c r="A53" s="213" t="s">
        <v>84</v>
      </c>
      <c r="B53" s="215" t="s">
        <v>69</v>
      </c>
      <c r="C53" s="215">
        <v>6</v>
      </c>
      <c r="D53" s="215" t="s">
        <v>7</v>
      </c>
      <c r="E53" s="214"/>
      <c r="F53" s="214"/>
    </row>
    <row r="54" s="213" customFormat="1" customHeight="1" spans="1:6">
      <c r="A54" s="213" t="s">
        <v>85</v>
      </c>
      <c r="B54" s="215" t="s">
        <v>69</v>
      </c>
      <c r="C54" s="215">
        <v>6</v>
      </c>
      <c r="D54" s="215" t="s">
        <v>7</v>
      </c>
      <c r="E54" s="214"/>
      <c r="F54" s="214"/>
    </row>
    <row r="55" s="213" customFormat="1" customHeight="1" spans="1:6">
      <c r="A55" s="213" t="s">
        <v>86</v>
      </c>
      <c r="B55" s="215" t="s">
        <v>69</v>
      </c>
      <c r="C55" s="215">
        <v>6</v>
      </c>
      <c r="D55" s="215" t="s">
        <v>7</v>
      </c>
      <c r="E55" s="214"/>
      <c r="F55" s="214"/>
    </row>
    <row r="56" customHeight="1" spans="1:6">
      <c r="A56" s="213" t="s">
        <v>87</v>
      </c>
      <c r="B56" s="215" t="s">
        <v>32</v>
      </c>
      <c r="C56" s="213">
        <v>1</v>
      </c>
      <c r="D56" s="215" t="s">
        <v>12</v>
      </c>
    </row>
    <row r="57" customHeight="1" spans="1:6">
      <c r="A57" s="213" t="s">
        <v>88</v>
      </c>
      <c r="B57" s="213" t="s">
        <v>67</v>
      </c>
      <c r="C57" s="213">
        <v>18</v>
      </c>
      <c r="D57" s="215" t="s">
        <v>12</v>
      </c>
    </row>
    <row r="58" customHeight="1" spans="1:6">
      <c r="A58" s="213" t="s">
        <v>89</v>
      </c>
      <c r="B58" s="213" t="s">
        <v>90</v>
      </c>
      <c r="C58" s="213">
        <v>6</v>
      </c>
      <c r="D58" s="215" t="s">
        <v>12</v>
      </c>
    </row>
    <row r="59" customHeight="1" spans="1:6">
      <c r="A59" s="213" t="s">
        <v>91</v>
      </c>
      <c r="B59" s="213" t="s">
        <v>92</v>
      </c>
      <c r="C59" s="213">
        <v>6</v>
      </c>
      <c r="D59" s="215" t="s">
        <v>12</v>
      </c>
    </row>
    <row r="60" customHeight="1" spans="1:6">
      <c r="A60" s="213" t="s">
        <v>93</v>
      </c>
      <c r="B60" s="213" t="s">
        <v>94</v>
      </c>
      <c r="C60" s="213">
        <v>6</v>
      </c>
      <c r="D60" s="215" t="s">
        <v>12</v>
      </c>
    </row>
    <row r="61" customHeight="1" spans="1:6">
      <c r="A61" s="213" t="s">
        <v>95</v>
      </c>
      <c r="B61" s="213" t="s">
        <v>96</v>
      </c>
      <c r="C61" s="213">
        <v>4</v>
      </c>
      <c r="D61" s="215" t="s">
        <v>12</v>
      </c>
    </row>
    <row r="62" customHeight="1" spans="1:6">
      <c r="A62" s="213" t="s">
        <v>97</v>
      </c>
      <c r="B62" s="213" t="s">
        <v>98</v>
      </c>
      <c r="C62" s="213">
        <v>4</v>
      </c>
      <c r="D62" s="215" t="s">
        <v>12</v>
      </c>
    </row>
    <row r="63" customHeight="1" spans="1:6">
      <c r="A63" s="213" t="s">
        <v>99</v>
      </c>
      <c r="B63" s="213" t="s">
        <v>100</v>
      </c>
      <c r="C63" s="213">
        <v>6</v>
      </c>
      <c r="D63" s="215" t="s">
        <v>12</v>
      </c>
    </row>
    <row r="64" customHeight="1" spans="1:6">
      <c r="A64" s="213" t="s">
        <v>101</v>
      </c>
      <c r="B64" s="215" t="s">
        <v>23</v>
      </c>
      <c r="C64" s="215">
        <v>2</v>
      </c>
      <c r="D64" s="213" t="s">
        <v>5</v>
      </c>
    </row>
    <row r="65" customHeight="1" spans="1:4">
      <c r="A65" s="213" t="s">
        <v>102</v>
      </c>
      <c r="B65" s="213" t="s">
        <v>67</v>
      </c>
      <c r="C65" s="213">
        <v>18</v>
      </c>
      <c r="D65" s="215" t="s">
        <v>12</v>
      </c>
    </row>
    <row r="66" customHeight="1" spans="1:4">
      <c r="A66" s="213" t="s">
        <v>103</v>
      </c>
      <c r="B66" s="213" t="s">
        <v>75</v>
      </c>
      <c r="C66" s="213">
        <v>36</v>
      </c>
      <c r="D66" s="215" t="s">
        <v>12</v>
      </c>
    </row>
    <row r="67" customHeight="1" spans="1:4">
      <c r="A67" s="213" t="s">
        <v>104</v>
      </c>
      <c r="B67" s="213" t="s">
        <v>63</v>
      </c>
      <c r="C67" s="213">
        <v>4</v>
      </c>
      <c r="D67" s="215" t="s">
        <v>12</v>
      </c>
    </row>
    <row r="68" customHeight="1" spans="1:4">
      <c r="A68" s="213" t="s">
        <v>105</v>
      </c>
      <c r="B68" s="213" t="s">
        <v>106</v>
      </c>
      <c r="C68" s="213">
        <v>4</v>
      </c>
      <c r="D68" s="215" t="s">
        <v>12</v>
      </c>
    </row>
    <row r="69" customHeight="1" spans="1:4">
      <c r="A69" s="213" t="s">
        <v>107</v>
      </c>
      <c r="B69" s="213" t="s">
        <v>108</v>
      </c>
      <c r="C69" s="213">
        <v>4</v>
      </c>
      <c r="D69" s="215" t="s">
        <v>12</v>
      </c>
    </row>
    <row r="70" customHeight="1" spans="1:4">
      <c r="A70" s="213" t="s">
        <v>109</v>
      </c>
      <c r="B70" s="213" t="s">
        <v>110</v>
      </c>
      <c r="C70" s="213">
        <v>4</v>
      </c>
      <c r="D70" s="215" t="s">
        <v>12</v>
      </c>
    </row>
    <row r="71" customHeight="1" spans="1:4">
      <c r="A71" s="213" t="s">
        <v>111</v>
      </c>
      <c r="B71" s="213" t="s">
        <v>112</v>
      </c>
      <c r="C71" s="213">
        <v>4</v>
      </c>
      <c r="D71" s="215" t="s">
        <v>12</v>
      </c>
    </row>
    <row r="72" customHeight="1" spans="1:4">
      <c r="A72" s="213" t="s">
        <v>113</v>
      </c>
      <c r="B72" s="213" t="s">
        <v>114</v>
      </c>
      <c r="C72" s="213">
        <v>2</v>
      </c>
      <c r="D72" s="215" t="s">
        <v>12</v>
      </c>
    </row>
    <row r="73" customHeight="1" spans="1:4">
      <c r="A73" s="213" t="s">
        <v>115</v>
      </c>
      <c r="B73" s="213" t="s">
        <v>116</v>
      </c>
      <c r="C73" s="213">
        <v>4</v>
      </c>
      <c r="D73" s="215" t="s">
        <v>12</v>
      </c>
    </row>
    <row r="74" customHeight="1" spans="1:4">
      <c r="A74" s="213" t="s">
        <v>117</v>
      </c>
      <c r="B74" s="213" t="s">
        <v>94</v>
      </c>
      <c r="C74" s="213">
        <v>6</v>
      </c>
      <c r="D74" s="215" t="s">
        <v>12</v>
      </c>
    </row>
    <row r="75" customHeight="1" spans="1:4">
      <c r="A75" s="213" t="s">
        <v>118</v>
      </c>
      <c r="B75" s="213" t="s">
        <v>119</v>
      </c>
      <c r="C75" s="213">
        <v>4</v>
      </c>
      <c r="D75" s="215" t="s">
        <v>12</v>
      </c>
    </row>
    <row r="76" customHeight="1" spans="1:4">
      <c r="A76" s="213" t="s">
        <v>120</v>
      </c>
      <c r="B76" s="213" t="s">
        <v>121</v>
      </c>
      <c r="C76" s="213">
        <v>2</v>
      </c>
      <c r="D76" s="215" t="s">
        <v>12</v>
      </c>
    </row>
    <row r="77" customHeight="1" spans="1:4">
      <c r="A77" s="213" t="s">
        <v>122</v>
      </c>
      <c r="B77" s="213" t="s">
        <v>92</v>
      </c>
      <c r="C77" s="213">
        <v>6</v>
      </c>
      <c r="D77" s="215" t="s">
        <v>12</v>
      </c>
    </row>
    <row r="78" customHeight="1" spans="1:4">
      <c r="A78" s="213" t="s">
        <v>123</v>
      </c>
      <c r="B78" s="213" t="s">
        <v>94</v>
      </c>
      <c r="C78" s="213">
        <v>6</v>
      </c>
      <c r="D78" s="215" t="s">
        <v>12</v>
      </c>
    </row>
    <row r="79" customHeight="1" spans="1:4">
      <c r="A79" s="213" t="s">
        <v>124</v>
      </c>
      <c r="B79" s="213" t="s">
        <v>90</v>
      </c>
      <c r="C79" s="213">
        <v>6</v>
      </c>
      <c r="D79" s="215" t="s">
        <v>12</v>
      </c>
    </row>
    <row r="80" customHeight="1" spans="1:4">
      <c r="A80" s="213" t="s">
        <v>125</v>
      </c>
      <c r="B80" s="213" t="s">
        <v>100</v>
      </c>
      <c r="C80" s="213">
        <v>6</v>
      </c>
      <c r="D80" s="215" t="s">
        <v>12</v>
      </c>
    </row>
    <row r="81" customHeight="1" spans="1:5">
      <c r="A81" s="213" t="s">
        <v>126</v>
      </c>
      <c r="B81" s="213" t="s">
        <v>127</v>
      </c>
      <c r="C81" s="213">
        <v>4</v>
      </c>
      <c r="D81" s="215" t="s">
        <v>12</v>
      </c>
    </row>
    <row r="82" customHeight="1" spans="1:5">
      <c r="A82" s="213" t="s">
        <v>128</v>
      </c>
      <c r="B82" s="213" t="s">
        <v>75</v>
      </c>
      <c r="C82" s="213">
        <v>36</v>
      </c>
      <c r="D82" s="215" t="s">
        <v>12</v>
      </c>
    </row>
    <row r="83" customHeight="1" spans="1:5">
      <c r="A83" s="213" t="s">
        <v>129</v>
      </c>
      <c r="B83" s="213" t="s">
        <v>98</v>
      </c>
      <c r="C83" s="213">
        <v>4</v>
      </c>
      <c r="D83" s="215" t="s">
        <v>12</v>
      </c>
    </row>
    <row r="84" customHeight="1" spans="1:5">
      <c r="A84" s="213" t="s">
        <v>130</v>
      </c>
      <c r="B84" s="213" t="s">
        <v>96</v>
      </c>
      <c r="C84" s="213">
        <v>4</v>
      </c>
      <c r="D84" s="215" t="s">
        <v>12</v>
      </c>
    </row>
    <row r="85" customHeight="1" spans="1:5">
      <c r="A85" s="213" t="s">
        <v>131</v>
      </c>
      <c r="B85" s="213" t="s">
        <v>92</v>
      </c>
      <c r="C85" s="213">
        <v>6</v>
      </c>
      <c r="D85" s="215" t="s">
        <v>12</v>
      </c>
    </row>
    <row r="86" customHeight="1" spans="1:5">
      <c r="A86" s="219" t="s">
        <v>132</v>
      </c>
      <c r="B86" s="213" t="s">
        <v>94</v>
      </c>
      <c r="C86" s="213">
        <v>6</v>
      </c>
      <c r="D86" s="215" t="s">
        <v>12</v>
      </c>
    </row>
    <row r="87" customHeight="1" spans="1:5">
      <c r="A87" s="213" t="s">
        <v>133</v>
      </c>
      <c r="B87" s="213" t="s">
        <v>134</v>
      </c>
      <c r="C87" s="213">
        <v>24</v>
      </c>
      <c r="D87" s="215" t="s">
        <v>12</v>
      </c>
    </row>
    <row r="88" customHeight="1" spans="1:5">
      <c r="A88" s="213" t="s">
        <v>135</v>
      </c>
      <c r="B88" s="215" t="s">
        <v>13</v>
      </c>
      <c r="C88" s="213">
        <v>2</v>
      </c>
      <c r="D88" s="215" t="s">
        <v>12</v>
      </c>
    </row>
    <row r="89" customHeight="1" spans="1:5">
      <c r="A89" s="213" t="s">
        <v>136</v>
      </c>
      <c r="B89" s="213" t="s">
        <v>137</v>
      </c>
      <c r="C89" s="213">
        <v>2</v>
      </c>
      <c r="D89" s="215" t="s">
        <v>12</v>
      </c>
    </row>
    <row r="90" customHeight="1" spans="1:5">
      <c r="A90" s="213" t="s">
        <v>138</v>
      </c>
      <c r="B90" s="213" t="s">
        <v>139</v>
      </c>
      <c r="C90" s="213">
        <v>2</v>
      </c>
      <c r="D90" s="215" t="s">
        <v>12</v>
      </c>
    </row>
    <row r="91" customHeight="1" spans="1:5">
      <c r="A91" s="213" t="s">
        <v>140</v>
      </c>
      <c r="B91" s="213" t="s">
        <v>100</v>
      </c>
      <c r="C91" s="213">
        <v>6</v>
      </c>
      <c r="D91" s="215" t="s">
        <v>12</v>
      </c>
    </row>
    <row r="92" customHeight="1" spans="1:5">
      <c r="A92" s="213" t="s">
        <v>141</v>
      </c>
      <c r="B92" s="213" t="s">
        <v>142</v>
      </c>
      <c r="C92" s="213">
        <v>3</v>
      </c>
      <c r="D92" s="215" t="s">
        <v>12</v>
      </c>
    </row>
    <row r="93" customHeight="1" spans="1:5">
      <c r="A93" s="213" t="s">
        <v>143</v>
      </c>
      <c r="B93" s="213" t="s">
        <v>144</v>
      </c>
      <c r="C93" s="213">
        <v>6</v>
      </c>
      <c r="D93" s="216" t="s">
        <v>145</v>
      </c>
      <c r="E93" s="217" t="s">
        <v>146</v>
      </c>
    </row>
    <row r="94" customHeight="1" spans="1:5">
      <c r="A94" s="213" t="s">
        <v>147</v>
      </c>
      <c r="B94" s="213" t="s">
        <v>148</v>
      </c>
      <c r="C94" s="213">
        <v>2</v>
      </c>
      <c r="D94" s="216" t="s">
        <v>145</v>
      </c>
    </row>
    <row r="95" customHeight="1" spans="1:5">
      <c r="A95" s="213" t="s">
        <v>149</v>
      </c>
      <c r="D95" s="216" t="s">
        <v>145</v>
      </c>
    </row>
    <row r="96" customHeight="1" spans="1:5">
      <c r="A96" s="213" t="s">
        <v>150</v>
      </c>
      <c r="D96" s="216" t="s">
        <v>145</v>
      </c>
    </row>
    <row r="97" customHeight="1" spans="1:4">
      <c r="A97" s="213" t="s">
        <v>151</v>
      </c>
      <c r="D97" s="216" t="s">
        <v>145</v>
      </c>
    </row>
    <row r="98" customHeight="1" spans="1:4">
      <c r="A98" s="213" t="s">
        <v>152</v>
      </c>
      <c r="B98" s="213" t="s">
        <v>94</v>
      </c>
      <c r="C98" s="213">
        <v>6</v>
      </c>
      <c r="D98" s="215" t="s">
        <v>12</v>
      </c>
    </row>
    <row r="99" customHeight="1" spans="1:4">
      <c r="A99" s="213" t="s">
        <v>153</v>
      </c>
      <c r="B99" s="215" t="s">
        <v>11</v>
      </c>
      <c r="C99" s="213">
        <v>4</v>
      </c>
      <c r="D99" s="215" t="s">
        <v>12</v>
      </c>
    </row>
    <row r="100" customHeight="1" spans="1:4">
      <c r="A100" s="213" t="s">
        <v>154</v>
      </c>
      <c r="B100" s="215" t="s">
        <v>13</v>
      </c>
      <c r="C100" s="213">
        <v>2</v>
      </c>
      <c r="D100" s="215" t="s">
        <v>12</v>
      </c>
    </row>
    <row r="101" customHeight="1" spans="1:4">
      <c r="A101" s="213" t="s">
        <v>155</v>
      </c>
      <c r="B101" s="215" t="s">
        <v>27</v>
      </c>
      <c r="C101" s="215">
        <v>4</v>
      </c>
      <c r="D101" s="215" t="s">
        <v>7</v>
      </c>
    </row>
    <row r="102" customHeight="1" spans="1:4">
      <c r="A102" s="213">
        <v>46696</v>
      </c>
      <c r="B102" s="218" t="s">
        <v>156</v>
      </c>
      <c r="C102" s="213">
        <v>4</v>
      </c>
      <c r="D102" s="213" t="s">
        <v>5</v>
      </c>
    </row>
    <row r="103" customHeight="1" spans="1:4">
      <c r="A103" s="213" t="s">
        <v>157</v>
      </c>
      <c r="B103" s="215" t="s">
        <v>13</v>
      </c>
      <c r="C103" s="213">
        <v>2</v>
      </c>
      <c r="D103" s="215" t="s">
        <v>12</v>
      </c>
    </row>
    <row r="104" customHeight="1" spans="1:4">
      <c r="A104" s="213" t="s">
        <v>158</v>
      </c>
      <c r="B104" s="213" t="s">
        <v>142</v>
      </c>
      <c r="C104" s="213">
        <v>3</v>
      </c>
      <c r="D104" s="215" t="s">
        <v>12</v>
      </c>
    </row>
    <row r="105" customHeight="1" spans="1:4">
      <c r="A105" s="213" t="s">
        <v>159</v>
      </c>
      <c r="B105" s="213" t="s">
        <v>114</v>
      </c>
      <c r="C105" s="213">
        <v>2</v>
      </c>
      <c r="D105" s="215" t="s">
        <v>12</v>
      </c>
    </row>
    <row r="106" customHeight="1" spans="1:4">
      <c r="A106" s="213" t="s">
        <v>160</v>
      </c>
      <c r="B106" s="213" t="s">
        <v>161</v>
      </c>
      <c r="C106" s="213">
        <v>4</v>
      </c>
      <c r="D106" s="215" t="s">
        <v>12</v>
      </c>
    </row>
    <row r="107" customHeight="1" spans="1:4">
      <c r="A107" s="213" t="s">
        <v>162</v>
      </c>
      <c r="B107" s="218" t="s">
        <v>163</v>
      </c>
      <c r="C107" s="213">
        <v>2</v>
      </c>
      <c r="D107" s="215" t="s">
        <v>12</v>
      </c>
    </row>
    <row r="108" customHeight="1" spans="1:4">
      <c r="A108" s="213" t="s">
        <v>164</v>
      </c>
      <c r="B108" s="218" t="s">
        <v>165</v>
      </c>
      <c r="C108" s="213">
        <v>4</v>
      </c>
      <c r="D108" s="215" t="s">
        <v>12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D108" etc:filterBottomFollowUsedRange="0">
    <extLst/>
  </autoFilter>
  <conditionalFormatting sqref="A55">
    <cfRule type="duplicateValues" dxfId="0" priority="9"/>
  </conditionalFormatting>
  <conditionalFormatting sqref="A65">
    <cfRule type="duplicateValues" dxfId="0" priority="8"/>
  </conditionalFormatting>
  <conditionalFormatting sqref="A74">
    <cfRule type="duplicateValues" dxfId="0" priority="7"/>
  </conditionalFormatting>
  <conditionalFormatting sqref="A79">
    <cfRule type="duplicateValues" dxfId="0" priority="6"/>
  </conditionalFormatting>
  <conditionalFormatting sqref="A80">
    <cfRule type="duplicateValues" dxfId="0" priority="5"/>
  </conditionalFormatting>
  <conditionalFormatting sqref="A85">
    <cfRule type="duplicateValues" dxfId="0" priority="4"/>
  </conditionalFormatting>
  <conditionalFormatting sqref="A91">
    <cfRule type="duplicateValues" dxfId="0" priority="3"/>
  </conditionalFormatting>
  <conditionalFormatting sqref="A99">
    <cfRule type="duplicateValues" dxfId="0" priority="2"/>
  </conditionalFormatting>
  <conditionalFormatting sqref="A102">
    <cfRule type="duplicateValues" dxfId="0" priority="1"/>
  </conditionalFormatting>
  <conditionalFormatting sqref="A1:A54 A56:A64 A66:A73 A75:A78 A81:A84 A86:A90 A92:A98 A100:A101 A103:A1048576">
    <cfRule type="duplicateValues" dxfId="0" priority="10"/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X53"/>
  <sheetViews>
    <sheetView workbookViewId="0">
      <pane xSplit="7" ySplit="2" topLeftCell="V4" activePane="bottomRight" state="frozen"/>
      <selection/>
      <selection pane="topRight"/>
      <selection pane="bottomLeft"/>
      <selection pane="bottomRight" activeCell="F4" sqref="F4"/>
    </sheetView>
  </sheetViews>
  <sheetFormatPr defaultColWidth="9" defaultRowHeight="25" customHeight="1"/>
  <cols>
    <col min="1" max="1" width="12.6" style="157" customWidth="1"/>
    <col min="2" max="2" width="11.125" style="161" customWidth="1"/>
    <col min="3" max="3" width="12.6" style="158" customWidth="1"/>
    <col min="4" max="4" width="12.625" style="162" customWidth="1"/>
    <col min="5" max="5" width="15.1" style="158" customWidth="1"/>
    <col min="6" max="6" width="8.7" style="163" customWidth="1"/>
    <col min="7" max="7" width="12.625" style="157" customWidth="1"/>
    <col min="8" max="9" width="9.625" style="157" customWidth="1"/>
    <col min="10" max="10" width="11.1" style="157" customWidth="1"/>
    <col min="11" max="13" width="11.1" style="88" customWidth="1"/>
    <col min="14" max="14" width="16.1" style="88" customWidth="1"/>
    <col min="15" max="20" width="11.1" style="88" customWidth="1"/>
    <col min="21" max="21" width="8.6" style="164" customWidth="1"/>
    <col min="22" max="23" width="12.6" style="165" customWidth="1"/>
    <col min="24" max="24" width="6.625" style="157" customWidth="1"/>
    <col min="25" max="16384" width="9" style="157"/>
  </cols>
  <sheetData>
    <row r="1" s="157" customFormat="1" customHeight="1" spans="1:24">
      <c r="A1" s="166" t="s">
        <v>166</v>
      </c>
      <c r="B1" s="166"/>
      <c r="C1" s="166"/>
      <c r="D1" s="167"/>
      <c r="E1" s="166"/>
      <c r="F1" s="168"/>
      <c r="G1" s="166"/>
      <c r="H1" s="169"/>
      <c r="I1" s="169"/>
      <c r="J1" s="170"/>
      <c r="K1" s="86"/>
      <c r="L1" s="86"/>
      <c r="M1" s="86"/>
      <c r="N1" s="86"/>
      <c r="O1" s="86"/>
      <c r="P1" s="86"/>
      <c r="Q1" s="86"/>
      <c r="R1" s="86"/>
      <c r="S1" s="86"/>
      <c r="T1" s="86"/>
      <c r="U1" s="171"/>
      <c r="V1" s="133"/>
      <c r="W1" s="133"/>
      <c r="X1" s="86"/>
    </row>
    <row r="2" s="158" customFormat="1" ht="33" customHeight="1" spans="1:24">
      <c r="A2" s="172" t="s">
        <v>167</v>
      </c>
      <c r="B2" s="173" t="s">
        <v>168</v>
      </c>
      <c r="C2" s="16" t="s">
        <v>169</v>
      </c>
      <c r="D2" s="173" t="s">
        <v>170</v>
      </c>
      <c r="E2" s="173" t="s">
        <v>171</v>
      </c>
      <c r="F2" s="18" t="s">
        <v>172</v>
      </c>
      <c r="G2" s="174" t="s">
        <v>173</v>
      </c>
      <c r="H2" s="169" t="s">
        <v>174</v>
      </c>
      <c r="I2" s="169" t="s">
        <v>175</v>
      </c>
      <c r="J2" s="17" t="s">
        <v>176</v>
      </c>
      <c r="K2" s="17" t="s">
        <v>177</v>
      </c>
      <c r="L2" s="17" t="s">
        <v>178</v>
      </c>
      <c r="M2" s="17" t="s">
        <v>179</v>
      </c>
      <c r="N2" s="17" t="s">
        <v>180</v>
      </c>
      <c r="O2" s="17" t="s">
        <v>181</v>
      </c>
      <c r="P2" s="139" t="s">
        <v>182</v>
      </c>
      <c r="Q2" s="139" t="s">
        <v>183</v>
      </c>
      <c r="R2" s="139" t="s">
        <v>184</v>
      </c>
      <c r="S2" s="139" t="s">
        <v>185</v>
      </c>
      <c r="T2" s="139" t="s">
        <v>186</v>
      </c>
      <c r="U2" s="175" t="s">
        <v>187</v>
      </c>
      <c r="V2" s="133" t="s">
        <v>188</v>
      </c>
      <c r="W2" s="133" t="s">
        <v>189</v>
      </c>
      <c r="X2" s="170" t="s">
        <v>190</v>
      </c>
    </row>
    <row r="3" s="159" customFormat="1" customHeight="1" spans="1:24">
      <c r="A3" s="51">
        <v>46109</v>
      </c>
      <c r="B3" s="52" t="s">
        <v>191</v>
      </c>
      <c r="C3" s="69">
        <v>2640</v>
      </c>
      <c r="D3" s="69"/>
      <c r="E3" s="62" t="s">
        <v>174</v>
      </c>
      <c r="F3" s="70">
        <v>10002</v>
      </c>
      <c r="G3" s="51">
        <v>46213</v>
      </c>
      <c r="H3" s="176">
        <f>F3</f>
        <v>10002</v>
      </c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64">
        <v>25.2</v>
      </c>
      <c r="V3" s="178">
        <f t="shared" ref="V3:V11" si="0">SUM(H3:O3)*U3</f>
        <v>252050.4</v>
      </c>
      <c r="W3" s="178">
        <f t="shared" ref="W3:W15" si="1">V3*7.75</f>
        <v>1953390.6</v>
      </c>
      <c r="X3" s="53" t="s">
        <v>192</v>
      </c>
    </row>
    <row r="4" s="159" customFormat="1" customHeight="1" spans="1:24">
      <c r="A4" s="51">
        <v>46109</v>
      </c>
      <c r="B4" s="52" t="s">
        <v>191</v>
      </c>
      <c r="C4" s="69">
        <v>2640</v>
      </c>
      <c r="D4" s="69"/>
      <c r="E4" s="62" t="s">
        <v>174</v>
      </c>
      <c r="F4" s="70">
        <v>2670</v>
      </c>
      <c r="G4" s="51">
        <v>46223</v>
      </c>
      <c r="H4" s="176">
        <f>F4</f>
        <v>2670</v>
      </c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64">
        <v>25.2</v>
      </c>
      <c r="V4" s="178">
        <f t="shared" si="0"/>
        <v>67284</v>
      </c>
      <c r="W4" s="178">
        <f t="shared" si="1"/>
        <v>521451</v>
      </c>
      <c r="X4" s="53" t="s">
        <v>192</v>
      </c>
    </row>
    <row r="5" s="159" customFormat="1" ht="27" customHeight="1" spans="1:24">
      <c r="A5" s="51">
        <v>46109</v>
      </c>
      <c r="B5" s="52" t="s">
        <v>191</v>
      </c>
      <c r="C5" s="69">
        <v>2640</v>
      </c>
      <c r="D5" s="69"/>
      <c r="E5" s="62" t="s">
        <v>174</v>
      </c>
      <c r="F5" s="70">
        <v>22332</v>
      </c>
      <c r="G5" s="51">
        <v>46223</v>
      </c>
      <c r="H5" s="176">
        <f>F5</f>
        <v>22332</v>
      </c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64">
        <v>25.2</v>
      </c>
      <c r="V5" s="178">
        <f t="shared" si="0"/>
        <v>562766.4</v>
      </c>
      <c r="W5" s="178">
        <f t="shared" si="1"/>
        <v>4361439.6</v>
      </c>
      <c r="X5" s="53" t="s">
        <v>192</v>
      </c>
    </row>
    <row r="6" s="157" customFormat="1" ht="27" customHeight="1" spans="1:24">
      <c r="A6" s="41">
        <v>46109</v>
      </c>
      <c r="B6" s="42" t="s">
        <v>191</v>
      </c>
      <c r="C6" s="43">
        <v>2640</v>
      </c>
      <c r="D6" s="43"/>
      <c r="E6" s="17" t="s">
        <v>174</v>
      </c>
      <c r="F6" s="118">
        <v>10002</v>
      </c>
      <c r="G6" s="41">
        <v>46251</v>
      </c>
      <c r="H6" s="170">
        <f>F6</f>
        <v>10002</v>
      </c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121">
        <v>25.2</v>
      </c>
      <c r="V6" s="133">
        <f t="shared" si="0"/>
        <v>252050.4</v>
      </c>
      <c r="W6" s="133">
        <f t="shared" si="1"/>
        <v>1953390.6</v>
      </c>
      <c r="X6" s="132" t="s">
        <v>192</v>
      </c>
    </row>
    <row r="7" s="157" customFormat="1" ht="27" hidden="1" customHeight="1" spans="1:24">
      <c r="A7" s="41">
        <v>46128</v>
      </c>
      <c r="B7" s="42" t="s">
        <v>191</v>
      </c>
      <c r="C7" s="43" t="s">
        <v>193</v>
      </c>
      <c r="D7" s="43"/>
      <c r="E7" s="17" t="s">
        <v>175</v>
      </c>
      <c r="F7" s="118">
        <v>15000</v>
      </c>
      <c r="G7" s="41">
        <v>46258</v>
      </c>
      <c r="H7" s="86"/>
      <c r="I7" s="170">
        <f>F7</f>
        <v>15000</v>
      </c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121">
        <v>25.2</v>
      </c>
      <c r="V7" s="133">
        <f t="shared" si="0"/>
        <v>378000</v>
      </c>
      <c r="W7" s="133">
        <f t="shared" si="1"/>
        <v>2929500</v>
      </c>
      <c r="X7" s="132" t="s">
        <v>194</v>
      </c>
    </row>
    <row r="8" s="157" customFormat="1" ht="27" hidden="1" customHeight="1" spans="1:24">
      <c r="A8" s="41">
        <v>46128</v>
      </c>
      <c r="B8" s="42" t="s">
        <v>191</v>
      </c>
      <c r="C8" s="43" t="s">
        <v>193</v>
      </c>
      <c r="D8" s="43"/>
      <c r="E8" s="17" t="s">
        <v>175</v>
      </c>
      <c r="F8" s="118">
        <v>15000</v>
      </c>
      <c r="G8" s="41">
        <v>46265</v>
      </c>
      <c r="H8" s="86"/>
      <c r="I8" s="170">
        <f>F8</f>
        <v>15000</v>
      </c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121">
        <v>25.2</v>
      </c>
      <c r="V8" s="133">
        <f t="shared" si="0"/>
        <v>378000</v>
      </c>
      <c r="W8" s="133">
        <f t="shared" si="1"/>
        <v>2929500</v>
      </c>
      <c r="X8" s="132" t="s">
        <v>194</v>
      </c>
    </row>
    <row r="9" s="157" customFormat="1" ht="27" hidden="1" customHeight="1" spans="1:24">
      <c r="A9" s="41">
        <v>46128</v>
      </c>
      <c r="B9" s="42" t="s">
        <v>191</v>
      </c>
      <c r="C9" s="43" t="s">
        <v>193</v>
      </c>
      <c r="D9" s="43"/>
      <c r="E9" s="17" t="s">
        <v>175</v>
      </c>
      <c r="F9" s="118">
        <v>10002</v>
      </c>
      <c r="G9" s="41">
        <v>46272</v>
      </c>
      <c r="H9" s="86"/>
      <c r="I9" s="170">
        <f>F9</f>
        <v>10002</v>
      </c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121">
        <v>25.2</v>
      </c>
      <c r="V9" s="133">
        <f t="shared" si="0"/>
        <v>252050.4</v>
      </c>
      <c r="W9" s="133">
        <f t="shared" si="1"/>
        <v>1953390.6</v>
      </c>
      <c r="X9" s="132" t="s">
        <v>194</v>
      </c>
    </row>
    <row r="10" s="159" customFormat="1" ht="27" customHeight="1" spans="1:24">
      <c r="A10" s="51">
        <v>46156</v>
      </c>
      <c r="B10" s="52" t="s">
        <v>191</v>
      </c>
      <c r="C10" s="62">
        <v>2640</v>
      </c>
      <c r="D10" s="69"/>
      <c r="E10" s="62" t="s">
        <v>181</v>
      </c>
      <c r="F10" s="84">
        <v>5000</v>
      </c>
      <c r="G10" s="58">
        <v>46216</v>
      </c>
      <c r="H10" s="177"/>
      <c r="I10" s="177"/>
      <c r="J10" s="177"/>
      <c r="K10" s="177"/>
      <c r="L10" s="177"/>
      <c r="M10" s="177"/>
      <c r="N10" s="84"/>
      <c r="O10" s="176">
        <v>5000</v>
      </c>
      <c r="P10" s="176"/>
      <c r="Q10" s="176"/>
      <c r="R10" s="176"/>
      <c r="S10" s="176"/>
      <c r="T10" s="176"/>
      <c r="U10" s="179">
        <v>10.68</v>
      </c>
      <c r="V10" s="178">
        <f t="shared" si="0"/>
        <v>53400</v>
      </c>
      <c r="W10" s="178">
        <f t="shared" si="1"/>
        <v>413850</v>
      </c>
      <c r="X10" s="53" t="s">
        <v>192</v>
      </c>
    </row>
    <row r="11" s="159" customFormat="1" ht="27" customHeight="1" spans="1:24">
      <c r="A11" s="51">
        <v>46156</v>
      </c>
      <c r="B11" s="52" t="s">
        <v>191</v>
      </c>
      <c r="C11" s="62">
        <v>2640</v>
      </c>
      <c r="D11" s="69"/>
      <c r="E11" s="62" t="s">
        <v>181</v>
      </c>
      <c r="F11" s="84">
        <v>10000</v>
      </c>
      <c r="G11" s="58">
        <v>46244</v>
      </c>
      <c r="H11" s="176"/>
      <c r="I11" s="177"/>
      <c r="J11" s="177"/>
      <c r="K11" s="177"/>
      <c r="L11" s="177"/>
      <c r="M11" s="177"/>
      <c r="N11" s="84"/>
      <c r="O11" s="84">
        <v>10000</v>
      </c>
      <c r="P11" s="84"/>
      <c r="Q11" s="84"/>
      <c r="R11" s="84"/>
      <c r="S11" s="84"/>
      <c r="T11" s="84"/>
      <c r="U11" s="179">
        <v>10.68</v>
      </c>
      <c r="V11" s="178">
        <f t="shared" si="0"/>
        <v>106800</v>
      </c>
      <c r="W11" s="178">
        <f t="shared" si="1"/>
        <v>827700</v>
      </c>
      <c r="X11" s="53" t="s">
        <v>192</v>
      </c>
    </row>
    <row r="12" s="159" customFormat="1" ht="27" customHeight="1" spans="1:24">
      <c r="A12" s="51">
        <v>46156</v>
      </c>
      <c r="B12" s="52" t="s">
        <v>191</v>
      </c>
      <c r="C12" s="62" t="s">
        <v>195</v>
      </c>
      <c r="D12" s="69"/>
      <c r="E12" s="62" t="s">
        <v>181</v>
      </c>
      <c r="F12" s="70">
        <f>5000</f>
        <v>5000</v>
      </c>
      <c r="G12" s="58">
        <v>46230</v>
      </c>
      <c r="H12" s="177"/>
      <c r="I12" s="177"/>
      <c r="J12" s="177"/>
      <c r="K12" s="177"/>
      <c r="L12" s="177"/>
      <c r="M12" s="177"/>
      <c r="N12" s="84"/>
      <c r="O12" s="70">
        <f>F12</f>
        <v>5000</v>
      </c>
      <c r="P12" s="70"/>
      <c r="Q12" s="70"/>
      <c r="R12" s="70"/>
      <c r="S12" s="70"/>
      <c r="T12" s="70"/>
      <c r="U12" s="179">
        <v>10.68</v>
      </c>
      <c r="V12" s="178">
        <f t="shared" ref="V12:V23" si="2">SUM(H12:O12)*U12</f>
        <v>53400</v>
      </c>
      <c r="W12" s="178">
        <f t="shared" si="1"/>
        <v>413850</v>
      </c>
      <c r="X12" s="53" t="s">
        <v>192</v>
      </c>
    </row>
    <row r="13" s="159" customFormat="1" ht="27" customHeight="1" spans="1:24">
      <c r="A13" s="51">
        <v>46156</v>
      </c>
      <c r="B13" s="52" t="s">
        <v>191</v>
      </c>
      <c r="C13" s="62" t="s">
        <v>195</v>
      </c>
      <c r="D13" s="69"/>
      <c r="E13" s="62" t="s">
        <v>174</v>
      </c>
      <c r="F13" s="70">
        <v>15000</v>
      </c>
      <c r="G13" s="58">
        <v>46230</v>
      </c>
      <c r="H13" s="70">
        <v>15000</v>
      </c>
      <c r="I13" s="177"/>
      <c r="J13" s="177"/>
      <c r="K13" s="177"/>
      <c r="L13" s="177"/>
      <c r="M13" s="177"/>
      <c r="N13" s="84"/>
      <c r="O13" s="70"/>
      <c r="P13" s="70"/>
      <c r="Q13" s="70"/>
      <c r="R13" s="70"/>
      <c r="S13" s="70"/>
      <c r="T13" s="70"/>
      <c r="U13" s="64">
        <v>25.2</v>
      </c>
      <c r="V13" s="178">
        <f t="shared" si="2"/>
        <v>378000</v>
      </c>
      <c r="W13" s="178">
        <f t="shared" si="1"/>
        <v>2929500</v>
      </c>
      <c r="X13" s="53" t="s">
        <v>192</v>
      </c>
    </row>
    <row r="14" s="157" customFormat="1" ht="27" customHeight="1" spans="1:24">
      <c r="A14" s="41">
        <v>46156</v>
      </c>
      <c r="B14" s="42" t="s">
        <v>191</v>
      </c>
      <c r="C14" s="17" t="s">
        <v>195</v>
      </c>
      <c r="D14" s="43"/>
      <c r="E14" s="17" t="s">
        <v>181</v>
      </c>
      <c r="F14" s="118">
        <v>15000</v>
      </c>
      <c r="G14" s="138">
        <v>46237</v>
      </c>
      <c r="H14" s="86"/>
      <c r="I14" s="86"/>
      <c r="J14" s="86"/>
      <c r="K14" s="86"/>
      <c r="L14" s="86"/>
      <c r="M14" s="86"/>
      <c r="N14" s="18"/>
      <c r="O14" s="118">
        <v>15000</v>
      </c>
      <c r="P14" s="118"/>
      <c r="Q14" s="118"/>
      <c r="R14" s="118"/>
      <c r="S14" s="118"/>
      <c r="T14" s="118"/>
      <c r="U14" s="180">
        <v>10.68</v>
      </c>
      <c r="V14" s="133">
        <f t="shared" si="2"/>
        <v>160200</v>
      </c>
      <c r="W14" s="133">
        <f t="shared" si="1"/>
        <v>1241550</v>
      </c>
      <c r="X14" s="132" t="s">
        <v>192</v>
      </c>
    </row>
    <row r="15" s="159" customFormat="1" ht="27" customHeight="1" spans="1:24">
      <c r="A15" s="51">
        <v>46157</v>
      </c>
      <c r="B15" s="52" t="s">
        <v>196</v>
      </c>
      <c r="C15" s="62" t="s">
        <v>197</v>
      </c>
      <c r="D15" s="69"/>
      <c r="E15" s="62" t="s">
        <v>174</v>
      </c>
      <c r="F15" s="56">
        <f>15000-600</f>
        <v>14400</v>
      </c>
      <c r="G15" s="58">
        <v>46216</v>
      </c>
      <c r="H15" s="70">
        <f>F15</f>
        <v>14400</v>
      </c>
      <c r="I15" s="177"/>
      <c r="J15" s="177"/>
      <c r="K15" s="177"/>
      <c r="L15" s="177"/>
      <c r="M15" s="177"/>
      <c r="N15" s="84"/>
      <c r="O15" s="70"/>
      <c r="P15" s="70"/>
      <c r="Q15" s="70"/>
      <c r="R15" s="70"/>
      <c r="S15" s="70"/>
      <c r="T15" s="70"/>
      <c r="U15" s="64">
        <v>25.2</v>
      </c>
      <c r="V15" s="178">
        <f t="shared" si="2"/>
        <v>362880</v>
      </c>
      <c r="W15" s="178">
        <f t="shared" si="1"/>
        <v>2812320</v>
      </c>
      <c r="X15" s="53" t="s">
        <v>192</v>
      </c>
    </row>
    <row r="16" s="159" customFormat="1" ht="27" customHeight="1" spans="1:24">
      <c r="A16" s="51">
        <v>46157</v>
      </c>
      <c r="B16" s="52" t="s">
        <v>196</v>
      </c>
      <c r="C16" s="62" t="s">
        <v>197</v>
      </c>
      <c r="D16" s="69"/>
      <c r="E16" s="62" t="s">
        <v>174</v>
      </c>
      <c r="F16" s="70">
        <v>600</v>
      </c>
      <c r="G16" s="58">
        <v>46216</v>
      </c>
      <c r="H16" s="70">
        <f>F16</f>
        <v>600</v>
      </c>
      <c r="I16" s="177"/>
      <c r="J16" s="177"/>
      <c r="K16" s="177"/>
      <c r="L16" s="177"/>
      <c r="M16" s="177"/>
      <c r="N16" s="84"/>
      <c r="O16" s="70"/>
      <c r="P16" s="70"/>
      <c r="Q16" s="70"/>
      <c r="R16" s="70"/>
      <c r="S16" s="70"/>
      <c r="T16" s="70"/>
      <c r="U16" s="64">
        <v>25.2</v>
      </c>
      <c r="V16" s="178">
        <f t="shared" si="2"/>
        <v>15120</v>
      </c>
      <c r="W16" s="178">
        <f t="shared" ref="W16:W18" si="3">V16*7.75</f>
        <v>117180</v>
      </c>
      <c r="X16" s="53" t="s">
        <v>192</v>
      </c>
    </row>
    <row r="17" s="159" customFormat="1" ht="27" customHeight="1" spans="1:24">
      <c r="A17" s="51">
        <v>46157</v>
      </c>
      <c r="B17" s="52" t="s">
        <v>196</v>
      </c>
      <c r="C17" s="62" t="s">
        <v>197</v>
      </c>
      <c r="D17" s="69"/>
      <c r="E17" s="62" t="s">
        <v>181</v>
      </c>
      <c r="F17" s="70">
        <v>5000</v>
      </c>
      <c r="G17" s="58">
        <v>46216</v>
      </c>
      <c r="H17" s="177"/>
      <c r="I17" s="177"/>
      <c r="J17" s="177"/>
      <c r="K17" s="177"/>
      <c r="L17" s="177"/>
      <c r="M17" s="177"/>
      <c r="N17" s="84"/>
      <c r="O17" s="70">
        <v>5000</v>
      </c>
      <c r="P17" s="70"/>
      <c r="Q17" s="70"/>
      <c r="R17" s="70"/>
      <c r="S17" s="70"/>
      <c r="T17" s="70"/>
      <c r="U17" s="64">
        <v>10.68</v>
      </c>
      <c r="V17" s="178">
        <f t="shared" si="2"/>
        <v>53400</v>
      </c>
      <c r="W17" s="178">
        <f t="shared" si="3"/>
        <v>413850</v>
      </c>
      <c r="X17" s="53" t="s">
        <v>192</v>
      </c>
    </row>
    <row r="18" s="157" customFormat="1" ht="27" customHeight="1" spans="1:24">
      <c r="A18" s="41">
        <v>46157</v>
      </c>
      <c r="B18" s="42" t="s">
        <v>196</v>
      </c>
      <c r="C18" s="17" t="s">
        <v>197</v>
      </c>
      <c r="D18" s="43"/>
      <c r="E18" s="17" t="s">
        <v>174</v>
      </c>
      <c r="F18" s="118">
        <f>15000-7500</f>
        <v>7500</v>
      </c>
      <c r="G18" s="138">
        <v>46237</v>
      </c>
      <c r="H18" s="118">
        <f>F18</f>
        <v>7500</v>
      </c>
      <c r="I18" s="86"/>
      <c r="J18" s="86"/>
      <c r="K18" s="86"/>
      <c r="L18" s="86"/>
      <c r="M18" s="86"/>
      <c r="N18" s="18"/>
      <c r="O18" s="118"/>
      <c r="P18" s="118"/>
      <c r="Q18" s="118"/>
      <c r="R18" s="118"/>
      <c r="S18" s="118"/>
      <c r="T18" s="118"/>
      <c r="U18" s="121">
        <v>25.2</v>
      </c>
      <c r="V18" s="133">
        <f t="shared" si="2"/>
        <v>189000</v>
      </c>
      <c r="W18" s="133">
        <f t="shared" si="3"/>
        <v>1464750</v>
      </c>
      <c r="X18" s="132" t="s">
        <v>192</v>
      </c>
    </row>
    <row r="19" s="159" customFormat="1" ht="27" customHeight="1" spans="1:24">
      <c r="A19" s="51">
        <v>46157</v>
      </c>
      <c r="B19" s="52" t="s">
        <v>196</v>
      </c>
      <c r="C19" s="62" t="s">
        <v>197</v>
      </c>
      <c r="D19" s="69"/>
      <c r="E19" s="62" t="s">
        <v>174</v>
      </c>
      <c r="F19" s="70">
        <v>7500</v>
      </c>
      <c r="G19" s="58">
        <v>46237</v>
      </c>
      <c r="H19" s="70">
        <f>F19</f>
        <v>7500</v>
      </c>
      <c r="I19" s="177"/>
      <c r="J19" s="177"/>
      <c r="K19" s="177"/>
      <c r="L19" s="177"/>
      <c r="M19" s="177"/>
      <c r="N19" s="84"/>
      <c r="O19" s="70"/>
      <c r="P19" s="70"/>
      <c r="Q19" s="70"/>
      <c r="R19" s="70"/>
      <c r="S19" s="70"/>
      <c r="T19" s="70"/>
      <c r="U19" s="64">
        <v>25.2</v>
      </c>
      <c r="V19" s="178">
        <f t="shared" si="2"/>
        <v>189000</v>
      </c>
      <c r="W19" s="178">
        <f t="shared" ref="W19:W32" si="4">V19*7.75</f>
        <v>1464750</v>
      </c>
      <c r="X19" s="53" t="s">
        <v>192</v>
      </c>
    </row>
    <row r="20" s="157" customFormat="1" ht="27" hidden="1" customHeight="1" spans="1:24">
      <c r="A20" s="41">
        <v>46109</v>
      </c>
      <c r="B20" s="42" t="s">
        <v>191</v>
      </c>
      <c r="C20" s="43" t="s">
        <v>198</v>
      </c>
      <c r="D20" s="43"/>
      <c r="E20" s="17" t="s">
        <v>176</v>
      </c>
      <c r="F20" s="17">
        <f>10000*20</f>
        <v>200000</v>
      </c>
      <c r="G20" s="41">
        <v>46272</v>
      </c>
      <c r="H20" s="118"/>
      <c r="I20" s="86"/>
      <c r="J20" s="18">
        <v>10000</v>
      </c>
      <c r="K20" s="86"/>
      <c r="L20" s="86"/>
      <c r="M20" s="86"/>
      <c r="N20" s="18"/>
      <c r="O20" s="118"/>
      <c r="P20" s="118"/>
      <c r="Q20" s="118"/>
      <c r="R20" s="118"/>
      <c r="S20" s="118"/>
      <c r="T20" s="118"/>
      <c r="U20" s="121">
        <v>0</v>
      </c>
      <c r="V20" s="133">
        <f t="shared" si="2"/>
        <v>0</v>
      </c>
      <c r="W20" s="133">
        <f t="shared" si="4"/>
        <v>0</v>
      </c>
      <c r="X20" s="132" t="s">
        <v>194</v>
      </c>
    </row>
    <row r="21" s="157" customFormat="1" ht="27" hidden="1" customHeight="1" spans="1:24">
      <c r="A21" s="41">
        <v>46109</v>
      </c>
      <c r="B21" s="42" t="s">
        <v>191</v>
      </c>
      <c r="C21" s="43" t="s">
        <v>198</v>
      </c>
      <c r="D21" s="43"/>
      <c r="E21" s="17" t="s">
        <v>177</v>
      </c>
      <c r="F21" s="17">
        <f t="shared" ref="F21:F24" si="5">10000</f>
        <v>10000</v>
      </c>
      <c r="G21" s="41">
        <v>46272</v>
      </c>
      <c r="H21" s="118"/>
      <c r="I21" s="86"/>
      <c r="J21" s="86"/>
      <c r="K21" s="18">
        <v>10000</v>
      </c>
      <c r="L21" s="86"/>
      <c r="M21" s="86"/>
      <c r="N21" s="18"/>
      <c r="O21" s="118"/>
      <c r="P21" s="118"/>
      <c r="Q21" s="118"/>
      <c r="R21" s="118"/>
      <c r="S21" s="118"/>
      <c r="T21" s="118"/>
      <c r="U21" s="121">
        <v>0</v>
      </c>
      <c r="V21" s="133">
        <f t="shared" si="2"/>
        <v>0</v>
      </c>
      <c r="W21" s="133">
        <f t="shared" si="4"/>
        <v>0</v>
      </c>
      <c r="X21" s="132" t="s">
        <v>194</v>
      </c>
    </row>
    <row r="22" s="157" customFormat="1" ht="27" hidden="1" customHeight="1" spans="1:24">
      <c r="A22" s="41">
        <v>46109</v>
      </c>
      <c r="B22" s="42" t="s">
        <v>191</v>
      </c>
      <c r="C22" s="43" t="s">
        <v>198</v>
      </c>
      <c r="D22" s="43"/>
      <c r="E22" s="17" t="s">
        <v>178</v>
      </c>
      <c r="F22" s="17">
        <f t="shared" si="5"/>
        <v>10000</v>
      </c>
      <c r="G22" s="41">
        <v>46272</v>
      </c>
      <c r="H22" s="118"/>
      <c r="I22" s="86"/>
      <c r="J22" s="86"/>
      <c r="K22" s="86"/>
      <c r="L22" s="18">
        <v>10000</v>
      </c>
      <c r="M22" s="86"/>
      <c r="N22" s="18"/>
      <c r="O22" s="118"/>
      <c r="P22" s="118"/>
      <c r="Q22" s="118"/>
      <c r="R22" s="118"/>
      <c r="S22" s="118"/>
      <c r="T22" s="118"/>
      <c r="U22" s="121">
        <v>0</v>
      </c>
      <c r="V22" s="133">
        <f t="shared" si="2"/>
        <v>0</v>
      </c>
      <c r="W22" s="133">
        <f t="shared" si="4"/>
        <v>0</v>
      </c>
      <c r="X22" s="132" t="s">
        <v>194</v>
      </c>
    </row>
    <row r="23" s="157" customFormat="1" ht="27" hidden="1" customHeight="1" spans="1:24">
      <c r="A23" s="41">
        <v>46109</v>
      </c>
      <c r="B23" s="42" t="s">
        <v>191</v>
      </c>
      <c r="C23" s="43" t="s">
        <v>198</v>
      </c>
      <c r="D23" s="43"/>
      <c r="E23" s="17" t="s">
        <v>179</v>
      </c>
      <c r="F23" s="17">
        <f t="shared" si="5"/>
        <v>10000</v>
      </c>
      <c r="G23" s="41">
        <v>46272</v>
      </c>
      <c r="H23" s="18"/>
      <c r="I23" s="86"/>
      <c r="J23" s="86"/>
      <c r="K23" s="86"/>
      <c r="L23" s="86"/>
      <c r="M23" s="18">
        <v>10000</v>
      </c>
      <c r="N23" s="18"/>
      <c r="O23" s="86"/>
      <c r="P23" s="86"/>
      <c r="Q23" s="86"/>
      <c r="R23" s="86"/>
      <c r="S23" s="86"/>
      <c r="T23" s="86"/>
      <c r="U23" s="121">
        <v>0</v>
      </c>
      <c r="V23" s="133">
        <f t="shared" si="2"/>
        <v>0</v>
      </c>
      <c r="W23" s="133">
        <f t="shared" si="4"/>
        <v>0</v>
      </c>
      <c r="X23" s="132" t="s">
        <v>194</v>
      </c>
    </row>
    <row r="24" s="157" customFormat="1" ht="27" hidden="1" customHeight="1" spans="1:24">
      <c r="A24" s="41">
        <v>46109</v>
      </c>
      <c r="B24" s="42" t="s">
        <v>191</v>
      </c>
      <c r="C24" s="43" t="s">
        <v>198</v>
      </c>
      <c r="D24" s="43"/>
      <c r="E24" s="17" t="s">
        <v>180</v>
      </c>
      <c r="F24" s="17">
        <f t="shared" si="5"/>
        <v>10000</v>
      </c>
      <c r="G24" s="41">
        <v>46272</v>
      </c>
      <c r="H24" s="86"/>
      <c r="I24" s="86"/>
      <c r="J24" s="86"/>
      <c r="K24" s="86"/>
      <c r="L24" s="86"/>
      <c r="M24" s="86"/>
      <c r="N24" s="18">
        <v>10000</v>
      </c>
      <c r="O24" s="86"/>
      <c r="P24" s="86"/>
      <c r="Q24" s="86"/>
      <c r="R24" s="86"/>
      <c r="S24" s="86"/>
      <c r="T24" s="86"/>
      <c r="U24" s="121">
        <v>0</v>
      </c>
      <c r="V24" s="133">
        <f>SUM(H24:N24)*U24</f>
        <v>0</v>
      </c>
      <c r="W24" s="133">
        <f t="shared" si="4"/>
        <v>0</v>
      </c>
      <c r="X24" s="132" t="s">
        <v>194</v>
      </c>
    </row>
    <row r="25" s="157" customFormat="1" ht="27" customHeight="1" spans="1:24">
      <c r="A25" s="134">
        <v>46175</v>
      </c>
      <c r="B25" s="42" t="s">
        <v>191</v>
      </c>
      <c r="C25" s="142" t="s">
        <v>199</v>
      </c>
      <c r="D25" s="43"/>
      <c r="E25" s="139" t="s">
        <v>182</v>
      </c>
      <c r="F25" s="136">
        <v>75</v>
      </c>
      <c r="G25" s="181">
        <v>46262</v>
      </c>
      <c r="H25" s="86"/>
      <c r="I25" s="86"/>
      <c r="J25" s="86"/>
      <c r="K25" s="86"/>
      <c r="L25" s="86"/>
      <c r="M25" s="86"/>
      <c r="N25" s="18"/>
      <c r="O25" s="86"/>
      <c r="P25" s="86">
        <v>75</v>
      </c>
      <c r="Q25" s="86"/>
      <c r="R25" s="86"/>
      <c r="S25" s="86"/>
      <c r="T25" s="86"/>
      <c r="U25" s="140">
        <v>2.7</v>
      </c>
      <c r="V25" s="133">
        <f t="shared" ref="V25:V31" si="6">SUM(H25:T25)*U25</f>
        <v>202.5</v>
      </c>
      <c r="W25" s="133">
        <f t="shared" si="4"/>
        <v>1569.38</v>
      </c>
      <c r="X25" s="132" t="s">
        <v>192</v>
      </c>
    </row>
    <row r="26" s="157" customFormat="1" ht="27" customHeight="1" spans="1:24">
      <c r="A26" s="134">
        <v>46175</v>
      </c>
      <c r="B26" s="42" t="s">
        <v>191</v>
      </c>
      <c r="C26" s="142" t="s">
        <v>199</v>
      </c>
      <c r="D26" s="43"/>
      <c r="E26" s="139" t="s">
        <v>183</v>
      </c>
      <c r="F26" s="136">
        <v>250</v>
      </c>
      <c r="G26" s="181">
        <v>46262</v>
      </c>
      <c r="H26" s="86"/>
      <c r="I26" s="86"/>
      <c r="J26" s="86"/>
      <c r="K26" s="86"/>
      <c r="L26" s="86"/>
      <c r="M26" s="86"/>
      <c r="N26" s="18"/>
      <c r="O26" s="86"/>
      <c r="P26" s="86"/>
      <c r="Q26" s="86">
        <v>250</v>
      </c>
      <c r="R26" s="86"/>
      <c r="S26" s="86"/>
      <c r="T26" s="86"/>
      <c r="U26" s="140">
        <v>2.42</v>
      </c>
      <c r="V26" s="133">
        <f t="shared" si="6"/>
        <v>605</v>
      </c>
      <c r="W26" s="133">
        <f t="shared" si="4"/>
        <v>4688.75</v>
      </c>
      <c r="X26" s="132" t="s">
        <v>192</v>
      </c>
    </row>
    <row r="27" s="157" customFormat="1" ht="27" customHeight="1" spans="1:24">
      <c r="A27" s="134">
        <v>46175</v>
      </c>
      <c r="B27" s="42" t="s">
        <v>191</v>
      </c>
      <c r="C27" s="142" t="s">
        <v>199</v>
      </c>
      <c r="D27" s="43"/>
      <c r="E27" s="139" t="s">
        <v>185</v>
      </c>
      <c r="F27" s="136">
        <v>500</v>
      </c>
      <c r="G27" s="181">
        <v>46262</v>
      </c>
      <c r="H27" s="86"/>
      <c r="I27" s="86"/>
      <c r="J27" s="86"/>
      <c r="K27" s="86"/>
      <c r="L27" s="86"/>
      <c r="M27" s="86"/>
      <c r="N27" s="18"/>
      <c r="O27" s="86"/>
      <c r="P27" s="86"/>
      <c r="Q27" s="86"/>
      <c r="R27" s="86"/>
      <c r="S27" s="86">
        <v>500</v>
      </c>
      <c r="T27" s="86"/>
      <c r="U27" s="140">
        <v>12.65</v>
      </c>
      <c r="V27" s="133">
        <f t="shared" si="6"/>
        <v>6325</v>
      </c>
      <c r="W27" s="133">
        <f t="shared" si="4"/>
        <v>49018.75</v>
      </c>
      <c r="X27" s="132" t="s">
        <v>192</v>
      </c>
    </row>
    <row r="28" s="157" customFormat="1" ht="27" customHeight="1" spans="1:24">
      <c r="A28" s="134">
        <v>46175</v>
      </c>
      <c r="B28" s="42" t="s">
        <v>191</v>
      </c>
      <c r="C28" s="142" t="s">
        <v>199</v>
      </c>
      <c r="D28" s="43"/>
      <c r="E28" s="139" t="s">
        <v>186</v>
      </c>
      <c r="F28" s="136">
        <v>200</v>
      </c>
      <c r="G28" s="181">
        <v>46262</v>
      </c>
      <c r="H28" s="86"/>
      <c r="I28" s="86"/>
      <c r="J28" s="86"/>
      <c r="K28" s="86"/>
      <c r="L28" s="86"/>
      <c r="M28" s="86"/>
      <c r="N28" s="18"/>
      <c r="O28" s="86"/>
      <c r="P28" s="86"/>
      <c r="Q28" s="86"/>
      <c r="R28" s="86"/>
      <c r="S28" s="86"/>
      <c r="T28" s="86">
        <v>200</v>
      </c>
      <c r="U28" s="140">
        <v>2.3</v>
      </c>
      <c r="V28" s="133">
        <f t="shared" si="6"/>
        <v>460</v>
      </c>
      <c r="W28" s="133">
        <f t="shared" si="4"/>
        <v>3565</v>
      </c>
      <c r="X28" s="132" t="s">
        <v>192</v>
      </c>
    </row>
    <row r="29" s="157" customFormat="1" ht="27" customHeight="1" spans="1:24">
      <c r="A29" s="134">
        <v>46185</v>
      </c>
      <c r="B29" s="42" t="s">
        <v>191</v>
      </c>
      <c r="C29" s="142" t="s">
        <v>200</v>
      </c>
      <c r="D29" s="43"/>
      <c r="E29" s="139" t="s">
        <v>184</v>
      </c>
      <c r="F29" s="182">
        <v>3000</v>
      </c>
      <c r="G29" s="138">
        <v>46262</v>
      </c>
      <c r="H29" s="86"/>
      <c r="I29" s="86"/>
      <c r="J29" s="86"/>
      <c r="K29" s="86"/>
      <c r="L29" s="86"/>
      <c r="M29" s="86"/>
      <c r="N29" s="18"/>
      <c r="O29" s="86"/>
      <c r="P29" s="86"/>
      <c r="Q29" s="86"/>
      <c r="R29" s="86">
        <f>F29</f>
        <v>3000</v>
      </c>
      <c r="S29" s="86"/>
      <c r="T29" s="86"/>
      <c r="U29" s="140">
        <v>2.74</v>
      </c>
      <c r="V29" s="133">
        <f t="shared" si="6"/>
        <v>8220</v>
      </c>
      <c r="W29" s="133">
        <f t="shared" si="4"/>
        <v>63705</v>
      </c>
      <c r="X29" s="132" t="s">
        <v>192</v>
      </c>
    </row>
    <row r="30" s="157" customFormat="1" ht="27" customHeight="1" spans="1:24">
      <c r="A30" s="134">
        <v>46188</v>
      </c>
      <c r="B30" s="42" t="s">
        <v>191</v>
      </c>
      <c r="C30" s="154" t="s">
        <v>198</v>
      </c>
      <c r="D30" s="43"/>
      <c r="E30" s="139" t="s">
        <v>184</v>
      </c>
      <c r="F30" s="139">
        <v>3000</v>
      </c>
      <c r="G30" s="138">
        <v>46262</v>
      </c>
      <c r="H30" s="86"/>
      <c r="I30" s="86"/>
      <c r="J30" s="86"/>
      <c r="K30" s="86"/>
      <c r="L30" s="86"/>
      <c r="M30" s="86"/>
      <c r="N30" s="18"/>
      <c r="O30" s="86"/>
      <c r="P30" s="86"/>
      <c r="Q30" s="86"/>
      <c r="R30" s="86">
        <v>3000</v>
      </c>
      <c r="S30" s="86"/>
      <c r="T30" s="86"/>
      <c r="U30" s="140">
        <v>0</v>
      </c>
      <c r="V30" s="133">
        <f t="shared" si="6"/>
        <v>0</v>
      </c>
      <c r="W30" s="133">
        <f t="shared" si="4"/>
        <v>0</v>
      </c>
      <c r="X30" s="132" t="s">
        <v>192</v>
      </c>
    </row>
    <row r="31" s="157" customFormat="1" ht="27" hidden="1" customHeight="1" spans="1:24">
      <c r="A31" s="134"/>
      <c r="B31" s="42"/>
      <c r="C31" s="142"/>
      <c r="D31" s="43"/>
      <c r="E31" s="139"/>
      <c r="F31" s="136"/>
      <c r="G31" s="138"/>
      <c r="H31" s="86"/>
      <c r="I31" s="86"/>
      <c r="J31" s="86"/>
      <c r="K31" s="86"/>
      <c r="L31" s="86"/>
      <c r="M31" s="86"/>
      <c r="N31" s="18"/>
      <c r="O31" s="86"/>
      <c r="P31" s="86"/>
      <c r="Q31" s="86"/>
      <c r="R31" s="86"/>
      <c r="S31" s="86"/>
      <c r="T31" s="86"/>
      <c r="U31" s="140"/>
      <c r="V31" s="133">
        <f t="shared" si="6"/>
        <v>0</v>
      </c>
      <c r="W31" s="133">
        <f t="shared" si="4"/>
        <v>0</v>
      </c>
      <c r="X31" s="41"/>
    </row>
    <row r="32" s="157" customFormat="1" hidden="1" customHeight="1" spans="1:24">
      <c r="A32" s="41"/>
      <c r="B32" s="42"/>
      <c r="C32" s="17"/>
      <c r="D32" s="43"/>
      <c r="E32" s="17"/>
      <c r="F32" s="18"/>
      <c r="G32" s="138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121"/>
      <c r="V32" s="133">
        <f>SUM(H32:N32)*U32</f>
        <v>0</v>
      </c>
      <c r="W32" s="133">
        <f t="shared" si="4"/>
        <v>0</v>
      </c>
      <c r="X32" s="41"/>
    </row>
    <row r="33" s="160" customFormat="1" hidden="1" customHeight="1" spans="1:24">
      <c r="A33" s="183"/>
      <c r="B33" s="184"/>
      <c r="C33" s="185"/>
      <c r="D33" s="186"/>
      <c r="E33" s="185"/>
      <c r="F33" s="24">
        <f>SUM(F3:F32)</f>
        <v>417033</v>
      </c>
      <c r="G33" s="24">
        <f>F33-SUM(H33:M33)</f>
        <v>247025</v>
      </c>
      <c r="H33" s="187">
        <f t="shared" ref="H33:T33" si="7">SUM(H3:H32)</f>
        <v>90006</v>
      </c>
      <c r="I33" s="187">
        <f t="shared" si="7"/>
        <v>40002</v>
      </c>
      <c r="J33" s="187">
        <f t="shared" si="7"/>
        <v>10000</v>
      </c>
      <c r="K33" s="187">
        <f t="shared" si="7"/>
        <v>10000</v>
      </c>
      <c r="L33" s="187">
        <f t="shared" si="7"/>
        <v>10000</v>
      </c>
      <c r="M33" s="187">
        <f t="shared" si="7"/>
        <v>10000</v>
      </c>
      <c r="N33" s="187">
        <f t="shared" si="7"/>
        <v>10000</v>
      </c>
      <c r="O33" s="187">
        <f t="shared" si="7"/>
        <v>40000</v>
      </c>
      <c r="P33" s="187">
        <f t="shared" si="7"/>
        <v>75</v>
      </c>
      <c r="Q33" s="187">
        <f t="shared" si="7"/>
        <v>250</v>
      </c>
      <c r="R33" s="187">
        <f t="shared" si="7"/>
        <v>6000</v>
      </c>
      <c r="S33" s="187">
        <f t="shared" si="7"/>
        <v>500</v>
      </c>
      <c r="T33" s="187">
        <f t="shared" si="7"/>
        <v>200</v>
      </c>
      <c r="U33" s="187">
        <f>SUM(H33:M33)</f>
        <v>170008</v>
      </c>
      <c r="V33" s="188">
        <f>SUM(V3:V32)</f>
        <v>3719214.1</v>
      </c>
      <c r="W33" s="188">
        <f>SUM(W3:W32)</f>
        <v>28823909.28</v>
      </c>
      <c r="X33" s="187"/>
    </row>
    <row r="34" s="160" customFormat="1" hidden="1" customHeight="1" spans="1:24">
      <c r="A34" s="189"/>
      <c r="B34" s="190"/>
      <c r="C34" s="191"/>
      <c r="D34" s="192"/>
      <c r="E34" s="191"/>
      <c r="F34" s="193">
        <f>F33-总排期!H20-已走货!J18</f>
        <v>97504</v>
      </c>
      <c r="G34" s="193"/>
      <c r="V34" s="194"/>
      <c r="W34" s="194"/>
    </row>
    <row r="35" s="157" customFormat="1" customHeight="1" spans="1:24">
      <c r="A35" s="4"/>
      <c r="B35" s="195"/>
      <c r="C35" s="196"/>
      <c r="D35" s="197"/>
      <c r="E35" s="196"/>
      <c r="F35" s="198"/>
      <c r="G35" s="199"/>
      <c r="V35" s="165"/>
      <c r="W35" s="165"/>
    </row>
    <row r="36" s="157" customFormat="1" customHeight="1" spans="1:24">
      <c r="A36" s="4"/>
      <c r="B36" s="195"/>
      <c r="C36" s="196"/>
      <c r="D36" s="200" t="s">
        <v>201</v>
      </c>
      <c r="E36" s="196"/>
      <c r="F36" s="198"/>
      <c r="G36" s="199"/>
      <c r="V36" s="165"/>
      <c r="W36" s="165"/>
    </row>
    <row r="37" customHeight="1" spans="1:24">
      <c r="A37" s="201" t="s">
        <v>202</v>
      </c>
      <c r="B37" s="202">
        <f>B38+B39</f>
        <v>28823909.28</v>
      </c>
      <c r="C37" s="203" t="s">
        <v>203</v>
      </c>
      <c r="D37" s="202">
        <f>SUMIF(B:B,D36,W:W)</f>
        <v>22551059.28</v>
      </c>
      <c r="K37" s="157"/>
      <c r="L37" s="157"/>
      <c r="M37" s="157"/>
      <c r="N37" s="157"/>
      <c r="O37" s="157"/>
      <c r="P37" s="157"/>
      <c r="Q37" s="157"/>
      <c r="R37" s="157"/>
      <c r="S37" s="157"/>
      <c r="T37" s="157"/>
    </row>
    <row r="38" customHeight="1" spans="1:24">
      <c r="A38" s="201" t="s">
        <v>192</v>
      </c>
      <c r="B38" s="202">
        <f>SUMIF(X:X,A38,W:W)</f>
        <v>21011518.68</v>
      </c>
      <c r="C38" s="203" t="s">
        <v>204</v>
      </c>
      <c r="D38" s="202">
        <f>SUMIF(总排期!C:C,D36,总排期!AA:AA)</f>
        <v>11129878.08</v>
      </c>
      <c r="K38" s="157"/>
      <c r="L38" s="157"/>
      <c r="M38" s="157"/>
      <c r="N38" s="157"/>
      <c r="O38" s="157"/>
      <c r="P38" s="157"/>
      <c r="Q38" s="157"/>
      <c r="R38" s="157"/>
      <c r="S38" s="157"/>
      <c r="T38" s="157"/>
    </row>
    <row r="39" customHeight="1" spans="1:24">
      <c r="A39" s="201" t="s">
        <v>194</v>
      </c>
      <c r="B39" s="202">
        <f>SUMIF(X:X,A39,W:W)</f>
        <v>7812390.6</v>
      </c>
      <c r="C39" s="203" t="s">
        <v>205</v>
      </c>
      <c r="D39" s="202">
        <f>SUMIF(已走货!C:C,D36,已走货!Z:Z)</f>
        <v>11421181.2</v>
      </c>
      <c r="K39" s="157"/>
      <c r="L39" s="157"/>
      <c r="M39" s="157"/>
      <c r="N39" s="157"/>
      <c r="O39" s="157"/>
      <c r="P39" s="157"/>
      <c r="Q39" s="157"/>
      <c r="R39" s="157"/>
      <c r="S39" s="157"/>
      <c r="T39" s="157"/>
    </row>
    <row r="40" customHeight="1" spans="1:24">
      <c r="A40" s="203" t="s">
        <v>204</v>
      </c>
      <c r="B40" s="202">
        <f>总排期!AA20</f>
        <v>12594628.08</v>
      </c>
      <c r="D40" s="204">
        <f>D37-D38-D39</f>
        <v>0</v>
      </c>
      <c r="K40" s="157"/>
      <c r="L40" s="157"/>
      <c r="M40" s="157"/>
      <c r="N40" s="157"/>
      <c r="O40" s="157"/>
      <c r="P40" s="157"/>
      <c r="Q40" s="157"/>
      <c r="R40" s="157"/>
      <c r="S40" s="157"/>
      <c r="T40" s="157"/>
    </row>
    <row r="41" customHeight="1" spans="1:24">
      <c r="A41" s="203" t="s">
        <v>205</v>
      </c>
      <c r="B41" s="202">
        <f>已走货!Z15</f>
        <v>16229281.2</v>
      </c>
      <c r="K41" s="157"/>
      <c r="L41" s="157"/>
      <c r="M41" s="157"/>
      <c r="N41" s="157"/>
      <c r="O41" s="157"/>
      <c r="P41" s="157"/>
      <c r="Q41" s="157"/>
      <c r="R41" s="157"/>
      <c r="S41" s="157"/>
      <c r="T41" s="157"/>
    </row>
    <row r="42" customHeight="1" spans="1:24">
      <c r="A42" s="203"/>
      <c r="B42" s="204">
        <f>B37-B40-B41</f>
        <v>0</v>
      </c>
      <c r="K42" s="157"/>
      <c r="L42" s="157"/>
      <c r="M42" s="157"/>
      <c r="N42" s="157"/>
      <c r="O42" s="157"/>
      <c r="P42" s="157"/>
      <c r="Q42" s="157"/>
      <c r="R42" s="157"/>
      <c r="S42" s="157"/>
      <c r="T42" s="157"/>
    </row>
    <row r="43" customHeight="1" spans="1:24">
      <c r="A43" s="205"/>
      <c r="B43" s="204"/>
      <c r="C43" s="206"/>
      <c r="D43" s="206"/>
      <c r="K43" s="157"/>
      <c r="L43" s="157"/>
      <c r="M43" s="157"/>
      <c r="N43" s="157"/>
      <c r="O43" s="157"/>
      <c r="P43" s="157"/>
      <c r="Q43" s="157"/>
      <c r="R43" s="157"/>
      <c r="S43" s="157"/>
      <c r="T43" s="157"/>
    </row>
    <row r="44" customHeight="1" spans="1:24">
      <c r="A44" s="207" t="s">
        <v>206</v>
      </c>
      <c r="B44" s="208"/>
      <c r="K44" s="157"/>
      <c r="L44" s="157"/>
      <c r="M44" s="157"/>
      <c r="N44" s="157"/>
      <c r="O44" s="157"/>
      <c r="P44" s="157"/>
      <c r="Q44" s="157"/>
      <c r="R44" s="157"/>
      <c r="S44" s="157"/>
      <c r="T44" s="157"/>
    </row>
    <row r="45" customHeight="1" spans="1:24">
      <c r="A45" s="138" t="s">
        <v>207</v>
      </c>
      <c r="B45" s="169" t="s">
        <v>208</v>
      </c>
      <c r="K45" s="157"/>
      <c r="L45" s="157"/>
      <c r="M45" s="157"/>
      <c r="N45" s="157"/>
      <c r="O45" s="157"/>
      <c r="P45" s="157"/>
      <c r="Q45" s="157"/>
      <c r="R45" s="157"/>
      <c r="S45" s="157"/>
      <c r="T45" s="157"/>
    </row>
    <row r="46" customHeight="1" spans="1:24">
      <c r="A46" s="138" t="s">
        <v>209</v>
      </c>
      <c r="B46" s="25" t="s">
        <v>210</v>
      </c>
      <c r="K46" s="157"/>
      <c r="L46" s="157"/>
      <c r="M46" s="157"/>
      <c r="N46" s="157"/>
      <c r="O46" s="157"/>
      <c r="P46" s="157"/>
      <c r="Q46" s="157"/>
      <c r="R46" s="157"/>
      <c r="S46" s="157"/>
      <c r="T46" s="157"/>
    </row>
    <row r="47" customHeight="1" spans="1:24">
      <c r="A47" s="138" t="s">
        <v>211</v>
      </c>
      <c r="B47" s="25" t="s">
        <v>212</v>
      </c>
      <c r="K47" s="157"/>
      <c r="L47" s="157"/>
      <c r="M47" s="157"/>
      <c r="N47" s="157"/>
      <c r="O47" s="157"/>
      <c r="P47" s="157"/>
      <c r="Q47" s="157"/>
      <c r="R47" s="157"/>
      <c r="S47" s="157"/>
      <c r="T47" s="157"/>
    </row>
    <row r="48" customHeight="1" spans="1:24">
      <c r="A48" s="209" t="s">
        <v>213</v>
      </c>
      <c r="B48" s="209" t="s">
        <v>214</v>
      </c>
      <c r="K48" s="157"/>
      <c r="L48" s="157"/>
      <c r="M48" s="157"/>
      <c r="N48" s="157"/>
      <c r="O48" s="157"/>
      <c r="P48" s="157"/>
      <c r="Q48" s="157"/>
      <c r="R48" s="157"/>
      <c r="S48" s="157"/>
      <c r="T48" s="157"/>
    </row>
    <row r="49" customHeight="1" spans="1:24">
      <c r="A49" s="58" t="s">
        <v>215</v>
      </c>
      <c r="B49" s="210" t="s">
        <v>216</v>
      </c>
      <c r="K49" s="157"/>
      <c r="L49" s="157"/>
      <c r="M49" s="157"/>
      <c r="N49" s="157"/>
      <c r="O49" s="157"/>
      <c r="P49" s="157"/>
      <c r="Q49" s="157"/>
      <c r="R49" s="157"/>
      <c r="S49" s="157"/>
      <c r="T49" s="157"/>
    </row>
    <row r="50" customHeight="1" spans="1:24">
      <c r="A50" s="211" t="s">
        <v>217</v>
      </c>
      <c r="B50" s="212" t="s">
        <v>218</v>
      </c>
      <c r="K50" s="157"/>
      <c r="L50" s="157"/>
      <c r="M50" s="157"/>
      <c r="N50" s="157"/>
      <c r="O50" s="157"/>
      <c r="P50" s="157"/>
      <c r="Q50" s="157"/>
      <c r="R50" s="157"/>
      <c r="S50" s="157"/>
      <c r="T50" s="157"/>
    </row>
    <row r="51" customHeight="1" spans="1:24">
      <c r="X51" s="88"/>
    </row>
    <row r="52" customHeight="1" spans="1:24">
      <c r="X52" s="88"/>
    </row>
    <row r="53" customHeight="1" spans="1:24">
      <c r="X53" s="88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X34" etc:filterBottomFollowUsedRange="0">
    <filterColumn colId="23">
      <customFilters>
        <customFilter operator="equal" val="兴信B"/>
      </customFilters>
    </filterColumn>
    <extLst/>
  </autoFilter>
  <mergeCells count="1">
    <mergeCell ref="A1:G1"/>
  </mergeCells>
  <pageMargins left="0.75" right="0.75" top="1" bottom="1" header="0.5" footer="0.5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Q20"/>
  <sheetViews>
    <sheetView zoomScale="115" zoomScaleNormal="115" workbookViewId="0">
      <pane xSplit="13" ySplit="1" topLeftCell="V2" activePane="bottomRight" state="frozen"/>
      <selection/>
      <selection pane="topRight"/>
      <selection pane="bottomLeft"/>
      <selection pane="bottomRight" activeCell="M12" sqref="M12"/>
    </sheetView>
  </sheetViews>
  <sheetFormatPr defaultColWidth="9" defaultRowHeight="25" customHeight="1"/>
  <cols>
    <col min="1" max="1" width="12.625" style="4" customWidth="1"/>
    <col min="2" max="2" width="6.625" style="5" customWidth="1"/>
    <col min="3" max="3" width="10.625" style="6" customWidth="1"/>
    <col min="4" max="4" width="9.65833333333333" style="4" customWidth="1"/>
    <col min="5" max="5" width="12.625" style="6" customWidth="1"/>
    <col min="6" max="6" width="10.625" style="6" customWidth="1"/>
    <col min="7" max="7" width="17.4916666666667" style="6" customWidth="1"/>
    <col min="8" max="8" width="8.5" style="7" customWidth="1"/>
    <col min="9" max="9" width="5.625" style="6" customWidth="1"/>
    <col min="10" max="10" width="8.5" style="7" customWidth="1"/>
    <col min="11" max="11" width="11.7" style="7" customWidth="1"/>
    <col min="12" max="12" width="12.625" style="4" customWidth="1"/>
    <col min="13" max="13" width="11.7" style="4" customWidth="1"/>
    <col min="14" max="15" width="12.625" style="4" customWidth="1"/>
    <col min="16" max="16" width="12.875" style="6" customWidth="1"/>
    <col min="17" max="17" width="10.625" style="6" customWidth="1"/>
    <col min="18" max="20" width="12.625" style="4" customWidth="1"/>
    <col min="21" max="21" width="12.625" style="88" customWidth="1"/>
    <col min="22" max="22" width="12.625" style="6" customWidth="1"/>
    <col min="23" max="23" width="14.1333333333333" style="6" customWidth="1"/>
    <col min="24" max="24" width="19.4416666666667" style="7" customWidth="1"/>
    <col min="25" max="25" width="8.625" style="8" customWidth="1"/>
    <col min="26" max="27" width="12.625" style="9" customWidth="1"/>
    <col min="28" max="28" width="10.625" style="10" customWidth="1"/>
    <col min="29" max="30" width="10.625" style="4" customWidth="1"/>
    <col min="31" max="31" width="6.625" style="4" customWidth="1"/>
    <col min="32" max="32" width="10.625" style="6" customWidth="1"/>
    <col min="33" max="33" width="11.5" style="11" customWidth="1"/>
    <col min="34" max="36" width="11.5" style="12" customWidth="1"/>
    <col min="37" max="37" width="8" style="12" customWidth="1"/>
    <col min="38" max="40" width="11.5" style="12" customWidth="1"/>
    <col min="41" max="42" width="6.625" style="13" customWidth="1"/>
    <col min="43" max="16384" width="9" style="1"/>
  </cols>
  <sheetData>
    <row r="1" s="1" customFormat="1" customHeight="1" spans="1:43">
      <c r="A1" s="14" t="s">
        <v>219</v>
      </c>
      <c r="B1" s="15" t="s">
        <v>220</v>
      </c>
      <c r="C1" s="16" t="s">
        <v>168</v>
      </c>
      <c r="D1" s="14" t="s">
        <v>221</v>
      </c>
      <c r="E1" s="16" t="s">
        <v>169</v>
      </c>
      <c r="F1" s="16" t="s">
        <v>171</v>
      </c>
      <c r="G1" s="17" t="s">
        <v>166</v>
      </c>
      <c r="H1" s="18" t="s">
        <v>172</v>
      </c>
      <c r="I1" s="19" t="s">
        <v>222</v>
      </c>
      <c r="J1" s="20" t="s">
        <v>223</v>
      </c>
      <c r="K1" s="14" t="s">
        <v>173</v>
      </c>
      <c r="L1" s="14" t="s">
        <v>224</v>
      </c>
      <c r="M1" s="14" t="s">
        <v>225</v>
      </c>
      <c r="N1" s="89" t="s">
        <v>226</v>
      </c>
      <c r="O1" s="14" t="s">
        <v>227</v>
      </c>
      <c r="P1" s="16" t="s">
        <v>228</v>
      </c>
      <c r="Q1" s="89" t="s">
        <v>229</v>
      </c>
      <c r="R1" s="14" t="s">
        <v>230</v>
      </c>
      <c r="S1" s="14" t="s">
        <v>231</v>
      </c>
      <c r="T1" s="14" t="s">
        <v>232</v>
      </c>
      <c r="U1" s="14" t="s">
        <v>233</v>
      </c>
      <c r="V1" s="16" t="s">
        <v>234</v>
      </c>
      <c r="W1" s="16" t="s">
        <v>235</v>
      </c>
      <c r="X1" s="21" t="s">
        <v>236</v>
      </c>
      <c r="Y1" s="22" t="s">
        <v>187</v>
      </c>
      <c r="Z1" s="23" t="s">
        <v>188</v>
      </c>
      <c r="AA1" s="23" t="s">
        <v>189</v>
      </c>
      <c r="AB1" s="24" t="s">
        <v>237</v>
      </c>
      <c r="AC1" s="20" t="s">
        <v>238</v>
      </c>
      <c r="AD1" s="25" t="s">
        <v>239</v>
      </c>
      <c r="AE1" s="25" t="s">
        <v>190</v>
      </c>
      <c r="AF1" s="17" t="s">
        <v>240</v>
      </c>
      <c r="AG1" s="26" t="s">
        <v>241</v>
      </c>
      <c r="AH1" s="26" t="s">
        <v>242</v>
      </c>
      <c r="AI1" s="26" t="s">
        <v>243</v>
      </c>
      <c r="AJ1" s="26" t="s">
        <v>244</v>
      </c>
      <c r="AK1" s="27" t="s">
        <v>245</v>
      </c>
      <c r="AL1" s="26" t="s">
        <v>246</v>
      </c>
      <c r="AM1" s="26" t="s">
        <v>247</v>
      </c>
      <c r="AN1" s="26" t="s">
        <v>248</v>
      </c>
      <c r="AO1" s="28" t="s">
        <v>249</v>
      </c>
      <c r="AP1" s="28" t="s">
        <v>250</v>
      </c>
    </row>
    <row r="2" s="85" customFormat="1" customHeight="1" spans="1:43">
      <c r="A2" s="90">
        <v>46156</v>
      </c>
      <c r="B2" s="90"/>
      <c r="C2" s="91" t="s">
        <v>191</v>
      </c>
      <c r="D2" s="92" t="s">
        <v>251</v>
      </c>
      <c r="E2" s="93" t="s">
        <v>195</v>
      </c>
      <c r="F2" s="93" t="s">
        <v>181</v>
      </c>
      <c r="G2" s="94" t="s">
        <v>252</v>
      </c>
      <c r="H2" s="95">
        <v>15000</v>
      </c>
      <c r="I2" s="96">
        <v>4</v>
      </c>
      <c r="J2" s="97">
        <f t="shared" ref="J2:J7" si="0">H2/I2</f>
        <v>3750</v>
      </c>
      <c r="K2" s="98">
        <v>46237</v>
      </c>
      <c r="L2" s="98">
        <v>46237</v>
      </c>
      <c r="M2" s="99">
        <f t="shared" ref="M2:M7" si="1">L2-3</f>
        <v>46234</v>
      </c>
      <c r="N2" s="100" t="s">
        <v>253</v>
      </c>
      <c r="O2" s="90" t="s">
        <v>254</v>
      </c>
      <c r="P2" s="101" t="s">
        <v>255</v>
      </c>
      <c r="Q2" s="102" t="s">
        <v>256</v>
      </c>
      <c r="R2" s="90"/>
      <c r="S2" s="90"/>
      <c r="T2" s="90"/>
      <c r="U2" s="90"/>
      <c r="V2" s="93"/>
      <c r="W2" s="220" t="s">
        <v>257</v>
      </c>
      <c r="X2" s="97"/>
      <c r="Y2" s="103">
        <v>10.68</v>
      </c>
      <c r="Z2" s="104">
        <f t="shared" ref="Z2:Z7" si="2">H2*Y2</f>
        <v>160200</v>
      </c>
      <c r="AA2" s="104">
        <f t="shared" ref="AA2:AA7" si="3">Z2*7.75</f>
        <v>1241550</v>
      </c>
      <c r="AB2" s="105"/>
      <c r="AC2" s="90"/>
      <c r="AD2" s="90"/>
      <c r="AE2" s="92" t="s">
        <v>192</v>
      </c>
      <c r="AF2" s="96"/>
      <c r="AG2" s="106"/>
      <c r="AH2" s="106"/>
      <c r="AI2" s="106"/>
      <c r="AJ2" s="106"/>
      <c r="AK2" s="106"/>
      <c r="AL2" s="106"/>
      <c r="AM2" s="106"/>
      <c r="AN2" s="106"/>
      <c r="AO2" s="107">
        <f t="shared" ref="AO2:AO7" si="4">L2-A2</f>
        <v>81</v>
      </c>
      <c r="AP2" s="107">
        <f t="shared" ref="AP2:AP7" si="5">L2-AI2</f>
        <v>46237</v>
      </c>
    </row>
    <row r="3" s="85" customFormat="1" customHeight="1" spans="1:43">
      <c r="A3" s="108">
        <v>46157</v>
      </c>
      <c r="B3" s="108"/>
      <c r="C3" s="109" t="s">
        <v>196</v>
      </c>
      <c r="D3" s="92" t="s">
        <v>251</v>
      </c>
      <c r="E3" s="110" t="s">
        <v>197</v>
      </c>
      <c r="F3" s="110" t="s">
        <v>174</v>
      </c>
      <c r="G3" s="111" t="s">
        <v>258</v>
      </c>
      <c r="H3" s="95">
        <v>7500</v>
      </c>
      <c r="I3" s="111">
        <v>3</v>
      </c>
      <c r="J3" s="112">
        <f t="shared" si="0"/>
        <v>2500</v>
      </c>
      <c r="K3" s="113">
        <v>46237</v>
      </c>
      <c r="L3" s="98">
        <v>46237</v>
      </c>
      <c r="M3" s="99">
        <f t="shared" si="1"/>
        <v>46234</v>
      </c>
      <c r="N3" s="100" t="s">
        <v>253</v>
      </c>
      <c r="O3" s="108" t="s">
        <v>259</v>
      </c>
      <c r="P3" s="101" t="s">
        <v>255</v>
      </c>
      <c r="Q3" s="114" t="s">
        <v>260</v>
      </c>
      <c r="R3" s="108"/>
      <c r="S3" s="92" t="s">
        <v>261</v>
      </c>
      <c r="T3" s="108"/>
      <c r="U3" s="108"/>
      <c r="V3" s="101"/>
      <c r="W3" s="220" t="s">
        <v>262</v>
      </c>
      <c r="X3" s="112" t="s">
        <v>263</v>
      </c>
      <c r="Y3" s="103">
        <v>25.2</v>
      </c>
      <c r="Z3" s="104">
        <f t="shared" si="2"/>
        <v>189000</v>
      </c>
      <c r="AA3" s="104">
        <f t="shared" si="3"/>
        <v>1464750</v>
      </c>
      <c r="AB3" s="115"/>
      <c r="AC3" s="108"/>
      <c r="AD3" s="108"/>
      <c r="AE3" s="92" t="s">
        <v>192</v>
      </c>
      <c r="AF3" s="111"/>
      <c r="AG3" s="116"/>
      <c r="AH3" s="116"/>
      <c r="AI3" s="116"/>
      <c r="AJ3" s="116"/>
      <c r="AK3" s="116"/>
      <c r="AL3" s="116"/>
      <c r="AM3" s="116"/>
      <c r="AN3" s="116"/>
      <c r="AO3" s="117">
        <f t="shared" si="4"/>
        <v>80</v>
      </c>
      <c r="AP3" s="117">
        <f t="shared" si="5"/>
        <v>46237</v>
      </c>
    </row>
    <row r="4" s="1" customFormat="1" customHeight="1" spans="1:43">
      <c r="A4" s="41">
        <v>46109</v>
      </c>
      <c r="B4" s="29"/>
      <c r="C4" s="42" t="s">
        <v>191</v>
      </c>
      <c r="D4" s="67" t="s">
        <v>251</v>
      </c>
      <c r="E4" s="43">
        <v>2640</v>
      </c>
      <c r="F4" s="17" t="s">
        <v>174</v>
      </c>
      <c r="G4" s="19" t="s">
        <v>258</v>
      </c>
      <c r="H4" s="118">
        <v>10002</v>
      </c>
      <c r="I4" s="19">
        <v>3</v>
      </c>
      <c r="J4" s="43">
        <f t="shared" si="0"/>
        <v>3334</v>
      </c>
      <c r="K4" s="41">
        <v>46251</v>
      </c>
      <c r="L4" s="41">
        <v>46251</v>
      </c>
      <c r="M4" s="14">
        <f t="shared" si="1"/>
        <v>46248</v>
      </c>
      <c r="N4" s="119">
        <v>46253</v>
      </c>
      <c r="O4" s="41" t="s">
        <v>264</v>
      </c>
      <c r="P4" s="120" t="s">
        <v>255</v>
      </c>
      <c r="Q4" s="102" t="s">
        <v>256</v>
      </c>
      <c r="R4" s="41"/>
      <c r="S4" s="67" t="s">
        <v>265</v>
      </c>
      <c r="T4" s="41"/>
      <c r="U4" s="41"/>
      <c r="V4" s="17"/>
      <c r="W4" s="221" t="s">
        <v>262</v>
      </c>
      <c r="X4" s="20" t="s">
        <v>263</v>
      </c>
      <c r="Y4" s="121">
        <v>25.2</v>
      </c>
      <c r="Z4" s="44">
        <f t="shared" si="2"/>
        <v>252050.4</v>
      </c>
      <c r="AA4" s="44">
        <f t="shared" si="3"/>
        <v>1953390.6</v>
      </c>
      <c r="AB4" s="36"/>
      <c r="AC4" s="41"/>
      <c r="AD4" s="41"/>
      <c r="AE4" s="67" t="s">
        <v>192</v>
      </c>
      <c r="AF4" s="19"/>
      <c r="AG4" s="45"/>
      <c r="AH4" s="45"/>
      <c r="AI4" s="45"/>
      <c r="AJ4" s="45"/>
      <c r="AK4" s="45"/>
      <c r="AL4" s="45"/>
      <c r="AM4" s="45"/>
      <c r="AN4" s="45"/>
      <c r="AO4" s="28">
        <f t="shared" si="4"/>
        <v>142</v>
      </c>
      <c r="AP4" s="28">
        <f t="shared" si="5"/>
        <v>46251</v>
      </c>
    </row>
    <row r="5" s="1" customFormat="1" customHeight="1" spans="1:43">
      <c r="A5" s="41">
        <v>46128</v>
      </c>
      <c r="B5" s="29"/>
      <c r="C5" s="42" t="s">
        <v>191</v>
      </c>
      <c r="D5" s="67" t="s">
        <v>251</v>
      </c>
      <c r="E5" s="43" t="s">
        <v>193</v>
      </c>
      <c r="F5" s="17" t="s">
        <v>175</v>
      </c>
      <c r="G5" s="19" t="s">
        <v>258</v>
      </c>
      <c r="H5" s="118">
        <v>15000</v>
      </c>
      <c r="I5" s="19">
        <v>3</v>
      </c>
      <c r="J5" s="20">
        <f t="shared" si="0"/>
        <v>5000</v>
      </c>
      <c r="K5" s="41">
        <v>46258</v>
      </c>
      <c r="L5" s="41">
        <v>46258</v>
      </c>
      <c r="M5" s="14">
        <f t="shared" si="1"/>
        <v>46255</v>
      </c>
      <c r="N5" s="41"/>
      <c r="O5" s="41" t="s">
        <v>266</v>
      </c>
      <c r="P5" s="120" t="s">
        <v>255</v>
      </c>
      <c r="Q5" s="17"/>
      <c r="R5" s="41"/>
      <c r="S5" s="67" t="s">
        <v>265</v>
      </c>
      <c r="T5" s="41"/>
      <c r="U5" s="41"/>
      <c r="V5" s="17"/>
      <c r="W5" s="222" t="s">
        <v>262</v>
      </c>
      <c r="X5" s="20" t="s">
        <v>263</v>
      </c>
      <c r="Y5" s="121">
        <v>25.2</v>
      </c>
      <c r="Z5" s="44">
        <f t="shared" si="2"/>
        <v>378000</v>
      </c>
      <c r="AA5" s="44">
        <f t="shared" si="3"/>
        <v>2929500</v>
      </c>
      <c r="AB5" s="36"/>
      <c r="AC5" s="41"/>
      <c r="AD5" s="41"/>
      <c r="AE5" s="67" t="s">
        <v>194</v>
      </c>
      <c r="AF5" s="19"/>
      <c r="AG5" s="45"/>
      <c r="AH5" s="45"/>
      <c r="AI5" s="45"/>
      <c r="AJ5" s="45"/>
      <c r="AK5" s="45"/>
      <c r="AL5" s="45"/>
      <c r="AM5" s="45"/>
      <c r="AN5" s="45"/>
      <c r="AO5" s="28">
        <f t="shared" si="4"/>
        <v>130</v>
      </c>
      <c r="AP5" s="28">
        <f t="shared" si="5"/>
        <v>46258</v>
      </c>
    </row>
    <row r="6" s="1" customFormat="1" customHeight="1" spans="1:43">
      <c r="A6" s="41">
        <v>46128</v>
      </c>
      <c r="B6" s="29"/>
      <c r="C6" s="42" t="s">
        <v>191</v>
      </c>
      <c r="D6" s="67" t="s">
        <v>251</v>
      </c>
      <c r="E6" s="43" t="s">
        <v>193</v>
      </c>
      <c r="F6" s="17" t="s">
        <v>175</v>
      </c>
      <c r="G6" s="19" t="s">
        <v>258</v>
      </c>
      <c r="H6" s="118">
        <v>15000</v>
      </c>
      <c r="I6" s="17">
        <v>3</v>
      </c>
      <c r="J6" s="17">
        <f t="shared" si="0"/>
        <v>5000</v>
      </c>
      <c r="K6" s="41">
        <v>46265</v>
      </c>
      <c r="L6" s="41">
        <v>46265</v>
      </c>
      <c r="M6" s="14">
        <f t="shared" si="1"/>
        <v>46262</v>
      </c>
      <c r="N6" s="17"/>
      <c r="O6" s="17" t="s">
        <v>266</v>
      </c>
      <c r="P6" s="120" t="s">
        <v>255</v>
      </c>
      <c r="Q6" s="17"/>
      <c r="R6" s="41"/>
      <c r="S6" s="67" t="s">
        <v>265</v>
      </c>
      <c r="T6" s="41"/>
      <c r="U6" s="41"/>
      <c r="V6" s="17"/>
      <c r="W6" s="222" t="s">
        <v>262</v>
      </c>
      <c r="X6" s="20" t="s">
        <v>263</v>
      </c>
      <c r="Y6" s="121">
        <v>25.2</v>
      </c>
      <c r="Z6" s="44">
        <f t="shared" si="2"/>
        <v>378000</v>
      </c>
      <c r="AA6" s="44">
        <f t="shared" si="3"/>
        <v>2929500</v>
      </c>
      <c r="AB6" s="36"/>
      <c r="AC6" s="41"/>
      <c r="AD6" s="41"/>
      <c r="AE6" s="67" t="s">
        <v>194</v>
      </c>
      <c r="AF6" s="19"/>
      <c r="AG6" s="45"/>
      <c r="AH6" s="45"/>
      <c r="AI6" s="45"/>
      <c r="AJ6" s="45"/>
      <c r="AK6" s="45"/>
      <c r="AL6" s="45"/>
      <c r="AM6" s="45"/>
      <c r="AN6" s="45"/>
      <c r="AO6" s="28">
        <f t="shared" si="4"/>
        <v>137</v>
      </c>
      <c r="AP6" s="28">
        <f t="shared" si="5"/>
        <v>46265</v>
      </c>
    </row>
    <row r="7" s="1" customFormat="1" customHeight="1" spans="1:43">
      <c r="A7" s="41">
        <v>46128</v>
      </c>
      <c r="B7" s="29"/>
      <c r="C7" s="42" t="s">
        <v>191</v>
      </c>
      <c r="D7" s="67" t="s">
        <v>251</v>
      </c>
      <c r="E7" s="43" t="s">
        <v>193</v>
      </c>
      <c r="F7" s="17" t="s">
        <v>175</v>
      </c>
      <c r="G7" s="19" t="s">
        <v>258</v>
      </c>
      <c r="H7" s="118">
        <v>10002</v>
      </c>
      <c r="I7" s="17">
        <v>3</v>
      </c>
      <c r="J7" s="17">
        <f t="shared" si="0"/>
        <v>3334</v>
      </c>
      <c r="K7" s="41">
        <v>46272</v>
      </c>
      <c r="L7" s="41">
        <v>46272</v>
      </c>
      <c r="M7" s="14">
        <f t="shared" si="1"/>
        <v>46269</v>
      </c>
      <c r="N7" s="17"/>
      <c r="O7" s="17" t="s">
        <v>266</v>
      </c>
      <c r="P7" s="120" t="s">
        <v>255</v>
      </c>
      <c r="Q7" s="17"/>
      <c r="R7" s="41"/>
      <c r="S7" s="67" t="s">
        <v>265</v>
      </c>
      <c r="T7" s="41"/>
      <c r="U7" s="41"/>
      <c r="V7" s="17"/>
      <c r="W7" s="222" t="s">
        <v>262</v>
      </c>
      <c r="X7" s="20" t="s">
        <v>263</v>
      </c>
      <c r="Y7" s="121">
        <v>25.2</v>
      </c>
      <c r="Z7" s="44">
        <f t="shared" si="2"/>
        <v>252050.4</v>
      </c>
      <c r="AA7" s="44">
        <f t="shared" si="3"/>
        <v>1953390.6</v>
      </c>
      <c r="AB7" s="36"/>
      <c r="AC7" s="41"/>
      <c r="AD7" s="41"/>
      <c r="AE7" s="67" t="s">
        <v>194</v>
      </c>
      <c r="AF7" s="19"/>
      <c r="AG7" s="45"/>
      <c r="AH7" s="45"/>
      <c r="AI7" s="45"/>
      <c r="AJ7" s="45"/>
      <c r="AK7" s="45"/>
      <c r="AL7" s="45"/>
      <c r="AM7" s="45"/>
      <c r="AN7" s="45"/>
      <c r="AO7" s="28">
        <f t="shared" si="4"/>
        <v>144</v>
      </c>
      <c r="AP7" s="28">
        <f t="shared" si="5"/>
        <v>46272</v>
      </c>
    </row>
    <row r="8" s="1" customFormat="1" customHeight="1" spans="1:43">
      <c r="A8" s="41">
        <v>46109</v>
      </c>
      <c r="B8" s="122"/>
      <c r="C8" s="42" t="s">
        <v>191</v>
      </c>
      <c r="D8" s="67" t="s">
        <v>251</v>
      </c>
      <c r="E8" s="43" t="s">
        <v>198</v>
      </c>
      <c r="F8" s="123"/>
      <c r="G8" s="17" t="s">
        <v>176</v>
      </c>
      <c r="H8" s="17">
        <f>10000*20</f>
        <v>200000</v>
      </c>
      <c r="I8" s="124"/>
      <c r="J8" s="125"/>
      <c r="K8" s="41">
        <v>46272</v>
      </c>
      <c r="L8" s="126"/>
      <c r="M8" s="127"/>
      <c r="N8" s="128"/>
      <c r="O8" s="128"/>
      <c r="P8" s="123"/>
      <c r="Q8" s="123"/>
      <c r="R8" s="128"/>
      <c r="S8" s="128"/>
      <c r="T8" s="128"/>
      <c r="U8" s="128"/>
      <c r="V8" s="123"/>
      <c r="W8" s="123"/>
      <c r="X8" s="125"/>
      <c r="Y8" s="121">
        <v>0</v>
      </c>
      <c r="Z8" s="44">
        <f t="shared" ref="Z4:Z19" si="6">H8*Y8</f>
        <v>0</v>
      </c>
      <c r="AA8" s="44">
        <f t="shared" ref="AA8:AA11" si="7">I8*Z8</f>
        <v>0</v>
      </c>
      <c r="AB8" s="129"/>
      <c r="AC8" s="128"/>
      <c r="AD8" s="128"/>
      <c r="AE8" s="67" t="s">
        <v>194</v>
      </c>
      <c r="AF8" s="124"/>
      <c r="AG8" s="130"/>
      <c r="AH8" s="130"/>
      <c r="AI8" s="130"/>
      <c r="AJ8" s="130"/>
      <c r="AK8" s="130"/>
      <c r="AL8" s="130"/>
      <c r="AM8" s="130"/>
      <c r="AN8" s="130"/>
      <c r="AO8" s="131">
        <f t="shared" ref="AO4:AO18" si="8">L8-A8</f>
        <v>-46109</v>
      </c>
      <c r="AP8" s="131">
        <f t="shared" ref="AP4:AP18" si="9">L8-AI8</f>
        <v>0</v>
      </c>
    </row>
    <row r="9" s="1" customFormat="1" customHeight="1" spans="1:43">
      <c r="A9" s="41">
        <v>46109</v>
      </c>
      <c r="B9" s="122"/>
      <c r="C9" s="42" t="s">
        <v>191</v>
      </c>
      <c r="D9" s="67" t="s">
        <v>251</v>
      </c>
      <c r="E9" s="43" t="s">
        <v>198</v>
      </c>
      <c r="F9" s="123"/>
      <c r="G9" s="17" t="s">
        <v>177</v>
      </c>
      <c r="H9" s="17">
        <f>10000</f>
        <v>10000</v>
      </c>
      <c r="I9" s="124"/>
      <c r="J9" s="125"/>
      <c r="K9" s="41">
        <v>46272</v>
      </c>
      <c r="L9" s="126"/>
      <c r="M9" s="127"/>
      <c r="N9" s="128"/>
      <c r="O9" s="128"/>
      <c r="P9" s="123"/>
      <c r="Q9" s="123"/>
      <c r="R9" s="128"/>
      <c r="S9" s="128"/>
      <c r="T9" s="128"/>
      <c r="U9" s="128"/>
      <c r="V9" s="123"/>
      <c r="W9" s="123"/>
      <c r="X9" s="125"/>
      <c r="Y9" s="121">
        <v>0</v>
      </c>
      <c r="Z9" s="44">
        <f t="shared" si="6"/>
        <v>0</v>
      </c>
      <c r="AA9" s="44">
        <f t="shared" si="7"/>
        <v>0</v>
      </c>
      <c r="AB9" s="129"/>
      <c r="AC9" s="128"/>
      <c r="AD9" s="128"/>
      <c r="AE9" s="67" t="s">
        <v>194</v>
      </c>
      <c r="AF9" s="124"/>
      <c r="AG9" s="130"/>
      <c r="AH9" s="130"/>
      <c r="AI9" s="130"/>
      <c r="AJ9" s="130"/>
      <c r="AK9" s="130"/>
      <c r="AL9" s="130"/>
      <c r="AM9" s="130"/>
      <c r="AN9" s="130"/>
      <c r="AO9" s="131">
        <f t="shared" si="8"/>
        <v>-46109</v>
      </c>
      <c r="AP9" s="131">
        <f t="shared" si="9"/>
        <v>0</v>
      </c>
    </row>
    <row r="10" s="1" customFormat="1" customHeight="1" spans="1:43">
      <c r="A10" s="41">
        <v>46109</v>
      </c>
      <c r="B10" s="122"/>
      <c r="C10" s="42" t="s">
        <v>191</v>
      </c>
      <c r="D10" s="67" t="s">
        <v>251</v>
      </c>
      <c r="E10" s="43" t="s">
        <v>198</v>
      </c>
      <c r="F10" s="123"/>
      <c r="G10" s="17" t="s">
        <v>178</v>
      </c>
      <c r="H10" s="17">
        <f>10000</f>
        <v>10000</v>
      </c>
      <c r="I10" s="124"/>
      <c r="J10" s="125"/>
      <c r="K10" s="41">
        <v>46272</v>
      </c>
      <c r="L10" s="126"/>
      <c r="M10" s="127"/>
      <c r="N10" s="128"/>
      <c r="O10" s="128"/>
      <c r="P10" s="123"/>
      <c r="Q10" s="123"/>
      <c r="R10" s="128"/>
      <c r="S10" s="128"/>
      <c r="T10" s="128"/>
      <c r="U10" s="128"/>
      <c r="V10" s="123"/>
      <c r="W10" s="123"/>
      <c r="X10" s="125"/>
      <c r="Y10" s="121">
        <v>0</v>
      </c>
      <c r="Z10" s="44">
        <f t="shared" si="6"/>
        <v>0</v>
      </c>
      <c r="AA10" s="44">
        <f t="shared" si="7"/>
        <v>0</v>
      </c>
      <c r="AB10" s="129"/>
      <c r="AC10" s="128"/>
      <c r="AD10" s="128"/>
      <c r="AE10" s="67" t="s">
        <v>194</v>
      </c>
      <c r="AF10" s="124"/>
      <c r="AG10" s="130"/>
      <c r="AH10" s="130"/>
      <c r="AI10" s="130"/>
      <c r="AJ10" s="130"/>
      <c r="AK10" s="130"/>
      <c r="AL10" s="130"/>
      <c r="AM10" s="130"/>
      <c r="AN10" s="130"/>
      <c r="AO10" s="131">
        <f t="shared" si="8"/>
        <v>-46109</v>
      </c>
      <c r="AP10" s="131">
        <f t="shared" si="9"/>
        <v>0</v>
      </c>
    </row>
    <row r="11" s="1" customFormat="1" customHeight="1" spans="1:43">
      <c r="A11" s="41">
        <v>46109</v>
      </c>
      <c r="B11" s="122"/>
      <c r="C11" s="42" t="s">
        <v>191</v>
      </c>
      <c r="D11" s="67" t="s">
        <v>251</v>
      </c>
      <c r="E11" s="43" t="s">
        <v>198</v>
      </c>
      <c r="F11" s="123"/>
      <c r="G11" s="17" t="s">
        <v>179</v>
      </c>
      <c r="H11" s="17">
        <f>10000</f>
        <v>10000</v>
      </c>
      <c r="I11" s="124"/>
      <c r="J11" s="125"/>
      <c r="K11" s="41">
        <v>46272</v>
      </c>
      <c r="L11" s="126"/>
      <c r="M11" s="127"/>
      <c r="N11" s="128"/>
      <c r="O11" s="128"/>
      <c r="P11" s="123"/>
      <c r="Q11" s="123"/>
      <c r="R11" s="128"/>
      <c r="S11" s="128"/>
      <c r="T11" s="128"/>
      <c r="U11" s="128"/>
      <c r="V11" s="123"/>
      <c r="W11" s="123"/>
      <c r="X11" s="125" t="s">
        <v>263</v>
      </c>
      <c r="Y11" s="121">
        <v>0</v>
      </c>
      <c r="Z11" s="44">
        <f t="shared" si="6"/>
        <v>0</v>
      </c>
      <c r="AA11" s="44">
        <f t="shared" si="7"/>
        <v>0</v>
      </c>
      <c r="AB11" s="129"/>
      <c r="AC11" s="128"/>
      <c r="AD11" s="128"/>
      <c r="AE11" s="132" t="s">
        <v>194</v>
      </c>
      <c r="AF11" s="124"/>
      <c r="AG11" s="130"/>
      <c r="AH11" s="130"/>
      <c r="AI11" s="130"/>
      <c r="AJ11" s="130"/>
      <c r="AK11" s="130"/>
      <c r="AL11" s="130"/>
      <c r="AM11" s="130"/>
      <c r="AN11" s="130"/>
      <c r="AO11" s="131">
        <f t="shared" si="8"/>
        <v>-46109</v>
      </c>
      <c r="AP11" s="131">
        <f t="shared" si="9"/>
        <v>0</v>
      </c>
    </row>
    <row r="12" s="86" customFormat="1" ht="27" customHeight="1" spans="1:43">
      <c r="A12" s="41">
        <v>46109</v>
      </c>
      <c r="B12" s="122"/>
      <c r="C12" s="42" t="s">
        <v>191</v>
      </c>
      <c r="D12" s="67" t="s">
        <v>251</v>
      </c>
      <c r="E12" s="43" t="s">
        <v>198</v>
      </c>
      <c r="F12" s="18"/>
      <c r="G12" s="17" t="s">
        <v>180</v>
      </c>
      <c r="H12" s="17">
        <f>10000</f>
        <v>10000</v>
      </c>
      <c r="K12" s="41">
        <v>46272</v>
      </c>
      <c r="N12" s="18"/>
      <c r="P12" s="121"/>
      <c r="Q12" s="133"/>
      <c r="R12" s="133"/>
      <c r="S12" s="41"/>
      <c r="Y12" s="121">
        <v>0</v>
      </c>
      <c r="Z12" s="44">
        <f t="shared" si="6"/>
        <v>0</v>
      </c>
      <c r="AA12" s="44">
        <f t="shared" ref="AA12:AA19" si="10">Z12*7.75</f>
        <v>0</v>
      </c>
      <c r="AE12" s="132" t="s">
        <v>194</v>
      </c>
      <c r="AO12" s="131">
        <f t="shared" si="8"/>
        <v>-46109</v>
      </c>
      <c r="AP12" s="131">
        <f t="shared" si="9"/>
        <v>0</v>
      </c>
      <c r="AQ12" s="1"/>
    </row>
    <row r="13" s="87" customFormat="1" ht="27" customHeight="1" spans="1:43">
      <c r="A13" s="134">
        <v>46175</v>
      </c>
      <c r="B13" s="122"/>
      <c r="C13" s="42" t="s">
        <v>191</v>
      </c>
      <c r="D13" s="67" t="s">
        <v>251</v>
      </c>
      <c r="E13" s="43" t="s">
        <v>199</v>
      </c>
      <c r="F13" s="18" t="s">
        <v>182</v>
      </c>
      <c r="G13" s="135" t="s">
        <v>267</v>
      </c>
      <c r="H13" s="136">
        <v>75</v>
      </c>
      <c r="I13" s="137">
        <v>120</v>
      </c>
      <c r="J13" s="125">
        <v>1</v>
      </c>
      <c r="K13" s="138">
        <v>46262</v>
      </c>
      <c r="L13" s="86"/>
      <c r="M13" s="86"/>
      <c r="N13" s="139"/>
      <c r="O13" s="137"/>
      <c r="P13" s="140"/>
      <c r="Q13" s="141"/>
      <c r="R13" s="141"/>
      <c r="S13" s="134"/>
      <c r="T13" s="137"/>
      <c r="U13" s="137"/>
      <c r="V13" s="137"/>
      <c r="W13" s="137"/>
      <c r="X13" s="137"/>
      <c r="Y13" s="140">
        <v>2.7</v>
      </c>
      <c r="Z13" s="44">
        <f t="shared" si="6"/>
        <v>202.5</v>
      </c>
      <c r="AA13" s="44">
        <f t="shared" si="10"/>
        <v>1569.38</v>
      </c>
      <c r="AB13" s="137"/>
      <c r="AC13" s="137"/>
      <c r="AD13" s="137"/>
      <c r="AE13" s="132" t="s">
        <v>192</v>
      </c>
      <c r="AF13" s="137"/>
      <c r="AG13" s="137"/>
      <c r="AH13" s="137"/>
      <c r="AI13" s="137"/>
      <c r="AJ13" s="137"/>
      <c r="AK13" s="137"/>
      <c r="AL13" s="137"/>
      <c r="AM13" s="137"/>
      <c r="AN13" s="137"/>
      <c r="AO13" s="131">
        <f t="shared" si="8"/>
        <v>-46175</v>
      </c>
      <c r="AP13" s="131">
        <f t="shared" si="9"/>
        <v>0</v>
      </c>
      <c r="AQ13" s="1"/>
    </row>
    <row r="14" s="87" customFormat="1" ht="27" customHeight="1" spans="1:43">
      <c r="A14" s="134">
        <v>46175</v>
      </c>
      <c r="B14" s="122"/>
      <c r="C14" s="42" t="s">
        <v>191</v>
      </c>
      <c r="D14" s="67" t="s">
        <v>251</v>
      </c>
      <c r="E14" s="142" t="s">
        <v>199</v>
      </c>
      <c r="F14" s="139" t="s">
        <v>183</v>
      </c>
      <c r="G14" s="143" t="s">
        <v>268</v>
      </c>
      <c r="H14" s="136">
        <v>250</v>
      </c>
      <c r="I14" s="137">
        <v>100</v>
      </c>
      <c r="J14" s="125">
        <v>3</v>
      </c>
      <c r="K14" s="138">
        <v>46262</v>
      </c>
      <c r="L14" s="137"/>
      <c r="M14" s="137"/>
      <c r="N14" s="139"/>
      <c r="O14" s="137"/>
      <c r="P14" s="140"/>
      <c r="Q14" s="141"/>
      <c r="R14" s="141"/>
      <c r="S14" s="134"/>
      <c r="T14" s="137"/>
      <c r="U14" s="137"/>
      <c r="V14" s="137"/>
      <c r="W14" s="137"/>
      <c r="X14" s="137"/>
      <c r="Y14" s="140">
        <v>2.42</v>
      </c>
      <c r="Z14" s="44">
        <f t="shared" si="6"/>
        <v>605</v>
      </c>
      <c r="AA14" s="44">
        <f t="shared" si="10"/>
        <v>4688.75</v>
      </c>
      <c r="AB14" s="137"/>
      <c r="AC14" s="137"/>
      <c r="AD14" s="137"/>
      <c r="AE14" s="132" t="s">
        <v>192</v>
      </c>
      <c r="AF14" s="137"/>
      <c r="AG14" s="137"/>
      <c r="AH14" s="137"/>
      <c r="AI14" s="137"/>
      <c r="AJ14" s="137"/>
      <c r="AK14" s="137"/>
      <c r="AL14" s="137"/>
      <c r="AM14" s="137"/>
      <c r="AN14" s="137"/>
      <c r="AO14" s="131">
        <f t="shared" si="8"/>
        <v>-46175</v>
      </c>
      <c r="AP14" s="131">
        <f t="shared" si="9"/>
        <v>0</v>
      </c>
      <c r="AQ14" s="1"/>
    </row>
    <row r="15" s="87" customFormat="1" ht="27" customHeight="1" spans="1:43">
      <c r="A15" s="134">
        <v>46175</v>
      </c>
      <c r="B15" s="122"/>
      <c r="C15" s="42" t="s">
        <v>191</v>
      </c>
      <c r="D15" s="67" t="s">
        <v>251</v>
      </c>
      <c r="E15" s="142" t="s">
        <v>199</v>
      </c>
      <c r="F15" s="139" t="s">
        <v>185</v>
      </c>
      <c r="G15" s="143" t="s">
        <v>269</v>
      </c>
      <c r="H15" s="136">
        <v>500</v>
      </c>
      <c r="I15" s="137">
        <v>6</v>
      </c>
      <c r="J15" s="144">
        <v>84</v>
      </c>
      <c r="K15" s="138">
        <v>46262</v>
      </c>
      <c r="L15" s="137"/>
      <c r="M15" s="137"/>
      <c r="N15" s="139"/>
      <c r="O15" s="137"/>
      <c r="P15" s="140"/>
      <c r="Q15" s="141"/>
      <c r="R15" s="141"/>
      <c r="S15" s="134"/>
      <c r="T15" s="137"/>
      <c r="U15" s="137"/>
      <c r="V15" s="137"/>
      <c r="W15" s="137"/>
      <c r="X15" s="137"/>
      <c r="Y15" s="145">
        <v>12.65</v>
      </c>
      <c r="Z15" s="44">
        <f t="shared" si="6"/>
        <v>6325</v>
      </c>
      <c r="AA15" s="44">
        <f t="shared" si="10"/>
        <v>49018.75</v>
      </c>
      <c r="AB15" s="137"/>
      <c r="AC15" s="137"/>
      <c r="AD15" s="137"/>
      <c r="AE15" s="132" t="s">
        <v>192</v>
      </c>
      <c r="AF15" s="137"/>
      <c r="AG15" s="137"/>
      <c r="AH15" s="137"/>
      <c r="AI15" s="137"/>
      <c r="AJ15" s="137"/>
      <c r="AK15" s="137"/>
      <c r="AL15" s="137"/>
      <c r="AM15" s="137"/>
      <c r="AN15" s="137"/>
      <c r="AO15" s="131">
        <f t="shared" si="8"/>
        <v>-46175</v>
      </c>
      <c r="AP15" s="131">
        <f t="shared" si="9"/>
        <v>0</v>
      </c>
      <c r="AQ15" s="1"/>
    </row>
    <row r="16" s="87" customFormat="1" ht="27" customHeight="1" spans="1:43">
      <c r="A16" s="134">
        <v>46175</v>
      </c>
      <c r="B16" s="29"/>
      <c r="C16" s="42" t="s">
        <v>191</v>
      </c>
      <c r="D16" s="67" t="s">
        <v>251</v>
      </c>
      <c r="E16" s="142" t="s">
        <v>199</v>
      </c>
      <c r="F16" s="139" t="s">
        <v>186</v>
      </c>
      <c r="G16" s="143" t="s">
        <v>270</v>
      </c>
      <c r="H16" s="136">
        <v>200</v>
      </c>
      <c r="I16" s="137">
        <v>20</v>
      </c>
      <c r="J16" s="20">
        <f>H16/I16</f>
        <v>10</v>
      </c>
      <c r="K16" s="138">
        <v>46262</v>
      </c>
      <c r="L16" s="137"/>
      <c r="M16" s="137"/>
      <c r="N16" s="139"/>
      <c r="O16" s="137"/>
      <c r="P16" s="140"/>
      <c r="Q16" s="141"/>
      <c r="R16" s="141"/>
      <c r="S16" s="134"/>
      <c r="T16" s="137"/>
      <c r="U16" s="137"/>
      <c r="V16" s="137"/>
      <c r="W16" s="137"/>
      <c r="X16" s="137"/>
      <c r="Y16" s="140">
        <v>2.3</v>
      </c>
      <c r="Z16" s="44">
        <f t="shared" si="6"/>
        <v>460</v>
      </c>
      <c r="AA16" s="44">
        <f t="shared" si="10"/>
        <v>3565</v>
      </c>
      <c r="AB16" s="137"/>
      <c r="AC16" s="137"/>
      <c r="AD16" s="137"/>
      <c r="AE16" s="132" t="s">
        <v>192</v>
      </c>
      <c r="AF16" s="137"/>
      <c r="AG16" s="137"/>
      <c r="AH16" s="137"/>
      <c r="AI16" s="137"/>
      <c r="AJ16" s="137"/>
      <c r="AK16" s="137"/>
      <c r="AL16" s="137"/>
      <c r="AM16" s="137"/>
      <c r="AN16" s="137"/>
      <c r="AO16" s="131">
        <f t="shared" si="8"/>
        <v>-46175</v>
      </c>
      <c r="AP16" s="131">
        <f t="shared" si="9"/>
        <v>0</v>
      </c>
      <c r="AQ16" s="1"/>
    </row>
    <row r="17" s="1" customFormat="1" customHeight="1" spans="1:42">
      <c r="A17" s="134">
        <v>46185</v>
      </c>
      <c r="B17" s="146"/>
      <c r="C17" s="42" t="s">
        <v>191</v>
      </c>
      <c r="D17" s="67" t="s">
        <v>251</v>
      </c>
      <c r="E17" s="142" t="s">
        <v>200</v>
      </c>
      <c r="F17" s="139" t="s">
        <v>184</v>
      </c>
      <c r="G17" s="147" t="s">
        <v>271</v>
      </c>
      <c r="H17" s="139">
        <v>3000</v>
      </c>
      <c r="I17" s="148" t="s">
        <v>272</v>
      </c>
      <c r="J17" s="20">
        <f>H17/I17</f>
        <v>250</v>
      </c>
      <c r="K17" s="138">
        <v>46262</v>
      </c>
      <c r="L17" s="149"/>
      <c r="M17" s="150"/>
      <c r="N17" s="134"/>
      <c r="O17" s="134" t="s">
        <v>273</v>
      </c>
      <c r="P17" s="120" t="s">
        <v>274</v>
      </c>
      <c r="Q17" s="136"/>
      <c r="R17" s="134"/>
      <c r="S17" s="134"/>
      <c r="T17" s="134"/>
      <c r="U17" s="134"/>
      <c r="V17" s="136"/>
      <c r="W17" s="223" t="s">
        <v>275</v>
      </c>
      <c r="X17" s="151"/>
      <c r="Y17" s="140">
        <v>2.74</v>
      </c>
      <c r="Z17" s="44">
        <f t="shared" si="6"/>
        <v>8220</v>
      </c>
      <c r="AA17" s="44">
        <f t="shared" si="10"/>
        <v>63705</v>
      </c>
      <c r="AB17" s="152"/>
      <c r="AC17" s="134"/>
      <c r="AD17" s="134"/>
      <c r="AE17" s="67" t="s">
        <v>192</v>
      </c>
      <c r="AF17" s="148"/>
      <c r="AG17" s="153"/>
      <c r="AH17" s="153"/>
      <c r="AI17" s="153"/>
      <c r="AJ17" s="153"/>
      <c r="AK17" s="153"/>
      <c r="AL17" s="153"/>
      <c r="AM17" s="153"/>
      <c r="AN17" s="153"/>
      <c r="AO17" s="131">
        <f t="shared" si="8"/>
        <v>-46185</v>
      </c>
      <c r="AP17" s="131">
        <f t="shared" si="9"/>
        <v>0</v>
      </c>
    </row>
    <row r="18" s="1" customFormat="1" customHeight="1" spans="1:42">
      <c r="A18" s="134">
        <v>46188</v>
      </c>
      <c r="B18" s="146"/>
      <c r="C18" s="42" t="s">
        <v>191</v>
      </c>
      <c r="D18" s="67" t="s">
        <v>251</v>
      </c>
      <c r="E18" s="154" t="s">
        <v>198</v>
      </c>
      <c r="F18" s="139" t="s">
        <v>184</v>
      </c>
      <c r="G18" s="147" t="s">
        <v>271</v>
      </c>
      <c r="H18" s="139">
        <f>6000-3000</f>
        <v>3000</v>
      </c>
      <c r="I18" s="148" t="s">
        <v>272</v>
      </c>
      <c r="J18" s="20">
        <f>H18/I18</f>
        <v>250</v>
      </c>
      <c r="K18" s="138">
        <v>46262</v>
      </c>
      <c r="L18" s="155"/>
      <c r="M18" s="150"/>
      <c r="N18" s="134"/>
      <c r="O18" s="134"/>
      <c r="P18" s="136"/>
      <c r="Q18" s="136"/>
      <c r="R18" s="134"/>
      <c r="S18" s="134"/>
      <c r="T18" s="134"/>
      <c r="U18" s="134"/>
      <c r="V18" s="136"/>
      <c r="W18" s="136"/>
      <c r="X18" s="156" t="s">
        <v>276</v>
      </c>
      <c r="Y18" s="140">
        <v>0</v>
      </c>
      <c r="Z18" s="44">
        <f t="shared" si="6"/>
        <v>0</v>
      </c>
      <c r="AA18" s="44">
        <f t="shared" si="10"/>
        <v>0</v>
      </c>
      <c r="AB18" s="152"/>
      <c r="AC18" s="134"/>
      <c r="AD18" s="134"/>
      <c r="AE18" s="67" t="s">
        <v>192</v>
      </c>
      <c r="AF18" s="148"/>
      <c r="AG18" s="153"/>
      <c r="AH18" s="153"/>
      <c r="AI18" s="153"/>
      <c r="AJ18" s="153"/>
      <c r="AK18" s="153"/>
      <c r="AL18" s="153"/>
      <c r="AM18" s="153"/>
      <c r="AN18" s="153"/>
      <c r="AO18" s="131"/>
      <c r="AP18" s="131"/>
    </row>
    <row r="19" s="1" customFormat="1" customHeight="1" spans="1:42">
      <c r="A19" s="41"/>
      <c r="B19" s="29"/>
      <c r="C19" s="42"/>
      <c r="D19" s="41"/>
      <c r="E19" s="17"/>
      <c r="F19" s="17"/>
      <c r="G19" s="19"/>
      <c r="H19" s="18"/>
      <c r="I19" s="19"/>
      <c r="J19" s="20"/>
      <c r="K19" s="20"/>
      <c r="L19" s="41"/>
      <c r="M19" s="41"/>
      <c r="N19" s="41"/>
      <c r="O19" s="41"/>
      <c r="P19" s="17"/>
      <c r="Q19" s="17"/>
      <c r="R19" s="41"/>
      <c r="S19" s="41"/>
      <c r="T19" s="41"/>
      <c r="U19" s="41"/>
      <c r="V19" s="17"/>
      <c r="W19" s="17"/>
      <c r="X19" s="20"/>
      <c r="Y19" s="22"/>
      <c r="Z19" s="44">
        <f t="shared" si="6"/>
        <v>0</v>
      </c>
      <c r="AA19" s="44">
        <f t="shared" si="10"/>
        <v>0</v>
      </c>
      <c r="AB19" s="36"/>
      <c r="AC19" s="41"/>
      <c r="AD19" s="41"/>
      <c r="AE19" s="41"/>
      <c r="AF19" s="19"/>
      <c r="AG19" s="45"/>
      <c r="AH19" s="45"/>
      <c r="AI19" s="45"/>
      <c r="AJ19" s="45"/>
      <c r="AK19" s="45"/>
      <c r="AL19" s="45"/>
      <c r="AM19" s="45"/>
      <c r="AN19" s="45"/>
      <c r="AO19" s="28">
        <f>L19-A19</f>
        <v>0</v>
      </c>
      <c r="AP19" s="28">
        <f>L19-AI19</f>
        <v>0</v>
      </c>
    </row>
    <row r="20" s="3" customFormat="1" customHeight="1" spans="1:42">
      <c r="A20" s="46"/>
      <c r="B20" s="47"/>
      <c r="C20" s="17"/>
      <c r="D20" s="46"/>
      <c r="E20" s="17"/>
      <c r="F20" s="17"/>
      <c r="G20" s="17" t="s">
        <v>277</v>
      </c>
      <c r="H20" s="20">
        <f>SUM(H2:H19)</f>
        <v>319529</v>
      </c>
      <c r="I20" s="48"/>
      <c r="J20" s="48"/>
      <c r="K20" s="48"/>
      <c r="L20" s="46"/>
      <c r="M20" s="46"/>
      <c r="N20" s="46"/>
      <c r="O20" s="46"/>
      <c r="P20" s="17"/>
      <c r="Q20" s="17"/>
      <c r="R20" s="46"/>
      <c r="S20" s="46"/>
      <c r="T20" s="46"/>
      <c r="U20" s="46"/>
      <c r="V20" s="17"/>
      <c r="W20" s="17"/>
      <c r="X20" s="21"/>
      <c r="Y20" s="22"/>
      <c r="Z20" s="23">
        <f>SUM(Z2:Z19)</f>
        <v>1625113.3</v>
      </c>
      <c r="AA20" s="23">
        <f>SUM(AA2:AA19)</f>
        <v>12594628.08</v>
      </c>
      <c r="AB20" s="36"/>
      <c r="AC20" s="46"/>
      <c r="AD20" s="46"/>
      <c r="AE20" s="46"/>
      <c r="AF20" s="17"/>
      <c r="AG20" s="49"/>
      <c r="AH20" s="49"/>
      <c r="AI20" s="49"/>
      <c r="AJ20" s="49"/>
      <c r="AK20" s="49"/>
      <c r="AL20" s="49"/>
      <c r="AM20" s="49"/>
      <c r="AN20" s="49"/>
      <c r="AO20" s="28"/>
      <c r="AP20" s="28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Q20" etc:filterBottomFollowUsedRange="1">
    <extLst/>
  </autoFilter>
  <conditionalFormatting sqref="AO4:AO18">
    <cfRule type="cellIs" dxfId="1" priority="4" operator="lessThan">
      <formula>90</formula>
    </cfRule>
  </conditionalFormatting>
  <conditionalFormatting sqref="AO4:AO7">
    <cfRule type="cellIs" dxfId="1" priority="24" operator="lessThan">
      <formula>90</formula>
    </cfRule>
  </conditionalFormatting>
  <conditionalFormatting sqref="AO19:AO20">
    <cfRule type="cellIs" dxfId="1" priority="582" operator="lessThan">
      <formula>90</formula>
    </cfRule>
  </conditionalFormatting>
  <conditionalFormatting sqref="AP4:AP18">
    <cfRule type="cellIs" dxfId="0" priority="3" operator="lessThan">
      <formula>55</formula>
    </cfRule>
  </conditionalFormatting>
  <conditionalFormatting sqref="AP4:AP7">
    <cfRule type="cellIs" dxfId="0" priority="23" operator="lessThan">
      <formula>55</formula>
    </cfRule>
  </conditionalFormatting>
  <conditionalFormatting sqref="AP19:AP20">
    <cfRule type="cellIs" dxfId="0" priority="581" operator="lessThan">
      <formula>55</formula>
    </cfRule>
  </conditionalFormatting>
  <pageMargins left="0.196527777777778" right="0.161111111111111" top="0.0152777777777778" bottom="0.354166666666667" header="0.156944444444444" footer="0.118055555555556"/>
  <pageSetup paperSize="9" scale="29" fitToHeight="0" orientation="landscape" horizontalDpi="600"/>
  <headerFooter>
    <oddFooter>&amp;C第 &amp;P 页，共 &amp;N 页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FF"/>
    <pageSetUpPr fitToPage="1"/>
  </sheetPr>
  <dimension ref="A1:AP18"/>
  <sheetViews>
    <sheetView tabSelected="1" workbookViewId="0">
      <pane xSplit="12" ySplit="1" topLeftCell="AA3" activePane="bottomRight" state="frozen"/>
      <selection/>
      <selection pane="topRight"/>
      <selection pane="bottomLeft"/>
      <selection pane="bottomRight" activeCell="Y14" sqref="Y14"/>
    </sheetView>
  </sheetViews>
  <sheetFormatPr defaultColWidth="9" defaultRowHeight="25" customHeight="1"/>
  <cols>
    <col min="1" max="1" width="12.625" style="4" customWidth="1"/>
    <col min="2" max="2" width="6.625" style="5" customWidth="1"/>
    <col min="3" max="3" width="10.625" style="6" customWidth="1"/>
    <col min="4" max="4" width="10.625" style="4" customWidth="1"/>
    <col min="5" max="5" width="12.625" style="6" customWidth="1"/>
    <col min="6" max="6" width="10.625" style="6" customWidth="1"/>
    <col min="7" max="7" width="12.625" style="6" customWidth="1"/>
    <col min="8" max="8" width="6.625" style="7" customWidth="1"/>
    <col min="9" max="9" width="5.625" style="6" customWidth="1"/>
    <col min="10" max="10" width="5.625" style="7" customWidth="1"/>
    <col min="11" max="14" width="12.625" style="4" customWidth="1"/>
    <col min="15" max="15" width="12.875" style="6" customWidth="1"/>
    <col min="16" max="16" width="10.625" style="6" customWidth="1"/>
    <col min="17" max="19" width="12.625" style="4" customWidth="1"/>
    <col min="20" max="20" width="12.625" customWidth="1"/>
    <col min="21" max="21" width="12.625" style="6" customWidth="1"/>
    <col min="22" max="22" width="14.1333333333333" style="6" customWidth="1"/>
    <col min="23" max="23" width="15.625" style="7" customWidth="1"/>
    <col min="24" max="24" width="8.625" style="8" customWidth="1"/>
    <col min="25" max="26" width="12.625" style="9" customWidth="1"/>
    <col min="27" max="27" width="10.625" style="10" customWidth="1"/>
    <col min="28" max="29" width="10.625" style="4" customWidth="1"/>
    <col min="30" max="30" width="6.625" style="4" customWidth="1"/>
    <col min="31" max="31" width="10.625" style="6" customWidth="1"/>
    <col min="32" max="32" width="11.5" style="11" customWidth="1"/>
    <col min="33" max="35" width="11.5" style="12" customWidth="1"/>
    <col min="36" max="36" width="8" style="12" customWidth="1"/>
    <col min="37" max="39" width="11.5" style="12" customWidth="1"/>
    <col min="40" max="41" width="6.625" style="13" customWidth="1"/>
    <col min="42" max="16384" width="9" style="1"/>
  </cols>
  <sheetData>
    <row r="1" s="1" customFormat="1" customHeight="1" spans="1:42">
      <c r="A1" s="14" t="s">
        <v>219</v>
      </c>
      <c r="B1" s="15" t="s">
        <v>220</v>
      </c>
      <c r="C1" s="16" t="s">
        <v>168</v>
      </c>
      <c r="D1" s="14" t="s">
        <v>221</v>
      </c>
      <c r="E1" s="16" t="s">
        <v>169</v>
      </c>
      <c r="F1" s="16" t="s">
        <v>171</v>
      </c>
      <c r="G1" s="17" t="s">
        <v>166</v>
      </c>
      <c r="H1" s="18" t="s">
        <v>172</v>
      </c>
      <c r="I1" s="19" t="s">
        <v>222</v>
      </c>
      <c r="J1" s="20" t="s">
        <v>223</v>
      </c>
      <c r="K1" s="14" t="s">
        <v>278</v>
      </c>
      <c r="L1" s="14" t="s">
        <v>225</v>
      </c>
      <c r="M1" s="14" t="s">
        <v>226</v>
      </c>
      <c r="N1" s="14" t="s">
        <v>227</v>
      </c>
      <c r="O1" s="16" t="s">
        <v>228</v>
      </c>
      <c r="P1" s="16" t="s">
        <v>279</v>
      </c>
      <c r="Q1" s="14" t="s">
        <v>230</v>
      </c>
      <c r="R1" s="14" t="s">
        <v>231</v>
      </c>
      <c r="S1" s="14" t="s">
        <v>232</v>
      </c>
      <c r="T1" s="14" t="s">
        <v>233</v>
      </c>
      <c r="U1" s="16" t="s">
        <v>234</v>
      </c>
      <c r="V1" s="16" t="s">
        <v>235</v>
      </c>
      <c r="W1" s="21" t="s">
        <v>236</v>
      </c>
      <c r="X1" s="22" t="s">
        <v>187</v>
      </c>
      <c r="Y1" s="23" t="s">
        <v>188</v>
      </c>
      <c r="Z1" s="23" t="s">
        <v>189</v>
      </c>
      <c r="AA1" s="24" t="s">
        <v>237</v>
      </c>
      <c r="AB1" s="20" t="s">
        <v>238</v>
      </c>
      <c r="AC1" s="25" t="s">
        <v>239</v>
      </c>
      <c r="AD1" s="25" t="s">
        <v>190</v>
      </c>
      <c r="AE1" s="17" t="s">
        <v>240</v>
      </c>
      <c r="AF1" s="26" t="s">
        <v>241</v>
      </c>
      <c r="AG1" s="26" t="s">
        <v>242</v>
      </c>
      <c r="AH1" s="26" t="s">
        <v>243</v>
      </c>
      <c r="AI1" s="26" t="s">
        <v>244</v>
      </c>
      <c r="AJ1" s="27" t="s">
        <v>245</v>
      </c>
      <c r="AK1" s="26" t="s">
        <v>246</v>
      </c>
      <c r="AL1" s="26" t="s">
        <v>247</v>
      </c>
      <c r="AM1" s="26" t="s">
        <v>248</v>
      </c>
      <c r="AN1" s="28" t="s">
        <v>249</v>
      </c>
      <c r="AO1" s="28" t="s">
        <v>250</v>
      </c>
    </row>
    <row r="2" s="1" customFormat="1" customHeight="1" spans="1:42">
      <c r="A2" s="51">
        <v>46157</v>
      </c>
      <c r="B2" s="51"/>
      <c r="C2" s="52" t="s">
        <v>196</v>
      </c>
      <c r="D2" s="53" t="s">
        <v>251</v>
      </c>
      <c r="E2" s="54" t="s">
        <v>197</v>
      </c>
      <c r="F2" s="54" t="s">
        <v>174</v>
      </c>
      <c r="G2" s="55" t="s">
        <v>258</v>
      </c>
      <c r="H2" s="56">
        <v>600</v>
      </c>
      <c r="I2" s="55">
        <v>3</v>
      </c>
      <c r="J2" s="57">
        <f t="shared" ref="J2:J12" si="0">H2/I2</f>
        <v>200</v>
      </c>
      <c r="K2" s="58">
        <v>46216</v>
      </c>
      <c r="L2" s="59">
        <v>46213</v>
      </c>
      <c r="M2" s="60" t="s">
        <v>280</v>
      </c>
      <c r="N2" s="51" t="s">
        <v>259</v>
      </c>
      <c r="O2" s="61" t="s">
        <v>255</v>
      </c>
      <c r="P2" s="17"/>
      <c r="Q2" s="41"/>
      <c r="R2" s="60" t="s">
        <v>281</v>
      </c>
      <c r="S2" s="41"/>
      <c r="T2" s="41"/>
      <c r="U2" s="17"/>
      <c r="V2" s="224" t="s">
        <v>262</v>
      </c>
      <c r="W2" s="63" t="s">
        <v>263</v>
      </c>
      <c r="X2" s="64">
        <v>25.2</v>
      </c>
      <c r="Y2" s="65">
        <f t="shared" ref="Y2:Y12" si="1">H2*X2</f>
        <v>15120</v>
      </c>
      <c r="Z2" s="65">
        <f t="shared" ref="Z2:Z12" si="2">Y2*7.75</f>
        <v>117180</v>
      </c>
      <c r="AA2" s="66" t="s">
        <v>282</v>
      </c>
      <c r="AB2" s="41"/>
      <c r="AC2" s="41"/>
      <c r="AD2" s="67" t="s">
        <v>192</v>
      </c>
      <c r="AE2" s="19"/>
      <c r="AF2" s="45"/>
      <c r="AG2" s="45"/>
      <c r="AH2" s="45"/>
      <c r="AI2" s="45"/>
      <c r="AJ2" s="45"/>
      <c r="AK2" s="45"/>
      <c r="AL2" s="45"/>
      <c r="AM2" s="45"/>
      <c r="AN2" s="28"/>
      <c r="AO2" s="28"/>
    </row>
    <row r="3" s="1" customFormat="1" customHeight="1" spans="1:42">
      <c r="A3" s="51">
        <v>46157</v>
      </c>
      <c r="B3" s="51"/>
      <c r="C3" s="52" t="s">
        <v>196</v>
      </c>
      <c r="D3" s="53" t="s">
        <v>251</v>
      </c>
      <c r="E3" s="54" t="s">
        <v>197</v>
      </c>
      <c r="F3" s="54" t="s">
        <v>181</v>
      </c>
      <c r="G3" s="68" t="s">
        <v>252</v>
      </c>
      <c r="H3" s="56">
        <v>5000</v>
      </c>
      <c r="I3" s="55">
        <v>4</v>
      </c>
      <c r="J3" s="57">
        <f t="shared" si="0"/>
        <v>1250</v>
      </c>
      <c r="K3" s="58">
        <v>46216</v>
      </c>
      <c r="L3" s="59">
        <v>46213</v>
      </c>
      <c r="M3" s="60" t="s">
        <v>280</v>
      </c>
      <c r="N3" s="51" t="s">
        <v>259</v>
      </c>
      <c r="O3" s="61" t="s">
        <v>255</v>
      </c>
      <c r="P3" s="17"/>
      <c r="Q3" s="41"/>
      <c r="R3" s="60" t="s">
        <v>281</v>
      </c>
      <c r="S3" s="41"/>
      <c r="T3" s="41"/>
      <c r="U3" s="17"/>
      <c r="V3" s="224" t="s">
        <v>257</v>
      </c>
      <c r="W3" s="63"/>
      <c r="X3" s="64">
        <v>10.68</v>
      </c>
      <c r="Y3" s="65">
        <f t="shared" si="1"/>
        <v>53400</v>
      </c>
      <c r="Z3" s="65">
        <f t="shared" si="2"/>
        <v>413850</v>
      </c>
      <c r="AA3" s="66" t="s">
        <v>282</v>
      </c>
      <c r="AB3" s="41"/>
      <c r="AC3" s="41"/>
      <c r="AD3" s="67" t="s">
        <v>192</v>
      </c>
      <c r="AE3" s="19"/>
      <c r="AF3" s="45"/>
      <c r="AG3" s="45"/>
      <c r="AH3" s="45"/>
      <c r="AI3" s="45"/>
      <c r="AJ3" s="45"/>
      <c r="AK3" s="45"/>
      <c r="AL3" s="45"/>
      <c r="AM3" s="45"/>
      <c r="AN3" s="28">
        <f>K3-A3</f>
        <v>59</v>
      </c>
      <c r="AO3" s="28">
        <f>K3-AH3</f>
        <v>46216</v>
      </c>
    </row>
    <row r="4" s="1" customFormat="1" customHeight="1" spans="1:42">
      <c r="A4" s="51">
        <v>46156</v>
      </c>
      <c r="B4" s="51"/>
      <c r="C4" s="52" t="s">
        <v>191</v>
      </c>
      <c r="D4" s="60" t="s">
        <v>251</v>
      </c>
      <c r="E4" s="62">
        <v>2640</v>
      </c>
      <c r="F4" s="62" t="s">
        <v>181</v>
      </c>
      <c r="G4" s="69" t="s">
        <v>252</v>
      </c>
      <c r="H4" s="70">
        <v>5000</v>
      </c>
      <c r="I4" s="71">
        <v>4</v>
      </c>
      <c r="J4" s="63">
        <f t="shared" si="0"/>
        <v>1250</v>
      </c>
      <c r="K4" s="58">
        <v>46216</v>
      </c>
      <c r="L4" s="58">
        <v>46216</v>
      </c>
      <c r="M4" s="60" t="s">
        <v>283</v>
      </c>
      <c r="N4" s="51" t="s">
        <v>264</v>
      </c>
      <c r="O4" s="61" t="s">
        <v>255</v>
      </c>
      <c r="P4" s="17"/>
      <c r="Q4" s="41"/>
      <c r="R4" s="41"/>
      <c r="S4" s="41"/>
      <c r="T4" s="41"/>
      <c r="U4" s="17"/>
      <c r="V4" s="224" t="s">
        <v>257</v>
      </c>
      <c r="W4" s="63"/>
      <c r="X4" s="64">
        <v>10.68</v>
      </c>
      <c r="Y4" s="65">
        <f t="shared" si="1"/>
        <v>53400</v>
      </c>
      <c r="Z4" s="65">
        <f t="shared" si="2"/>
        <v>413850</v>
      </c>
      <c r="AA4" s="66" t="s">
        <v>284</v>
      </c>
      <c r="AB4" s="41"/>
      <c r="AC4" s="41"/>
      <c r="AD4" s="67" t="s">
        <v>192</v>
      </c>
      <c r="AE4" s="19"/>
      <c r="AF4" s="45"/>
      <c r="AG4" s="45"/>
      <c r="AH4" s="45"/>
      <c r="AI4" s="45"/>
      <c r="AJ4" s="45"/>
      <c r="AK4" s="45"/>
      <c r="AL4" s="45"/>
      <c r="AM4" s="45"/>
      <c r="AN4" s="28">
        <f>K4-A4</f>
        <v>60</v>
      </c>
      <c r="AO4" s="28">
        <f>K4-AH4</f>
        <v>46216</v>
      </c>
    </row>
    <row r="5" s="1" customFormat="1" customHeight="1" spans="1:42">
      <c r="A5" s="51">
        <v>46109</v>
      </c>
      <c r="B5" s="51"/>
      <c r="C5" s="52" t="s">
        <v>191</v>
      </c>
      <c r="D5" s="60" t="s">
        <v>251</v>
      </c>
      <c r="E5" s="69">
        <v>2640</v>
      </c>
      <c r="F5" s="62" t="s">
        <v>174</v>
      </c>
      <c r="G5" s="71" t="s">
        <v>258</v>
      </c>
      <c r="H5" s="70">
        <v>10002</v>
      </c>
      <c r="I5" s="71">
        <v>3</v>
      </c>
      <c r="J5" s="69">
        <f t="shared" si="0"/>
        <v>3334</v>
      </c>
      <c r="K5" s="58">
        <v>46216</v>
      </c>
      <c r="L5" s="51">
        <v>46213</v>
      </c>
      <c r="M5" s="60" t="s">
        <v>283</v>
      </c>
      <c r="N5" s="51" t="s">
        <v>264</v>
      </c>
      <c r="O5" s="61" t="s">
        <v>255</v>
      </c>
      <c r="P5" s="17"/>
      <c r="Q5" s="41"/>
      <c r="R5" s="60" t="s">
        <v>265</v>
      </c>
      <c r="S5" s="41"/>
      <c r="T5" s="41"/>
      <c r="U5" s="17"/>
      <c r="V5" s="224" t="s">
        <v>262</v>
      </c>
      <c r="W5" s="63" t="s">
        <v>263</v>
      </c>
      <c r="X5" s="64">
        <v>25.2</v>
      </c>
      <c r="Y5" s="65">
        <f t="shared" si="1"/>
        <v>252050.4</v>
      </c>
      <c r="Z5" s="65">
        <f t="shared" si="2"/>
        <v>1953390.6</v>
      </c>
      <c r="AA5" s="66" t="s">
        <v>284</v>
      </c>
      <c r="AB5" s="41"/>
      <c r="AC5" s="41"/>
      <c r="AD5" s="67" t="s">
        <v>192</v>
      </c>
      <c r="AE5" s="19"/>
      <c r="AF5" s="45"/>
      <c r="AG5" s="45"/>
      <c r="AH5" s="45"/>
      <c r="AI5" s="45"/>
      <c r="AJ5" s="45"/>
      <c r="AK5" s="45"/>
      <c r="AL5" s="45"/>
      <c r="AM5" s="45"/>
      <c r="AN5" s="28">
        <f>K5-A5</f>
        <v>107</v>
      </c>
      <c r="AO5" s="28">
        <f>K5-AH5</f>
        <v>46216</v>
      </c>
    </row>
    <row r="6" s="1" customFormat="1" customHeight="1" spans="1:42">
      <c r="A6" s="51">
        <v>46109</v>
      </c>
      <c r="B6" s="51"/>
      <c r="C6" s="52" t="s">
        <v>191</v>
      </c>
      <c r="D6" s="60" t="s">
        <v>251</v>
      </c>
      <c r="E6" s="69">
        <v>2640</v>
      </c>
      <c r="F6" s="62" t="s">
        <v>174</v>
      </c>
      <c r="G6" s="71" t="s">
        <v>258</v>
      </c>
      <c r="H6" s="70">
        <v>22332</v>
      </c>
      <c r="I6" s="71">
        <v>3</v>
      </c>
      <c r="J6" s="69">
        <f t="shared" si="0"/>
        <v>7444</v>
      </c>
      <c r="K6" s="51">
        <v>46223</v>
      </c>
      <c r="L6" s="51">
        <v>46223</v>
      </c>
      <c r="M6" s="60" t="s">
        <v>285</v>
      </c>
      <c r="N6" s="51" t="s">
        <v>264</v>
      </c>
      <c r="O6" s="61" t="s">
        <v>255</v>
      </c>
      <c r="P6" s="17"/>
      <c r="Q6" s="41"/>
      <c r="R6" s="60" t="s">
        <v>265</v>
      </c>
      <c r="S6" s="41"/>
      <c r="T6" s="41"/>
      <c r="U6" s="17"/>
      <c r="V6" s="224" t="s">
        <v>262</v>
      </c>
      <c r="W6" s="63" t="s">
        <v>263</v>
      </c>
      <c r="X6" s="64">
        <v>25.2</v>
      </c>
      <c r="Y6" s="65">
        <f t="shared" si="1"/>
        <v>562766.4</v>
      </c>
      <c r="Z6" s="65">
        <f t="shared" si="2"/>
        <v>4361439.6</v>
      </c>
      <c r="AA6" s="66" t="s">
        <v>284</v>
      </c>
      <c r="AB6" s="41"/>
      <c r="AC6" s="41"/>
      <c r="AD6" s="67" t="s">
        <v>192</v>
      </c>
      <c r="AE6" s="19"/>
      <c r="AF6" s="45"/>
      <c r="AG6" s="45"/>
      <c r="AH6" s="45"/>
      <c r="AI6" s="45"/>
      <c r="AJ6" s="45"/>
      <c r="AK6" s="45"/>
      <c r="AL6" s="45"/>
      <c r="AM6" s="45"/>
      <c r="AN6" s="28">
        <f>K6-A6</f>
        <v>114</v>
      </c>
      <c r="AO6" s="28">
        <f>K6-AH6</f>
        <v>46223</v>
      </c>
    </row>
    <row r="7" s="50" customFormat="1" customHeight="1" spans="1:42">
      <c r="A7" s="51">
        <v>46157</v>
      </c>
      <c r="B7" s="51"/>
      <c r="C7" s="52" t="s">
        <v>196</v>
      </c>
      <c r="D7" s="60" t="s">
        <v>251</v>
      </c>
      <c r="E7" s="62" t="s">
        <v>197</v>
      </c>
      <c r="F7" s="54" t="s">
        <v>174</v>
      </c>
      <c r="G7" s="55" t="s">
        <v>258</v>
      </c>
      <c r="H7" s="56">
        <f>15000-600</f>
        <v>14400</v>
      </c>
      <c r="I7" s="55">
        <v>3</v>
      </c>
      <c r="J7" s="57">
        <f t="shared" si="0"/>
        <v>4800</v>
      </c>
      <c r="K7" s="58">
        <v>46216</v>
      </c>
      <c r="L7" s="58">
        <v>46216</v>
      </c>
      <c r="M7" s="59">
        <f t="shared" ref="M7:M10" si="3">L7-3</f>
        <v>46213</v>
      </c>
      <c r="N7" s="51" t="s">
        <v>259</v>
      </c>
      <c r="O7" s="61" t="s">
        <v>255</v>
      </c>
      <c r="P7" s="72"/>
      <c r="Q7" s="51"/>
      <c r="R7" s="60" t="s">
        <v>281</v>
      </c>
      <c r="T7" s="51"/>
      <c r="U7" s="51"/>
      <c r="V7" s="224" t="s">
        <v>262</v>
      </c>
      <c r="W7" s="63" t="s">
        <v>263</v>
      </c>
      <c r="X7" s="64">
        <v>25.2</v>
      </c>
      <c r="Y7" s="65">
        <f t="shared" si="1"/>
        <v>362880</v>
      </c>
      <c r="Z7" s="65">
        <f t="shared" si="2"/>
        <v>2812320</v>
      </c>
      <c r="AA7" s="66" t="s">
        <v>286</v>
      </c>
      <c r="AB7" s="73"/>
      <c r="AC7" s="51"/>
      <c r="AD7" s="67" t="s">
        <v>192</v>
      </c>
      <c r="AE7" s="60"/>
      <c r="AF7" s="71"/>
      <c r="AG7" s="74"/>
      <c r="AH7" s="74"/>
      <c r="AI7" s="74"/>
      <c r="AJ7" s="74"/>
      <c r="AK7" s="74"/>
      <c r="AL7" s="74"/>
      <c r="AM7" s="74"/>
      <c r="AN7" s="74"/>
      <c r="AO7" s="75">
        <f>L7-A7</f>
        <v>59</v>
      </c>
      <c r="AP7" s="75">
        <f>L7-AI7</f>
        <v>46216</v>
      </c>
    </row>
    <row r="8" s="50" customFormat="1" customHeight="1" spans="1:42">
      <c r="A8" s="51">
        <v>46109</v>
      </c>
      <c r="B8" s="51"/>
      <c r="C8" s="52" t="s">
        <v>191</v>
      </c>
      <c r="D8" s="60" t="s">
        <v>251</v>
      </c>
      <c r="E8" s="69">
        <v>2640</v>
      </c>
      <c r="F8" s="62" t="s">
        <v>174</v>
      </c>
      <c r="G8" s="71" t="s">
        <v>258</v>
      </c>
      <c r="H8" s="70">
        <v>2670</v>
      </c>
      <c r="I8" s="71">
        <v>3</v>
      </c>
      <c r="J8" s="69">
        <f t="shared" si="0"/>
        <v>890</v>
      </c>
      <c r="K8" s="51">
        <v>46223</v>
      </c>
      <c r="L8" s="51">
        <v>46223</v>
      </c>
      <c r="M8" s="59">
        <v>46220</v>
      </c>
      <c r="N8" s="60" t="s">
        <v>264</v>
      </c>
      <c r="O8" s="51" t="s">
        <v>255</v>
      </c>
      <c r="P8" s="61"/>
      <c r="Q8" s="72"/>
      <c r="R8" s="51" t="s">
        <v>265</v>
      </c>
      <c r="S8" s="60"/>
      <c r="T8" s="51"/>
      <c r="U8" s="51"/>
      <c r="V8" s="225" t="s">
        <v>262</v>
      </c>
      <c r="W8" s="62" t="s">
        <v>263</v>
      </c>
      <c r="X8" s="63">
        <v>25.2</v>
      </c>
      <c r="Y8" s="65">
        <f t="shared" si="1"/>
        <v>67284</v>
      </c>
      <c r="Z8" s="65">
        <f t="shared" si="2"/>
        <v>521451</v>
      </c>
      <c r="AA8" s="66" t="s">
        <v>287</v>
      </c>
      <c r="AB8" s="73"/>
      <c r="AC8" s="51"/>
      <c r="AD8" s="67" t="s">
        <v>192</v>
      </c>
      <c r="AE8" s="60"/>
      <c r="AF8" s="71"/>
      <c r="AG8" s="74"/>
      <c r="AH8" s="74"/>
      <c r="AI8" s="74"/>
      <c r="AJ8" s="74"/>
      <c r="AK8" s="74"/>
      <c r="AL8" s="74"/>
      <c r="AM8" s="74"/>
      <c r="AN8" s="74"/>
      <c r="AO8" s="75"/>
      <c r="AP8" s="76"/>
    </row>
    <row r="9" s="50" customFormat="1" customHeight="1" spans="1:42">
      <c r="A9" s="51">
        <v>46156</v>
      </c>
      <c r="B9" s="51"/>
      <c r="C9" s="52" t="s">
        <v>191</v>
      </c>
      <c r="D9" s="60" t="s">
        <v>251</v>
      </c>
      <c r="E9" s="62" t="s">
        <v>195</v>
      </c>
      <c r="F9" s="62" t="s">
        <v>181</v>
      </c>
      <c r="G9" s="69" t="s">
        <v>252</v>
      </c>
      <c r="H9" s="70">
        <v>5000</v>
      </c>
      <c r="I9" s="71">
        <v>4</v>
      </c>
      <c r="J9" s="63">
        <f t="shared" si="0"/>
        <v>1250</v>
      </c>
      <c r="K9" s="58">
        <v>46230</v>
      </c>
      <c r="L9" s="58">
        <v>46230</v>
      </c>
      <c r="M9" s="59">
        <f t="shared" si="3"/>
        <v>46227</v>
      </c>
      <c r="N9" s="51" t="s">
        <v>254</v>
      </c>
      <c r="O9" s="61" t="s">
        <v>255</v>
      </c>
      <c r="P9" s="62"/>
      <c r="Q9" s="51"/>
      <c r="R9" s="51"/>
      <c r="S9" s="51"/>
      <c r="T9" s="51"/>
      <c r="U9" s="62"/>
      <c r="V9" s="224" t="s">
        <v>257</v>
      </c>
      <c r="W9" s="63"/>
      <c r="X9" s="64">
        <v>10.68</v>
      </c>
      <c r="Y9" s="65">
        <f t="shared" si="1"/>
        <v>53400</v>
      </c>
      <c r="Z9" s="65">
        <f t="shared" si="2"/>
        <v>413850</v>
      </c>
      <c r="AA9" s="66" t="s">
        <v>288</v>
      </c>
      <c r="AB9" s="73"/>
      <c r="AC9" s="51"/>
      <c r="AD9" s="67" t="s">
        <v>192</v>
      </c>
      <c r="AE9" s="60"/>
      <c r="AF9" s="71"/>
      <c r="AG9" s="74"/>
      <c r="AH9" s="74"/>
      <c r="AI9" s="74"/>
      <c r="AJ9" s="74"/>
      <c r="AK9" s="74"/>
      <c r="AL9" s="74"/>
      <c r="AM9" s="74"/>
      <c r="AN9" s="74"/>
      <c r="AO9" s="75"/>
      <c r="AP9" s="76"/>
    </row>
    <row r="10" s="50" customFormat="1" customHeight="1" spans="1:42">
      <c r="A10" s="51">
        <v>46156</v>
      </c>
      <c r="B10" s="51"/>
      <c r="C10" s="52" t="s">
        <v>191</v>
      </c>
      <c r="D10" s="60" t="s">
        <v>251</v>
      </c>
      <c r="E10" s="62" t="s">
        <v>195</v>
      </c>
      <c r="F10" s="62" t="s">
        <v>174</v>
      </c>
      <c r="G10" s="71" t="s">
        <v>258</v>
      </c>
      <c r="H10" s="70">
        <v>15000</v>
      </c>
      <c r="I10" s="71">
        <v>3</v>
      </c>
      <c r="J10" s="63">
        <f t="shared" si="0"/>
        <v>5000</v>
      </c>
      <c r="K10" s="58">
        <v>46230</v>
      </c>
      <c r="L10" s="58">
        <v>46230</v>
      </c>
      <c r="M10" s="59">
        <f t="shared" si="3"/>
        <v>46227</v>
      </c>
      <c r="N10" s="51" t="s">
        <v>254</v>
      </c>
      <c r="O10" s="61" t="s">
        <v>255</v>
      </c>
      <c r="P10" s="62"/>
      <c r="Q10" s="51"/>
      <c r="R10" s="60" t="s">
        <v>265</v>
      </c>
      <c r="S10" s="51"/>
      <c r="T10" s="51"/>
      <c r="U10" s="61"/>
      <c r="V10" s="224" t="s">
        <v>262</v>
      </c>
      <c r="W10" s="63" t="s">
        <v>263</v>
      </c>
      <c r="X10" s="64">
        <v>25.2</v>
      </c>
      <c r="Y10" s="65">
        <f t="shared" si="1"/>
        <v>378000</v>
      </c>
      <c r="Z10" s="65">
        <f t="shared" si="2"/>
        <v>2929500</v>
      </c>
      <c r="AA10" s="66" t="s">
        <v>288</v>
      </c>
      <c r="AB10" s="73"/>
      <c r="AC10" s="51"/>
      <c r="AD10" s="67" t="s">
        <v>192</v>
      </c>
      <c r="AE10" s="60"/>
      <c r="AF10" s="71"/>
      <c r="AG10" s="74"/>
      <c r="AH10" s="74"/>
      <c r="AI10" s="74"/>
      <c r="AJ10" s="74"/>
      <c r="AK10" s="74"/>
      <c r="AL10" s="74"/>
      <c r="AM10" s="74"/>
      <c r="AN10" s="74"/>
      <c r="AO10" s="75"/>
      <c r="AP10" s="76"/>
    </row>
    <row r="11" s="50" customFormat="1" customHeight="1" spans="1:42">
      <c r="A11" s="77">
        <v>46157</v>
      </c>
      <c r="B11" s="77"/>
      <c r="C11" s="78" t="s">
        <v>196</v>
      </c>
      <c r="D11" s="60" t="s">
        <v>251</v>
      </c>
      <c r="E11" s="79" t="s">
        <v>197</v>
      </c>
      <c r="F11" s="79" t="s">
        <v>174</v>
      </c>
      <c r="G11" s="80" t="s">
        <v>258</v>
      </c>
      <c r="H11" s="70">
        <f>15000-7500</f>
        <v>7500</v>
      </c>
      <c r="I11" s="80">
        <v>3</v>
      </c>
      <c r="J11" s="81">
        <f t="shared" si="0"/>
        <v>2500</v>
      </c>
      <c r="K11" s="82">
        <v>46237</v>
      </c>
      <c r="L11" s="58">
        <v>46237</v>
      </c>
      <c r="M11" s="53" t="s">
        <v>253</v>
      </c>
      <c r="N11" s="77" t="s">
        <v>259</v>
      </c>
      <c r="O11" s="61" t="s">
        <v>255</v>
      </c>
      <c r="P11" s="83" t="s">
        <v>289</v>
      </c>
      <c r="Q11" s="77"/>
      <c r="R11" s="60" t="s">
        <v>261</v>
      </c>
      <c r="S11" s="77"/>
      <c r="T11" s="77"/>
      <c r="U11" s="61"/>
      <c r="V11" s="224" t="s">
        <v>262</v>
      </c>
      <c r="W11" s="81" t="s">
        <v>263</v>
      </c>
      <c r="X11" s="64">
        <v>25.2</v>
      </c>
      <c r="Y11" s="65">
        <f t="shared" si="1"/>
        <v>189000</v>
      </c>
      <c r="Z11" s="65">
        <f t="shared" si="2"/>
        <v>1464750</v>
      </c>
      <c r="AA11" s="66" t="s">
        <v>290</v>
      </c>
      <c r="AB11" s="73"/>
      <c r="AC11" s="51"/>
      <c r="AD11" s="67" t="s">
        <v>192</v>
      </c>
      <c r="AE11" s="60"/>
      <c r="AF11" s="71"/>
      <c r="AG11" s="74"/>
      <c r="AH11" s="74"/>
      <c r="AI11" s="74"/>
      <c r="AJ11" s="74"/>
      <c r="AK11" s="74"/>
      <c r="AL11" s="74"/>
      <c r="AM11" s="74"/>
      <c r="AN11" s="74"/>
      <c r="AO11" s="75"/>
      <c r="AP11" s="76"/>
    </row>
    <row r="12" s="50" customFormat="1" customHeight="1" spans="1:42">
      <c r="A12" s="51">
        <v>46156</v>
      </c>
      <c r="B12" s="51"/>
      <c r="C12" s="52" t="s">
        <v>191</v>
      </c>
      <c r="D12" s="60" t="s">
        <v>251</v>
      </c>
      <c r="E12" s="62">
        <v>2640</v>
      </c>
      <c r="F12" s="62" t="s">
        <v>181</v>
      </c>
      <c r="G12" s="69" t="s">
        <v>252</v>
      </c>
      <c r="H12" s="84">
        <v>10000</v>
      </c>
      <c r="I12" s="71">
        <v>4</v>
      </c>
      <c r="J12" s="63">
        <f t="shared" si="0"/>
        <v>2500</v>
      </c>
      <c r="K12" s="58">
        <v>46244</v>
      </c>
      <c r="L12" s="58">
        <v>46244</v>
      </c>
      <c r="M12" s="59" t="s">
        <v>253</v>
      </c>
      <c r="N12" s="51" t="s">
        <v>264</v>
      </c>
      <c r="O12" s="61" t="s">
        <v>255</v>
      </c>
      <c r="P12" s="61"/>
      <c r="Q12" s="51"/>
      <c r="R12" s="51"/>
      <c r="S12" s="51"/>
      <c r="T12" s="51"/>
      <c r="U12" s="62"/>
      <c r="V12" s="224" t="s">
        <v>257</v>
      </c>
      <c r="W12" s="63"/>
      <c r="X12" s="64">
        <v>10.68</v>
      </c>
      <c r="Y12" s="65">
        <f t="shared" si="1"/>
        <v>106800</v>
      </c>
      <c r="Z12" s="65">
        <f t="shared" si="2"/>
        <v>827700</v>
      </c>
      <c r="AA12" s="66" t="s">
        <v>291</v>
      </c>
      <c r="AB12" s="73"/>
      <c r="AC12" s="51"/>
      <c r="AD12" s="67" t="s">
        <v>192</v>
      </c>
      <c r="AE12" s="60"/>
      <c r="AF12" s="71"/>
      <c r="AG12" s="74"/>
      <c r="AH12" s="74"/>
      <c r="AI12" s="74"/>
      <c r="AJ12" s="74"/>
      <c r="AK12" s="74"/>
      <c r="AL12" s="74"/>
      <c r="AM12" s="74"/>
      <c r="AN12" s="74"/>
      <c r="AO12" s="75"/>
      <c r="AP12" s="76"/>
    </row>
    <row r="13" s="50" customFormat="1" customHeight="1" spans="1:42">
      <c r="A13" s="51"/>
      <c r="B13" s="51"/>
      <c r="C13" s="52"/>
      <c r="D13" s="60"/>
      <c r="E13" s="62"/>
      <c r="F13" s="62"/>
      <c r="G13" s="71"/>
      <c r="H13" s="70"/>
      <c r="I13" s="71"/>
      <c r="J13" s="63"/>
      <c r="K13" s="58"/>
      <c r="L13" s="58"/>
      <c r="M13" s="59"/>
      <c r="N13" s="60"/>
      <c r="O13" s="51"/>
      <c r="P13" s="61"/>
      <c r="Q13" s="72"/>
      <c r="R13" s="51"/>
      <c r="S13" s="60"/>
      <c r="T13" s="51"/>
      <c r="U13" s="51"/>
      <c r="V13" s="61"/>
      <c r="W13" s="62"/>
      <c r="X13" s="63"/>
      <c r="Y13" s="64"/>
      <c r="Z13" s="65"/>
      <c r="AA13" s="65"/>
      <c r="AB13" s="73"/>
      <c r="AC13" s="51"/>
      <c r="AD13" s="51"/>
      <c r="AE13" s="60"/>
      <c r="AF13" s="71"/>
      <c r="AG13" s="74"/>
      <c r="AH13" s="74"/>
      <c r="AI13" s="74"/>
      <c r="AJ13" s="74"/>
      <c r="AK13" s="74"/>
      <c r="AL13" s="74"/>
      <c r="AM13" s="74"/>
      <c r="AN13" s="74"/>
      <c r="AO13" s="75"/>
      <c r="AP13" s="76"/>
    </row>
    <row r="14" s="1" customFormat="1" customHeight="1" spans="1:42">
      <c r="A14" s="41"/>
      <c r="B14" s="29"/>
      <c r="C14" s="42"/>
      <c r="D14" s="41"/>
      <c r="E14" s="17"/>
      <c r="F14" s="17"/>
      <c r="G14" s="19"/>
      <c r="H14" s="18"/>
      <c r="I14" s="19"/>
      <c r="J14" s="20"/>
      <c r="K14" s="41"/>
      <c r="L14" s="41"/>
      <c r="M14" s="41"/>
      <c r="N14" s="41"/>
      <c r="O14" s="17"/>
      <c r="P14" s="17"/>
      <c r="Q14" s="41"/>
      <c r="R14" s="41"/>
      <c r="S14" s="41"/>
      <c r="T14" s="41"/>
      <c r="U14" s="17"/>
      <c r="V14" s="17"/>
      <c r="W14" s="20"/>
      <c r="X14" s="22"/>
      <c r="Y14" s="44">
        <f>H14*X14</f>
        <v>0</v>
      </c>
      <c r="Z14" s="44">
        <f>Y14*7.75</f>
        <v>0</v>
      </c>
      <c r="AA14" s="36"/>
      <c r="AB14" s="41"/>
      <c r="AC14" s="41"/>
      <c r="AD14" s="41"/>
      <c r="AE14" s="19"/>
      <c r="AF14" s="45"/>
      <c r="AG14" s="45"/>
      <c r="AH14" s="45"/>
      <c r="AI14" s="45"/>
      <c r="AJ14" s="45"/>
      <c r="AK14" s="45"/>
      <c r="AL14" s="45"/>
      <c r="AM14" s="45"/>
      <c r="AN14" s="28">
        <f>K14-A14</f>
        <v>0</v>
      </c>
      <c r="AO14" s="28">
        <f>K14-AH14</f>
        <v>0</v>
      </c>
    </row>
    <row r="15" s="3" customFormat="1" customHeight="1" spans="1:42">
      <c r="A15" s="46"/>
      <c r="B15" s="47"/>
      <c r="C15" s="17"/>
      <c r="D15" s="46"/>
      <c r="E15" s="17"/>
      <c r="F15" s="17"/>
      <c r="G15" s="17" t="s">
        <v>277</v>
      </c>
      <c r="H15" s="20">
        <f>SUM(H2:H14)</f>
        <v>97504</v>
      </c>
      <c r="I15" s="48"/>
      <c r="J15" s="48"/>
      <c r="K15" s="46"/>
      <c r="L15" s="46"/>
      <c r="M15" s="46"/>
      <c r="N15" s="46"/>
      <c r="O15" s="17"/>
      <c r="P15" s="17"/>
      <c r="Q15" s="46"/>
      <c r="R15" s="46"/>
      <c r="S15" s="46"/>
      <c r="T15" s="46"/>
      <c r="U15" s="17"/>
      <c r="V15" s="17"/>
      <c r="W15" s="21"/>
      <c r="X15" s="22"/>
      <c r="Y15" s="23">
        <f>SUM(Y2:Y14)</f>
        <v>2094100.8</v>
      </c>
      <c r="Z15" s="44">
        <f>SUM(Z2:Z14)</f>
        <v>16229281.2</v>
      </c>
      <c r="AA15" s="36"/>
      <c r="AB15" s="46"/>
      <c r="AC15" s="46"/>
      <c r="AD15" s="46"/>
      <c r="AE15" s="17"/>
      <c r="AF15" s="49"/>
      <c r="AG15" s="49"/>
      <c r="AH15" s="49"/>
      <c r="AI15" s="49"/>
      <c r="AJ15" s="49"/>
      <c r="AK15" s="49"/>
      <c r="AL15" s="49"/>
      <c r="AM15" s="49"/>
      <c r="AN15" s="28"/>
      <c r="AO15" s="28"/>
    </row>
    <row r="16" s="1" customFormat="1" customHeight="1" spans="1:42">
      <c r="A16" s="4"/>
      <c r="B16" s="5"/>
      <c r="C16" s="6"/>
      <c r="D16" s="4"/>
      <c r="E16" s="6"/>
      <c r="F16" s="6"/>
      <c r="G16" s="6"/>
      <c r="H16" s="7"/>
      <c r="I16" s="6"/>
      <c r="J16" s="7"/>
      <c r="K16" s="4"/>
      <c r="L16" s="4"/>
      <c r="M16" s="4"/>
      <c r="N16" s="4"/>
      <c r="O16" s="6"/>
      <c r="P16" s="6"/>
      <c r="Q16" s="4"/>
      <c r="R16" s="4"/>
      <c r="S16" s="4"/>
      <c r="T16"/>
      <c r="U16" s="6"/>
      <c r="V16" s="6"/>
      <c r="W16" s="7"/>
      <c r="X16" s="8"/>
      <c r="Y16" s="9"/>
      <c r="Z16" s="9"/>
      <c r="AA16" s="10"/>
      <c r="AB16" s="4"/>
      <c r="AC16" s="4"/>
      <c r="AD16" s="4"/>
      <c r="AE16" s="6"/>
      <c r="AF16" s="11"/>
      <c r="AG16" s="12"/>
      <c r="AH16" s="12"/>
      <c r="AI16" s="12"/>
      <c r="AJ16" s="12"/>
      <c r="AK16" s="12"/>
      <c r="AL16" s="12"/>
      <c r="AM16" s="12"/>
      <c r="AN16" s="13"/>
      <c r="AO16" s="13"/>
    </row>
    <row r="17" s="1" customFormat="1" customHeight="1" spans="1:41">
      <c r="A17" s="4"/>
      <c r="B17" s="5"/>
      <c r="C17" s="6"/>
      <c r="D17" s="4"/>
      <c r="E17" s="6"/>
      <c r="F17" s="6"/>
      <c r="G17" s="6"/>
      <c r="H17" s="7"/>
      <c r="I17" s="6"/>
      <c r="J17" s="7"/>
      <c r="K17" s="4"/>
      <c r="L17" s="4"/>
      <c r="M17" s="4"/>
      <c r="N17" s="4"/>
      <c r="O17" s="6"/>
      <c r="P17" s="6"/>
      <c r="Q17" s="4"/>
      <c r="R17" s="4"/>
      <c r="S17" s="4"/>
      <c r="T17"/>
      <c r="U17" s="6"/>
      <c r="V17" s="6"/>
      <c r="W17" s="7"/>
      <c r="X17" s="8"/>
      <c r="Y17" s="9"/>
      <c r="Z17" s="9"/>
      <c r="AA17" s="10"/>
      <c r="AB17" s="4"/>
      <c r="AC17" s="4"/>
      <c r="AD17" s="4"/>
      <c r="AE17" s="6"/>
      <c r="AF17" s="11"/>
      <c r="AG17" s="12"/>
      <c r="AH17" s="12"/>
      <c r="AI17" s="12"/>
      <c r="AJ17" s="12"/>
      <c r="AK17" s="12"/>
      <c r="AL17" s="12"/>
      <c r="AM17" s="12"/>
      <c r="AN17" s="13"/>
      <c r="AO17" s="13"/>
    </row>
    <row r="18" s="1" customFormat="1" customHeight="1" spans="1:41">
      <c r="A18" s="4"/>
      <c r="B18" s="5"/>
      <c r="C18" s="6"/>
      <c r="D18" s="4"/>
      <c r="E18" s="6"/>
      <c r="F18" s="6"/>
      <c r="G18" s="6"/>
      <c r="H18" s="7"/>
      <c r="I18" s="6"/>
      <c r="J18" s="7"/>
      <c r="K18" s="4"/>
      <c r="L18" s="4"/>
      <c r="M18" s="4"/>
      <c r="N18" s="4"/>
      <c r="O18" s="6"/>
      <c r="P18" s="6"/>
      <c r="Q18" s="4"/>
      <c r="R18" s="4"/>
      <c r="S18" s="4"/>
      <c r="T18"/>
      <c r="U18" s="6"/>
      <c r="V18" s="6"/>
      <c r="W18" s="7"/>
      <c r="X18" s="8"/>
      <c r="Y18" s="9"/>
      <c r="Z18" s="9"/>
      <c r="AA18" s="10"/>
      <c r="AB18" s="4"/>
      <c r="AC18" s="4"/>
      <c r="AD18" s="4"/>
      <c r="AE18" s="6"/>
      <c r="AF18" s="11"/>
      <c r="AG18" s="12"/>
      <c r="AH18" s="12"/>
      <c r="AI18" s="12"/>
      <c r="AJ18" s="12"/>
      <c r="AK18" s="12"/>
      <c r="AL18" s="12"/>
      <c r="AM18" s="12"/>
      <c r="AN18" s="13"/>
      <c r="AO18" s="13"/>
    </row>
  </sheetData>
  <sheetProtection formatCells="0" formatColumns="0" formatRows="0" insertRows="0" insertColumns="0" insertHyperlinks="0" deleteColumns="0" deleteRows="0" sort="0" autoFilter="0" pivotTables="0"/>
  <conditionalFormatting sqref="AN2">
    <cfRule type="cellIs" dxfId="1" priority="4" operator="lessThan">
      <formula>90</formula>
    </cfRule>
  </conditionalFormatting>
  <conditionalFormatting sqref="AO2">
    <cfRule type="cellIs" dxfId="0" priority="3" operator="lessThan">
      <formula>55</formula>
    </cfRule>
  </conditionalFormatting>
  <conditionalFormatting sqref="AN3">
    <cfRule type="cellIs" dxfId="1" priority="6" operator="lessThan">
      <formula>90</formula>
    </cfRule>
  </conditionalFormatting>
  <conditionalFormatting sqref="AO3">
    <cfRule type="cellIs" dxfId="0" priority="5" operator="lessThan">
      <formula>55</formula>
    </cfRule>
  </conditionalFormatting>
  <conditionalFormatting sqref="AN4">
    <cfRule type="cellIs" dxfId="1" priority="8" operator="lessThan">
      <formula>90</formula>
    </cfRule>
  </conditionalFormatting>
  <conditionalFormatting sqref="AO4">
    <cfRule type="cellIs" dxfId="0" priority="7" operator="lessThan">
      <formula>55</formula>
    </cfRule>
  </conditionalFormatting>
  <conditionalFormatting sqref="AN5:AN6">
    <cfRule type="cellIs" dxfId="1" priority="10" operator="lessThan">
      <formula>90</formula>
    </cfRule>
  </conditionalFormatting>
  <conditionalFormatting sqref="AN14:AN15">
    <cfRule type="cellIs" dxfId="1" priority="12" operator="lessThan">
      <formula>90</formula>
    </cfRule>
  </conditionalFormatting>
  <conditionalFormatting sqref="AO5:AO6">
    <cfRule type="cellIs" dxfId="0" priority="9" operator="lessThan">
      <formula>55</formula>
    </cfRule>
  </conditionalFormatting>
  <conditionalFormatting sqref="AO7:AO13">
    <cfRule type="cellIs" dxfId="1" priority="2" operator="lessThan">
      <formula>90</formula>
    </cfRule>
  </conditionalFormatting>
  <conditionalFormatting sqref="AO14:AO15">
    <cfRule type="cellIs" dxfId="0" priority="11" operator="lessThan">
      <formula>55</formula>
    </cfRule>
  </conditionalFormatting>
  <conditionalFormatting sqref="AP7:AP13">
    <cfRule type="cellIs" dxfId="0" priority="1" operator="lessThan">
      <formula>55</formula>
    </cfRule>
  </conditionalFormatting>
  <pageMargins left="0.196527777777778" right="0.161111111111111" top="0.0152777777777778" bottom="0.2125" header="0.5" footer="0.5"/>
  <pageSetup paperSize="9" scale="43" fitToHeight="0" orientation="landscape" horizontalDpi="600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AQ32"/>
  <sheetViews>
    <sheetView zoomScale="80" zoomScaleNormal="80" workbookViewId="0">
      <pane xSplit="13" ySplit="1" topLeftCell="W10" activePane="bottomRight" state="frozen"/>
      <selection/>
      <selection pane="topRight"/>
      <selection pane="bottomLeft"/>
      <selection pane="bottomRight" activeCell="E29" sqref="E29"/>
    </sheetView>
  </sheetViews>
  <sheetFormatPr defaultColWidth="9" defaultRowHeight="25" customHeight="1"/>
  <cols>
    <col min="1" max="1" width="12.625" style="4" customWidth="1"/>
    <col min="2" max="2" width="6.625" style="5" customWidth="1"/>
    <col min="3" max="3" width="10.625" style="6" customWidth="1"/>
    <col min="4" max="4" width="10.625" style="4" customWidth="1"/>
    <col min="5" max="5" width="12.625" style="6" customWidth="1"/>
    <col min="6" max="6" width="10.625" style="6" customWidth="1"/>
    <col min="7" max="7" width="16.35" style="6" customWidth="1"/>
    <col min="8" max="8" width="8.5" style="7" customWidth="1"/>
    <col min="9" max="9" width="5.625" style="6" customWidth="1"/>
    <col min="10" max="10" width="8.5" style="7" customWidth="1"/>
    <col min="11" max="11" width="12.1083333333333" style="7" customWidth="1"/>
    <col min="12" max="15" width="12.625" style="4" customWidth="1"/>
    <col min="16" max="16" width="12.875" style="6" customWidth="1"/>
    <col min="17" max="17" width="10.625" style="6" customWidth="1"/>
    <col min="18" max="20" width="12.625" style="4" customWidth="1"/>
    <col min="21" max="21" width="12.625" customWidth="1"/>
    <col min="22" max="22" width="12.625" style="6" customWidth="1"/>
    <col min="23" max="23" width="14.1333333333333" style="6" customWidth="1"/>
    <col min="24" max="24" width="15.625" style="7" customWidth="1"/>
    <col min="25" max="25" width="8.625" style="8" customWidth="1"/>
    <col min="26" max="27" width="12.625" style="9" customWidth="1"/>
    <col min="28" max="28" width="10.625" style="10" customWidth="1"/>
    <col min="29" max="30" width="10.625" style="4" customWidth="1"/>
    <col min="31" max="31" width="6.625" style="4" customWidth="1"/>
    <col min="32" max="32" width="10.625" style="6" customWidth="1"/>
    <col min="33" max="33" width="11.5" style="11" customWidth="1"/>
    <col min="34" max="36" width="11.5" style="12" customWidth="1"/>
    <col min="37" max="37" width="8" style="12" customWidth="1"/>
    <col min="38" max="40" width="11.5" style="12" customWidth="1"/>
    <col min="41" max="42" width="6.625" style="13" customWidth="1"/>
    <col min="43" max="16384" width="9" style="1"/>
  </cols>
  <sheetData>
    <row r="1" s="1" customFormat="1" customHeight="1" spans="1:43">
      <c r="A1" s="14" t="s">
        <v>219</v>
      </c>
      <c r="B1" s="15" t="s">
        <v>220</v>
      </c>
      <c r="C1" s="16" t="s">
        <v>168</v>
      </c>
      <c r="D1" s="14" t="s">
        <v>221</v>
      </c>
      <c r="E1" s="16" t="s">
        <v>169</v>
      </c>
      <c r="F1" s="16" t="s">
        <v>171</v>
      </c>
      <c r="G1" s="17" t="s">
        <v>166</v>
      </c>
      <c r="H1" s="18" t="s">
        <v>172</v>
      </c>
      <c r="I1" s="19" t="s">
        <v>222</v>
      </c>
      <c r="J1" s="20" t="s">
        <v>223</v>
      </c>
      <c r="K1" s="14" t="s">
        <v>173</v>
      </c>
      <c r="L1" s="14" t="s">
        <v>224</v>
      </c>
      <c r="M1" s="14" t="s">
        <v>225</v>
      </c>
      <c r="N1" s="14" t="s">
        <v>226</v>
      </c>
      <c r="O1" s="14" t="s">
        <v>227</v>
      </c>
      <c r="P1" s="16" t="s">
        <v>228</v>
      </c>
      <c r="Q1" s="16" t="s">
        <v>279</v>
      </c>
      <c r="R1" s="14" t="s">
        <v>230</v>
      </c>
      <c r="S1" s="14" t="s">
        <v>231</v>
      </c>
      <c r="T1" s="14" t="s">
        <v>232</v>
      </c>
      <c r="U1" s="14" t="s">
        <v>233</v>
      </c>
      <c r="V1" s="16" t="s">
        <v>234</v>
      </c>
      <c r="W1" s="16" t="s">
        <v>235</v>
      </c>
      <c r="X1" s="21" t="s">
        <v>236</v>
      </c>
      <c r="Y1" s="22" t="s">
        <v>187</v>
      </c>
      <c r="Z1" s="23" t="s">
        <v>188</v>
      </c>
      <c r="AA1" s="23" t="s">
        <v>189</v>
      </c>
      <c r="AB1" s="24" t="s">
        <v>237</v>
      </c>
      <c r="AC1" s="20" t="s">
        <v>238</v>
      </c>
      <c r="AD1" s="25" t="s">
        <v>239</v>
      </c>
      <c r="AE1" s="25" t="s">
        <v>190</v>
      </c>
      <c r="AF1" s="17" t="s">
        <v>240</v>
      </c>
      <c r="AG1" s="26" t="s">
        <v>241</v>
      </c>
      <c r="AH1" s="26" t="s">
        <v>242</v>
      </c>
      <c r="AI1" s="26" t="s">
        <v>243</v>
      </c>
      <c r="AJ1" s="26" t="s">
        <v>244</v>
      </c>
      <c r="AK1" s="27" t="s">
        <v>245</v>
      </c>
      <c r="AL1" s="26" t="s">
        <v>246</v>
      </c>
      <c r="AM1" s="26" t="s">
        <v>247</v>
      </c>
      <c r="AN1" s="26" t="s">
        <v>248</v>
      </c>
      <c r="AO1" s="28" t="s">
        <v>249</v>
      </c>
      <c r="AP1" s="28" t="s">
        <v>250</v>
      </c>
    </row>
    <row r="2" s="2" customFormat="1" customHeight="1" spans="1:43">
      <c r="A2" s="29">
        <v>46109</v>
      </c>
      <c r="B2" s="29" t="str">
        <f ca="1" t="shared" ref="B2:B26" si="0">IF(TODAY()&gt;=A2,IF(R2="","未",""),"")</f>
        <v>未</v>
      </c>
      <c r="C2" s="30" t="s">
        <v>191</v>
      </c>
      <c r="D2" s="31" t="s">
        <v>251</v>
      </c>
      <c r="E2" s="30" t="s">
        <v>198</v>
      </c>
      <c r="F2" s="32"/>
      <c r="G2" s="32" t="s">
        <v>176</v>
      </c>
      <c r="H2" s="32">
        <f>15000*20-15000*20</f>
        <v>0</v>
      </c>
      <c r="I2" s="32"/>
      <c r="J2" s="32"/>
      <c r="K2" s="29"/>
      <c r="L2" s="29">
        <v>46230</v>
      </c>
      <c r="M2" s="15">
        <f t="shared" ref="M2:M11" si="1">L2-3</f>
        <v>46227</v>
      </c>
      <c r="N2" s="15"/>
      <c r="O2" s="32"/>
      <c r="P2" s="32"/>
      <c r="Q2" s="32"/>
      <c r="R2" s="32"/>
      <c r="S2" s="29"/>
      <c r="T2" s="29"/>
      <c r="U2" s="29"/>
      <c r="V2" s="29"/>
      <c r="W2" s="32"/>
      <c r="X2" s="33" t="s">
        <v>292</v>
      </c>
      <c r="Y2" s="34"/>
      <c r="Z2" s="35">
        <f t="shared" ref="Z2:Z6" si="2">H2*Y2</f>
        <v>0</v>
      </c>
      <c r="AA2" s="35">
        <f t="shared" ref="AA2:AA6" si="3">Z2*7.75</f>
        <v>0</v>
      </c>
      <c r="AB2" s="35"/>
      <c r="AC2" s="36"/>
      <c r="AD2" s="29"/>
      <c r="AE2" s="29" t="s">
        <v>7</v>
      </c>
      <c r="AF2" s="29"/>
      <c r="AG2" s="37"/>
      <c r="AH2" s="38"/>
      <c r="AI2" s="38"/>
      <c r="AJ2" s="38"/>
      <c r="AK2" s="38"/>
      <c r="AL2" s="38"/>
      <c r="AM2" s="38"/>
      <c r="AN2" s="38"/>
      <c r="AO2" s="28">
        <f>L2-A2</f>
        <v>121</v>
      </c>
      <c r="AP2" s="28">
        <f>L2-AI2</f>
        <v>46230</v>
      </c>
      <c r="AQ2" s="1"/>
    </row>
    <row r="3" s="2" customFormat="1" customHeight="1" spans="1:43">
      <c r="A3" s="29">
        <v>46109</v>
      </c>
      <c r="B3" s="29" t="str">
        <f ca="1" t="shared" si="0"/>
        <v>未</v>
      </c>
      <c r="C3" s="30" t="s">
        <v>191</v>
      </c>
      <c r="D3" s="31" t="s">
        <v>251</v>
      </c>
      <c r="E3" s="30" t="s">
        <v>198</v>
      </c>
      <c r="F3" s="32"/>
      <c r="G3" s="32" t="s">
        <v>177</v>
      </c>
      <c r="H3" s="32">
        <f t="shared" ref="H3:H6" si="4">15000-15000</f>
        <v>0</v>
      </c>
      <c r="I3" s="32"/>
      <c r="J3" s="32"/>
      <c r="K3" s="29"/>
      <c r="L3" s="29">
        <v>46230</v>
      </c>
      <c r="M3" s="15">
        <f t="shared" si="1"/>
        <v>46227</v>
      </c>
      <c r="N3" s="15"/>
      <c r="O3" s="32"/>
      <c r="P3" s="32"/>
      <c r="Q3" s="32"/>
      <c r="R3" s="32"/>
      <c r="S3" s="29"/>
      <c r="T3" s="29"/>
      <c r="U3" s="29"/>
      <c r="V3" s="29"/>
      <c r="W3" s="32"/>
      <c r="X3" s="33" t="s">
        <v>292</v>
      </c>
      <c r="Y3" s="34"/>
      <c r="Z3" s="35">
        <f t="shared" si="2"/>
        <v>0</v>
      </c>
      <c r="AA3" s="35">
        <f t="shared" si="3"/>
        <v>0</v>
      </c>
      <c r="AB3" s="35"/>
      <c r="AC3" s="36"/>
      <c r="AD3" s="29"/>
      <c r="AE3" s="29" t="s">
        <v>7</v>
      </c>
      <c r="AF3" s="29"/>
      <c r="AG3" s="37"/>
      <c r="AH3" s="38"/>
      <c r="AI3" s="38"/>
      <c r="AJ3" s="38"/>
      <c r="AK3" s="38"/>
      <c r="AL3" s="38"/>
      <c r="AM3" s="38"/>
      <c r="AN3" s="38"/>
      <c r="AO3" s="28">
        <f t="shared" ref="AO3:AO31" si="5">L3-A3</f>
        <v>121</v>
      </c>
      <c r="AP3" s="28">
        <f t="shared" ref="AP3:AP31" si="6">L3-AI3</f>
        <v>46230</v>
      </c>
      <c r="AQ3" s="1"/>
    </row>
    <row r="4" s="2" customFormat="1" customHeight="1" spans="1:43">
      <c r="A4" s="29">
        <v>46109</v>
      </c>
      <c r="B4" s="29" t="str">
        <f ca="1" t="shared" si="0"/>
        <v>未</v>
      </c>
      <c r="C4" s="30" t="s">
        <v>191</v>
      </c>
      <c r="D4" s="31" t="s">
        <v>251</v>
      </c>
      <c r="E4" s="30" t="s">
        <v>198</v>
      </c>
      <c r="F4" s="32"/>
      <c r="G4" s="32" t="s">
        <v>178</v>
      </c>
      <c r="H4" s="32">
        <f t="shared" si="4"/>
        <v>0</v>
      </c>
      <c r="I4" s="32"/>
      <c r="J4" s="32"/>
      <c r="K4" s="29"/>
      <c r="L4" s="29">
        <v>46230</v>
      </c>
      <c r="M4" s="15">
        <f t="shared" si="1"/>
        <v>46227</v>
      </c>
      <c r="N4" s="15"/>
      <c r="O4" s="32"/>
      <c r="P4" s="32"/>
      <c r="Q4" s="32"/>
      <c r="R4" s="32"/>
      <c r="S4" s="29"/>
      <c r="T4" s="29"/>
      <c r="U4" s="29"/>
      <c r="V4" s="29"/>
      <c r="W4" s="32"/>
      <c r="X4" s="33" t="s">
        <v>292</v>
      </c>
      <c r="Y4" s="34"/>
      <c r="Z4" s="35">
        <f t="shared" si="2"/>
        <v>0</v>
      </c>
      <c r="AA4" s="35">
        <f t="shared" si="3"/>
        <v>0</v>
      </c>
      <c r="AB4" s="35"/>
      <c r="AC4" s="36"/>
      <c r="AD4" s="29"/>
      <c r="AE4" s="29" t="s">
        <v>7</v>
      </c>
      <c r="AF4" s="29"/>
      <c r="AG4" s="37"/>
      <c r="AH4" s="38"/>
      <c r="AI4" s="38"/>
      <c r="AJ4" s="38"/>
      <c r="AK4" s="38"/>
      <c r="AL4" s="38"/>
      <c r="AM4" s="38"/>
      <c r="AN4" s="38"/>
      <c r="AO4" s="28">
        <f t="shared" si="5"/>
        <v>121</v>
      </c>
      <c r="AP4" s="28">
        <f t="shared" si="6"/>
        <v>46230</v>
      </c>
      <c r="AQ4" s="1"/>
    </row>
    <row r="5" s="2" customFormat="1" customHeight="1" spans="1:43">
      <c r="A5" s="29">
        <v>46109</v>
      </c>
      <c r="B5" s="29" t="str">
        <f ca="1" t="shared" si="0"/>
        <v>未</v>
      </c>
      <c r="C5" s="30" t="s">
        <v>191</v>
      </c>
      <c r="D5" s="31" t="s">
        <v>251</v>
      </c>
      <c r="E5" s="30" t="s">
        <v>198</v>
      </c>
      <c r="F5" s="32"/>
      <c r="G5" s="32" t="s">
        <v>179</v>
      </c>
      <c r="H5" s="32">
        <f t="shared" si="4"/>
        <v>0</v>
      </c>
      <c r="I5" s="32"/>
      <c r="J5" s="32"/>
      <c r="K5" s="29"/>
      <c r="L5" s="29">
        <v>46230</v>
      </c>
      <c r="M5" s="15">
        <f t="shared" si="1"/>
        <v>46227</v>
      </c>
      <c r="N5" s="15"/>
      <c r="O5" s="32"/>
      <c r="P5" s="32"/>
      <c r="Q5" s="32"/>
      <c r="R5" s="32"/>
      <c r="S5" s="29"/>
      <c r="T5" s="29"/>
      <c r="U5" s="29"/>
      <c r="V5" s="29"/>
      <c r="W5" s="32"/>
      <c r="X5" s="33" t="s">
        <v>293</v>
      </c>
      <c r="Y5" s="34"/>
      <c r="Z5" s="35">
        <f t="shared" si="2"/>
        <v>0</v>
      </c>
      <c r="AA5" s="35">
        <f t="shared" si="3"/>
        <v>0</v>
      </c>
      <c r="AB5" s="35"/>
      <c r="AC5" s="36"/>
      <c r="AD5" s="29"/>
      <c r="AE5" s="29" t="s">
        <v>7</v>
      </c>
      <c r="AF5" s="29"/>
      <c r="AG5" s="37"/>
      <c r="AH5" s="38"/>
      <c r="AI5" s="38"/>
      <c r="AJ5" s="38"/>
      <c r="AK5" s="38"/>
      <c r="AL5" s="38"/>
      <c r="AM5" s="38"/>
      <c r="AN5" s="38"/>
      <c r="AO5" s="28">
        <f t="shared" si="5"/>
        <v>121</v>
      </c>
      <c r="AP5" s="28">
        <f t="shared" si="6"/>
        <v>46230</v>
      </c>
      <c r="AQ5" s="1"/>
    </row>
    <row r="6" s="2" customFormat="1" customHeight="1" spans="1:43">
      <c r="A6" s="29">
        <v>46109</v>
      </c>
      <c r="B6" s="29" t="str">
        <f ca="1" t="shared" si="0"/>
        <v>未</v>
      </c>
      <c r="C6" s="30" t="s">
        <v>191</v>
      </c>
      <c r="D6" s="31" t="s">
        <v>251</v>
      </c>
      <c r="E6" s="30" t="s">
        <v>198</v>
      </c>
      <c r="F6" s="32"/>
      <c r="G6" s="32" t="s">
        <v>180</v>
      </c>
      <c r="H6" s="32">
        <f t="shared" si="4"/>
        <v>0</v>
      </c>
      <c r="I6" s="32"/>
      <c r="J6" s="32"/>
      <c r="K6" s="29"/>
      <c r="L6" s="29">
        <v>46230</v>
      </c>
      <c r="M6" s="15">
        <f t="shared" si="1"/>
        <v>46227</v>
      </c>
      <c r="N6" s="15"/>
      <c r="O6" s="32"/>
      <c r="P6" s="32"/>
      <c r="Q6" s="32"/>
      <c r="R6" s="32"/>
      <c r="S6" s="29"/>
      <c r="T6" s="29"/>
      <c r="U6" s="29"/>
      <c r="V6" s="29"/>
      <c r="W6" s="32"/>
      <c r="X6" s="33" t="s">
        <v>292</v>
      </c>
      <c r="Y6" s="34"/>
      <c r="Z6" s="35">
        <f t="shared" si="2"/>
        <v>0</v>
      </c>
      <c r="AA6" s="35">
        <f t="shared" si="3"/>
        <v>0</v>
      </c>
      <c r="AB6" s="35"/>
      <c r="AC6" s="36"/>
      <c r="AD6" s="29"/>
      <c r="AE6" s="29" t="s">
        <v>7</v>
      </c>
      <c r="AF6" s="29"/>
      <c r="AG6" s="37"/>
      <c r="AH6" s="38"/>
      <c r="AI6" s="38"/>
      <c r="AJ6" s="38"/>
      <c r="AK6" s="38"/>
      <c r="AL6" s="38"/>
      <c r="AM6" s="38"/>
      <c r="AN6" s="38"/>
      <c r="AO6" s="28">
        <f t="shared" si="5"/>
        <v>121</v>
      </c>
      <c r="AP6" s="28">
        <f t="shared" si="6"/>
        <v>46230</v>
      </c>
      <c r="AQ6" s="1"/>
    </row>
    <row r="7" s="2" customFormat="1" ht="34" customHeight="1" spans="1:43">
      <c r="A7" s="29">
        <v>46109</v>
      </c>
      <c r="B7" s="29" t="str">
        <f ca="1" t="shared" si="0"/>
        <v>未</v>
      </c>
      <c r="C7" s="30" t="s">
        <v>196</v>
      </c>
      <c r="D7" s="31" t="s">
        <v>251</v>
      </c>
      <c r="E7" s="30" t="s">
        <v>198</v>
      </c>
      <c r="F7" s="32"/>
      <c r="G7" s="32" t="s">
        <v>176</v>
      </c>
      <c r="H7" s="32">
        <f>14998*20-5004*20-9994*20</f>
        <v>0</v>
      </c>
      <c r="I7" s="32"/>
      <c r="J7" s="32"/>
      <c r="K7" s="29"/>
      <c r="L7" s="29">
        <v>46213</v>
      </c>
      <c r="M7" s="15">
        <f t="shared" si="1"/>
        <v>46210</v>
      </c>
      <c r="N7" s="15"/>
      <c r="O7" s="32"/>
      <c r="P7" s="32"/>
      <c r="Q7" s="32"/>
      <c r="R7" s="32"/>
      <c r="S7" s="29"/>
      <c r="T7" s="29"/>
      <c r="U7" s="29"/>
      <c r="V7" s="29"/>
      <c r="W7" s="32"/>
      <c r="X7" s="33" t="s">
        <v>294</v>
      </c>
      <c r="Y7" s="34"/>
      <c r="Z7" s="35">
        <f t="shared" ref="Z7:Z31" si="7">H7*Y7</f>
        <v>0</v>
      </c>
      <c r="AA7" s="35">
        <f t="shared" ref="AA7:AA31" si="8">Z7*7.75</f>
        <v>0</v>
      </c>
      <c r="AB7" s="35"/>
      <c r="AC7" s="36"/>
      <c r="AD7" s="29"/>
      <c r="AE7" s="29" t="s">
        <v>7</v>
      </c>
      <c r="AF7" s="29"/>
      <c r="AG7" s="37"/>
      <c r="AH7" s="38"/>
      <c r="AI7" s="38"/>
      <c r="AJ7" s="38"/>
      <c r="AK7" s="38"/>
      <c r="AL7" s="38"/>
      <c r="AM7" s="38"/>
      <c r="AN7" s="38"/>
      <c r="AO7" s="28">
        <f t="shared" si="5"/>
        <v>104</v>
      </c>
      <c r="AP7" s="28">
        <f t="shared" si="6"/>
        <v>46213</v>
      </c>
      <c r="AQ7" s="1"/>
    </row>
    <row r="8" s="2" customFormat="1" ht="34" customHeight="1" spans="1:43">
      <c r="A8" s="29">
        <v>46109</v>
      </c>
      <c r="B8" s="29" t="str">
        <f ca="1" t="shared" si="0"/>
        <v>未</v>
      </c>
      <c r="C8" s="30" t="s">
        <v>196</v>
      </c>
      <c r="D8" s="31" t="s">
        <v>251</v>
      </c>
      <c r="E8" s="30" t="s">
        <v>198</v>
      </c>
      <c r="F8" s="32"/>
      <c r="G8" s="32" t="s">
        <v>177</v>
      </c>
      <c r="H8" s="32">
        <f t="shared" ref="H8:H11" si="9">14998-5004-9994</f>
        <v>0</v>
      </c>
      <c r="I8" s="32"/>
      <c r="J8" s="32"/>
      <c r="K8" s="29"/>
      <c r="L8" s="29">
        <v>46213</v>
      </c>
      <c r="M8" s="15">
        <f t="shared" si="1"/>
        <v>46210</v>
      </c>
      <c r="N8" s="15"/>
      <c r="O8" s="32"/>
      <c r="P8" s="32"/>
      <c r="Q8" s="32"/>
      <c r="R8" s="32"/>
      <c r="S8" s="29"/>
      <c r="T8" s="29"/>
      <c r="U8" s="29"/>
      <c r="V8" s="29"/>
      <c r="W8" s="32"/>
      <c r="X8" s="33" t="s">
        <v>294</v>
      </c>
      <c r="Y8" s="34"/>
      <c r="Z8" s="35">
        <f t="shared" si="7"/>
        <v>0</v>
      </c>
      <c r="AA8" s="35">
        <f t="shared" si="8"/>
        <v>0</v>
      </c>
      <c r="AB8" s="35"/>
      <c r="AC8" s="36"/>
      <c r="AD8" s="29"/>
      <c r="AE8" s="29" t="s">
        <v>7</v>
      </c>
      <c r="AF8" s="29"/>
      <c r="AG8" s="37"/>
      <c r="AH8" s="38"/>
      <c r="AI8" s="38"/>
      <c r="AJ8" s="38"/>
      <c r="AK8" s="38"/>
      <c r="AL8" s="38"/>
      <c r="AM8" s="38"/>
      <c r="AN8" s="38"/>
      <c r="AO8" s="28">
        <f t="shared" si="5"/>
        <v>104</v>
      </c>
      <c r="AP8" s="28">
        <f t="shared" si="6"/>
        <v>46213</v>
      </c>
      <c r="AQ8" s="1"/>
    </row>
    <row r="9" s="2" customFormat="1" ht="34" customHeight="1" spans="1:43">
      <c r="A9" s="29">
        <v>46109</v>
      </c>
      <c r="B9" s="29" t="str">
        <f ca="1" t="shared" si="0"/>
        <v>未</v>
      </c>
      <c r="C9" s="30" t="s">
        <v>196</v>
      </c>
      <c r="D9" s="31" t="s">
        <v>251</v>
      </c>
      <c r="E9" s="30" t="s">
        <v>198</v>
      </c>
      <c r="F9" s="32"/>
      <c r="G9" s="32" t="s">
        <v>178</v>
      </c>
      <c r="H9" s="32">
        <f t="shared" si="9"/>
        <v>0</v>
      </c>
      <c r="I9" s="32"/>
      <c r="J9" s="32"/>
      <c r="K9" s="29"/>
      <c r="L9" s="29">
        <v>46213</v>
      </c>
      <c r="M9" s="15">
        <f t="shared" si="1"/>
        <v>46210</v>
      </c>
      <c r="N9" s="15"/>
      <c r="O9" s="32"/>
      <c r="P9" s="32"/>
      <c r="Q9" s="32"/>
      <c r="R9" s="32"/>
      <c r="S9" s="29"/>
      <c r="T9" s="29"/>
      <c r="U9" s="29"/>
      <c r="V9" s="29"/>
      <c r="W9" s="32"/>
      <c r="X9" s="33" t="s">
        <v>294</v>
      </c>
      <c r="Y9" s="34"/>
      <c r="Z9" s="35">
        <f t="shared" si="7"/>
        <v>0</v>
      </c>
      <c r="AA9" s="35">
        <f t="shared" si="8"/>
        <v>0</v>
      </c>
      <c r="AB9" s="35"/>
      <c r="AC9" s="36"/>
      <c r="AD9" s="29"/>
      <c r="AE9" s="29" t="s">
        <v>7</v>
      </c>
      <c r="AF9" s="29"/>
      <c r="AG9" s="37"/>
      <c r="AH9" s="38"/>
      <c r="AI9" s="38"/>
      <c r="AJ9" s="38"/>
      <c r="AK9" s="38"/>
      <c r="AL9" s="38"/>
      <c r="AM9" s="38"/>
      <c r="AN9" s="38"/>
      <c r="AO9" s="28">
        <f t="shared" si="5"/>
        <v>104</v>
      </c>
      <c r="AP9" s="28">
        <f t="shared" si="6"/>
        <v>46213</v>
      </c>
      <c r="AQ9" s="1"/>
    </row>
    <row r="10" s="2" customFormat="1" ht="34" customHeight="1" spans="1:43">
      <c r="A10" s="29">
        <v>46109</v>
      </c>
      <c r="B10" s="29" t="str">
        <f ca="1" t="shared" si="0"/>
        <v>未</v>
      </c>
      <c r="C10" s="30" t="s">
        <v>196</v>
      </c>
      <c r="D10" s="31" t="s">
        <v>251</v>
      </c>
      <c r="E10" s="30" t="s">
        <v>198</v>
      </c>
      <c r="F10" s="32"/>
      <c r="G10" s="32" t="s">
        <v>179</v>
      </c>
      <c r="H10" s="32">
        <f t="shared" si="9"/>
        <v>0</v>
      </c>
      <c r="I10" s="32"/>
      <c r="J10" s="32"/>
      <c r="K10" s="29"/>
      <c r="L10" s="29">
        <v>46213</v>
      </c>
      <c r="M10" s="15">
        <f t="shared" si="1"/>
        <v>46210</v>
      </c>
      <c r="N10" s="15"/>
      <c r="O10" s="32"/>
      <c r="P10" s="32"/>
      <c r="Q10" s="32"/>
      <c r="R10" s="32"/>
      <c r="S10" s="29"/>
      <c r="T10" s="29"/>
      <c r="U10" s="29"/>
      <c r="V10" s="29"/>
      <c r="W10" s="32"/>
      <c r="X10" s="33" t="s">
        <v>295</v>
      </c>
      <c r="Y10" s="34"/>
      <c r="Z10" s="35">
        <f t="shared" si="7"/>
        <v>0</v>
      </c>
      <c r="AA10" s="35">
        <f t="shared" si="8"/>
        <v>0</v>
      </c>
      <c r="AB10" s="35"/>
      <c r="AC10" s="36"/>
      <c r="AD10" s="29"/>
      <c r="AE10" s="29" t="s">
        <v>7</v>
      </c>
      <c r="AF10" s="29"/>
      <c r="AG10" s="37"/>
      <c r="AH10" s="38"/>
      <c r="AI10" s="38"/>
      <c r="AJ10" s="38"/>
      <c r="AK10" s="38"/>
      <c r="AL10" s="38"/>
      <c r="AM10" s="38"/>
      <c r="AN10" s="38"/>
      <c r="AO10" s="28">
        <f t="shared" si="5"/>
        <v>104</v>
      </c>
      <c r="AP10" s="28">
        <f t="shared" si="6"/>
        <v>46213</v>
      </c>
      <c r="AQ10" s="1"/>
    </row>
    <row r="11" s="2" customFormat="1" ht="34" customHeight="1" spans="1:43">
      <c r="A11" s="29">
        <v>46109</v>
      </c>
      <c r="B11" s="29" t="str">
        <f ca="1" t="shared" si="0"/>
        <v>未</v>
      </c>
      <c r="C11" s="30" t="s">
        <v>196</v>
      </c>
      <c r="D11" s="31" t="s">
        <v>251</v>
      </c>
      <c r="E11" s="30" t="s">
        <v>198</v>
      </c>
      <c r="F11" s="32"/>
      <c r="G11" s="32" t="s">
        <v>180</v>
      </c>
      <c r="H11" s="32">
        <f t="shared" si="9"/>
        <v>0</v>
      </c>
      <c r="I11" s="32"/>
      <c r="J11" s="32"/>
      <c r="K11" s="29"/>
      <c r="L11" s="29">
        <v>46213</v>
      </c>
      <c r="M11" s="15">
        <f t="shared" si="1"/>
        <v>46210</v>
      </c>
      <c r="N11" s="15"/>
      <c r="O11" s="32"/>
      <c r="P11" s="32"/>
      <c r="Q11" s="32"/>
      <c r="R11" s="32"/>
      <c r="S11" s="29"/>
      <c r="T11" s="29"/>
      <c r="U11" s="29"/>
      <c r="V11" s="29"/>
      <c r="W11" s="32"/>
      <c r="X11" s="33" t="s">
        <v>294</v>
      </c>
      <c r="Y11" s="34"/>
      <c r="Z11" s="35">
        <f t="shared" si="7"/>
        <v>0</v>
      </c>
      <c r="AA11" s="35">
        <f t="shared" si="8"/>
        <v>0</v>
      </c>
      <c r="AB11" s="35"/>
      <c r="AC11" s="36"/>
      <c r="AD11" s="29"/>
      <c r="AE11" s="29" t="s">
        <v>7</v>
      </c>
      <c r="AF11" s="29"/>
      <c r="AG11" s="37"/>
      <c r="AH11" s="38"/>
      <c r="AI11" s="38"/>
      <c r="AJ11" s="38"/>
      <c r="AK11" s="38"/>
      <c r="AL11" s="38"/>
      <c r="AM11" s="38"/>
      <c r="AN11" s="38"/>
      <c r="AO11" s="28">
        <f t="shared" si="5"/>
        <v>104</v>
      </c>
      <c r="AP11" s="28">
        <f t="shared" si="6"/>
        <v>46213</v>
      </c>
      <c r="AQ11" s="1"/>
    </row>
    <row r="12" s="2" customFormat="1" customHeight="1" spans="1:43">
      <c r="A12" s="29">
        <v>46109</v>
      </c>
      <c r="B12" s="29" t="str">
        <f ca="1" t="shared" si="0"/>
        <v>未</v>
      </c>
      <c r="C12" s="30" t="s">
        <v>296</v>
      </c>
      <c r="D12" s="31" t="s">
        <v>251</v>
      </c>
      <c r="E12" s="30" t="s">
        <v>198</v>
      </c>
      <c r="F12" s="32"/>
      <c r="G12" s="32" t="s">
        <v>176</v>
      </c>
      <c r="H12" s="32">
        <f>10000*20-10000*20</f>
        <v>0</v>
      </c>
      <c r="I12" s="32"/>
      <c r="J12" s="32"/>
      <c r="K12" s="29"/>
      <c r="L12" s="29">
        <v>46260</v>
      </c>
      <c r="M12" s="15">
        <f t="shared" ref="M12:M16" si="10">L12-2</f>
        <v>46258</v>
      </c>
      <c r="N12" s="15"/>
      <c r="O12" s="32"/>
      <c r="P12" s="32"/>
      <c r="Q12" s="32"/>
      <c r="R12" s="32"/>
      <c r="S12" s="29"/>
      <c r="T12" s="29"/>
      <c r="U12" s="29"/>
      <c r="V12" s="29"/>
      <c r="W12" s="32"/>
      <c r="X12" s="33" t="s">
        <v>297</v>
      </c>
      <c r="Y12" s="34"/>
      <c r="Z12" s="35">
        <f t="shared" si="7"/>
        <v>0</v>
      </c>
      <c r="AA12" s="35">
        <f t="shared" si="8"/>
        <v>0</v>
      </c>
      <c r="AB12" s="35"/>
      <c r="AC12" s="36"/>
      <c r="AD12" s="29"/>
      <c r="AE12" s="29" t="s">
        <v>298</v>
      </c>
      <c r="AF12" s="29"/>
      <c r="AG12" s="37"/>
      <c r="AH12" s="38"/>
      <c r="AI12" s="38"/>
      <c r="AJ12" s="38"/>
      <c r="AK12" s="38"/>
      <c r="AL12" s="38"/>
      <c r="AM12" s="38"/>
      <c r="AN12" s="38"/>
      <c r="AO12" s="28">
        <f t="shared" si="5"/>
        <v>151</v>
      </c>
      <c r="AP12" s="28">
        <f t="shared" si="6"/>
        <v>46260</v>
      </c>
      <c r="AQ12" s="1"/>
    </row>
    <row r="13" s="2" customFormat="1" customHeight="1" spans="1:43">
      <c r="A13" s="29">
        <v>46109</v>
      </c>
      <c r="B13" s="29" t="str">
        <f ca="1" t="shared" si="0"/>
        <v>未</v>
      </c>
      <c r="C13" s="30" t="s">
        <v>296</v>
      </c>
      <c r="D13" s="31" t="s">
        <v>251</v>
      </c>
      <c r="E13" s="30" t="s">
        <v>198</v>
      </c>
      <c r="F13" s="32"/>
      <c r="G13" s="32" t="s">
        <v>177</v>
      </c>
      <c r="H13" s="32">
        <f t="shared" ref="H13:H16" si="11">10000-10000</f>
        <v>0</v>
      </c>
      <c r="I13" s="32"/>
      <c r="J13" s="32"/>
      <c r="K13" s="29"/>
      <c r="L13" s="29">
        <v>46260</v>
      </c>
      <c r="M13" s="15">
        <f t="shared" si="10"/>
        <v>46258</v>
      </c>
      <c r="N13" s="15"/>
      <c r="O13" s="32"/>
      <c r="P13" s="32"/>
      <c r="Q13" s="32"/>
      <c r="R13" s="32"/>
      <c r="S13" s="29"/>
      <c r="T13" s="29"/>
      <c r="U13" s="29"/>
      <c r="V13" s="29"/>
      <c r="W13" s="32"/>
      <c r="X13" s="33" t="s">
        <v>297</v>
      </c>
      <c r="Y13" s="34"/>
      <c r="Z13" s="35">
        <f t="shared" si="7"/>
        <v>0</v>
      </c>
      <c r="AA13" s="35">
        <f t="shared" si="8"/>
        <v>0</v>
      </c>
      <c r="AB13" s="35"/>
      <c r="AC13" s="36"/>
      <c r="AD13" s="29"/>
      <c r="AE13" s="29" t="s">
        <v>298</v>
      </c>
      <c r="AF13" s="29"/>
      <c r="AG13" s="37"/>
      <c r="AH13" s="38"/>
      <c r="AI13" s="38"/>
      <c r="AJ13" s="38"/>
      <c r="AK13" s="38"/>
      <c r="AL13" s="38"/>
      <c r="AM13" s="38"/>
      <c r="AN13" s="38"/>
      <c r="AO13" s="28">
        <f t="shared" si="5"/>
        <v>151</v>
      </c>
      <c r="AP13" s="28">
        <f t="shared" si="6"/>
        <v>46260</v>
      </c>
      <c r="AQ13" s="1"/>
    </row>
    <row r="14" s="2" customFormat="1" customHeight="1" spans="1:43">
      <c r="A14" s="29">
        <v>46109</v>
      </c>
      <c r="B14" s="29" t="str">
        <f ca="1" t="shared" si="0"/>
        <v>未</v>
      </c>
      <c r="C14" s="30" t="s">
        <v>296</v>
      </c>
      <c r="D14" s="31" t="s">
        <v>251</v>
      </c>
      <c r="E14" s="30" t="s">
        <v>198</v>
      </c>
      <c r="F14" s="32"/>
      <c r="G14" s="32" t="s">
        <v>178</v>
      </c>
      <c r="H14" s="32">
        <f t="shared" si="11"/>
        <v>0</v>
      </c>
      <c r="I14" s="32"/>
      <c r="J14" s="32"/>
      <c r="K14" s="29"/>
      <c r="L14" s="29">
        <v>46260</v>
      </c>
      <c r="M14" s="15">
        <f t="shared" si="10"/>
        <v>46258</v>
      </c>
      <c r="N14" s="15"/>
      <c r="O14" s="32"/>
      <c r="P14" s="32"/>
      <c r="Q14" s="32"/>
      <c r="R14" s="32"/>
      <c r="S14" s="29"/>
      <c r="T14" s="29"/>
      <c r="U14" s="29"/>
      <c r="V14" s="29"/>
      <c r="W14" s="32"/>
      <c r="X14" s="33" t="s">
        <v>297</v>
      </c>
      <c r="Y14" s="34"/>
      <c r="Z14" s="35">
        <f t="shared" si="7"/>
        <v>0</v>
      </c>
      <c r="AA14" s="35">
        <f t="shared" si="8"/>
        <v>0</v>
      </c>
      <c r="AB14" s="35"/>
      <c r="AC14" s="36"/>
      <c r="AD14" s="29"/>
      <c r="AE14" s="29" t="s">
        <v>298</v>
      </c>
      <c r="AF14" s="29"/>
      <c r="AG14" s="37"/>
      <c r="AH14" s="38"/>
      <c r="AI14" s="38"/>
      <c r="AJ14" s="38"/>
      <c r="AK14" s="38"/>
      <c r="AL14" s="38"/>
      <c r="AM14" s="38"/>
      <c r="AN14" s="38"/>
      <c r="AO14" s="28">
        <f t="shared" si="5"/>
        <v>151</v>
      </c>
      <c r="AP14" s="28">
        <f t="shared" si="6"/>
        <v>46260</v>
      </c>
      <c r="AQ14" s="1"/>
    </row>
    <row r="15" s="2" customFormat="1" ht="38" customHeight="1" spans="1:43">
      <c r="A15" s="29">
        <v>46109</v>
      </c>
      <c r="B15" s="29" t="str">
        <f ca="1" t="shared" si="0"/>
        <v>未</v>
      </c>
      <c r="C15" s="30" t="s">
        <v>296</v>
      </c>
      <c r="D15" s="31" t="s">
        <v>251</v>
      </c>
      <c r="E15" s="30" t="s">
        <v>198</v>
      </c>
      <c r="F15" s="32"/>
      <c r="G15" s="32" t="s">
        <v>179</v>
      </c>
      <c r="H15" s="32">
        <f t="shared" si="11"/>
        <v>0</v>
      </c>
      <c r="I15" s="32"/>
      <c r="J15" s="32"/>
      <c r="K15" s="29"/>
      <c r="L15" s="29">
        <v>46260</v>
      </c>
      <c r="M15" s="15">
        <f t="shared" si="10"/>
        <v>46258</v>
      </c>
      <c r="N15" s="15"/>
      <c r="O15" s="32"/>
      <c r="P15" s="32"/>
      <c r="Q15" s="32"/>
      <c r="R15" s="32"/>
      <c r="S15" s="29"/>
      <c r="T15" s="29"/>
      <c r="U15" s="29"/>
      <c r="V15" s="29"/>
      <c r="W15" s="32"/>
      <c r="X15" s="33" t="s">
        <v>299</v>
      </c>
      <c r="Y15" s="34"/>
      <c r="Z15" s="35">
        <f t="shared" si="7"/>
        <v>0</v>
      </c>
      <c r="AA15" s="35">
        <f t="shared" si="8"/>
        <v>0</v>
      </c>
      <c r="AB15" s="35"/>
      <c r="AC15" s="36"/>
      <c r="AD15" s="29"/>
      <c r="AE15" s="29" t="s">
        <v>298</v>
      </c>
      <c r="AF15" s="29"/>
      <c r="AG15" s="37"/>
      <c r="AH15" s="38"/>
      <c r="AI15" s="38"/>
      <c r="AJ15" s="38"/>
      <c r="AK15" s="38"/>
      <c r="AL15" s="38"/>
      <c r="AM15" s="38"/>
      <c r="AN15" s="38"/>
      <c r="AO15" s="28">
        <f t="shared" si="5"/>
        <v>151</v>
      </c>
      <c r="AP15" s="28">
        <f t="shared" si="6"/>
        <v>46260</v>
      </c>
      <c r="AQ15" s="1"/>
    </row>
    <row r="16" s="2" customFormat="1" customHeight="1" spans="1:43">
      <c r="A16" s="29">
        <v>46109</v>
      </c>
      <c r="B16" s="29" t="str">
        <f ca="1" t="shared" si="0"/>
        <v>未</v>
      </c>
      <c r="C16" s="30" t="s">
        <v>296</v>
      </c>
      <c r="D16" s="31" t="s">
        <v>251</v>
      </c>
      <c r="E16" s="30" t="s">
        <v>198</v>
      </c>
      <c r="F16" s="32"/>
      <c r="G16" s="32" t="s">
        <v>180</v>
      </c>
      <c r="H16" s="32">
        <f t="shared" si="11"/>
        <v>0</v>
      </c>
      <c r="I16" s="32"/>
      <c r="J16" s="32"/>
      <c r="K16" s="29"/>
      <c r="L16" s="29">
        <v>46260</v>
      </c>
      <c r="M16" s="15">
        <f t="shared" si="10"/>
        <v>46258</v>
      </c>
      <c r="N16" s="15"/>
      <c r="O16" s="32"/>
      <c r="P16" s="32"/>
      <c r="Q16" s="32"/>
      <c r="R16" s="32"/>
      <c r="S16" s="29"/>
      <c r="T16" s="29"/>
      <c r="U16" s="29"/>
      <c r="V16" s="29"/>
      <c r="W16" s="32"/>
      <c r="X16" s="33" t="s">
        <v>297</v>
      </c>
      <c r="Y16" s="34"/>
      <c r="Z16" s="35">
        <f t="shared" si="7"/>
        <v>0</v>
      </c>
      <c r="AA16" s="35">
        <f t="shared" si="8"/>
        <v>0</v>
      </c>
      <c r="AB16" s="35"/>
      <c r="AC16" s="36"/>
      <c r="AD16" s="29"/>
      <c r="AE16" s="29" t="s">
        <v>298</v>
      </c>
      <c r="AF16" s="29"/>
      <c r="AG16" s="37"/>
      <c r="AH16" s="38"/>
      <c r="AI16" s="38"/>
      <c r="AJ16" s="38"/>
      <c r="AK16" s="38"/>
      <c r="AL16" s="38"/>
      <c r="AM16" s="38"/>
      <c r="AN16" s="38"/>
      <c r="AO16" s="28">
        <f t="shared" si="5"/>
        <v>151</v>
      </c>
      <c r="AP16" s="28">
        <f t="shared" si="6"/>
        <v>46260</v>
      </c>
      <c r="AQ16" s="1"/>
    </row>
    <row r="17" s="2" customFormat="1" customHeight="1" spans="1:43">
      <c r="A17" s="29">
        <v>46109</v>
      </c>
      <c r="B17" s="29" t="str">
        <f ca="1" t="shared" si="0"/>
        <v>未</v>
      </c>
      <c r="C17" s="30" t="s">
        <v>191</v>
      </c>
      <c r="D17" s="31" t="s">
        <v>251</v>
      </c>
      <c r="E17" s="30" t="s">
        <v>198</v>
      </c>
      <c r="F17" s="32"/>
      <c r="G17" s="32" t="s">
        <v>176</v>
      </c>
      <c r="H17" s="32">
        <f>25000*20-25000*20</f>
        <v>0</v>
      </c>
      <c r="I17" s="32"/>
      <c r="J17" s="32"/>
      <c r="K17" s="29"/>
      <c r="L17" s="29">
        <v>46251</v>
      </c>
      <c r="M17" s="15">
        <f t="shared" ref="M17:M26" si="12">L17-3</f>
        <v>46248</v>
      </c>
      <c r="N17" s="15"/>
      <c r="O17" s="32"/>
      <c r="P17" s="32"/>
      <c r="Q17" s="32"/>
      <c r="R17" s="32"/>
      <c r="S17" s="29"/>
      <c r="T17" s="29"/>
      <c r="U17" s="29"/>
      <c r="V17" s="29"/>
      <c r="W17" s="32"/>
      <c r="X17" s="33" t="s">
        <v>300</v>
      </c>
      <c r="Y17" s="34"/>
      <c r="Z17" s="35">
        <f t="shared" si="7"/>
        <v>0</v>
      </c>
      <c r="AA17" s="35">
        <f t="shared" si="8"/>
        <v>0</v>
      </c>
      <c r="AB17" s="35"/>
      <c r="AC17" s="36"/>
      <c r="AD17" s="29"/>
      <c r="AE17" s="29" t="s">
        <v>298</v>
      </c>
      <c r="AF17" s="29"/>
      <c r="AG17" s="37"/>
      <c r="AH17" s="38"/>
      <c r="AI17" s="38"/>
      <c r="AJ17" s="38"/>
      <c r="AK17" s="38"/>
      <c r="AL17" s="38"/>
      <c r="AM17" s="38"/>
      <c r="AN17" s="38"/>
      <c r="AO17" s="28">
        <f t="shared" si="5"/>
        <v>142</v>
      </c>
      <c r="AP17" s="28">
        <f t="shared" si="6"/>
        <v>46251</v>
      </c>
      <c r="AQ17" s="1"/>
    </row>
    <row r="18" s="2" customFormat="1" customHeight="1" spans="1:43">
      <c r="A18" s="29">
        <v>46109</v>
      </c>
      <c r="B18" s="29" t="str">
        <f ca="1" t="shared" si="0"/>
        <v>未</v>
      </c>
      <c r="C18" s="30" t="s">
        <v>191</v>
      </c>
      <c r="D18" s="31" t="s">
        <v>251</v>
      </c>
      <c r="E18" s="30" t="s">
        <v>198</v>
      </c>
      <c r="F18" s="32"/>
      <c r="G18" s="32" t="s">
        <v>177</v>
      </c>
      <c r="H18" s="32">
        <f t="shared" ref="H18:H21" si="13">25000-25000</f>
        <v>0</v>
      </c>
      <c r="I18" s="32"/>
      <c r="J18" s="32"/>
      <c r="K18" s="29"/>
      <c r="L18" s="29">
        <v>46251</v>
      </c>
      <c r="M18" s="15">
        <f t="shared" si="12"/>
        <v>46248</v>
      </c>
      <c r="N18" s="15"/>
      <c r="O18" s="32"/>
      <c r="P18" s="32"/>
      <c r="Q18" s="32"/>
      <c r="R18" s="32"/>
      <c r="S18" s="29"/>
      <c r="T18" s="29"/>
      <c r="U18" s="29"/>
      <c r="V18" s="29"/>
      <c r="W18" s="32"/>
      <c r="X18" s="33" t="s">
        <v>300</v>
      </c>
      <c r="Y18" s="34"/>
      <c r="Z18" s="35">
        <f t="shared" si="7"/>
        <v>0</v>
      </c>
      <c r="AA18" s="35">
        <f t="shared" si="8"/>
        <v>0</v>
      </c>
      <c r="AB18" s="35"/>
      <c r="AC18" s="36"/>
      <c r="AD18" s="29"/>
      <c r="AE18" s="29" t="s">
        <v>298</v>
      </c>
      <c r="AF18" s="29"/>
      <c r="AG18" s="37"/>
      <c r="AH18" s="38"/>
      <c r="AI18" s="38"/>
      <c r="AJ18" s="38"/>
      <c r="AK18" s="38"/>
      <c r="AL18" s="38"/>
      <c r="AM18" s="38"/>
      <c r="AN18" s="38"/>
      <c r="AO18" s="28">
        <f t="shared" si="5"/>
        <v>142</v>
      </c>
      <c r="AP18" s="28">
        <f t="shared" si="6"/>
        <v>46251</v>
      </c>
      <c r="AQ18" s="1"/>
    </row>
    <row r="19" s="2" customFormat="1" customHeight="1" spans="1:43">
      <c r="A19" s="29">
        <v>46109</v>
      </c>
      <c r="B19" s="29" t="str">
        <f ca="1" t="shared" si="0"/>
        <v>未</v>
      </c>
      <c r="C19" s="30" t="s">
        <v>191</v>
      </c>
      <c r="D19" s="31" t="s">
        <v>251</v>
      </c>
      <c r="E19" s="30" t="s">
        <v>198</v>
      </c>
      <c r="F19" s="32"/>
      <c r="G19" s="32" t="s">
        <v>178</v>
      </c>
      <c r="H19" s="32">
        <f t="shared" si="13"/>
        <v>0</v>
      </c>
      <c r="I19" s="32"/>
      <c r="J19" s="32"/>
      <c r="K19" s="29"/>
      <c r="L19" s="29">
        <v>46251</v>
      </c>
      <c r="M19" s="15">
        <f t="shared" si="12"/>
        <v>46248</v>
      </c>
      <c r="N19" s="15"/>
      <c r="O19" s="32"/>
      <c r="P19" s="32"/>
      <c r="Q19" s="32"/>
      <c r="R19" s="32"/>
      <c r="S19" s="29"/>
      <c r="T19" s="29"/>
      <c r="U19" s="29"/>
      <c r="V19" s="29"/>
      <c r="W19" s="32"/>
      <c r="X19" s="33" t="s">
        <v>300</v>
      </c>
      <c r="Y19" s="34"/>
      <c r="Z19" s="35">
        <f t="shared" si="7"/>
        <v>0</v>
      </c>
      <c r="AA19" s="35">
        <f t="shared" si="8"/>
        <v>0</v>
      </c>
      <c r="AB19" s="35"/>
      <c r="AC19" s="36"/>
      <c r="AD19" s="29"/>
      <c r="AE19" s="29" t="s">
        <v>298</v>
      </c>
      <c r="AF19" s="29"/>
      <c r="AG19" s="37"/>
      <c r="AH19" s="38"/>
      <c r="AI19" s="38"/>
      <c r="AJ19" s="38"/>
      <c r="AK19" s="38"/>
      <c r="AL19" s="38"/>
      <c r="AM19" s="38"/>
      <c r="AN19" s="38"/>
      <c r="AO19" s="28">
        <f t="shared" si="5"/>
        <v>142</v>
      </c>
      <c r="AP19" s="28">
        <f t="shared" si="6"/>
        <v>46251</v>
      </c>
      <c r="AQ19" s="1"/>
    </row>
    <row r="20" s="2" customFormat="1" ht="30" customHeight="1" spans="1:43">
      <c r="A20" s="29">
        <v>46109</v>
      </c>
      <c r="B20" s="29" t="str">
        <f ca="1" t="shared" si="0"/>
        <v>未</v>
      </c>
      <c r="C20" s="30" t="s">
        <v>191</v>
      </c>
      <c r="D20" s="31" t="s">
        <v>251</v>
      </c>
      <c r="E20" s="30" t="s">
        <v>198</v>
      </c>
      <c r="F20" s="39"/>
      <c r="G20" s="29" t="s">
        <v>179</v>
      </c>
      <c r="H20" s="40">
        <f t="shared" si="13"/>
        <v>0</v>
      </c>
      <c r="I20" s="29"/>
      <c r="J20" s="40"/>
      <c r="K20" s="29"/>
      <c r="L20" s="29">
        <v>46251</v>
      </c>
      <c r="M20" s="15">
        <f t="shared" si="12"/>
        <v>46248</v>
      </c>
      <c r="N20" s="15"/>
      <c r="O20" s="29"/>
      <c r="P20" s="29"/>
      <c r="Q20" s="32"/>
      <c r="R20" s="32"/>
      <c r="S20" s="29"/>
      <c r="T20" s="29"/>
      <c r="U20" s="29"/>
      <c r="V20" s="29"/>
      <c r="W20" s="32"/>
      <c r="X20" s="33" t="s">
        <v>300</v>
      </c>
      <c r="Y20" s="34"/>
      <c r="Z20" s="35">
        <f t="shared" si="7"/>
        <v>0</v>
      </c>
      <c r="AA20" s="35">
        <f t="shared" si="8"/>
        <v>0</v>
      </c>
      <c r="AB20" s="35"/>
      <c r="AC20" s="36"/>
      <c r="AD20" s="29"/>
      <c r="AE20" s="29" t="s">
        <v>298</v>
      </c>
      <c r="AF20" s="29"/>
      <c r="AG20" s="37"/>
      <c r="AH20" s="38"/>
      <c r="AI20" s="38"/>
      <c r="AJ20" s="38"/>
      <c r="AK20" s="38"/>
      <c r="AL20" s="38"/>
      <c r="AM20" s="38"/>
      <c r="AN20" s="38"/>
      <c r="AO20" s="28">
        <f t="shared" si="5"/>
        <v>142</v>
      </c>
      <c r="AP20" s="28">
        <f t="shared" si="6"/>
        <v>46251</v>
      </c>
      <c r="AQ20" s="1"/>
    </row>
    <row r="21" s="2" customFormat="1" customHeight="1" spans="1:43">
      <c r="A21" s="29">
        <v>46109</v>
      </c>
      <c r="B21" s="29" t="str">
        <f ca="1" t="shared" si="0"/>
        <v>未</v>
      </c>
      <c r="C21" s="30" t="s">
        <v>191</v>
      </c>
      <c r="D21" s="31" t="s">
        <v>251</v>
      </c>
      <c r="E21" s="30" t="s">
        <v>198</v>
      </c>
      <c r="F21" s="39"/>
      <c r="G21" s="29" t="s">
        <v>180</v>
      </c>
      <c r="H21" s="40">
        <f t="shared" si="13"/>
        <v>0</v>
      </c>
      <c r="I21" s="29"/>
      <c r="J21" s="40"/>
      <c r="K21" s="29"/>
      <c r="L21" s="29">
        <v>46251</v>
      </c>
      <c r="M21" s="15">
        <f t="shared" si="12"/>
        <v>46248</v>
      </c>
      <c r="N21" s="15"/>
      <c r="O21" s="29"/>
      <c r="P21" s="29"/>
      <c r="Q21" s="32"/>
      <c r="R21" s="32"/>
      <c r="S21" s="29"/>
      <c r="T21" s="29"/>
      <c r="U21" s="29"/>
      <c r="V21" s="29"/>
      <c r="W21" s="32"/>
      <c r="X21" s="33" t="s">
        <v>300</v>
      </c>
      <c r="Y21" s="34"/>
      <c r="Z21" s="35">
        <f t="shared" si="7"/>
        <v>0</v>
      </c>
      <c r="AA21" s="35">
        <f t="shared" si="8"/>
        <v>0</v>
      </c>
      <c r="AB21" s="35"/>
      <c r="AC21" s="36"/>
      <c r="AD21" s="29"/>
      <c r="AE21" s="29" t="s">
        <v>298</v>
      </c>
      <c r="AF21" s="29"/>
      <c r="AG21" s="37"/>
      <c r="AH21" s="38"/>
      <c r="AI21" s="38"/>
      <c r="AJ21" s="38"/>
      <c r="AK21" s="38"/>
      <c r="AL21" s="38"/>
      <c r="AM21" s="38"/>
      <c r="AN21" s="38"/>
      <c r="AO21" s="28">
        <f t="shared" si="5"/>
        <v>142</v>
      </c>
      <c r="AP21" s="28">
        <f t="shared" si="6"/>
        <v>46251</v>
      </c>
      <c r="AQ21" s="1"/>
    </row>
    <row r="22" s="2" customFormat="1" customHeight="1" spans="1:43">
      <c r="A22" s="29">
        <v>46142</v>
      </c>
      <c r="B22" s="29" t="str">
        <f ca="1" t="shared" si="0"/>
        <v>未</v>
      </c>
      <c r="C22" s="30" t="s">
        <v>191</v>
      </c>
      <c r="D22" s="31" t="s">
        <v>251</v>
      </c>
      <c r="E22" s="30" t="s">
        <v>198</v>
      </c>
      <c r="F22" s="39" t="s">
        <v>301</v>
      </c>
      <c r="G22" s="37" t="s">
        <v>176</v>
      </c>
      <c r="H22" s="40">
        <f t="shared" ref="H22:H24" si="14">5000*10-5000*10</f>
        <v>0</v>
      </c>
      <c r="I22" s="29"/>
      <c r="J22" s="40"/>
      <c r="K22" s="29"/>
      <c r="L22" s="29">
        <v>46213</v>
      </c>
      <c r="M22" s="15">
        <f t="shared" si="12"/>
        <v>46210</v>
      </c>
      <c r="N22" s="15"/>
      <c r="O22" s="29"/>
      <c r="P22" s="29"/>
      <c r="Q22" s="32"/>
      <c r="R22" s="32"/>
      <c r="S22" s="29"/>
      <c r="T22" s="29"/>
      <c r="U22" s="29"/>
      <c r="V22" s="29"/>
      <c r="W22" s="32"/>
      <c r="X22" s="33" t="s">
        <v>302</v>
      </c>
      <c r="Y22" s="34"/>
      <c r="Z22" s="35">
        <f t="shared" si="7"/>
        <v>0</v>
      </c>
      <c r="AA22" s="35">
        <f t="shared" si="8"/>
        <v>0</v>
      </c>
      <c r="AB22" s="35"/>
      <c r="AC22" s="36"/>
      <c r="AD22" s="29"/>
      <c r="AE22" s="29" t="s">
        <v>7</v>
      </c>
      <c r="AF22" s="29"/>
      <c r="AG22" s="37"/>
      <c r="AH22" s="38"/>
      <c r="AI22" s="38"/>
      <c r="AJ22" s="38"/>
      <c r="AK22" s="38"/>
      <c r="AL22" s="38"/>
      <c r="AM22" s="38"/>
      <c r="AN22" s="38"/>
      <c r="AO22" s="28">
        <f t="shared" si="5"/>
        <v>71</v>
      </c>
      <c r="AP22" s="28">
        <f t="shared" si="6"/>
        <v>46213</v>
      </c>
      <c r="AQ22" s="1"/>
    </row>
    <row r="23" s="2" customFormat="1" customHeight="1" spans="1:43">
      <c r="A23" s="29">
        <v>46142</v>
      </c>
      <c r="B23" s="29" t="str">
        <f ca="1" t="shared" si="0"/>
        <v>未</v>
      </c>
      <c r="C23" s="30" t="s">
        <v>196</v>
      </c>
      <c r="D23" s="31" t="s">
        <v>251</v>
      </c>
      <c r="E23" s="30" t="s">
        <v>198</v>
      </c>
      <c r="F23" s="39" t="s">
        <v>301</v>
      </c>
      <c r="G23" s="37" t="s">
        <v>176</v>
      </c>
      <c r="H23" s="40">
        <f t="shared" si="14"/>
        <v>0</v>
      </c>
      <c r="I23" s="29"/>
      <c r="J23" s="40"/>
      <c r="K23" s="29"/>
      <c r="L23" s="29">
        <v>46213</v>
      </c>
      <c r="M23" s="15">
        <f t="shared" si="12"/>
        <v>46210</v>
      </c>
      <c r="N23" s="15"/>
      <c r="O23" s="29"/>
      <c r="P23" s="29"/>
      <c r="Q23" s="32"/>
      <c r="R23" s="32"/>
      <c r="S23" s="29"/>
      <c r="T23" s="29"/>
      <c r="U23" s="29"/>
      <c r="V23" s="29"/>
      <c r="W23" s="32"/>
      <c r="X23" s="33" t="s">
        <v>303</v>
      </c>
      <c r="Y23" s="34"/>
      <c r="Z23" s="35">
        <f t="shared" si="7"/>
        <v>0</v>
      </c>
      <c r="AA23" s="35">
        <f t="shared" si="8"/>
        <v>0</v>
      </c>
      <c r="AB23" s="35"/>
      <c r="AC23" s="36"/>
      <c r="AD23" s="29"/>
      <c r="AE23" s="29" t="s">
        <v>7</v>
      </c>
      <c r="AF23" s="29"/>
      <c r="AG23" s="37"/>
      <c r="AH23" s="38"/>
      <c r="AI23" s="38"/>
      <c r="AJ23" s="38"/>
      <c r="AK23" s="38"/>
      <c r="AL23" s="38"/>
      <c r="AM23" s="38"/>
      <c r="AN23" s="38"/>
      <c r="AO23" s="28">
        <f t="shared" si="5"/>
        <v>71</v>
      </c>
      <c r="AP23" s="28">
        <f t="shared" si="6"/>
        <v>46213</v>
      </c>
      <c r="AQ23" s="1"/>
    </row>
    <row r="24" s="2" customFormat="1" customHeight="1" spans="1:43">
      <c r="A24" s="29">
        <v>46142</v>
      </c>
      <c r="B24" s="29" t="str">
        <f ca="1" t="shared" si="0"/>
        <v>未</v>
      </c>
      <c r="C24" s="30" t="s">
        <v>191</v>
      </c>
      <c r="D24" s="31" t="s">
        <v>251</v>
      </c>
      <c r="E24" s="30" t="s">
        <v>198</v>
      </c>
      <c r="F24" s="39" t="s">
        <v>301</v>
      </c>
      <c r="G24" s="37" t="s">
        <v>176</v>
      </c>
      <c r="H24" s="40">
        <f t="shared" si="14"/>
        <v>0</v>
      </c>
      <c r="I24" s="29"/>
      <c r="J24" s="40"/>
      <c r="K24" s="29"/>
      <c r="L24" s="29">
        <v>46230</v>
      </c>
      <c r="M24" s="15">
        <f t="shared" si="12"/>
        <v>46227</v>
      </c>
      <c r="N24" s="15"/>
      <c r="O24" s="29"/>
      <c r="P24" s="29"/>
      <c r="Q24" s="32"/>
      <c r="R24" s="32"/>
      <c r="S24" s="29"/>
      <c r="T24" s="29"/>
      <c r="U24" s="29"/>
      <c r="V24" s="29"/>
      <c r="W24" s="32"/>
      <c r="X24" s="33" t="s">
        <v>304</v>
      </c>
      <c r="Y24" s="34"/>
      <c r="Z24" s="35">
        <f t="shared" si="7"/>
        <v>0</v>
      </c>
      <c r="AA24" s="35">
        <f t="shared" si="8"/>
        <v>0</v>
      </c>
      <c r="AB24" s="35"/>
      <c r="AC24" s="36"/>
      <c r="AD24" s="29"/>
      <c r="AE24" s="29" t="s">
        <v>7</v>
      </c>
      <c r="AF24" s="29"/>
      <c r="AG24" s="37"/>
      <c r="AH24" s="38"/>
      <c r="AI24" s="38"/>
      <c r="AJ24" s="38"/>
      <c r="AK24" s="38"/>
      <c r="AL24" s="38"/>
      <c r="AM24" s="38"/>
      <c r="AN24" s="38"/>
      <c r="AO24" s="28">
        <f t="shared" si="5"/>
        <v>88</v>
      </c>
      <c r="AP24" s="28">
        <f t="shared" si="6"/>
        <v>46230</v>
      </c>
      <c r="AQ24" s="1"/>
    </row>
    <row r="25" s="2" customFormat="1" customHeight="1" spans="1:43">
      <c r="A25" s="29">
        <v>46142</v>
      </c>
      <c r="B25" s="29" t="str">
        <f ca="1" t="shared" si="0"/>
        <v>未</v>
      </c>
      <c r="C25" s="30" t="s">
        <v>191</v>
      </c>
      <c r="D25" s="31" t="s">
        <v>251</v>
      </c>
      <c r="E25" s="30" t="s">
        <v>198</v>
      </c>
      <c r="F25" s="39" t="s">
        <v>301</v>
      </c>
      <c r="G25" s="37" t="s">
        <v>176</v>
      </c>
      <c r="H25" s="40">
        <f>15000*10-15000*10</f>
        <v>0</v>
      </c>
      <c r="I25" s="29"/>
      <c r="J25" s="40"/>
      <c r="K25" s="29"/>
      <c r="L25" s="29">
        <v>46237</v>
      </c>
      <c r="M25" s="15">
        <f t="shared" si="12"/>
        <v>46234</v>
      </c>
      <c r="N25" s="15"/>
      <c r="O25" s="29"/>
      <c r="P25" s="29"/>
      <c r="Q25" s="32"/>
      <c r="R25" s="32"/>
      <c r="S25" s="29"/>
      <c r="T25" s="29"/>
      <c r="U25" s="29"/>
      <c r="V25" s="29"/>
      <c r="W25" s="32"/>
      <c r="X25" s="33" t="s">
        <v>292</v>
      </c>
      <c r="Y25" s="34"/>
      <c r="Z25" s="35">
        <f t="shared" si="7"/>
        <v>0</v>
      </c>
      <c r="AA25" s="35">
        <f t="shared" si="8"/>
        <v>0</v>
      </c>
      <c r="AB25" s="35"/>
      <c r="AC25" s="36"/>
      <c r="AD25" s="29"/>
      <c r="AE25" s="29" t="s">
        <v>7</v>
      </c>
      <c r="AF25" s="29"/>
      <c r="AG25" s="37"/>
      <c r="AH25" s="38"/>
      <c r="AI25" s="38"/>
      <c r="AJ25" s="38"/>
      <c r="AK25" s="38"/>
      <c r="AL25" s="38"/>
      <c r="AM25" s="38"/>
      <c r="AN25" s="38"/>
      <c r="AO25" s="28">
        <f t="shared" si="5"/>
        <v>95</v>
      </c>
      <c r="AP25" s="28">
        <f t="shared" si="6"/>
        <v>46237</v>
      </c>
      <c r="AQ25" s="1"/>
    </row>
    <row r="26" s="2" customFormat="1" customHeight="1" spans="1:43">
      <c r="A26" s="29">
        <v>46142</v>
      </c>
      <c r="B26" s="29" t="str">
        <f ca="1" t="shared" si="0"/>
        <v>未</v>
      </c>
      <c r="C26" s="30" t="s">
        <v>191</v>
      </c>
      <c r="D26" s="31" t="s">
        <v>251</v>
      </c>
      <c r="E26" s="30" t="s">
        <v>198</v>
      </c>
      <c r="F26" s="39" t="s">
        <v>301</v>
      </c>
      <c r="G26" s="37" t="s">
        <v>176</v>
      </c>
      <c r="H26" s="40">
        <f>10000*10-10000*10</f>
        <v>0</v>
      </c>
      <c r="I26" s="29"/>
      <c r="J26" s="40"/>
      <c r="K26" s="29"/>
      <c r="L26" s="29">
        <v>46244</v>
      </c>
      <c r="M26" s="15">
        <f t="shared" si="12"/>
        <v>46241</v>
      </c>
      <c r="N26" s="15"/>
      <c r="O26" s="29"/>
      <c r="P26" s="29"/>
      <c r="Q26" s="32"/>
      <c r="R26" s="32"/>
      <c r="S26" s="29"/>
      <c r="T26" s="29"/>
      <c r="U26" s="29"/>
      <c r="V26" s="29"/>
      <c r="W26" s="32"/>
      <c r="X26" s="33" t="s">
        <v>305</v>
      </c>
      <c r="Y26" s="34"/>
      <c r="Z26" s="35">
        <f t="shared" si="7"/>
        <v>0</v>
      </c>
      <c r="AA26" s="35">
        <f t="shared" si="8"/>
        <v>0</v>
      </c>
      <c r="AB26" s="35"/>
      <c r="AC26" s="36"/>
      <c r="AD26" s="29"/>
      <c r="AE26" s="29" t="s">
        <v>7</v>
      </c>
      <c r="AF26" s="29"/>
      <c r="AG26" s="37"/>
      <c r="AH26" s="38"/>
      <c r="AI26" s="38"/>
      <c r="AJ26" s="38"/>
      <c r="AK26" s="38"/>
      <c r="AL26" s="38"/>
      <c r="AM26" s="38"/>
      <c r="AN26" s="38"/>
      <c r="AO26" s="28">
        <f t="shared" si="5"/>
        <v>102</v>
      </c>
      <c r="AP26" s="28">
        <f t="shared" si="6"/>
        <v>46244</v>
      </c>
      <c r="AQ26" s="1"/>
    </row>
    <row r="27" s="1" customFormat="1" customHeight="1" spans="1:43">
      <c r="A27" s="41"/>
      <c r="B27" s="29"/>
      <c r="C27" s="42"/>
      <c r="D27" s="41"/>
      <c r="E27" s="43"/>
      <c r="F27" s="17"/>
      <c r="G27" s="19"/>
      <c r="H27" s="18"/>
      <c r="I27" s="19"/>
      <c r="J27" s="20"/>
      <c r="K27" s="20"/>
      <c r="L27" s="41"/>
      <c r="M27" s="41"/>
      <c r="N27" s="41"/>
      <c r="O27" s="41"/>
      <c r="P27" s="17"/>
      <c r="Q27" s="17"/>
      <c r="R27" s="41"/>
      <c r="S27" s="41"/>
      <c r="T27" s="41"/>
      <c r="U27" s="41"/>
      <c r="V27" s="17"/>
      <c r="W27" s="17"/>
      <c r="X27" s="20"/>
      <c r="Y27" s="22"/>
      <c r="Z27" s="44">
        <f t="shared" si="7"/>
        <v>0</v>
      </c>
      <c r="AA27" s="44">
        <f t="shared" si="8"/>
        <v>0</v>
      </c>
      <c r="AB27" s="36"/>
      <c r="AC27" s="41"/>
      <c r="AD27" s="41"/>
      <c r="AE27" s="41"/>
      <c r="AF27" s="19"/>
      <c r="AG27" s="45"/>
      <c r="AH27" s="45"/>
      <c r="AI27" s="45"/>
      <c r="AJ27" s="45"/>
      <c r="AK27" s="45"/>
      <c r="AL27" s="45"/>
      <c r="AM27" s="45"/>
      <c r="AN27" s="45"/>
      <c r="AO27" s="28">
        <f t="shared" si="5"/>
        <v>0</v>
      </c>
      <c r="AP27" s="28">
        <f t="shared" si="6"/>
        <v>0</v>
      </c>
    </row>
    <row r="28" s="1" customFormat="1" customHeight="1" spans="1:43">
      <c r="A28" s="41"/>
      <c r="B28" s="29"/>
      <c r="C28" s="42"/>
      <c r="D28" s="41"/>
      <c r="E28" s="43"/>
      <c r="F28" s="17"/>
      <c r="G28" s="19"/>
      <c r="H28" s="18"/>
      <c r="I28" s="19"/>
      <c r="J28" s="20"/>
      <c r="K28" s="20"/>
      <c r="L28" s="41"/>
      <c r="M28" s="41"/>
      <c r="N28" s="41"/>
      <c r="O28" s="41"/>
      <c r="P28" s="17"/>
      <c r="Q28" s="17"/>
      <c r="R28" s="41"/>
      <c r="S28" s="41"/>
      <c r="T28" s="41"/>
      <c r="U28" s="41"/>
      <c r="V28" s="17"/>
      <c r="W28" s="17"/>
      <c r="X28" s="20"/>
      <c r="Y28" s="22"/>
      <c r="Z28" s="44">
        <f t="shared" si="7"/>
        <v>0</v>
      </c>
      <c r="AA28" s="44">
        <f t="shared" si="8"/>
        <v>0</v>
      </c>
      <c r="AB28" s="36"/>
      <c r="AC28" s="41"/>
      <c r="AD28" s="41"/>
      <c r="AE28" s="41"/>
      <c r="AF28" s="19"/>
      <c r="AG28" s="45"/>
      <c r="AH28" s="45"/>
      <c r="AI28" s="45"/>
      <c r="AJ28" s="45"/>
      <c r="AK28" s="45"/>
      <c r="AL28" s="45"/>
      <c r="AM28" s="45"/>
      <c r="AN28" s="45"/>
      <c r="AO28" s="28">
        <f t="shared" si="5"/>
        <v>0</v>
      </c>
      <c r="AP28" s="28">
        <f t="shared" si="6"/>
        <v>0</v>
      </c>
    </row>
    <row r="29" s="1" customFormat="1" customHeight="1" spans="1:43">
      <c r="A29" s="41"/>
      <c r="B29" s="29"/>
      <c r="C29" s="42"/>
      <c r="D29" s="41"/>
      <c r="E29" s="43"/>
      <c r="F29" s="17"/>
      <c r="G29" s="19"/>
      <c r="H29" s="18"/>
      <c r="I29" s="19"/>
      <c r="J29" s="20"/>
      <c r="K29" s="20"/>
      <c r="L29" s="41"/>
      <c r="M29" s="41"/>
      <c r="N29" s="41"/>
      <c r="O29" s="41"/>
      <c r="P29" s="17"/>
      <c r="Q29" s="17"/>
      <c r="R29" s="41"/>
      <c r="S29" s="41"/>
      <c r="T29" s="41"/>
      <c r="U29" s="41"/>
      <c r="V29" s="17"/>
      <c r="W29" s="17"/>
      <c r="X29" s="20"/>
      <c r="Y29" s="22"/>
      <c r="Z29" s="44">
        <f t="shared" si="7"/>
        <v>0</v>
      </c>
      <c r="AA29" s="44">
        <f t="shared" si="8"/>
        <v>0</v>
      </c>
      <c r="AB29" s="36"/>
      <c r="AC29" s="41"/>
      <c r="AD29" s="41"/>
      <c r="AE29" s="41"/>
      <c r="AF29" s="19"/>
      <c r="AG29" s="45"/>
      <c r="AH29" s="45"/>
      <c r="AI29" s="45"/>
      <c r="AJ29" s="45"/>
      <c r="AK29" s="45"/>
      <c r="AL29" s="45"/>
      <c r="AM29" s="45"/>
      <c r="AN29" s="45"/>
      <c r="AO29" s="28">
        <f t="shared" si="5"/>
        <v>0</v>
      </c>
      <c r="AP29" s="28">
        <f t="shared" si="6"/>
        <v>0</v>
      </c>
    </row>
    <row r="30" s="1" customFormat="1" customHeight="1" spans="1:43">
      <c r="A30" s="41"/>
      <c r="B30" s="29"/>
      <c r="C30" s="42"/>
      <c r="D30" s="41"/>
      <c r="E30" s="43"/>
      <c r="F30" s="17"/>
      <c r="G30" s="19"/>
      <c r="H30" s="18"/>
      <c r="I30" s="19"/>
      <c r="J30" s="20"/>
      <c r="K30" s="20"/>
      <c r="L30" s="41"/>
      <c r="M30" s="41"/>
      <c r="N30" s="41"/>
      <c r="O30" s="41"/>
      <c r="P30" s="17"/>
      <c r="Q30" s="17"/>
      <c r="R30" s="41"/>
      <c r="S30" s="41"/>
      <c r="T30" s="41"/>
      <c r="U30" s="41"/>
      <c r="V30" s="17"/>
      <c r="W30" s="17"/>
      <c r="X30" s="20"/>
      <c r="Y30" s="22"/>
      <c r="Z30" s="44">
        <f t="shared" si="7"/>
        <v>0</v>
      </c>
      <c r="AA30" s="44">
        <f t="shared" si="8"/>
        <v>0</v>
      </c>
      <c r="AB30" s="36"/>
      <c r="AC30" s="41"/>
      <c r="AD30" s="41"/>
      <c r="AE30" s="41"/>
      <c r="AF30" s="19"/>
      <c r="AG30" s="45"/>
      <c r="AH30" s="45"/>
      <c r="AI30" s="45"/>
      <c r="AJ30" s="45"/>
      <c r="AK30" s="45"/>
      <c r="AL30" s="45"/>
      <c r="AM30" s="45"/>
      <c r="AN30" s="45"/>
      <c r="AO30" s="28">
        <f t="shared" si="5"/>
        <v>0</v>
      </c>
      <c r="AP30" s="28">
        <f t="shared" si="6"/>
        <v>0</v>
      </c>
    </row>
    <row r="31" s="1" customFormat="1" customHeight="1" spans="1:43">
      <c r="A31" s="41"/>
      <c r="B31" s="29"/>
      <c r="C31" s="42"/>
      <c r="D31" s="41"/>
      <c r="E31" s="17"/>
      <c r="F31" s="17"/>
      <c r="G31" s="19"/>
      <c r="H31" s="18"/>
      <c r="I31" s="19"/>
      <c r="J31" s="20"/>
      <c r="K31" s="20"/>
      <c r="L31" s="41"/>
      <c r="M31" s="41"/>
      <c r="N31" s="41"/>
      <c r="O31" s="41"/>
      <c r="P31" s="17"/>
      <c r="Q31" s="17"/>
      <c r="R31" s="41"/>
      <c r="S31" s="41"/>
      <c r="T31" s="41"/>
      <c r="U31" s="41"/>
      <c r="V31" s="17"/>
      <c r="W31" s="17"/>
      <c r="X31" s="20"/>
      <c r="Y31" s="22"/>
      <c r="Z31" s="44">
        <f t="shared" si="7"/>
        <v>0</v>
      </c>
      <c r="AA31" s="44">
        <f t="shared" si="8"/>
        <v>0</v>
      </c>
      <c r="AB31" s="36"/>
      <c r="AC31" s="41"/>
      <c r="AD31" s="41"/>
      <c r="AE31" s="41"/>
      <c r="AF31" s="19"/>
      <c r="AG31" s="45"/>
      <c r="AH31" s="45"/>
      <c r="AI31" s="45"/>
      <c r="AJ31" s="45"/>
      <c r="AK31" s="45"/>
      <c r="AL31" s="45"/>
      <c r="AM31" s="45"/>
      <c r="AN31" s="45"/>
      <c r="AO31" s="28">
        <f t="shared" si="5"/>
        <v>0</v>
      </c>
      <c r="AP31" s="28">
        <f t="shared" si="6"/>
        <v>0</v>
      </c>
    </row>
    <row r="32" s="3" customFormat="1" customHeight="1" spans="1:43">
      <c r="A32" s="46"/>
      <c r="B32" s="47"/>
      <c r="C32" s="17"/>
      <c r="D32" s="46"/>
      <c r="E32" s="17"/>
      <c r="F32" s="17"/>
      <c r="G32" s="17" t="s">
        <v>277</v>
      </c>
      <c r="H32" s="20">
        <f>SUM(H2:H31)</f>
        <v>0</v>
      </c>
      <c r="I32" s="48"/>
      <c r="J32" s="48"/>
      <c r="K32" s="48"/>
      <c r="L32" s="46"/>
      <c r="M32" s="46"/>
      <c r="N32" s="46"/>
      <c r="O32" s="46"/>
      <c r="P32" s="17"/>
      <c r="Q32" s="17"/>
      <c r="R32" s="46"/>
      <c r="S32" s="46"/>
      <c r="T32" s="46"/>
      <c r="U32" s="46"/>
      <c r="V32" s="17"/>
      <c r="W32" s="17"/>
      <c r="X32" s="21"/>
      <c r="Y32" s="22"/>
      <c r="Z32" s="23">
        <f>SUM(Z2:Z31)</f>
        <v>0</v>
      </c>
      <c r="AA32" s="23">
        <f>SUM(AA2:AA31)</f>
        <v>0</v>
      </c>
      <c r="AB32" s="36"/>
      <c r="AC32" s="46"/>
      <c r="AD32" s="46"/>
      <c r="AE32" s="46"/>
      <c r="AF32" s="17"/>
      <c r="AG32" s="49"/>
      <c r="AH32" s="49"/>
      <c r="AI32" s="49"/>
      <c r="AJ32" s="49"/>
      <c r="AK32" s="49"/>
      <c r="AL32" s="49"/>
      <c r="AM32" s="49"/>
      <c r="AN32" s="49"/>
      <c r="AO32" s="28"/>
      <c r="AP32" s="28"/>
    </row>
  </sheetData>
  <sheetProtection formatCells="0" formatColumns="0" formatRows="0" insertRows="0" insertColumns="0" insertHyperlinks="0" deleteColumns="0" deleteRows="0" sort="0" autoFilter="0" pivotTables="0"/>
  <conditionalFormatting sqref="AO27">
    <cfRule type="cellIs" dxfId="1" priority="25" operator="lessThan">
      <formula>90</formula>
    </cfRule>
  </conditionalFormatting>
  <conditionalFormatting sqref="AP29">
    <cfRule type="cellIs" dxfId="0" priority="26" operator="lessThan">
      <formula>55</formula>
    </cfRule>
  </conditionalFormatting>
  <conditionalFormatting sqref="AO2:AO26">
    <cfRule type="cellIs" dxfId="1" priority="3" operator="lessThan">
      <formula>90</formula>
    </cfRule>
  </conditionalFormatting>
  <conditionalFormatting sqref="AO28:AO29">
    <cfRule type="cellIs" dxfId="1" priority="27" operator="lessThan">
      <formula>90</formula>
    </cfRule>
  </conditionalFormatting>
  <conditionalFormatting sqref="AO30:AO32">
    <cfRule type="cellIs" dxfId="1" priority="29" operator="lessThan">
      <formula>90</formula>
    </cfRule>
  </conditionalFormatting>
  <conditionalFormatting sqref="AP2:AP28">
    <cfRule type="cellIs" dxfId="0" priority="1" operator="lessThan">
      <formula>55</formula>
    </cfRule>
  </conditionalFormatting>
  <conditionalFormatting sqref="AP30:AP32">
    <cfRule type="cellIs" dxfId="0" priority="28" operator="lessThan">
      <formula>55</formula>
    </cfRule>
  </conditionalFormatting>
  <pageMargins left="0.196527777777778" right="0.161111111111111" top="0.0152777777777778" bottom="0.354166666666667" header="0.156944444444444" footer="0.118055555555556"/>
  <pageSetup paperSize="9" scale="29" fitToHeight="0" orientation="landscape" horizontalDpi="600"/>
  <headerFooter>
    <oddFooter>&amp;C第 &amp;P 页，共 &amp;N 页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 xmlns:r="http://schemas.openxmlformats.org/officeDocument/2006/relationships">
  <commentList sheetStid="47">
    <commentChains s:ref="F15" rgbClr="FF0000">
      <unresolved>
        <commentChain chainId="35451ac39f936d825b08d42233edaaba3faa57df">
          <item id="626f2189f3796a0ca53c4201650fa8f4586bb625" userID="1828109780" userName="卿颖" dateTime="2026-07-20T01:20:27" isNormal="0">
            <s:text>
              <s:r>
                <s:t xml:space="preserve">7/18号出货600</s:t>
              </s:r>
            </s:text>
          </item>
        </commentChain>
      </unresolved>
      <resolved/>
    </commentChains>
    <commentChains s:ref="F20" rgbClr="FF0000">
      <unresolved>
        <commentChain chainId="dc274464ea1687da91ecfb5dd5271fe117e09584">
          <item id="6434b4bfcdbe7d4e93fa9cb9b624fa74118284fc" isNormal="1">
            <s:text>
              <s:r>
                <s:t xml:space="preserve">20pcs/1set
四种颜色，每种颜色五个球</s:t>
              </s:r>
            </s:text>
          </item>
        </commentChain>
      </unresolved>
      <resolved/>
    </commentChains>
    <commentChains s:ref="F21" rgbClr="FF0000">
      <unresolved>
        <commentChain chainId="ba84002301e24452def7536185ef23d920767459">
          <item id="4dc155970a547db21d54b56bef89abcc2ca1f27b" isNormal="1">
            <s:text>
              <s:r>
                <s:t xml:space="preserve">1pcs/1set</s:t>
              </s:r>
            </s:text>
          </item>
        </commentChain>
      </unresolved>
      <resolved/>
    </commentChains>
    <commentChains s:ref="F22" rgbClr="FF0000">
      <unresolved>
        <commentChain chainId="2d5ccea175015c1be81d6969118ae5b25f3b5b8a">
          <item id="f54632eada6a7b2d8af4859666c9ebe583dcb0ed" isNormal="1">
            <s:text>
              <s:r>
                <s:t xml:space="preserve">1pcs/1set</s:t>
              </s:r>
            </s:text>
          </item>
        </commentChain>
      </unresolved>
      <resolved/>
    </commentChains>
    <commentChains s:ref="F23" rgbClr="FF0000">
      <unresolved>
        <commentChain chainId="a922ed8726f3412e85c7c96dcf6e37b9df6d7f58">
          <item id="80f0aff4e95bfc167c22da9174e37b4604a78126" isNormal="1">
            <s:text>
              <s:r>
                <s:t xml:space="preserve">1pcs/1set</s:t>
              </s:r>
            </s:text>
          </item>
        </commentChain>
      </unresolved>
      <resolved/>
    </commentChains>
    <commentChains s:ref="F24" rgbClr="FF0000">
      <unresolved>
        <commentChain chainId="4be52546d9557424452ed3599f2ef15fb746d49b">
          <item id="8f8d6ca0a46cf1db756b2d2faf52dd21e1b0644e" isNormal="1">
            <s:text>
              <s:r>
                <s:t xml:space="preserve">1pcs/1set</s:t>
              </s:r>
            </s:text>
          </item>
        </commentChain>
      </unresolved>
      <resolved/>
    </commentChains>
  </commentList>
  <commentList sheetStid="57">
    <commentChains s:ref="H8" rgbClr="FF0000">
      <unresolved>
        <commentChain chainId="bded6b2c31e6d912e6d535deec04fedf09f39706">
          <item id="838e3635c3c5b386d534e9e02988cd5e49ce6854" isNormal="1">
            <s:text>
              <s:r>
                <s:t xml:space="preserve">20pcs/1set
四种颜色，每种颜色五个球</s:t>
              </s:r>
            </s:text>
          </item>
        </commentChain>
      </unresolved>
      <resolved/>
    </commentChains>
    <commentChains s:ref="H9" rgbClr="FF0000">
      <unresolved>
        <commentChain chainId="f0797a90f4e015383c45d5efa35c4e841f39821c">
          <item id="b333837c8e25766cd7257d3e79bad9c8fdd6efba" isNormal="1">
            <s:text>
              <s:r>
                <s:t xml:space="preserve">1pcs/1set</s:t>
              </s:r>
            </s:text>
          </item>
        </commentChain>
      </unresolved>
      <resolved/>
    </commentChains>
    <commentChains s:ref="H10" rgbClr="FF0000">
      <unresolved>
        <commentChain chainId="46fd6c41cf9dfae2ac28a15f6fc01912b761857a">
          <item id="3487cbefb3b9c0cd7c6a6ac30bc8b7486ce0e41f" isNormal="1">
            <s:text>
              <s:r>
                <s:t xml:space="preserve">1pcs/1set</s:t>
              </s:r>
            </s:text>
          </item>
        </commentChain>
      </unresolved>
      <resolved/>
    </commentChains>
    <commentChains s:ref="H11" rgbClr="FF0000">
      <unresolved>
        <commentChain chainId="f8942bc85faf22217e8b7e38c9e1f885fe4764c7">
          <item id="5d32411e5c0a89216a55aaa582bd61961694a624" isNormal="1">
            <s:text>
              <s:r>
                <s:t xml:space="preserve">1pcs/1set</s:t>
              </s:r>
            </s:text>
          </item>
        </commentChain>
      </unresolved>
      <resolved/>
    </commentChains>
    <commentChains s:ref="H12" rgbClr="FF0000">
      <unresolved>
        <commentChain chainId="f56f44f6ff68cc3fb63aebaf51a1f05a61b9fc5e">
          <item id="32968f92af957b6536bef55ef3d261082d3802b9" isNormal="1">
            <s:text>
              <s:r>
                <s:t xml:space="preserve">1pcs/1set</s:t>
              </s:r>
            </s:text>
          </item>
        </commentChain>
      </unresolved>
      <resolved/>
    </commentChains>
    <commentChains s:ref="H17" rgbClr="FF0000">
      <unresolved>
        <commentChain chainId="107482dce682d2de0e9b0b77c6d11a9032efc56b">
          <item id="35684552821028da231f22cb64bda2baed27199e" isNormal="1">
            <s:text>
              <s:r>
                <s:t xml:space="preserve">3000套,每套4*5=20pcs
</s:t>
              </s:r>
            </s:text>
          </item>
        </commentChain>
      </unresolved>
      <resolved/>
    </commentChains>
    <commentChains s:ref="H18" rgbClr="FF0000">
      <unresolved>
        <commentChain chainId="418281a940905d0a28dd285e258a0abfac4cab53">
          <item id="37d479db87c6cea5e226058d7911e56715b1b4e9" userID="1475812750" userName="刘敏" dateTime="2026-06-16T03:27:54" isNormal="0">
            <s:text>
              <s:r>
                <s:t xml:space="preserve">MA：6000套，每套=4种颜色*每种5个球</s:t>
              </s:r>
            </s:text>
          </item>
        </commentChain>
      </unresolved>
      <resolved/>
    </commentChains>
  </commentList>
  <commentList sheetStid="55">
    <commentChains s:ref="H7" rgbClr="FF0000">
      <unresolved>
        <commentChain chainId="888e3621d4ac725baec3bfbd9564ee9e2cff58d2">
          <item id="1da096b6cd054ee67027ce5ecf19738bf2ece2d3" userID="1828109780" userName="卿颖" dateTime="2026-07-20T01:20:27" isNormal="0">
            <s:text>
              <s:r>
                <s:t xml:space="preserve">7/18号出货600</s:t>
              </s:r>
            </s:text>
          </item>
        </commentChain>
      </unresolved>
      <resolved/>
    </commentChains>
  </commentList>
  <commentList sheetStid="58">
    <commentChains s:ref="H2" rgbClr="FF0000">
      <unresolved>
        <commentChain chainId="1dc2422457aa5045d83a33bed67851283ca28ace">
          <item id="e6a940d0746acac75078eb11266e2a26229db422" isNormal="1">
            <s:text>
              <s:r>
                <s:t xml:space="preserve">20pcs/1set
四种颜色，每种颜色五个球
</s:t>
              </s:r>
            </s:text>
          </item>
        </commentChain>
      </unresolved>
      <resolved/>
    </commentChains>
    <commentChains s:ref="H3" rgbClr="FF0000">
      <unresolved>
        <commentChain chainId="9c941b5e911c571e6758960fa91b084972717cb1">
          <item id="32f18c31f7b94c9fd7967349f77864d19647797b" isNormal="1">
            <s:text>
              <s:r>
                <s:t xml:space="preserve">1pcs/1set</s:t>
              </s:r>
            </s:text>
          </item>
        </commentChain>
      </unresolved>
      <resolved/>
    </commentChains>
    <commentChains s:ref="H4" rgbClr="FF0000">
      <unresolved>
        <commentChain chainId="3ebf2d3375e8e1af994a4cb3835c138929656b56">
          <item id="7d1ed728ea5f7d992173be13ed7697c3219ca9d8" isNormal="1">
            <s:text>
              <s:r>
                <s:t xml:space="preserve">1pcs/1set</s:t>
              </s:r>
            </s:text>
          </item>
        </commentChain>
      </unresolved>
      <resolved/>
    </commentChains>
    <commentChains s:ref="H5" rgbClr="FF0000">
      <unresolved>
        <commentChain chainId="d6857d56c72d83cb4117984299df7e842be45bac">
          <item id="d13521d7ed99eef8b93d114400b67605aab8ecfd" isNormal="1">
            <s:text>
              <s:r>
                <s:t xml:space="preserve">1pcs/1set</s:t>
              </s:r>
            </s:text>
          </item>
        </commentChain>
      </unresolved>
      <resolved/>
    </commentChains>
    <commentChains s:ref="H6" rgbClr="FF0000">
      <unresolved>
        <commentChain chainId="09397ca0e150767f1227f97b0b7d53ccf32b7059">
          <item id="abf1c473dc92b396da14f406d62d672fa01e6b5d" isNormal="1">
            <s:text>
              <s:r>
                <s:t xml:space="preserve">1pcs/1set</s:t>
              </s:r>
            </s:text>
          </item>
        </commentChain>
      </unresolved>
      <resolved/>
    </commentChains>
    <commentChains s:ref="H7" rgbClr="FF0000">
      <unresolved>
        <commentChain chainId="84820a06a10b51c129f38798f0eed5679161039d">
          <item id="e16c24d18641cfc9611a340af3e658676460c25e" isNormal="1">
            <s:text>
              <s:r>
                <s:t xml:space="preserve">20pcs/1set
四种颜色，每种颜色五个球</s:t>
              </s:r>
            </s:text>
          </item>
        </commentChain>
      </unresolved>
      <resolved/>
    </commentChains>
    <commentChains s:ref="H8" rgbClr="FF0000">
      <unresolved>
        <commentChain chainId="80509af712e5e2fff0ce0a2cef2540812633543b">
          <item id="7d3c64c04147c39c966642be7858fad557001a50" isNormal="1">
            <s:text>
              <s:r>
                <s:t xml:space="preserve">1pcs/1set</s:t>
              </s:r>
            </s:text>
          </item>
        </commentChain>
      </unresolved>
      <resolved/>
    </commentChains>
    <commentChains s:ref="H9" rgbClr="FF0000">
      <unresolved>
        <commentChain chainId="6c2e5733a6922e01d91630cfb53b2e5ca5d4b596">
          <item id="7662bb06b7a19a02697f11d8df91931072004bd7" isNormal="1">
            <s:text>
              <s:r>
                <s:t xml:space="preserve">1pcs/1set</s:t>
              </s:r>
            </s:text>
          </item>
        </commentChain>
      </unresolved>
      <resolved/>
    </commentChains>
    <commentChains s:ref="H10" rgbClr="FF0000">
      <unresolved>
        <commentChain chainId="90afc1aae034317dc1d98e55acfceb2ce7c9d11d">
          <item id="6050a20765d2e61edac5f47281f348ae93a4bab2" isNormal="1">
            <s:text>
              <s:r>
                <s:t xml:space="preserve">1pcs/1set</s:t>
              </s:r>
            </s:text>
          </item>
        </commentChain>
      </unresolved>
      <resolved/>
    </commentChains>
    <commentChains s:ref="H11" rgbClr="FF0000">
      <unresolved>
        <commentChain chainId="4186d491828873b9ee5a04e920e34d899fb34315">
          <item id="099539b378148cbc50c4ac4a95d6fc4f887dd738" isNormal="1">
            <s:text>
              <s:r>
                <s:t xml:space="preserve">1pcs/1set</s:t>
              </s:r>
            </s:text>
          </item>
        </commentChain>
      </unresolved>
      <resolved/>
    </commentChains>
    <commentChains s:ref="H12" rgbClr="FF0000">
      <unresolved>
        <commentChain chainId="e73f1bbad3af5271156205a4cfd6b46a0cdffee4">
          <item id="1ec5c11e72779dd0a6de1cef1eae503bba3220b2" isNormal="1">
            <s:text>
              <s:r>
                <s:t xml:space="preserve">20pcs/1set
四种颜色，每种颜色五个球</s:t>
              </s:r>
            </s:text>
          </item>
        </commentChain>
      </unresolved>
      <resolved/>
    </commentChains>
    <commentChains s:ref="H13" rgbClr="FF0000">
      <unresolved>
        <commentChain chainId="16a5de98e1c71d80c85f4ef8d6c63a728b947d4d">
          <item id="4fe18db65bf9d8cb5f40f895629320f4bc46c304" isNormal="1">
            <s:text>
              <s:r>
                <s:t xml:space="preserve">1pcs/1set</s:t>
              </s:r>
            </s:text>
          </item>
        </commentChain>
      </unresolved>
      <resolved/>
    </commentChains>
    <commentChains s:ref="H14" rgbClr="FF0000">
      <unresolved>
        <commentChain chainId="80581c79e613fd4e3eabcd4f72285beb146a50b8">
          <item id="9505faaf475f93f50640a7d386bb52df1a273bed" isNormal="1">
            <s:text>
              <s:r>
                <s:t xml:space="preserve">1pcs/1set</s:t>
              </s:r>
            </s:text>
          </item>
        </commentChain>
      </unresolved>
      <resolved/>
    </commentChains>
    <commentChains s:ref="H15" rgbClr="FF0000">
      <unresolved>
        <commentChain chainId="3c4f0378c1e8ea8f96e6d7b2964b5ef8f579cebd">
          <item id="cd4420b3986bf14d001430df52f399fc7593cd8e" isNormal="1">
            <s:text>
              <s:r>
                <s:t xml:space="preserve">1pcs/1set</s:t>
              </s:r>
            </s:text>
          </item>
        </commentChain>
      </unresolved>
      <resolved/>
    </commentChains>
    <commentChains s:ref="H16" rgbClr="FF0000">
      <unresolved>
        <commentChain chainId="9ba87d2682c6e7f68b445073f1d6ab5d05c73653">
          <item id="e21fd96346a4a7d1fbc9bb5aa8c5a96aa735bafa" isNormal="1">
            <s:text>
              <s:r>
                <s:t xml:space="preserve">1pcs/1set</s:t>
              </s:r>
            </s:text>
          </item>
        </commentChain>
      </unresolved>
      <resolved/>
    </commentChains>
    <commentChains s:ref="H17" rgbClr="FF0000">
      <unresolved>
        <commentChain chainId="471e3090a9c7d88510769e4f2ae962671362fa1d">
          <item id="9e67108aba4f1dd83002a6d995aee465208815fc" isNormal="1">
            <s:text>
              <s:r>
                <s:t xml:space="preserve">20pcs/1set
四种颜色，每种颜色五个球</s:t>
              </s:r>
            </s:text>
          </item>
        </commentChain>
      </unresolved>
      <resolved/>
    </commentChains>
    <commentChains s:ref="H18" rgbClr="FF0000">
      <unresolved>
        <commentChain chainId="90af8e9ec9a70873fb05d5c89f64312ee68d2202">
          <item id="383b5b5c84dfd6358f5b47ca09df51e99f4ec15c" isNormal="1">
            <s:text>
              <s:r>
                <s:t xml:space="preserve">1pcs/1set</s:t>
              </s:r>
            </s:text>
          </item>
        </commentChain>
      </unresolved>
      <resolved/>
    </commentChains>
    <commentChains s:ref="H19" rgbClr="FF0000">
      <unresolved>
        <commentChain chainId="0a31d299642e60c519d8654da10eff3259fa5f85">
          <item id="b4822ccc10b274744e4abd0c139b406b7dbe64a1" isNormal="1">
            <s:text>
              <s:r>
                <s:t xml:space="preserve">1pcs/1set</s:t>
              </s:r>
            </s:text>
          </item>
        </commentChain>
      </unresolved>
      <resolved/>
    </commentChains>
    <commentChains s:ref="H20" rgbClr="FF0000">
      <unresolved>
        <commentChain chainId="c00e2f61eb55f09f2dfbd875eefd73e93cf62a17">
          <item id="9ae2e3b24d29c81ed520770dad9f3786563ca5be" isNormal="1">
            <s:text>
              <s:r>
                <s:t xml:space="preserve">1pcs/1set</s:t>
              </s:r>
            </s:text>
          </item>
        </commentChain>
      </unresolved>
      <resolved/>
    </commentChains>
    <commentChains s:ref="H21" rgbClr="FF0000">
      <unresolved>
        <commentChain chainId="6494fd002c48001b755bdd08cf464ce76e5f94e2">
          <item id="b681031bfb532d54edcf5951bf7e898abedaf2f7" isNormal="1">
            <s:text>
              <s:r>
                <s:t xml:space="preserve">1pcs/1set</s:t>
              </s:r>
            </s:text>
          </item>
        </commentChain>
      </unresolved>
      <resolved/>
    </commentChains>
    <commentChains s:ref="H22" rgbClr="FF0000">
      <unresolved>
        <commentChain chainId="aeeb87ecbe63a88ce5e9284716716faf9a1a5c10">
          <item id="95dfeec464f5dc0f272c67356266c24d9b91bfd5" isNormal="1">
            <s:text>
              <s:r>
                <s:t xml:space="preserve">10pcs/1set
两种颜色，每种颜色五个球
</s:t>
              </s:r>
            </s:text>
          </item>
        </commentChain>
      </unresolved>
      <resolved/>
    </commentChains>
    <commentChains s:ref="H23" rgbClr="FF0000">
      <unresolved>
        <commentChain chainId="f9210cf89bcdf6d88a0030f423f2966f9a1838c7">
          <item id="abfc0c5cacb4b69c1b7a3461e33efb53917272ba" isNormal="1">
            <s:text>
              <s:r>
                <s:t xml:space="preserve">10pcs/1set
两种颜色，每种颜色五个球</s:t>
              </s:r>
            </s:text>
          </item>
        </commentChain>
      </unresolved>
      <resolved/>
    </commentChains>
    <commentChains s:ref="H24" rgbClr="FF0000">
      <unresolved>
        <commentChain chainId="e09a173dc955fb6d9e92c0617bddff47d6f38631">
          <item id="8aac3b8a240ca7c66be1a68c13a10865950b7518" isNormal="1">
            <s:text>
              <s:r>
                <s:t xml:space="preserve">10pcs/1set
两种颜色，每种颜色五个球</s:t>
              </s:r>
            </s:text>
          </item>
        </commentChain>
      </unresolved>
      <resolved/>
    </commentChains>
    <commentChains s:ref="H25" rgbClr="FF0000">
      <unresolved>
        <commentChain chainId="b7cc4983d66f188519bc6935275a2298f19dce05">
          <item id="d4eb2b082dc9dacfc3d438d8740553e2d9a13826" isNormal="1">
            <s:text>
              <s:r>
                <s:t xml:space="preserve">10pcs/1set
两种颜色，每种颜色五个球</s:t>
              </s:r>
            </s:text>
          </item>
        </commentChain>
      </unresolved>
      <resolved/>
    </commentChains>
    <commentChains s:ref="H26" rgbClr="FF0000">
      <unresolved>
        <commentChain chainId="40bdc6ca8504c78618c25a981c468e8c75338e25">
          <item id="b1ef24d4d22280f3c88fe6469552174242b50c7c" isNormal="1">
            <s:text>
              <s:r>
                <s:t xml:space="preserve">10pcs/1set
两种颜色，每种颜色五个球</s:t>
              </s:r>
            </s:text>
          </item>
        </commentChain>
      </unresolved>
      <resolved/>
    </commentChains>
  </commentList>
</comments>
</file>

<file path=customXml/item2.xml><?xml version="1.0" encoding="utf-8"?>
<woProps xmlns="https://web.wps.cn/et/2018/main" xmlns:s="http://schemas.openxmlformats.org/spreadsheetml/2006/main">
  <woSheetsProps>
    <woSheetProps sheetStid="48" interlineOnOff="0" interlineColor="0" isDbSheet="0" isDashBoardSheet="0" isDbDashBoardSheet="0" isFlexPaperSheet="0">
      <cellprotection/>
      <appEtDbRelations/>
    </woSheetProps>
    <woSheetProps sheetStid="47" interlineOnOff="0" interlineColor="0" isDbSheet="0" isDashBoardSheet="0" isDbDashBoardSheet="0" isFlexPaperSheet="0">
      <cellprotection/>
      <appEtDbRelations/>
    </woSheetProps>
    <woSheetProps sheetStid="57" interlineOnOff="0" interlineColor="0" isDbSheet="0" isDashBoardSheet="0" isDbDashBoardSheet="0" isFlexPaperSheet="0">
      <cellprotection/>
      <appEtDbRelations/>
    </woSheetProps>
    <woSheetProps sheetStid="55" interlineOnOff="0" interlineColor="0" isDbSheet="0" isDashBoardSheet="0" isDbDashBoardSheet="0" isFlexPaperSheet="0">
      <cellprotection/>
      <appEtDbRelations/>
    </woSheetProps>
    <woSheetProps sheetStid="58" interlineOnOff="0" interlineColor="0" isDbSheet="0" isDashBoardSheet="0" isDbDashBoardSheet="0" isFlexPaperSheet="0">
      <cellprotection/>
      <appEtDbRelations/>
    </woSheetProps>
  </woSheetsProps>
  <woBookProps>
    <bookSettings fileId="531945558984" isFilterShared="1" woEtMtcEnabled="0" coreConquerUserId="" isAutoUpdatePaused="0" filterType="user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48"/>
  <pixelatorList sheetStid="47"/>
  <pixelatorList sheetStid="57"/>
  <pixelatorList sheetStid="55"/>
  <pixelatorList sheetStid="58"/>
  <pixelatorList sheetStid="59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WWO_wpscloud_20260805160907-ca3bb104b7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名称</vt:lpstr>
      <vt:lpstr>总接单</vt:lpstr>
      <vt:lpstr>总排期</vt:lpstr>
      <vt:lpstr>已走货</vt:lpstr>
      <vt:lpstr>取消单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龙丽娟</cp:lastModifiedBy>
  <dcterms:created xsi:type="dcterms:W3CDTF">1997-02-04T17:32:00Z</dcterms:created>
  <cp:lastPrinted>2019-02-01T01:58:00Z</cp:lastPrinted>
  <dcterms:modified xsi:type="dcterms:W3CDTF">2026-08-11T14:22:00Z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2052-12.9.0.28212</vt:lpwstr>
  </property>
  <property fmtid="{D5CDD505-2E9C-101B-9397-08002B2CF9AE}" pid="3" name="ICV">
    <vt:lpwstr>264102A41AFD4D1AB8388DE21E77F31D_13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