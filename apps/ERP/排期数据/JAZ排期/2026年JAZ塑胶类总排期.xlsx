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C8"/>
  <workbookPr codeName="ThisWorkbook"/>
  <bookViews>
    <workbookView windowWidth="20980" windowHeight="12280" tabRatio="923" firstSheet="1" activeTab="2"/>
  </bookViews>
  <sheets>
    <sheet name="名称" sheetId="48" state="hidden" r:id="rId1"/>
    <sheet name="CMW+NER+PKW接单" sheetId="47" r:id="rId2"/>
    <sheet name="CMW+NER+PKW客排" sheetId="45" r:id="rId3"/>
    <sheet name="CMW+NER+PKW仓排" sheetId="44" r:id="rId4"/>
    <sheet name="已走货" sheetId="46" r:id="rId5"/>
    <sheet name="0和取消单" sheetId="39" r:id="rId6"/>
    <sheet name="IC 扣数明细" sheetId="37" r:id="rId7"/>
  </sheets>
  <externalReferences>
    <externalReference r:id="rId9"/>
    <externalReference r:id="rId10"/>
  </externalReferences>
  <definedNames>
    <definedName name="_xlnm._FilterDatabase" localSheetId="0" hidden="1">名称!$A$1:$D$137</definedName>
    <definedName name="_xlnm._FilterDatabase" localSheetId="1" hidden="1">'CMW+NER+PKW接单'!$A$2:$AR$210</definedName>
    <definedName name="_xlnm._FilterDatabase" localSheetId="2" hidden="1">'CMW+NER+PKW客排'!$A$1:$AG$87</definedName>
    <definedName name="_xlnm._FilterDatabase" localSheetId="3" hidden="1">'CMW+NER+PKW仓排'!$A$1:$AE$16</definedName>
    <definedName name="_xlnm._FilterDatabase" localSheetId="4" hidden="1">已走货!$A$1:$AG$114</definedName>
    <definedName name="_xlnm._FilterDatabase" localSheetId="5" hidden="1">'0和取消单'!$A$1:$AE$37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P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八折</t>
        </r>
      </text>
    </comment>
  </commentList>
</comments>
</file>

<file path=xl/comments2.xml><?xml version="1.0" encoding="utf-8"?>
<comments xmlns="http://schemas.openxmlformats.org/spreadsheetml/2006/main">
  <authors>
    <author>Unknown User</author>
    <author>Administrator</author>
  </authors>
  <commentList>
    <comment ref="G46" authorId="0">
      <text>
        <r>
          <rPr>
            <b/>
            <sz val="9"/>
            <rFont val="宋体"/>
            <charset val="0"/>
          </rPr>
          <t>焦扬广:</t>
        </r>
        <r>
          <rPr>
            <sz val="9"/>
            <rFont val="宋体"/>
            <charset val="0"/>
          </rPr>
          <t xml:space="preserve">
客人要求取消，沟通退回仓单</t>
        </r>
      </text>
    </comment>
    <comment ref="G47" authorId="0">
      <text>
        <r>
          <rPr>
            <b/>
            <sz val="9"/>
            <rFont val="宋体"/>
            <charset val="0"/>
          </rPr>
          <t>焦扬广:</t>
        </r>
        <r>
          <rPr>
            <sz val="9"/>
            <rFont val="宋体"/>
            <charset val="0"/>
          </rPr>
          <t xml:space="preserve">
客人要求取消，沟通退回仓单</t>
        </r>
      </text>
    </comment>
    <comment ref="G50" authorId="0">
      <text>
        <r>
          <rPr>
            <b/>
            <sz val="9"/>
            <rFont val="宋体"/>
            <charset val="0"/>
          </rPr>
          <t>焦扬广:</t>
        </r>
        <r>
          <rPr>
            <sz val="9"/>
            <rFont val="宋体"/>
            <charset val="0"/>
          </rPr>
          <t xml:space="preserve">
客人要求取消，沟通退回仓单</t>
        </r>
      </text>
    </comment>
    <comment ref="T7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只收到了各1000pcs，欠1900pcs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dell</author>
  </authors>
  <commentList>
    <comment ref="Z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八折</t>
        </r>
      </text>
    </comment>
    <comment ref="R49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6/11空运360pcs</t>
        </r>
      </text>
    </comment>
    <comment ref="X53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其中3996日期码印SNF0145-052626-RR</t>
        </r>
      </text>
    </comment>
    <comment ref="X54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其中1998pcs日期码印：SNF0145-052926-RR</t>
        </r>
      </text>
    </comment>
    <comment ref="AD1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系统PO：2025-4459</t>
        </r>
      </text>
    </comment>
  </commentList>
</comments>
</file>

<file path=xl/comments4.xml><?xml version="1.0" encoding="utf-8"?>
<comments xmlns="http://schemas.openxmlformats.org/spreadsheetml/2006/main">
  <authors>
    <author>deng</author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deng:</t>
        </r>
        <r>
          <rPr>
            <sz val="9"/>
            <rFont val="宋体"/>
            <charset val="134"/>
          </rPr>
          <t xml:space="preserve">
来数少6000个</t>
        </r>
      </text>
    </comment>
    <comment ref="D8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6/13客人确定只落#97759</t>
        </r>
      </text>
    </comment>
  </commentList>
</comments>
</file>

<file path=xl/sharedStrings.xml><?xml version="1.0" encoding="utf-8"?>
<sst xmlns="http://schemas.openxmlformats.org/spreadsheetml/2006/main" count="5833" uniqueCount="1190">
  <si>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</si>
  <si>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宋体"/>
        <charset val="134"/>
      </rPr>
      <t>名称</t>
    </r>
  </si>
  <si>
    <r>
      <rPr>
        <sz val="10"/>
        <color theme="1"/>
        <rFont val="宋体"/>
        <charset val="134"/>
      </rPr>
      <t>系列</t>
    </r>
  </si>
  <si>
    <t>装箱数</t>
  </si>
  <si>
    <r>
      <rPr>
        <sz val="10"/>
        <color theme="1"/>
        <rFont val="宋体"/>
        <charset val="134"/>
      </rPr>
      <t>工具箱</t>
    </r>
  </si>
  <si>
    <t>ROB</t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</si>
  <si>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只公仔装</t>
    </r>
  </si>
  <si>
    <r>
      <rPr>
        <sz val="10"/>
        <color theme="1"/>
        <rFont val="宋体"/>
        <charset val="134"/>
      </rPr>
      <t>瞭望台</t>
    </r>
  </si>
  <si>
    <r>
      <rPr>
        <sz val="10"/>
        <color theme="1"/>
        <rFont val="Times New Roman"/>
        <charset val="134"/>
      </rPr>
      <t>NERF</t>
    </r>
    <r>
      <rPr>
        <sz val="10"/>
        <color theme="1"/>
        <rFont val="宋体"/>
        <charset val="134"/>
      </rPr>
      <t>标靶</t>
    </r>
  </si>
  <si>
    <t>NER</t>
  </si>
  <si>
    <r>
      <rPr>
        <sz val="10"/>
        <color theme="1"/>
        <rFont val="宋体"/>
        <charset val="134"/>
      </rPr>
      <t>皮卡丘</t>
    </r>
  </si>
  <si>
    <t>PKW</t>
  </si>
  <si>
    <t>19820
(19821)</t>
  </si>
  <si>
    <r>
      <rPr>
        <sz val="10"/>
        <color theme="1"/>
        <rFont val="宋体"/>
        <charset val="134"/>
      </rPr>
      <t>时尚女孩</t>
    </r>
  </si>
  <si>
    <t>BLF0007</t>
  </si>
  <si>
    <r>
      <rPr>
        <sz val="10"/>
        <color theme="1"/>
        <rFont val="宋体"/>
        <charset val="134"/>
      </rPr>
      <t>麦克风</t>
    </r>
  </si>
  <si>
    <t>CMW</t>
  </si>
  <si>
    <t>CIF0001</t>
  </si>
  <si>
    <r>
      <rPr>
        <sz val="10"/>
        <color theme="1"/>
        <rFont val="宋体"/>
        <charset val="134"/>
      </rPr>
      <t>摇铃</t>
    </r>
  </si>
  <si>
    <t>CMI0011</t>
  </si>
  <si>
    <r>
      <rPr>
        <sz val="10"/>
        <color theme="1"/>
        <rFont val="宋体"/>
        <charset val="134"/>
      </rPr>
      <t>农场屋</t>
    </r>
  </si>
  <si>
    <t>CMI0013</t>
  </si>
  <si>
    <r>
      <rPr>
        <sz val="10"/>
        <color theme="1"/>
        <rFont val="宋体"/>
        <charset val="134"/>
      </rPr>
      <t>西瓜音乐箱</t>
    </r>
  </si>
  <si>
    <t>CMI0029</t>
  </si>
  <si>
    <r>
      <rPr>
        <sz val="10"/>
        <color theme="1"/>
        <rFont val="宋体"/>
        <charset val="134"/>
      </rPr>
      <t>西瓜音乐箱</t>
    </r>
    <r>
      <rPr>
        <sz val="10"/>
        <color theme="1"/>
        <rFont val="Times New Roman"/>
        <charset val="134"/>
      </rPr>
      <t>(WM</t>
    </r>
    <r>
      <rPr>
        <sz val="10"/>
        <color theme="1"/>
        <rFont val="宋体"/>
        <charset val="134"/>
      </rPr>
      <t>货号</t>
    </r>
    <r>
      <rPr>
        <sz val="10"/>
        <color theme="1"/>
        <rFont val="Times New Roman"/>
        <charset val="134"/>
      </rPr>
      <t>)</t>
    </r>
  </si>
  <si>
    <t>CMW0015</t>
  </si>
  <si>
    <r>
      <rPr>
        <sz val="10"/>
        <color theme="1"/>
        <rFont val="宋体"/>
        <charset val="134"/>
      </rPr>
      <t>校车巴士</t>
    </r>
  </si>
  <si>
    <t>CMW0023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</si>
  <si>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乌龟混装</t>
    </r>
  </si>
  <si>
    <t>CMW0029</t>
  </si>
  <si>
    <r>
      <rPr>
        <sz val="10"/>
        <color theme="1"/>
        <rFont val="宋体"/>
        <charset val="134"/>
      </rPr>
      <t>搪胶鱼</t>
    </r>
  </si>
  <si>
    <t>CMW0031</t>
  </si>
  <si>
    <t>CMW0035=CMW0169</t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</si>
  <si>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只公仔装</t>
    </r>
  </si>
  <si>
    <t>CMW0038</t>
  </si>
  <si>
    <r>
      <rPr>
        <sz val="10"/>
        <color theme="1"/>
        <rFont val="宋体"/>
        <charset val="134"/>
      </rPr>
      <t>拖车</t>
    </r>
  </si>
  <si>
    <t>CMW0044</t>
  </si>
  <si>
    <t>CMW0048</t>
  </si>
  <si>
    <r>
      <rPr>
        <sz val="10"/>
        <color theme="1"/>
        <rFont val="宋体"/>
        <charset val="134"/>
      </rPr>
      <t>盲盒</t>
    </r>
    <r>
      <rPr>
        <sz val="10"/>
        <color theme="1"/>
        <rFont val="Times New Roman"/>
        <charset val="134"/>
      </rPr>
      <t xml:space="preserve">
(</t>
    </r>
    <r>
      <rPr>
        <sz val="10"/>
        <color theme="1"/>
        <rFont val="宋体"/>
        <charset val="134"/>
      </rPr>
      <t>二代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</si>
  <si>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CMW0048
(</t>
    </r>
    <r>
      <rPr>
        <sz val="10"/>
        <color theme="1"/>
        <rFont val="宋体"/>
        <charset val="134"/>
      </rPr>
      <t>火车公仔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</si>
  <si>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宋体"/>
        <charset val="134"/>
      </rPr>
      <t>火车公仔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旧结构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</si>
  <si>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CMW0048
(</t>
    </r>
    <r>
      <rPr>
        <sz val="10"/>
        <color theme="1"/>
        <rFont val="宋体"/>
        <charset val="134"/>
      </rPr>
      <t>拖车公仔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</si>
  <si>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宋体"/>
        <charset val="134"/>
      </rPr>
      <t>拖车公仔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旧结构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</si>
  <si>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CMW0048
(</t>
    </r>
    <r>
      <rPr>
        <sz val="10"/>
        <color theme="1"/>
        <rFont val="宋体"/>
        <charset val="134"/>
      </rPr>
      <t>校车公仔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</si>
  <si>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宋体"/>
        <charset val="134"/>
      </rPr>
      <t>校车公仔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旧结构</t>
    </r>
    <r>
      <rPr>
        <sz val="10"/>
        <color theme="1"/>
        <rFont val="Times New Roman"/>
        <charset val="134"/>
      </rPr>
      <t>)</t>
    </r>
  </si>
  <si>
    <t>CMW0054</t>
  </si>
  <si>
    <t>CMW0080</t>
  </si>
  <si>
    <r>
      <rPr>
        <sz val="10"/>
        <color theme="1"/>
        <rFont val="宋体"/>
        <charset val="134"/>
      </rPr>
      <t>火车</t>
    </r>
  </si>
  <si>
    <t>CMW0086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</si>
  <si>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乌龟</t>
    </r>
  </si>
  <si>
    <t>CMW0108</t>
  </si>
  <si>
    <r>
      <rPr>
        <sz val="10"/>
        <color theme="1"/>
        <rFont val="宋体"/>
        <charset val="134"/>
      </rPr>
      <t>厨房</t>
    </r>
  </si>
  <si>
    <t>CMW0118</t>
  </si>
  <si>
    <r>
      <rPr>
        <sz val="10"/>
        <color theme="1"/>
        <rFont val="宋体"/>
        <charset val="134"/>
      </rPr>
      <t>厨房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邮包盒</t>
    </r>
    <r>
      <rPr>
        <sz val="10"/>
        <color theme="1"/>
        <rFont val="Times New Roman"/>
        <charset val="134"/>
      </rPr>
      <t>)</t>
    </r>
  </si>
  <si>
    <t>CMW0123</t>
  </si>
  <si>
    <r>
      <rPr>
        <sz val="10"/>
        <color theme="1"/>
        <rFont val="宋体"/>
        <charset val="134"/>
      </rPr>
      <t>校车巴士</t>
    </r>
    <r>
      <rPr>
        <sz val="10"/>
        <color theme="1"/>
        <rFont val="Times New Roman"/>
        <charset val="134"/>
      </rPr>
      <t xml:space="preserve">
(</t>
    </r>
    <r>
      <rPr>
        <sz val="10"/>
        <color theme="1"/>
        <rFont val="宋体"/>
        <charset val="134"/>
      </rPr>
      <t>拉丁语</t>
    </r>
    <r>
      <rPr>
        <sz val="10"/>
        <color theme="1"/>
        <rFont val="Times New Roman"/>
        <charset val="134"/>
      </rPr>
      <t>IC)</t>
    </r>
  </si>
  <si>
    <t>CMW0124</t>
  </si>
  <si>
    <r>
      <rPr>
        <sz val="10"/>
        <color theme="1"/>
        <rFont val="宋体"/>
        <charset val="134"/>
      </rPr>
      <t>校车巴士</t>
    </r>
    <r>
      <rPr>
        <sz val="10"/>
        <color theme="1"/>
        <rFont val="Times New Roman"/>
        <charset val="134"/>
      </rPr>
      <t xml:space="preserve">
(</t>
    </r>
    <r>
      <rPr>
        <sz val="10"/>
        <color theme="1"/>
        <rFont val="宋体"/>
        <charset val="134"/>
      </rPr>
      <t>葡萄牙语</t>
    </r>
    <r>
      <rPr>
        <sz val="10"/>
        <color theme="1"/>
        <rFont val="Times New Roman"/>
        <charset val="134"/>
      </rPr>
      <t>IC)</t>
    </r>
  </si>
  <si>
    <t>CMW0137</t>
  </si>
  <si>
    <r>
      <rPr>
        <sz val="10"/>
        <color theme="1"/>
        <rFont val="宋体"/>
        <charset val="134"/>
      </rPr>
      <t>德语校车</t>
    </r>
  </si>
  <si>
    <t>CMW0138</t>
  </si>
  <si>
    <r>
      <rPr>
        <sz val="10"/>
        <color theme="1"/>
        <rFont val="宋体"/>
        <charset val="134"/>
      </rPr>
      <t>拖车</t>
    </r>
    <r>
      <rPr>
        <sz val="10"/>
        <color theme="1"/>
        <rFont val="Times New Roman"/>
        <charset val="134"/>
      </rPr>
      <t xml:space="preserve">
(</t>
    </r>
    <r>
      <rPr>
        <sz val="10"/>
        <color theme="1"/>
        <rFont val="宋体"/>
        <charset val="134"/>
      </rPr>
      <t>西班牙</t>
    </r>
    <r>
      <rPr>
        <sz val="10"/>
        <color theme="1"/>
        <rFont val="Times New Roman"/>
        <charset val="134"/>
      </rPr>
      <t>IC)</t>
    </r>
  </si>
  <si>
    <t>CMW0143</t>
  </si>
  <si>
    <r>
      <rPr>
        <sz val="10"/>
        <color theme="1"/>
        <rFont val="宋体"/>
        <charset val="134"/>
      </rPr>
      <t>火车</t>
    </r>
    <r>
      <rPr>
        <sz val="10"/>
        <color theme="1"/>
        <rFont val="Times New Roman"/>
        <charset val="134"/>
      </rPr>
      <t xml:space="preserve">
(</t>
    </r>
    <r>
      <rPr>
        <sz val="10"/>
        <color theme="1"/>
        <rFont val="宋体"/>
        <charset val="134"/>
      </rPr>
      <t>葡萄牙语</t>
    </r>
    <r>
      <rPr>
        <sz val="10"/>
        <color theme="1"/>
        <rFont val="Times New Roman"/>
        <charset val="134"/>
      </rPr>
      <t>IC)</t>
    </r>
  </si>
  <si>
    <t>CMW0169</t>
  </si>
  <si>
    <t>CMW0170</t>
  </si>
  <si>
    <t>CMW0171</t>
  </si>
  <si>
    <r>
      <rPr>
        <sz val="10"/>
        <color theme="1"/>
        <rFont val="宋体"/>
        <charset val="134"/>
      </rPr>
      <t>盲盒装公仔</t>
    </r>
  </si>
  <si>
    <t>CMW0174</t>
  </si>
  <si>
    <r>
      <rPr>
        <sz val="10"/>
        <color theme="1"/>
        <rFont val="宋体"/>
        <charset val="134"/>
      </rPr>
      <t>盲盒公仔三代</t>
    </r>
  </si>
  <si>
    <t>CMW0182</t>
  </si>
  <si>
    <r>
      <rPr>
        <sz val="10"/>
        <color theme="1"/>
        <rFont val="宋体"/>
        <charset val="134"/>
      </rPr>
      <t>跳舞公仔</t>
    </r>
  </si>
  <si>
    <t>CMW0201</t>
  </si>
  <si>
    <r>
      <rPr>
        <sz val="10"/>
        <color theme="1"/>
        <rFont val="宋体"/>
        <charset val="134"/>
      </rPr>
      <t>纸盒装公仔</t>
    </r>
  </si>
  <si>
    <t>CMW0208</t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</si>
  <si>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只公仔装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二代</t>
    </r>
    <r>
      <rPr>
        <sz val="10"/>
        <color theme="1"/>
        <rFont val="Times New Roman"/>
        <charset val="134"/>
      </rPr>
      <t>)</t>
    </r>
  </si>
  <si>
    <t>CMW0209</t>
  </si>
  <si>
    <t>CMW0212</t>
  </si>
  <si>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只公仔装</t>
    </r>
    <r>
      <rPr>
        <sz val="10"/>
        <color theme="1"/>
        <rFont val="Times New Roman"/>
        <charset val="134"/>
      </rPr>
      <t xml:space="preserve">
(</t>
    </r>
    <r>
      <rPr>
        <sz val="10"/>
        <color theme="1"/>
        <rFont val="宋体"/>
        <charset val="134"/>
      </rPr>
      <t>亚马逊货号</t>
    </r>
    <r>
      <rPr>
        <sz val="10"/>
        <color theme="1"/>
        <rFont val="Times New Roman"/>
        <charset val="134"/>
      </rPr>
      <t>)</t>
    </r>
  </si>
  <si>
    <t>CMW0252</t>
  </si>
  <si>
    <r>
      <rPr>
        <sz val="10"/>
        <color theme="1"/>
        <rFont val="Times New Roman"/>
        <charset val="134"/>
      </rPr>
      <t>JJ+</t>
    </r>
    <r>
      <rPr>
        <sz val="10"/>
        <color theme="1"/>
        <rFont val="宋体"/>
        <charset val="134"/>
      </rPr>
      <t>渔夫公仔</t>
    </r>
  </si>
  <si>
    <t>CMW0282</t>
  </si>
  <si>
    <r>
      <rPr>
        <sz val="10"/>
        <color theme="1"/>
        <rFont val="宋体"/>
        <charset val="134"/>
      </rPr>
      <t>俄语校车</t>
    </r>
  </si>
  <si>
    <t>CMW0283</t>
  </si>
  <si>
    <r>
      <rPr>
        <sz val="10"/>
        <color theme="1"/>
        <rFont val="宋体"/>
        <charset val="134"/>
      </rPr>
      <t>俄语拖车</t>
    </r>
  </si>
  <si>
    <t>CMW0285</t>
  </si>
  <si>
    <r>
      <rPr>
        <sz val="10"/>
        <color theme="1"/>
        <rFont val="宋体"/>
        <charset val="134"/>
      </rPr>
      <t>俄语火车</t>
    </r>
  </si>
  <si>
    <t>CMW0297(CMW0174)</t>
  </si>
  <si>
    <t>CMW0298</t>
  </si>
  <si>
    <t>CMW0352</t>
  </si>
  <si>
    <r>
      <rPr>
        <sz val="10"/>
        <color theme="1"/>
        <rFont val="宋体"/>
        <charset val="134"/>
      </rPr>
      <t>跳舞公仔</t>
    </r>
    <r>
      <rPr>
        <sz val="10"/>
        <color theme="1"/>
        <rFont val="Times New Roman"/>
        <charset val="134"/>
      </rPr>
      <t>(AMZ</t>
    </r>
    <r>
      <rPr>
        <sz val="10"/>
        <color theme="1"/>
        <rFont val="宋体"/>
        <charset val="134"/>
      </rPr>
      <t>版</t>
    </r>
    <r>
      <rPr>
        <sz val="10"/>
        <color theme="1"/>
        <rFont val="Times New Roman"/>
        <charset val="134"/>
      </rPr>
      <t>)</t>
    </r>
  </si>
  <si>
    <t>CMW0373</t>
  </si>
  <si>
    <r>
      <rPr>
        <sz val="10"/>
        <color theme="1"/>
        <rFont val="宋体"/>
        <charset val="134"/>
      </rPr>
      <t>两只公仔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散装</t>
    </r>
    <r>
      <rPr>
        <sz val="10"/>
        <color theme="1"/>
        <rFont val="Times New Roman"/>
        <charset val="134"/>
      </rPr>
      <t>)</t>
    </r>
  </si>
  <si>
    <t>CMW0373B</t>
  </si>
  <si>
    <t>CMW0544</t>
  </si>
  <si>
    <r>
      <rPr>
        <sz val="10"/>
        <color theme="1"/>
        <rFont val="宋体"/>
        <charset val="134"/>
      </rPr>
      <t>跳舞公仔</t>
    </r>
    <r>
      <rPr>
        <sz val="10"/>
        <color theme="1"/>
        <rFont val="Times New Roman"/>
        <charset val="134"/>
      </rPr>
      <t>(WMT</t>
    </r>
    <r>
      <rPr>
        <sz val="10"/>
        <color theme="1"/>
        <rFont val="宋体"/>
        <charset val="134"/>
      </rPr>
      <t>版</t>
    </r>
    <r>
      <rPr>
        <sz val="10"/>
        <color theme="1"/>
        <rFont val="Times New Roman"/>
        <charset val="134"/>
      </rPr>
      <t>)</t>
    </r>
  </si>
  <si>
    <t>CMW0585(CMW0023)</t>
  </si>
  <si>
    <t>CMW0654(CMW0182)</t>
  </si>
  <si>
    <t>CMW0731(CMW0182)</t>
  </si>
  <si>
    <t>DIS0273A</t>
  </si>
  <si>
    <t>DIS0421A(CMW0420)</t>
  </si>
  <si>
    <r>
      <rPr>
        <sz val="10"/>
        <color theme="1"/>
        <rFont val="宋体"/>
        <charset val="134"/>
      </rPr>
      <t>拖车豪华版</t>
    </r>
  </si>
  <si>
    <t>DIS0457A(CMW0522)</t>
  </si>
  <si>
    <r>
      <rPr>
        <sz val="10"/>
        <color theme="1"/>
        <rFont val="宋体"/>
        <charset val="134"/>
      </rPr>
      <t>拖车豪华鸡屋版</t>
    </r>
  </si>
  <si>
    <t>FNT0079AK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</si>
  <si>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单只装公仔</t>
    </r>
  </si>
  <si>
    <t>FNT</t>
  </si>
  <si>
    <t>FNT0165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</si>
  <si>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电子版公仔</t>
    </r>
  </si>
  <si>
    <t>FNT0166</t>
  </si>
  <si>
    <t>FNT0184</t>
  </si>
  <si>
    <t>FNT0185</t>
  </si>
  <si>
    <t>FNT0208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</si>
  <si>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四只装公仔</t>
    </r>
  </si>
  <si>
    <t>FNT0428</t>
  </si>
  <si>
    <t>FNT0670</t>
  </si>
  <si>
    <t>FNT0831</t>
  </si>
  <si>
    <t>FNT0838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</si>
  <si>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四支装公仔</t>
    </r>
  </si>
  <si>
    <t>FNT1608</t>
  </si>
  <si>
    <t>FNT1608-A</t>
  </si>
  <si>
    <t>FNT1608-B</t>
  </si>
  <si>
    <t>FNT1608-C</t>
  </si>
  <si>
    <t>FNT1608-G</t>
  </si>
  <si>
    <r>
      <rPr>
        <sz val="10"/>
        <color theme="1"/>
        <rFont val="宋体"/>
        <charset val="134"/>
      </rPr>
      <t>混装配比</t>
    </r>
    <r>
      <rPr>
        <sz val="10"/>
        <color theme="1"/>
        <rFont val="Times New Roman"/>
        <charset val="134"/>
      </rPr>
      <t>G</t>
    </r>
  </si>
  <si>
    <t>FNT1608-H</t>
  </si>
  <si>
    <r>
      <rPr>
        <sz val="10"/>
        <color theme="1"/>
        <rFont val="宋体"/>
        <charset val="134"/>
      </rPr>
      <t>混装配比</t>
    </r>
    <r>
      <rPr>
        <sz val="10"/>
        <color theme="1"/>
        <rFont val="Times New Roman"/>
        <charset val="134"/>
      </rPr>
      <t>H</t>
    </r>
  </si>
  <si>
    <t>FNT1608-I</t>
  </si>
  <si>
    <r>
      <rPr>
        <sz val="10"/>
        <color theme="1"/>
        <rFont val="宋体"/>
        <charset val="134"/>
      </rPr>
      <t>混装配比</t>
    </r>
    <r>
      <rPr>
        <sz val="10"/>
        <color theme="1"/>
        <rFont val="Times New Roman"/>
        <charset val="134"/>
      </rPr>
      <t>I</t>
    </r>
  </si>
  <si>
    <t>FNT1608-K</t>
  </si>
  <si>
    <r>
      <rPr>
        <sz val="10"/>
        <color theme="1"/>
        <rFont val="宋体"/>
        <charset val="134"/>
      </rPr>
      <t>混装配比</t>
    </r>
    <r>
      <rPr>
        <sz val="10"/>
        <color theme="1"/>
        <rFont val="Times New Roman"/>
        <charset val="134"/>
      </rPr>
      <t>K</t>
    </r>
  </si>
  <si>
    <t>FNT1608-L</t>
  </si>
  <si>
    <r>
      <rPr>
        <sz val="10"/>
        <color theme="1"/>
        <rFont val="宋体"/>
        <charset val="134"/>
      </rPr>
      <t>混装配比</t>
    </r>
    <r>
      <rPr>
        <sz val="10"/>
        <color theme="1"/>
        <rFont val="Times New Roman"/>
        <charset val="134"/>
      </rPr>
      <t>L</t>
    </r>
  </si>
  <si>
    <t>FNT1608-M</t>
  </si>
  <si>
    <r>
      <rPr>
        <sz val="10"/>
        <color theme="1"/>
        <rFont val="宋体"/>
        <charset val="134"/>
      </rPr>
      <t>混装配比</t>
    </r>
    <r>
      <rPr>
        <sz val="10"/>
        <color theme="1"/>
        <rFont val="Times New Roman"/>
        <charset val="134"/>
      </rPr>
      <t>M</t>
    </r>
  </si>
  <si>
    <t>FNT1609</t>
  </si>
  <si>
    <r>
      <rPr>
        <sz val="10"/>
        <color theme="1"/>
        <rFont val="宋体"/>
        <charset val="134"/>
      </rPr>
      <t>迈达斯</t>
    </r>
  </si>
  <si>
    <t>FNT1610</t>
  </si>
  <si>
    <r>
      <rPr>
        <sz val="10"/>
        <color theme="1"/>
        <rFont val="宋体"/>
        <charset val="134"/>
      </rPr>
      <t>骨头老板</t>
    </r>
  </si>
  <si>
    <t>FNT1611</t>
  </si>
  <si>
    <r>
      <rPr>
        <sz val="10"/>
        <color theme="1"/>
        <rFont val="宋体"/>
        <charset val="134"/>
      </rPr>
      <t>橡皮糖鱼条</t>
    </r>
  </si>
  <si>
    <t>FNT1612</t>
  </si>
  <si>
    <r>
      <rPr>
        <sz val="10"/>
        <color theme="1"/>
        <rFont val="宋体"/>
        <charset val="134"/>
      </rPr>
      <t>访问者</t>
    </r>
  </si>
  <si>
    <t>FNT1624</t>
  </si>
  <si>
    <t>FNT1653</t>
  </si>
  <si>
    <t>FNT1654</t>
  </si>
  <si>
    <t>FNT1655</t>
  </si>
  <si>
    <t>FNT1657</t>
  </si>
  <si>
    <t>FNT1658</t>
  </si>
  <si>
    <t>FNT1665</t>
  </si>
  <si>
    <t>FNT1666</t>
  </si>
  <si>
    <t>FNT1667</t>
  </si>
  <si>
    <t>FNT1675-G</t>
  </si>
  <si>
    <t>FNT1693</t>
  </si>
  <si>
    <t>FNT1696</t>
  </si>
  <si>
    <t>FNT1702</t>
  </si>
  <si>
    <t>NER0150</t>
  </si>
  <si>
    <r>
      <rPr>
        <sz val="10"/>
        <color theme="1"/>
        <rFont val="Times New Roman"/>
        <charset val="134"/>
      </rPr>
      <t>NERF</t>
    </r>
    <r>
      <rPr>
        <sz val="10"/>
        <color theme="1"/>
        <rFont val="宋体"/>
        <charset val="134"/>
      </rPr>
      <t>标靶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亚马逊版</t>
    </r>
    <r>
      <rPr>
        <sz val="10"/>
        <color theme="1"/>
        <rFont val="Times New Roman"/>
        <charset val="134"/>
      </rPr>
      <t>)</t>
    </r>
  </si>
  <si>
    <t>NER0156</t>
  </si>
  <si>
    <t>NER0205</t>
  </si>
  <si>
    <r>
      <rPr>
        <sz val="10"/>
        <color theme="1"/>
        <rFont val="宋体"/>
        <charset val="134"/>
      </rPr>
      <t>二代标靶</t>
    </r>
  </si>
  <si>
    <t>NER0226</t>
  </si>
  <si>
    <t>NER0327</t>
  </si>
  <si>
    <r>
      <rPr>
        <sz val="10"/>
        <color theme="1"/>
        <rFont val="宋体"/>
        <charset val="134"/>
      </rPr>
      <t>组合版标靶</t>
    </r>
  </si>
  <si>
    <t>NER0339</t>
  </si>
  <si>
    <r>
      <rPr>
        <sz val="10"/>
        <color theme="1"/>
        <rFont val="宋体"/>
        <charset val="134"/>
      </rPr>
      <t>组合标靶</t>
    </r>
  </si>
  <si>
    <t>NER0340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</si>
  <si>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#1</t>
    </r>
  </si>
  <si>
    <t>NER0341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</si>
  <si>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#2</t>
    </r>
  </si>
  <si>
    <t>NER0342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</si>
  <si>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#3</t>
    </r>
  </si>
  <si>
    <t>NER0343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</si>
  <si>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#4</t>
    </r>
  </si>
  <si>
    <t>NER0344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</si>
  <si>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#5</t>
    </r>
  </si>
  <si>
    <t>NER0351</t>
  </si>
  <si>
    <r>
      <rPr>
        <sz val="10"/>
        <color theme="1"/>
        <rFont val="宋体"/>
        <charset val="134"/>
      </rPr>
      <t>射击标靶</t>
    </r>
  </si>
  <si>
    <t>PKW0030</t>
  </si>
  <si>
    <r>
      <rPr>
        <sz val="10"/>
        <color theme="1"/>
        <rFont val="宋体"/>
        <charset val="134"/>
      </rPr>
      <t>皮卡丘、伊贝混装</t>
    </r>
  </si>
  <si>
    <t>PKW0030(97759)</t>
  </si>
  <si>
    <t>PKW0031</t>
  </si>
  <si>
    <r>
      <rPr>
        <sz val="10"/>
        <color theme="1"/>
        <rFont val="宋体"/>
        <charset val="134"/>
      </rPr>
      <t>伊贝</t>
    </r>
  </si>
  <si>
    <t>PKW3901</t>
  </si>
  <si>
    <r>
      <rPr>
        <sz val="10"/>
        <color theme="1"/>
        <rFont val="宋体"/>
        <charset val="134"/>
      </rPr>
      <t>皮卡丘邮包盒</t>
    </r>
  </si>
  <si>
    <t>PKW3902</t>
  </si>
  <si>
    <r>
      <rPr>
        <sz val="10"/>
        <color theme="1"/>
        <rFont val="宋体"/>
        <charset val="134"/>
      </rPr>
      <t>伊贝邮包盒</t>
    </r>
  </si>
  <si>
    <t>PKW4105</t>
  </si>
  <si>
    <r>
      <rPr>
        <sz val="10"/>
        <color theme="1"/>
        <rFont val="宋体"/>
        <charset val="134"/>
      </rPr>
      <t>伊贝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走路草</t>
    </r>
  </si>
  <si>
    <t>PKW4106</t>
  </si>
  <si>
    <r>
      <rPr>
        <sz val="10"/>
        <color theme="1"/>
        <rFont val="宋体"/>
        <charset val="134"/>
      </rPr>
      <t>小鹿和皮卡丘</t>
    </r>
  </si>
  <si>
    <t>ROB0243</t>
  </si>
  <si>
    <t>ROB0268</t>
  </si>
  <si>
    <r>
      <rPr>
        <sz val="10"/>
        <color theme="1"/>
        <rFont val="宋体"/>
        <charset val="134"/>
      </rPr>
      <t>混装公仔装</t>
    </r>
  </si>
  <si>
    <t>ROB0271</t>
  </si>
  <si>
    <r>
      <rPr>
        <sz val="10"/>
        <color theme="1"/>
        <rFont val="宋体"/>
        <charset val="134"/>
      </rPr>
      <t>单只公仔吸塑装</t>
    </r>
  </si>
  <si>
    <t>ROB0552</t>
  </si>
  <si>
    <t>SNF0145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</si>
  <si>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只装</t>
    </r>
  </si>
  <si>
    <t>SNF</t>
  </si>
  <si>
    <t>SNF0146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</si>
  <si>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只装</t>
    </r>
  </si>
  <si>
    <t>SNF0167</t>
  </si>
  <si>
    <r>
      <rPr>
        <sz val="10"/>
        <color theme="1"/>
        <rFont val="宋体"/>
        <charset val="134"/>
      </rPr>
      <t>蜘蛛侠赛车</t>
    </r>
  </si>
  <si>
    <t>SNF0181</t>
  </si>
  <si>
    <t>SNF0182</t>
  </si>
  <si>
    <t>SNF0184</t>
  </si>
  <si>
    <r>
      <rPr>
        <sz val="10"/>
        <color theme="1"/>
        <rFont val="宋体"/>
        <charset val="134"/>
      </rPr>
      <t>蜘蛛侠赛车</t>
    </r>
    <r>
      <rPr>
        <sz val="10"/>
        <color theme="1"/>
        <rFont val="Times New Roman"/>
        <charset val="134"/>
      </rPr>
      <t>(WM</t>
    </r>
    <r>
      <rPr>
        <sz val="10"/>
        <color theme="1"/>
        <rFont val="宋体"/>
        <charset val="134"/>
      </rPr>
      <t>货号</t>
    </r>
    <r>
      <rPr>
        <sz val="10"/>
        <color theme="1"/>
        <rFont val="Times New Roman"/>
        <charset val="134"/>
      </rPr>
      <t>)</t>
    </r>
  </si>
  <si>
    <t>SNF0201</t>
  </si>
  <si>
    <r>
      <rPr>
        <sz val="10"/>
        <color theme="1"/>
        <rFont val="宋体"/>
        <charset val="134"/>
      </rPr>
      <t>蜘蛛侠带电赛车</t>
    </r>
  </si>
  <si>
    <t>SNF0214</t>
  </si>
  <si>
    <r>
      <rPr>
        <sz val="10"/>
        <color theme="1"/>
        <rFont val="宋体"/>
        <charset val="134"/>
      </rPr>
      <t>蜘蛛侠游艇</t>
    </r>
  </si>
  <si>
    <t>SNF0219</t>
  </si>
  <si>
    <r>
      <rPr>
        <sz val="10"/>
        <color theme="1"/>
        <rFont val="宋体"/>
        <charset val="134"/>
      </rPr>
      <t>蜘蛛侠单支装混装</t>
    </r>
  </si>
  <si>
    <t>SNF0220</t>
  </si>
  <si>
    <r>
      <rPr>
        <sz val="10"/>
        <color theme="1"/>
        <rFont val="宋体"/>
        <charset val="134"/>
      </rPr>
      <t>红人蜘蛛侠</t>
    </r>
  </si>
  <si>
    <t>SNF0221</t>
  </si>
  <si>
    <r>
      <rPr>
        <sz val="10"/>
        <color theme="1"/>
        <rFont val="宋体"/>
        <charset val="134"/>
      </rPr>
      <t>白人蜘蛛侠</t>
    </r>
  </si>
  <si>
    <t>SNF0222</t>
  </si>
  <si>
    <r>
      <rPr>
        <sz val="10"/>
        <color theme="1"/>
        <rFont val="宋体"/>
        <charset val="134"/>
      </rPr>
      <t>黑人蜘蛛侠</t>
    </r>
  </si>
  <si>
    <t>SNF0283</t>
  </si>
  <si>
    <r>
      <rPr>
        <sz val="10"/>
        <color theme="1"/>
        <rFont val="宋体"/>
        <charset val="134"/>
      </rPr>
      <t>蜘蛛侠带电赛车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墨西哥货号</t>
    </r>
    <r>
      <rPr>
        <sz val="10"/>
        <color theme="1"/>
        <rFont val="Times New Roman"/>
        <charset val="134"/>
      </rPr>
      <t>)</t>
    </r>
  </si>
  <si>
    <t>SNF0355</t>
  </si>
  <si>
    <r>
      <rPr>
        <sz val="10"/>
        <color theme="1"/>
        <rFont val="宋体"/>
        <charset val="134"/>
      </rPr>
      <t>蜘蛛侠配蜘蛛网套装</t>
    </r>
  </si>
  <si>
    <t>SNF0357</t>
  </si>
  <si>
    <r>
      <rPr>
        <sz val="10"/>
        <color theme="1"/>
        <rFont val="宋体"/>
        <charset val="134"/>
      </rPr>
      <t>挤水蜘蛛侠混装</t>
    </r>
  </si>
  <si>
    <t>SNF0411</t>
  </si>
  <si>
    <t>SNF0411(SNF0201)</t>
  </si>
  <si>
    <t>产品名称</t>
  </si>
  <si>
    <t>FNT1608-G/FNT1675-G</t>
  </si>
  <si>
    <t>FNT1608-I/FNT1608-K</t>
  </si>
  <si>
    <t>接单期</t>
  </si>
  <si>
    <t>出货期</t>
  </si>
  <si>
    <t>PO版本</t>
  </si>
  <si>
    <t>原PO</t>
  </si>
  <si>
    <t>现PO</t>
  </si>
  <si>
    <t>货号</t>
  </si>
  <si>
    <t>数量</t>
  </si>
  <si>
    <t>包装版本</t>
  </si>
  <si>
    <t>系列</t>
  </si>
  <si>
    <t>FNT1618</t>
  </si>
  <si>
    <t>FNT1619</t>
  </si>
  <si>
    <t>FNT1620</t>
  </si>
  <si>
    <t>单价(USD)</t>
  </si>
  <si>
    <t>金额USD</t>
  </si>
  <si>
    <t>金额HKD</t>
  </si>
  <si>
    <t>V1</t>
  </si>
  <si>
    <t>JAZ068876</t>
  </si>
  <si>
    <t>美文包装+美文说明书</t>
  </si>
  <si>
    <t>仓单转客单</t>
  </si>
  <si>
    <t>JAZ136222</t>
  </si>
  <si>
    <t>7L包装+PET吸塑</t>
  </si>
  <si>
    <t>JAZ143501</t>
  </si>
  <si>
    <t>7L(G-LOGO)包装</t>
  </si>
  <si>
    <t>JAZ174061</t>
  </si>
  <si>
    <t>美文包装+RPET吸塑</t>
  </si>
  <si>
    <t>JAZ175961</t>
  </si>
  <si>
    <t>SAM220161</t>
  </si>
  <si>
    <t>7L包装+RPET吸塑</t>
  </si>
  <si>
    <t>V2</t>
  </si>
  <si>
    <t>JAZ209199</t>
  </si>
  <si>
    <t>1SS3YYVR</t>
  </si>
  <si>
    <t>V3</t>
  </si>
  <si>
    <t>JAZ274484</t>
  </si>
  <si>
    <t>JAZ-SUB-SP26-02改6000063660</t>
  </si>
  <si>
    <t>SAM235920</t>
  </si>
  <si>
    <t>EKHA-FALL25</t>
  </si>
  <si>
    <t>POUK10310</t>
  </si>
  <si>
    <t>POUK10311</t>
  </si>
  <si>
    <t>POUK10066</t>
  </si>
  <si>
    <t>POUK10068</t>
  </si>
  <si>
    <t>POGE00005115</t>
  </si>
  <si>
    <t>JAZ271089</t>
  </si>
  <si>
    <t>CNR267189</t>
  </si>
  <si>
    <t>JAZ264309</t>
  </si>
  <si>
    <t>JAZ273857</t>
  </si>
  <si>
    <t>3L包装+RPET吸塑</t>
  </si>
  <si>
    <t>V4</t>
  </si>
  <si>
    <t>NECO-INV</t>
  </si>
  <si>
    <t>JAZ208957</t>
  </si>
  <si>
    <t>JAZ273716</t>
  </si>
  <si>
    <t>4Q5K3FON</t>
  </si>
  <si>
    <t>5ZU59H2D</t>
  </si>
  <si>
    <t>8J66TW8T</t>
  </si>
  <si>
    <t>1KHQB2ZU</t>
  </si>
  <si>
    <t>3KOJBOZR</t>
  </si>
  <si>
    <t>POUK10877</t>
  </si>
  <si>
    <t>SAM276208</t>
  </si>
  <si>
    <t>PO012968</t>
  </si>
  <si>
    <t>POMX000429</t>
  </si>
  <si>
    <t>POGE00005748</t>
  </si>
  <si>
    <t>POGE00005801</t>
  </si>
  <si>
    <t>POGE00005802</t>
  </si>
  <si>
    <t>POGE00005803</t>
  </si>
  <si>
    <t>POMX000432</t>
  </si>
  <si>
    <t>POUK10974</t>
  </si>
  <si>
    <t>W0748708</t>
  </si>
  <si>
    <t>POMX000476</t>
  </si>
  <si>
    <t>JAZ278083</t>
  </si>
  <si>
    <t>ORBCRT91025 FA25CN</t>
  </si>
  <si>
    <t>POUK11014</t>
  </si>
  <si>
    <t>POIB000569</t>
  </si>
  <si>
    <t>POGE00006212</t>
  </si>
  <si>
    <t>POGE00006213</t>
  </si>
  <si>
    <t>POGE00006214</t>
  </si>
  <si>
    <t>CNR280311</t>
  </si>
  <si>
    <t>SAM280442</t>
  </si>
  <si>
    <t>JAZ283176</t>
  </si>
  <si>
    <t>EKHA-SPBINGO</t>
  </si>
  <si>
    <t>POUK11187</t>
  </si>
  <si>
    <t>POUK11189</t>
  </si>
  <si>
    <t>POUK11188</t>
  </si>
  <si>
    <t>JAZ285864</t>
  </si>
  <si>
    <t>5XCLCKWB</t>
  </si>
  <si>
    <t>3KA6DHKK</t>
  </si>
  <si>
    <t>IMEX-FNT</t>
  </si>
  <si>
    <t>POUK11186</t>
  </si>
  <si>
    <t>POUK11190</t>
  </si>
  <si>
    <t>JAZ280419</t>
  </si>
  <si>
    <t>POUK11450</t>
  </si>
  <si>
    <t>JAZ289933</t>
  </si>
  <si>
    <t>JAZ292143</t>
  </si>
  <si>
    <t>ATIQ-CMW-FA</t>
  </si>
  <si>
    <t>7L-G-LOGO包装+RPET吸塑</t>
  </si>
  <si>
    <t>ATIQ-CMW-SP</t>
  </si>
  <si>
    <t>美文-G-LOGO包装+RPET吸塑</t>
  </si>
  <si>
    <t>BINGO-CMW-FA</t>
  </si>
  <si>
    <t>EKHA-CMW-FA</t>
  </si>
  <si>
    <t>EKHA-CMW-SP</t>
  </si>
  <si>
    <t>BINGO-CMW-SP</t>
  </si>
  <si>
    <t>JAZ234415</t>
  </si>
  <si>
    <t>TB-CMW-FA</t>
  </si>
  <si>
    <t>TB-CMW-SP</t>
  </si>
  <si>
    <t>LITT-10129</t>
  </si>
  <si>
    <t>BLACKFIRE-22526</t>
  </si>
  <si>
    <t>POUK11685</t>
  </si>
  <si>
    <t>POUK11689</t>
  </si>
  <si>
    <t>POUK11797</t>
  </si>
  <si>
    <t>POUK11798</t>
  </si>
  <si>
    <t>POUK11686</t>
  </si>
  <si>
    <t>POUK11687</t>
  </si>
  <si>
    <t>POUK11688</t>
  </si>
  <si>
    <t>POUK11799</t>
  </si>
  <si>
    <t>CNR295131</t>
  </si>
  <si>
    <t>JAZ290549</t>
  </si>
  <si>
    <t>POGE00006252</t>
  </si>
  <si>
    <t>POGE00006253</t>
  </si>
  <si>
    <t>POGE00006254</t>
  </si>
  <si>
    <t>POGE00006703</t>
  </si>
  <si>
    <t>POGE00006702</t>
  </si>
  <si>
    <t>JAZWARES_1STPO_SAMPL</t>
  </si>
  <si>
    <t>SAM296040</t>
  </si>
  <si>
    <t>6CUXAB7S</t>
  </si>
  <si>
    <t>JAZ283175</t>
  </si>
  <si>
    <t>REI26-10</t>
  </si>
  <si>
    <t>GETTERCMW-030126</t>
  </si>
  <si>
    <t>GETTERCMW-031826</t>
  </si>
  <si>
    <t>JAZ-NASA-CN02</t>
  </si>
  <si>
    <t>POGE00007180</t>
  </si>
  <si>
    <t>GETTERSNF-022326</t>
  </si>
  <si>
    <t>WCT-26030536802</t>
  </si>
  <si>
    <t>WCT-26030518732</t>
  </si>
  <si>
    <t>JAZ289934</t>
  </si>
  <si>
    <t>WCT-26030571882</t>
  </si>
  <si>
    <t>WCT-26030548182</t>
  </si>
  <si>
    <t>WCT-26030587082</t>
  </si>
  <si>
    <t>WCT-26030517092</t>
  </si>
  <si>
    <t>POUK11885</t>
  </si>
  <si>
    <t>POUK11886</t>
  </si>
  <si>
    <t>CONTRACTUAL PO</t>
  </si>
  <si>
    <t>CNR298168</t>
  </si>
  <si>
    <t>JAZ-SUB-CN01</t>
  </si>
  <si>
    <t>POGE00007291</t>
  </si>
  <si>
    <t>SAM302054</t>
  </si>
  <si>
    <t>GIA-FNT-FA26</t>
  </si>
  <si>
    <t>POGE00007113</t>
  </si>
  <si>
    <t>25-1017027POR</t>
  </si>
  <si>
    <t>JAZCAFF001</t>
  </si>
  <si>
    <t>JAZ293626</t>
  </si>
  <si>
    <t>JAZ-CHE-CN01改26262</t>
  </si>
  <si>
    <t>POUK12106</t>
  </si>
  <si>
    <t>POGE00006962</t>
  </si>
  <si>
    <t>141AUU7W</t>
  </si>
  <si>
    <t>2O7JBMUN</t>
  </si>
  <si>
    <t>POUK12119</t>
  </si>
  <si>
    <t>ORBCZFNT-12026</t>
  </si>
  <si>
    <t>POGE00006995</t>
  </si>
  <si>
    <t>7L包装+RPET吸塑+飞机孔，改用7L贴纸返工出货（客供文档）</t>
  </si>
  <si>
    <t>BIZIFNT-5426</t>
  </si>
  <si>
    <t>050826-JAZ</t>
  </si>
  <si>
    <t>PEAKFNT-6426</t>
  </si>
  <si>
    <t>TERRA-FNT-042326</t>
  </si>
  <si>
    <t>PO014632</t>
  </si>
  <si>
    <t>POMX000727</t>
  </si>
  <si>
    <t>NECOFNT-042126</t>
  </si>
  <si>
    <t>合计：</t>
  </si>
  <si>
    <t>美国</t>
  </si>
  <si>
    <t>总接单：</t>
  </si>
  <si>
    <r>
      <rPr>
        <b/>
        <sz val="9"/>
        <color rgb="FFFF0000"/>
        <rFont val="Times New Roman"/>
        <charset val="134"/>
      </rPr>
      <t>JAZ</t>
    </r>
    <r>
      <rPr>
        <b/>
        <sz val="9"/>
        <color rgb="FFFF0000"/>
        <rFont val="宋体"/>
        <charset val="134"/>
      </rPr>
      <t>美国接单：</t>
    </r>
  </si>
  <si>
    <t>总排期：</t>
  </si>
  <si>
    <t>美国总接单：</t>
  </si>
  <si>
    <t>已走货：</t>
  </si>
  <si>
    <t>美国未出货：</t>
  </si>
  <si>
    <t>.</t>
  </si>
  <si>
    <t>1L包装=美文包装</t>
  </si>
  <si>
    <t>只有CMW0108/CMW0118/CMW0182有布标(SIL)</t>
  </si>
  <si>
    <t>2024/3/19开始接单的标靶NER0156/11588，全部“橙色胶件+橙色新彩盒”</t>
  </si>
  <si>
    <t>第三客户名称</t>
  </si>
  <si>
    <t>国家</t>
  </si>
  <si>
    <t>客跟单</t>
  </si>
  <si>
    <t>PO更改版本</t>
  </si>
  <si>
    <t>名称</t>
  </si>
  <si>
    <t>总箱数</t>
  </si>
  <si>
    <t>客PO期</t>
  </si>
  <si>
    <t>第三方验货期</t>
  </si>
  <si>
    <t>验货/抽板
地点</t>
  </si>
  <si>
    <t>验货结果</t>
  </si>
  <si>
    <t>船期SO</t>
  </si>
  <si>
    <t>箱唛资料</t>
  </si>
  <si>
    <t>外箱贴纸</t>
  </si>
  <si>
    <t>客贴纸</t>
  </si>
  <si>
    <t>其它客供料</t>
  </si>
  <si>
    <t>日期码</t>
  </si>
  <si>
    <t>备注</t>
  </si>
  <si>
    <t>发票号</t>
  </si>
  <si>
    <t>是否入系统</t>
  </si>
  <si>
    <t>JAZWARES</t>
  </si>
  <si>
    <t>April</t>
  </si>
  <si>
    <t>东莞</t>
  </si>
  <si>
    <t>PASS</t>
  </si>
  <si>
    <t>箱唛（1/21齐）
JAZ标准箱唛</t>
  </si>
  <si>
    <t>无</t>
  </si>
  <si>
    <t>完成</t>
  </si>
  <si>
    <t>客箱唛（9/1放常规箱）</t>
  </si>
  <si>
    <t>已入系统</t>
  </si>
  <si>
    <t>JAZWARES - INVENTORY</t>
  </si>
  <si>
    <t>Rework Charge:$90</t>
  </si>
  <si>
    <t>7/21放常规箱，总箱数有变，箱号可以不用改</t>
  </si>
  <si>
    <t>7L（G-LOGO)包装</t>
  </si>
  <si>
    <t>使用新印花新压边的衣服</t>
  </si>
  <si>
    <t>JAZWARES - AMAZON FOB</t>
  </si>
  <si>
    <t>SI：7/5走1126个,拼柜MSQ130</t>
  </si>
  <si>
    <t>箱唛（5/10放JAZ常规箱唛）</t>
  </si>
  <si>
    <t>CMW0352-032724-RR</t>
  </si>
  <si>
    <t>JAZWARES - SAMPLES</t>
  </si>
  <si>
    <t>空白箱唛</t>
  </si>
  <si>
    <t>新模具做货，新结构公仔，含UV CODE</t>
  </si>
  <si>
    <t>AMAZON CANADA</t>
  </si>
  <si>
    <t>加拿大</t>
  </si>
  <si>
    <t>Vicky</t>
  </si>
  <si>
    <t>pass</t>
  </si>
  <si>
    <t>6/9-6/12交仓
MOQ 100 MSQ 300</t>
  </si>
  <si>
    <t>亚马逊箱唛</t>
  </si>
  <si>
    <t>有</t>
  </si>
  <si>
    <t>外箱贴纸（欠）</t>
  </si>
  <si>
    <t>JAZWARES SAMPLES</t>
  </si>
  <si>
    <t>Tally</t>
  </si>
  <si>
    <t>密码卡 镭射贴纸放</t>
  </si>
  <si>
    <t>混装配比G（FNT1609:FNT1610:FNT1611=2:2:2)</t>
  </si>
  <si>
    <t>JAZWARES_1STPO_SAMPLES</t>
  </si>
  <si>
    <t>Elaine</t>
  </si>
  <si>
    <t>JAZ常规箱唛</t>
  </si>
  <si>
    <t>欠</t>
  </si>
  <si>
    <t>未有BOM</t>
  </si>
  <si>
    <t>样板单</t>
  </si>
  <si>
    <t>约7/14</t>
  </si>
  <si>
    <t>JAZ常规箱唛8/22放</t>
  </si>
  <si>
    <t>9/9已放密码卡和镭射贴纸</t>
  </si>
  <si>
    <t>混装配比A（FNT1609:FNT1610:FNT1611:FNT1612=2:1:2:1)</t>
  </si>
  <si>
    <t>混装配比B（FNT1609:FNT1610:FNT1611:FNT1612=2:2:1:1)</t>
  </si>
  <si>
    <t>混装配比C（FNT1609:FNT1610:FNT1611:FNT1612=1:2:2:1)</t>
  </si>
  <si>
    <t>5/21放防伪贴，5/21放刮刮卡</t>
  </si>
  <si>
    <t>美文包装+RPET吸塑+飞机孔</t>
  </si>
  <si>
    <t>FNT1653-031226-RR 9722b33edf
FNT1654-031226-RR 9722b33edf
FNT1655-031226-RR 9722b33edf
FNT1657-031226-RR 9722b33edf</t>
  </si>
  <si>
    <t>混装配比I (FNT1653:FNT1654:FNT1655:FNT1657=2:1:1:2)</t>
  </si>
  <si>
    <t>7L包装+RPET吸塑+飞机孔,改美文包装</t>
  </si>
  <si>
    <t>FNT1653-031226-RR 9722b33edf</t>
  </si>
  <si>
    <t>FNT1654-031226-RR 9722b33edf</t>
  </si>
  <si>
    <t>FNT1655-031226-RR 9722b33edf</t>
  </si>
  <si>
    <t>FNT1657-031226-RR 9722b33edf</t>
  </si>
  <si>
    <t>改货期</t>
  </si>
  <si>
    <t>欠防伪贴，欠刮刮卡</t>
  </si>
  <si>
    <t>FNT1693-060226-RR 11ec9fb29c</t>
  </si>
  <si>
    <t>D_JAZ_SAMPLES</t>
  </si>
  <si>
    <t>Ling</t>
  </si>
  <si>
    <t>FNT1696-061226-RR d848c9d011</t>
  </si>
  <si>
    <t>AZWARES - INVENTORY</t>
  </si>
  <si>
    <t>JAZ常规箱唛(3/24放)</t>
  </si>
  <si>
    <t>SNF0355-051226-RR</t>
  </si>
  <si>
    <t>DOM条码：191726768135</t>
  </si>
  <si>
    <t>M + F</t>
  </si>
  <si>
    <t>德国</t>
  </si>
  <si>
    <t>Ciera</t>
  </si>
  <si>
    <t xml:space="preserve">SI：8/20 </t>
  </si>
  <si>
    <t>德国箱唛</t>
  </si>
  <si>
    <t>4/24放</t>
  </si>
  <si>
    <t>7L包装+RPET吸塑+飞机孔，用7L贴纸返工出货（客供文档）两张贴纸</t>
  </si>
  <si>
    <t>6/16防伪贴，6/16刮刮卡</t>
  </si>
  <si>
    <t>FNT1666-062626-RR 22a06a44de</t>
  </si>
  <si>
    <t>JAZWARES - AMAZON US ECOM DOM</t>
  </si>
  <si>
    <t>QIA 6/26</t>
  </si>
  <si>
    <t>箱唛(4/21放)</t>
  </si>
  <si>
    <t>JAZWARES INTERNATIONAL</t>
  </si>
  <si>
    <t>箱唛(3/24放)</t>
  </si>
  <si>
    <t>A LIUSIE GENERAL TRADING LLC</t>
  </si>
  <si>
    <t>阿拉伯</t>
  </si>
  <si>
    <t>Bella</t>
  </si>
  <si>
    <t>QIA:6/18 
6/18抽板，需准备100套</t>
  </si>
  <si>
    <t>SI：6/29 走720个,拼柜MSQ130</t>
  </si>
  <si>
    <t>箱唛5/28确认</t>
  </si>
  <si>
    <t>4/11放</t>
  </si>
  <si>
    <t>SCS DIRECT FOB</t>
  </si>
  <si>
    <t>Anna</t>
  </si>
  <si>
    <t>箱唛(5/25确认)</t>
  </si>
  <si>
    <t>5/26放</t>
  </si>
  <si>
    <t>ARABIAN AL EKHA INTL FOR TRADE AND 
COMM.</t>
  </si>
  <si>
    <t>约旦</t>
  </si>
  <si>
    <t>QIA:6/30</t>
  </si>
  <si>
    <t>寄常平19楼</t>
  </si>
  <si>
    <t>IMPORT SERVICES</t>
  </si>
  <si>
    <t>英国</t>
  </si>
  <si>
    <t>Carol</t>
  </si>
  <si>
    <t>QIA：8/4</t>
  </si>
  <si>
    <t>SI：8/4；1000  Si：852</t>
  </si>
  <si>
    <t>英国箱唛（新）</t>
  </si>
  <si>
    <t>7L包装+RPET吸塑（7/8收到新文档）</t>
  </si>
  <si>
    <t>FNT1702-050626-RR a6a238bc4b</t>
  </si>
  <si>
    <t>UV码印在任意一款即可</t>
  </si>
  <si>
    <t>FNT1702-052826-RR 303ac61715</t>
  </si>
  <si>
    <t>箱唛(5/28确认)</t>
  </si>
  <si>
    <t>WRT WORLD ENTERPRISES, INC.</t>
  </si>
  <si>
    <t>拉丁美洲</t>
  </si>
  <si>
    <t>Moon</t>
  </si>
  <si>
    <t>推7/31</t>
  </si>
  <si>
    <t>箱唛(6/12确认)</t>
  </si>
  <si>
    <t>6/6放</t>
  </si>
  <si>
    <t>不加UV码FNT1653-052926-RR 
FNT1654-052926-RR 
FNT1655-052926-RR 
FNT1657-052926-RR "</t>
  </si>
  <si>
    <t>AMAZON MDDP</t>
  </si>
  <si>
    <t>Rita</t>
  </si>
  <si>
    <t>JAZ箱唛标准箱唛</t>
  </si>
  <si>
    <t>QIA:7/7</t>
  </si>
  <si>
    <t>箱唛确认</t>
  </si>
  <si>
    <t>4/20放</t>
  </si>
  <si>
    <t>6/23放</t>
  </si>
  <si>
    <t>美文包装+RPET吸塑，需改7L-G-LOGO包装+RPET吸塑包装</t>
  </si>
  <si>
    <t>GETTER GROUP LTD.</t>
  </si>
  <si>
    <t>以色列</t>
  </si>
  <si>
    <t>箱唛(6/13确认)</t>
  </si>
  <si>
    <t>6/16放</t>
  </si>
  <si>
    <r>
      <rPr>
        <sz val="9"/>
        <color rgb="FF000000"/>
        <rFont val="宋体"/>
        <charset val="134"/>
      </rPr>
      <t>7L-G-LOGO包装+RPET吸塑</t>
    </r>
    <r>
      <rPr>
        <sz val="9"/>
        <color rgb="FFFF0000"/>
        <rFont val="宋体"/>
        <charset val="134"/>
      </rPr>
      <t>，改美文包装</t>
    </r>
  </si>
  <si>
    <t>希伯利亚语说明书</t>
  </si>
  <si>
    <t>QIA:7/14</t>
  </si>
  <si>
    <t>Pending</t>
  </si>
  <si>
    <t>7L-G-LOGO包装+RPET吸塑，改美文包装</t>
  </si>
  <si>
    <t>3144976 Canada Inc</t>
  </si>
  <si>
    <t>QIA:9/4</t>
  </si>
  <si>
    <t>箱唛(欠)</t>
  </si>
  <si>
    <t>FNT1653-051526-RR 77ba5cc457
FNT1654-051526-RR 77ba5cc457
FNT1655-051526-RR 77ba5cc457
FNT1657-051526-RR 77ba5cc457</t>
  </si>
  <si>
    <t>混装配比K
(FNT1653:FNT1654:FNT1655:FNT1657=1:2:1:2)</t>
  </si>
  <si>
    <t>7L包装+RPET吸塑+飞机孔</t>
  </si>
  <si>
    <t>BIZI TOP LTD</t>
  </si>
  <si>
    <t>FRI：8/24</t>
  </si>
  <si>
    <t>QIA：7/14</t>
  </si>
  <si>
    <t>Rework Charge:$100</t>
  </si>
  <si>
    <t>PEAK TOYS DISTRIBUTION</t>
  </si>
  <si>
    <t>罗马尼亚</t>
  </si>
  <si>
    <t>FRI:9/10</t>
  </si>
  <si>
    <t>TERRA TOYS</t>
  </si>
  <si>
    <t>哈萨克斯坦</t>
  </si>
  <si>
    <t>MAKI A/S</t>
  </si>
  <si>
    <t>丹麦</t>
  </si>
  <si>
    <t>散货入仓： 8/27-8/29 (17:00).MSQ：300</t>
  </si>
  <si>
    <t>FNT1667-081326-RR   UV： ae496f67b6
FNT1666-081326-RR   UV： ae496f67b6</t>
  </si>
  <si>
    <t>混装配比A（FNT1666:FNT1667=3:3)</t>
  </si>
  <si>
    <t>JAZ MX - DOMESTIC</t>
  </si>
  <si>
    <t>墨西哥</t>
  </si>
  <si>
    <t>FNT1653-081326-RR    UV：ae496f67b6
FNT1654-081326-RR    UV：ae496f67b6
FNT1655-081326-RR    UV： ae496f67b6
FNT1657-081326-RR    UV：ae496f67b6</t>
  </si>
  <si>
    <t>NECO DIS TICARET OYUNCAK 
PAZARLAMA SAN.</t>
  </si>
  <si>
    <t>土耳其</t>
  </si>
  <si>
    <t>FNT1653-081326-RR    UV：ae496f67b6
FNT1654-081326-RR    UV：ae496f67b6
FNT1655-081326-RR    UV：ae496f67b6
FNT1657-081326-RR    UV：ae496f67b6</t>
  </si>
  <si>
    <t>CAFFARO HNOS S.R.L ARGENTINA</t>
  </si>
  <si>
    <t>阿根廷</t>
  </si>
  <si>
    <t>FRI：8/13</t>
  </si>
  <si>
    <t>箱唛(欠)催客人提供</t>
  </si>
  <si>
    <t>箱唛(欠6/1确认)</t>
  </si>
  <si>
    <t>箱唛(已确认)</t>
  </si>
  <si>
    <t>SUBURBIA, S. DE R. L. DE C. V.</t>
  </si>
  <si>
    <t>JAZ-SUB-CN01改6000073711改6000074569</t>
  </si>
  <si>
    <t>QIA:7/28</t>
  </si>
  <si>
    <t>7/14寄</t>
  </si>
  <si>
    <t>TOYS BRAND TRADING CO. LTD</t>
  </si>
  <si>
    <t>箱唛（3/24放标准唛）DOM订单要印条形码</t>
  </si>
  <si>
    <t>DISTRIBUIDORA COMERCIAL IMEXPORTA 
LTDA</t>
  </si>
  <si>
    <t>智利</t>
  </si>
  <si>
    <t>箱唛（DOM条码191726860105)</t>
  </si>
  <si>
    <t>4/21放防伪贴，4/21收到刮刮卡</t>
  </si>
  <si>
    <t>不加UV码</t>
  </si>
  <si>
    <t>转单</t>
  </si>
  <si>
    <t>FRI:8/20</t>
  </si>
  <si>
    <t>箱唛（欠）待确认</t>
  </si>
  <si>
    <t>不用刮刮卡，欠防伪贴 900张</t>
  </si>
  <si>
    <t>箱唛（欠）未打稿</t>
  </si>
  <si>
    <t>欠防伪贴，5/27放刮刮卡</t>
  </si>
  <si>
    <t>6/18放</t>
  </si>
  <si>
    <r>
      <rPr>
        <sz val="9"/>
        <color rgb="FF000000"/>
        <rFont val="宋体"/>
        <charset val="134"/>
      </rPr>
      <t>7L-G-LOGO包装+RPET吸塑，</t>
    </r>
    <r>
      <rPr>
        <sz val="9"/>
        <color rgb="FFFF0000"/>
        <rFont val="宋体"/>
        <charset val="134"/>
      </rPr>
      <t>760个改美文包装，140个7L-G-LOGO包装</t>
    </r>
  </si>
  <si>
    <t>4/15放</t>
  </si>
  <si>
    <t>6/15放</t>
  </si>
  <si>
    <t>MSQ；130</t>
  </si>
  <si>
    <t>6/11放</t>
  </si>
  <si>
    <t>英国箱唛</t>
  </si>
  <si>
    <t>防伪贴11/12放，4/21放刮刮卡</t>
  </si>
  <si>
    <t xml:space="preserve">  DPI：8/18  QIA:8/20</t>
  </si>
  <si>
    <t>不用刮刮卡</t>
  </si>
  <si>
    <t>QIA:8/6</t>
  </si>
  <si>
    <t>SI：8/10</t>
  </si>
  <si>
    <t>FNT1666-062626-RR     22a06a44de           FNT1667-062626-RR 22a06a44de</t>
  </si>
  <si>
    <t>Jazwares, LLC</t>
  </si>
  <si>
    <t>Sky</t>
  </si>
  <si>
    <t>FNT1658-050826-RR cb05b86678</t>
  </si>
  <si>
    <t>JAZWARES - AMAZON US ECOM DTR</t>
  </si>
  <si>
    <t>合计</t>
  </si>
  <si>
    <t>以下标注内容区分识别备注：</t>
  </si>
  <si>
    <t>类型</t>
  </si>
  <si>
    <t>内容</t>
  </si>
  <si>
    <t>黄色填充</t>
  </si>
  <si>
    <t>新加单或更改订单</t>
  </si>
  <si>
    <t>粉色填充</t>
  </si>
  <si>
    <t>扣单</t>
  </si>
  <si>
    <t>蓝色字体</t>
  </si>
  <si>
    <t>已经完成订单</t>
  </si>
  <si>
    <t xml:space="preserve"> </t>
  </si>
  <si>
    <t>粉色字体</t>
  </si>
  <si>
    <t>已经出货</t>
  </si>
  <si>
    <t>红色字体</t>
  </si>
  <si>
    <t>取消单</t>
  </si>
  <si>
    <t>刮刮卡</t>
  </si>
  <si>
    <t>TARGET IMPORT</t>
  </si>
  <si>
    <t>取消转仓单</t>
  </si>
  <si>
    <t>9/22放</t>
  </si>
  <si>
    <t>纸箱已订购，后续转出需收费</t>
  </si>
  <si>
    <t>3/20取消转仓单</t>
  </si>
  <si>
    <t>SUCKOT S.A.C</t>
  </si>
  <si>
    <t>秘鲁</t>
  </si>
  <si>
    <t>3/3取消转仓单</t>
  </si>
  <si>
    <t>FNT1653-062326-RR 286dcbb400
FNT1654-062326-RR 286dcbb400
FNT1655-062326-RR 286dcbb400
FNT1657-062326-RR 286dcbb400</t>
  </si>
  <si>
    <t>ROSS FOB</t>
  </si>
  <si>
    <t>Elki</t>
  </si>
  <si>
    <t>SI:2026/1/3拼柜Rework Charge:50</t>
  </si>
  <si>
    <t>ROSS箱唛,不用重新订，贴水纸即可</t>
  </si>
  <si>
    <t>成品加贴外箱水贴纸出货</t>
  </si>
  <si>
    <t>SI1/9入仓MSQ300</t>
  </si>
  <si>
    <t>9/3放</t>
  </si>
  <si>
    <t>SI：1/12走330,拼柜MSQ130</t>
  </si>
  <si>
    <t>12/8放</t>
  </si>
  <si>
    <t>SI：1/12走504,拼柜</t>
  </si>
  <si>
    <t>SI12/16 走804个SI1/12走240个 SI1/13走480个
SI1/19走480</t>
  </si>
  <si>
    <t>SI 1/12走600个拼柜MSQ130
SI 1/13走1200拼柜MSQ130
 SI1/19走1200拼柜MSQ130</t>
  </si>
  <si>
    <t>防伪贴11/17放，刮刮卡11/17放</t>
  </si>
  <si>
    <t>WALGREENS MDDP</t>
  </si>
  <si>
    <t>Celia</t>
  </si>
  <si>
    <t>SI1/12</t>
  </si>
  <si>
    <t>12/2放</t>
  </si>
  <si>
    <t>SNF0181-121025-RR</t>
  </si>
  <si>
    <t>SNF0181-121125-RR</t>
  </si>
  <si>
    <t>SNF0181-121225-RR</t>
  </si>
  <si>
    <t>SNF0181-121525-RR</t>
  </si>
  <si>
    <t>DPI：1/9
FRI:1/15</t>
  </si>
  <si>
    <t>SI:1/15入仓MSQ:300</t>
  </si>
  <si>
    <t>MAKI箱唛</t>
  </si>
  <si>
    <t>11/25放</t>
  </si>
  <si>
    <t>11/12已放密码卡和镭射贴纸</t>
  </si>
  <si>
    <t>FNT1666：FNT1667=3:3</t>
  </si>
  <si>
    <t>SI:1/15入仓</t>
  </si>
  <si>
    <t>Shelly</t>
  </si>
  <si>
    <t>SI:2026/1/19入仓申请MSQ:300</t>
  </si>
  <si>
    <t>10/29放</t>
  </si>
  <si>
    <t>SI1/19</t>
  </si>
  <si>
    <t>SI1/20拼柜MSQ130</t>
  </si>
  <si>
    <t>HOBBY LOBBY FOB</t>
  </si>
  <si>
    <t>Shirley</t>
  </si>
  <si>
    <t>SI1/19入仓</t>
  </si>
  <si>
    <t>箱唛11/25确认</t>
  </si>
  <si>
    <t>SI1/11拼柜MSQ130</t>
  </si>
  <si>
    <t>1/8放刮刮卡，贴纸挪用其他订单</t>
  </si>
  <si>
    <t>SI1/19拼柜MSQ130</t>
  </si>
  <si>
    <t>12/12放</t>
  </si>
  <si>
    <t>SI1/27拼柜MSQ130</t>
  </si>
  <si>
    <t>SI12/16 走402个
SI1/27走498个</t>
  </si>
  <si>
    <t>NECO DIS TICARET OYUNCAK PAZARLAMA SAN.</t>
  </si>
  <si>
    <t>Rainbow</t>
  </si>
  <si>
    <t>1/28拼柜MSQ130</t>
  </si>
  <si>
    <t>10/11放</t>
  </si>
  <si>
    <t>放</t>
  </si>
  <si>
    <t>9/9已放密码</t>
  </si>
  <si>
    <t>用成品PO:5251216178返工出货，外箱要重订</t>
  </si>
  <si>
    <t>SI2/2</t>
  </si>
  <si>
    <t>SNF0182-122625-RR</t>
  </si>
  <si>
    <t>SI2/2入仓MSQ300</t>
  </si>
  <si>
    <t>申请返工费$126
SI2/6 拼柜MSQ130</t>
  </si>
  <si>
    <t>混装配比H （FNT1618:FNT1619:FNT1620=2:2:2)</t>
  </si>
  <si>
    <t>Rework Charge:$155，SI2/9拼柜MSQ130</t>
  </si>
  <si>
    <t>箱唛（已确认）</t>
  </si>
  <si>
    <t>FNT1609-062825-RR
FNT1610-062825-RR
FNT1611-062825-RR</t>
  </si>
  <si>
    <t>用成品PO:5251216399返工出货</t>
  </si>
  <si>
    <t>2026/3/16入仓，MSQ300</t>
  </si>
  <si>
    <t>SNF0182-011526-RR</t>
  </si>
  <si>
    <t>SI3/30 入仓MSQ300</t>
  </si>
  <si>
    <t>SI：4/15,拼柜MSQ130</t>
  </si>
  <si>
    <t>3/25已放密码卡和镭射贴纸</t>
  </si>
  <si>
    <t>3/9放</t>
  </si>
  <si>
    <t>SI：4/17,拼柜MSQ130</t>
  </si>
  <si>
    <t>QIA 6/10</t>
  </si>
  <si>
    <t>SI;6/11空运360pcs</t>
  </si>
  <si>
    <t>3/27已放密码卡和镭射贴纸</t>
  </si>
  <si>
    <t>FNT1624-050626-RR a6a238bc4b</t>
  </si>
  <si>
    <t>QIA：6/6</t>
  </si>
  <si>
    <t>SI：6/12 入仓</t>
  </si>
  <si>
    <t>不加UV码混装配比G（FNT1609:FNT1610:FNT1611=2:2:2)</t>
  </si>
  <si>
    <t>SI：6/19</t>
  </si>
  <si>
    <t>QIA:6/10</t>
  </si>
  <si>
    <t>NASA ZONA LIBRE PANAMA S.A.</t>
  </si>
  <si>
    <t>巴拿马</t>
  </si>
  <si>
    <t>QIA 6/6</t>
  </si>
  <si>
    <t>SI：6/12 拼柜MSQ:130</t>
  </si>
  <si>
    <t>箱唛(已确定)</t>
  </si>
  <si>
    <t>5/11放</t>
  </si>
  <si>
    <t>LITT TAK SDN BHD</t>
  </si>
  <si>
    <t>马来西亚</t>
  </si>
  <si>
    <t>QIA 6/16</t>
  </si>
  <si>
    <t>SI：6/17入仓MSQ：300</t>
  </si>
  <si>
    <t>箱唛(确认)</t>
  </si>
  <si>
    <t>3/25放</t>
  </si>
  <si>
    <t>QIA:6/18</t>
  </si>
  <si>
    <t>SI：6/22</t>
  </si>
  <si>
    <t>箱唛(4/25确认加印SKU)</t>
  </si>
  <si>
    <t>SNF0145-051526-RR
SNF0145-052626-RR</t>
  </si>
  <si>
    <t>SKU外箱码：400304222618</t>
  </si>
  <si>
    <t>SNF0145-052226-RR
SNF0145-052926-RR</t>
  </si>
  <si>
    <t>SKU外箱码：400304222595</t>
  </si>
  <si>
    <t>SNF0145-052726-RR</t>
  </si>
  <si>
    <t>SKU外箱码：400304222601</t>
  </si>
  <si>
    <t>SI:6/15 拼柜MSQ:130</t>
  </si>
  <si>
    <t>141AUU7W转单</t>
  </si>
  <si>
    <t>DD'S FOB</t>
  </si>
  <si>
    <t>4/9放</t>
  </si>
  <si>
    <t>SKU外箱码：400304570962</t>
  </si>
  <si>
    <t>SKU外箱码：400304570979</t>
  </si>
  <si>
    <t>SKU外箱码：400304600805</t>
  </si>
  <si>
    <t>SKU外箱码：400304600416</t>
  </si>
  <si>
    <t>SKU外箱码：400304603189</t>
  </si>
  <si>
    <t>QIA 6/25验260PCS QIA6/30验5852</t>
  </si>
  <si>
    <t>SI：6/26.260PCS空运</t>
  </si>
  <si>
    <t>REI TOYS SRL</t>
  </si>
  <si>
    <t>意大利</t>
  </si>
  <si>
    <t>Monica</t>
  </si>
  <si>
    <t>QIA 6/24</t>
  </si>
  <si>
    <t>SI：6/24.拼柜MSQ：130</t>
  </si>
  <si>
    <t>箱唛(5/21确认)</t>
  </si>
  <si>
    <t>5/25放</t>
  </si>
  <si>
    <t>5/21放防伪贴，4/21放刮刮卡</t>
  </si>
  <si>
    <t>JAZ MX - WALMART DOM</t>
  </si>
  <si>
    <t>QIA 7/2</t>
  </si>
  <si>
    <t>SI：7/3</t>
  </si>
  <si>
    <t>JAZ MX箱唛</t>
  </si>
  <si>
    <t>12/17放</t>
  </si>
  <si>
    <t>QIA 7/3</t>
  </si>
  <si>
    <t>SI：7/8</t>
  </si>
  <si>
    <t>11/10放</t>
  </si>
  <si>
    <t>FRI:7/2</t>
  </si>
  <si>
    <t>DPI:7/2FRI:7/4</t>
  </si>
  <si>
    <t>SI：7/4</t>
  </si>
  <si>
    <t>散货入仓；7/13—7/16，MSQ:$300,Rework Charge:$50</t>
  </si>
  <si>
    <t>2/2已确认</t>
  </si>
  <si>
    <t>2/2放</t>
  </si>
  <si>
    <t>散货入仓；7/13—7/16</t>
  </si>
  <si>
    <t>QIA:7/4</t>
  </si>
  <si>
    <t>Rework Charge:$20,散货入仓；7/13—7/16</t>
  </si>
  <si>
    <t>库存换箱出货，需要改贴纸</t>
  </si>
  <si>
    <t>QIA:7/17</t>
  </si>
  <si>
    <t>SI:7/18</t>
  </si>
  <si>
    <t>7L包装+RPET吸塑+飞机孔，用7L贴纸返工出货 7张贴纸</t>
  </si>
  <si>
    <t>QIA：7/16</t>
  </si>
  <si>
    <t>7L包装+RPET吸塑+飞机孔，改用7L贴纸返工出货 7张贴纸</t>
  </si>
  <si>
    <t>RED APPLE STORES</t>
  </si>
  <si>
    <t>Jane</t>
  </si>
  <si>
    <t>FRI QIA:7/13</t>
  </si>
  <si>
    <t>VGM/SI；7/20</t>
  </si>
  <si>
    <t>ADC BLACKFIRE ENTERTAINMENT SRL</t>
  </si>
  <si>
    <t>Dila</t>
  </si>
  <si>
    <t>MOQ:100</t>
  </si>
  <si>
    <t>箱唛(确定)</t>
  </si>
  <si>
    <t>4/6放作废6/24放新贴纸</t>
  </si>
  <si>
    <t>CMW0015-050826-RR</t>
  </si>
  <si>
    <t>需要带罗马尼亚语说明书</t>
  </si>
  <si>
    <t>QIA:7/13</t>
  </si>
  <si>
    <t>Si：7/20</t>
  </si>
  <si>
    <t>7/7放贴纸无备品小心贴</t>
  </si>
  <si>
    <t>DPI 7/20 &amp; FRI 7/23</t>
  </si>
  <si>
    <t>SI：7/27</t>
  </si>
  <si>
    <t>QIA：7/18</t>
  </si>
  <si>
    <t>RED SLA</t>
  </si>
  <si>
    <t>西班牙</t>
  </si>
  <si>
    <t>QIA 7/24</t>
  </si>
  <si>
    <t>SI;7/27</t>
  </si>
  <si>
    <t>箱唛(6/15确认)</t>
  </si>
  <si>
    <t>7L包装+RPET吸塑+飞机孔，用7L贴纸返工出货 1张贴纸</t>
  </si>
  <si>
    <t>SI：7/31 MSQ 130</t>
  </si>
  <si>
    <t>UPC191726380771</t>
  </si>
  <si>
    <t>SI：7/31</t>
  </si>
  <si>
    <t>4/16放</t>
  </si>
  <si>
    <t>UPC191726441250</t>
  </si>
  <si>
    <t>DPI  7/27 &amp; FRI  7/30</t>
  </si>
  <si>
    <t>SI：8/4：2344   SI:8/7  3000</t>
  </si>
  <si>
    <t>ORBICO D.O.O</t>
  </si>
  <si>
    <t>克罗地亚</t>
  </si>
  <si>
    <t>QIA：7/7</t>
  </si>
  <si>
    <t>确认箱唛</t>
  </si>
  <si>
    <t>1/29放</t>
  </si>
  <si>
    <t>TIENDAS CHEDRAUI S.A. DE C.V.</t>
  </si>
  <si>
    <t>QIA：7/31</t>
  </si>
  <si>
    <t>SI：8/4</t>
  </si>
  <si>
    <t>箱唛6/16确认</t>
  </si>
  <si>
    <t>12/16放6/12放新贴纸</t>
  </si>
  <si>
    <t>4/21放刮刮卡,防伪贴</t>
  </si>
  <si>
    <t>FNT1609-062926-RR
FNT1610-062926-RR
FNT1611-062926-RR</t>
  </si>
  <si>
    <t xml:space="preserve">QIA：7/22  </t>
  </si>
  <si>
    <t>SI：8/1</t>
  </si>
  <si>
    <t>D. GIALAMAS &amp; CO</t>
  </si>
  <si>
    <t>希腊</t>
  </si>
  <si>
    <t>UL:8/3</t>
  </si>
  <si>
    <t>箱唛(6/11确认)</t>
  </si>
  <si>
    <t>原PO号</t>
  </si>
  <si>
    <t>现PO号</t>
  </si>
  <si>
    <t>走货期</t>
  </si>
  <si>
    <t>验货期</t>
  </si>
  <si>
    <t>验货地
(湖南/东莞)</t>
  </si>
  <si>
    <t>客供物料</t>
  </si>
  <si>
    <t>单价</t>
  </si>
  <si>
    <t>DISTRIBUIDORA LIVERPOOL S.A. DE C.V.</t>
  </si>
  <si>
    <t>LIV-SP26-COLL-China2</t>
  </si>
  <si>
    <t>客系统无数</t>
  </si>
  <si>
    <t>箱唛（7/7）</t>
  </si>
  <si>
    <t>11/3放</t>
  </si>
  <si>
    <t>欠密码卡</t>
  </si>
  <si>
    <t>JAZ068716</t>
  </si>
  <si>
    <t>7L包装</t>
  </si>
  <si>
    <t>JAZ068715</t>
  </si>
  <si>
    <t>JAZWARES - WALMART</t>
  </si>
  <si>
    <t>JAZ110178</t>
  </si>
  <si>
    <t>客箱唛(欠)</t>
  </si>
  <si>
    <t>美文包装</t>
  </si>
  <si>
    <t>JAZ073766</t>
  </si>
  <si>
    <t>JAZ177032</t>
  </si>
  <si>
    <t>JAZ198964</t>
  </si>
  <si>
    <t>3L(EFS)</t>
  </si>
  <si>
    <t>JAZ210084</t>
  </si>
  <si>
    <t>新彩盒+使用新印花新压边的衣服</t>
  </si>
  <si>
    <t>JAZ209203</t>
  </si>
  <si>
    <t>CANADIAN TIRE CORPORATION,LTD</t>
  </si>
  <si>
    <t>6/14退仓单</t>
  </si>
  <si>
    <t>09842660</t>
  </si>
  <si>
    <t>7L包装+RPET吸塑+新版8L说明书</t>
  </si>
  <si>
    <t>POUK08020</t>
  </si>
  <si>
    <t>货期待定</t>
  </si>
  <si>
    <t>暂停</t>
  </si>
  <si>
    <t>ATIQ79</t>
  </si>
  <si>
    <t>SI:7/16
Rework Charge:440</t>
  </si>
  <si>
    <t>箱唛（4-15待确认）</t>
  </si>
  <si>
    <t>客贴纸（欠）</t>
  </si>
  <si>
    <t>7L+G-LOGO包装+8L说明书</t>
  </si>
  <si>
    <t>5MF6RNEF</t>
  </si>
  <si>
    <t>4/9取消转仓单</t>
  </si>
  <si>
    <t>QIA:5/29</t>
  </si>
  <si>
    <t>62ZKZ6ZP</t>
  </si>
  <si>
    <t>OPERADORA DEL SUR, S. A DE C. V.</t>
  </si>
  <si>
    <t>萨尔瓦多</t>
  </si>
  <si>
    <t>TBD-RR</t>
  </si>
  <si>
    <t>3/27取消转仓单</t>
  </si>
  <si>
    <t>ORBICO SP. Z O.O.</t>
  </si>
  <si>
    <t>波兰</t>
  </si>
  <si>
    <t>4500458712 FNT</t>
  </si>
  <si>
    <t>箱唛确认（暂不定纸箱）</t>
  </si>
  <si>
    <t>3/11放</t>
  </si>
  <si>
    <t>CORPORACION EL ROSADO S.A.</t>
  </si>
  <si>
    <t>厄瓜多尔</t>
  </si>
  <si>
    <t>2025-4459</t>
  </si>
  <si>
    <t>箱唛（欠）</t>
  </si>
  <si>
    <t>12/16放</t>
  </si>
  <si>
    <t>1/24放</t>
  </si>
  <si>
    <t>取消108个</t>
  </si>
  <si>
    <t>Orbico SRO</t>
  </si>
  <si>
    <t>中欧</t>
  </si>
  <si>
    <t>ORBCRT FNT FA26</t>
  </si>
  <si>
    <t>CMW0336</t>
  </si>
  <si>
    <t>CMW0335</t>
  </si>
  <si>
    <t>CMW0311</t>
  </si>
  <si>
    <t>CMW0140</t>
  </si>
  <si>
    <t>CMW0142</t>
  </si>
  <si>
    <t>CMW0139</t>
  </si>
  <si>
    <t>结余数</t>
  </si>
  <si>
    <t>CMW0108/0118</t>
  </si>
  <si>
    <t>CKN0007</t>
  </si>
  <si>
    <t>CKN0008</t>
  </si>
  <si>
    <t>NER0205/NER0226/NER0264</t>
  </si>
  <si>
    <t>ITEM</t>
  </si>
  <si>
    <t>IC MA QTY</t>
  </si>
  <si>
    <t>Remark</t>
  </si>
  <si>
    <t>放MA 时间</t>
  </si>
  <si>
    <t>IC交期</t>
  </si>
  <si>
    <t>2021 第一批MA</t>
  </si>
  <si>
    <t>Receive PO date</t>
  </si>
  <si>
    <t>PO</t>
  </si>
  <si>
    <t>PO QTY</t>
  </si>
  <si>
    <t>REST QTY</t>
  </si>
  <si>
    <t>PR220006-01</t>
  </si>
  <si>
    <t>JAZ075189</t>
  </si>
  <si>
    <t>JAZ075190</t>
  </si>
  <si>
    <t>BLF SAMPLES 21-22</t>
  </si>
  <si>
    <t>JAZ111959</t>
  </si>
  <si>
    <t>JAZ116914</t>
  </si>
  <si>
    <t>JAZ073644</t>
  </si>
  <si>
    <t>JAZ073646</t>
  </si>
  <si>
    <t>JAZ073637</t>
  </si>
  <si>
    <t>JAZ073641</t>
  </si>
  <si>
    <t>CMI0013/CMI0029</t>
  </si>
  <si>
    <t>2021 第1批MA</t>
  </si>
  <si>
    <t>2022 第2批MA</t>
  </si>
  <si>
    <t>2022 第3批MA</t>
  </si>
  <si>
    <t>2023 第4批MA</t>
  </si>
  <si>
    <t>2023 第5批MA</t>
  </si>
  <si>
    <t>2023 第6批MA</t>
  </si>
  <si>
    <t>2023 第7批MA</t>
  </si>
  <si>
    <t>2023 第8批MA</t>
  </si>
  <si>
    <t>2023 第9批MA</t>
  </si>
  <si>
    <t>JAZ072604</t>
  </si>
  <si>
    <t>CMI SAMPLES 21-22</t>
  </si>
  <si>
    <t>1PUWLY8Q</t>
  </si>
  <si>
    <t>4ALRAJBO</t>
  </si>
  <si>
    <t>6F1OMWHA</t>
  </si>
  <si>
    <t>452HH7QV</t>
  </si>
  <si>
    <t>JAZ093840</t>
  </si>
  <si>
    <t>JAZ118359</t>
  </si>
  <si>
    <t>JAZ119222</t>
  </si>
  <si>
    <t>JAZ073647</t>
  </si>
  <si>
    <t>JAZ073649</t>
  </si>
  <si>
    <t>JAZ073103</t>
  </si>
  <si>
    <t>JAZ073104</t>
  </si>
  <si>
    <t>JAZ073105</t>
  </si>
  <si>
    <t>JAZ073106</t>
  </si>
  <si>
    <t>JAZ073107</t>
  </si>
  <si>
    <t>JAZ073108</t>
  </si>
  <si>
    <t>JAZ080339</t>
  </si>
  <si>
    <t>CMI0023</t>
  </si>
  <si>
    <t>COL-40-22-FALL</t>
  </si>
  <si>
    <t>JAZ163359</t>
  </si>
  <si>
    <t>2021 第二批MA</t>
  </si>
  <si>
    <t>POGE00000935</t>
  </si>
  <si>
    <t>JAZ069452</t>
  </si>
  <si>
    <t>10月12日(二)</t>
  </si>
  <si>
    <t>JAZ063418</t>
  </si>
  <si>
    <t>JAZ058649</t>
  </si>
  <si>
    <t>JAZ058650</t>
  </si>
  <si>
    <t>PK2021-2912</t>
  </si>
  <si>
    <t>05112021COCO</t>
  </si>
  <si>
    <t>JAZ063816</t>
  </si>
  <si>
    <t>54-QATAR</t>
  </si>
  <si>
    <t>JAZ069183</t>
  </si>
  <si>
    <t>0821 FALL</t>
  </si>
  <si>
    <t>JAZ066626</t>
  </si>
  <si>
    <t>1221 SPRING</t>
  </si>
  <si>
    <t>10月15日(五)</t>
  </si>
  <si>
    <t>JAZ069187</t>
  </si>
  <si>
    <t>POGE00000920</t>
  </si>
  <si>
    <t>POGE00001023</t>
  </si>
  <si>
    <t>POGE00001250</t>
  </si>
  <si>
    <t>POGE00001656</t>
  </si>
  <si>
    <t>JAZ066630</t>
  </si>
  <si>
    <t>JAZ069186</t>
  </si>
  <si>
    <t>JAZ081715</t>
  </si>
  <si>
    <t>TBD WM MX PRESC 004</t>
  </si>
  <si>
    <t>TBD WALCEN GIRLS 009</t>
  </si>
  <si>
    <t>PO#NAS22-001</t>
  </si>
  <si>
    <t>SALINAS-FALL 2022</t>
  </si>
  <si>
    <t>QRO - FALL 2022</t>
  </si>
  <si>
    <t>22-2100379POR</t>
  </si>
  <si>
    <t>JAZ112207</t>
  </si>
  <si>
    <t>JAZ126202</t>
  </si>
  <si>
    <t>23-1014010POR</t>
  </si>
  <si>
    <t>INTEK_23</t>
  </si>
  <si>
    <t>TBD SP24 WMMX SC18</t>
  </si>
  <si>
    <t>TBD WALCEN SP24 015</t>
  </si>
  <si>
    <t>2019 第一批MA</t>
  </si>
  <si>
    <t>JAZ017401</t>
  </si>
  <si>
    <t>POUK00793</t>
  </si>
  <si>
    <t>JAZ017637(样板PO)</t>
  </si>
  <si>
    <t>POUK00835</t>
  </si>
  <si>
    <t>JAZ020590</t>
  </si>
  <si>
    <t>CKN0013</t>
  </si>
  <si>
    <t>2021年结余数</t>
  </si>
  <si>
    <t>JAZ075375</t>
  </si>
  <si>
    <t>PR220041-01</t>
  </si>
  <si>
    <t>59 CMW</t>
  </si>
  <si>
    <t>POGE00001100</t>
  </si>
  <si>
    <t>3Q7QMWXU</t>
  </si>
  <si>
    <t>PO22000049</t>
  </si>
  <si>
    <t>PR220134-01</t>
  </si>
  <si>
    <t>6292022CO</t>
  </si>
  <si>
    <t>E071322</t>
  </si>
  <si>
    <t>5222022C</t>
  </si>
  <si>
    <t>TB 22-03</t>
  </si>
  <si>
    <t>8G2SWB4V</t>
  </si>
  <si>
    <t>WS220801/WS220802</t>
  </si>
  <si>
    <t>08312022COCO</t>
  </si>
  <si>
    <t>SBN-SP23(DEC)</t>
  </si>
  <si>
    <t>5O74VA6S</t>
  </si>
  <si>
    <t>JAZ112533</t>
  </si>
  <si>
    <t>POUK02834</t>
  </si>
  <si>
    <t>POUK02835</t>
  </si>
  <si>
    <t>VG121522 CM</t>
  </si>
  <si>
    <t>121922CO</t>
  </si>
  <si>
    <t>JAZ118083</t>
  </si>
  <si>
    <t>1KSZVPLW</t>
  </si>
  <si>
    <t>1SITFXHH</t>
  </si>
  <si>
    <t>2TV8ZFOH</t>
  </si>
  <si>
    <t>4HNC8LCK</t>
  </si>
  <si>
    <t>6NNZVOBG</t>
  </si>
  <si>
    <t>22AAEV4Q</t>
  </si>
  <si>
    <t>JAZ119216</t>
  </si>
  <si>
    <t>JAZ122381</t>
  </si>
  <si>
    <t>JAZ122382</t>
  </si>
  <si>
    <t>AG220459</t>
  </si>
  <si>
    <t>AG220460</t>
  </si>
  <si>
    <t>7CO26S7P</t>
  </si>
  <si>
    <t>TB23-03</t>
  </si>
  <si>
    <t>3750663856</t>
  </si>
  <si>
    <t>81370</t>
  </si>
  <si>
    <t>POGE00001892</t>
  </si>
  <si>
    <t>08586858</t>
  </si>
  <si>
    <t>08562017</t>
  </si>
  <si>
    <t>EKHA-ME</t>
  </si>
  <si>
    <t>W0621402</t>
  </si>
  <si>
    <t>JAZ148979</t>
  </si>
  <si>
    <t>PO 69 ATIQ</t>
  </si>
  <si>
    <t>6UNB496D</t>
  </si>
  <si>
    <t>7I1DXQBK</t>
  </si>
  <si>
    <t>6O19FGXB</t>
  </si>
  <si>
    <t>AG230199</t>
  </si>
  <si>
    <t>AG230200</t>
  </si>
  <si>
    <t>AG230212</t>
  </si>
  <si>
    <t>AG230213</t>
  </si>
  <si>
    <t>LTT-10008</t>
  </si>
  <si>
    <t>TB FALL-23</t>
  </si>
  <si>
    <t>4JSMTFJN</t>
  </si>
  <si>
    <t>8OOLDF7R</t>
  </si>
  <si>
    <t>4IVBF36E</t>
  </si>
  <si>
    <t>6TLLQAMT</t>
  </si>
  <si>
    <t>323MLP3R</t>
  </si>
  <si>
    <t>88SUGHSP</t>
  </si>
  <si>
    <t>134S79TA</t>
  </si>
  <si>
    <t>1TCFCEIZ</t>
  </si>
  <si>
    <t>582XEH5U</t>
  </si>
  <si>
    <t>5LHDFPRB</t>
  </si>
  <si>
    <t>874JBH8A</t>
  </si>
  <si>
    <t>KID-CO</t>
  </si>
  <si>
    <t>POUK04096</t>
  </si>
  <si>
    <t>POGE00002150</t>
  </si>
  <si>
    <t>POUK04313</t>
  </si>
  <si>
    <t>POGE00002337</t>
  </si>
  <si>
    <t>LIV-SPR24-002A</t>
  </si>
  <si>
    <t>ATIQ72</t>
  </si>
  <si>
    <t>ATIQ73</t>
  </si>
  <si>
    <t>2022年第一批</t>
  </si>
  <si>
    <t>1/13/2022</t>
  </si>
  <si>
    <t>2022年第二批</t>
  </si>
  <si>
    <t>2/17/2022</t>
  </si>
  <si>
    <t>2/23/2022</t>
  </si>
  <si>
    <t>2022年第三批</t>
  </si>
  <si>
    <t>6/7/2022</t>
  </si>
  <si>
    <t>JAZ075373</t>
  </si>
  <si>
    <t>JAZ075374</t>
  </si>
  <si>
    <t>JAZ074698</t>
  </si>
  <si>
    <t>INF8R6</t>
  </si>
  <si>
    <t>JAZ079449</t>
  </si>
  <si>
    <t>JAZ079453</t>
  </si>
  <si>
    <t>JAZ079450</t>
  </si>
  <si>
    <t>IC厂交不齐</t>
  </si>
  <si>
    <t>JAZ093744</t>
  </si>
  <si>
    <t>DIS0421A(CMW0420A)</t>
  </si>
  <si>
    <t>CMW0522A(CMW0420A)</t>
  </si>
  <si>
    <t>JAZ117281</t>
  </si>
  <si>
    <t>7SU425466</t>
  </si>
  <si>
    <t>PK2022-3046</t>
  </si>
  <si>
    <t>JAZ121108</t>
  </si>
  <si>
    <t>JAZ121109</t>
  </si>
  <si>
    <t>JAZ121107</t>
  </si>
  <si>
    <t>JAZ121110</t>
  </si>
  <si>
    <t>REI23-05</t>
  </si>
  <si>
    <t>先放20000个，余下三万未放</t>
  </si>
  <si>
    <t>4/6再放10000个，还有二万未放</t>
  </si>
  <si>
    <t>JAZ109842</t>
  </si>
  <si>
    <t>5/12放最后两万个</t>
  </si>
  <si>
    <t>JAZ114607</t>
  </si>
  <si>
    <t>JAZ114610</t>
  </si>
  <si>
    <t>60X372964</t>
  </si>
  <si>
    <t>PK2022-3047</t>
  </si>
  <si>
    <t>办单</t>
  </si>
  <si>
    <t>JAZ124788</t>
  </si>
  <si>
    <t>JAZ124790</t>
  </si>
  <si>
    <t>2O21LWGC</t>
  </si>
  <si>
    <t>6SX38X2B</t>
  </si>
  <si>
    <t>7C123I7F</t>
  </si>
  <si>
    <t>6H83544G</t>
  </si>
  <si>
    <t>6ZPVPZWU</t>
  </si>
  <si>
    <t>7TVZ2MQW</t>
  </si>
  <si>
    <t>7IHFQDWN</t>
  </si>
  <si>
    <t>86QQMYJR</t>
  </si>
  <si>
    <t>62F7V1HK</t>
  </si>
  <si>
    <t>81NS7WTY</t>
  </si>
  <si>
    <t>2Z4V82YO</t>
  </si>
  <si>
    <t>8ERCBYVF</t>
  </si>
  <si>
    <t>88QTWRKJ</t>
  </si>
  <si>
    <t>1HMTTFZV</t>
  </si>
  <si>
    <t>2AOFH5YP</t>
  </si>
  <si>
    <t>14RMPKQU</t>
  </si>
  <si>
    <t>3ST44RLV</t>
  </si>
  <si>
    <t>7NVA3M7G</t>
  </si>
  <si>
    <t>4R6EM85C</t>
  </si>
  <si>
    <t>5CPD9ZQH</t>
  </si>
  <si>
    <t>4FAY2AWH</t>
  </si>
  <si>
    <t>MAR-COCO</t>
  </si>
  <si>
    <t>JAZ150092</t>
  </si>
  <si>
    <t>JAZ156878</t>
  </si>
  <si>
    <t>NER0156/11588/NER0150</t>
  </si>
  <si>
    <t>12/21/2021 第20批MA</t>
  </si>
  <si>
    <t>2022年6月底交200K，7月底交100K</t>
  </si>
  <si>
    <t>21年IC结余</t>
  </si>
  <si>
    <t>POUK02219</t>
  </si>
  <si>
    <t>POUK02220</t>
  </si>
  <si>
    <t>POUK02218</t>
  </si>
  <si>
    <t>POGE00001104</t>
  </si>
  <si>
    <t>POUK02214</t>
  </si>
  <si>
    <t>POUK02271</t>
  </si>
  <si>
    <t>2SYTGYEI</t>
  </si>
  <si>
    <t>3IFGLDTS</t>
  </si>
  <si>
    <t>8INOVZOA</t>
  </si>
  <si>
    <t>1T38OZ3E</t>
  </si>
  <si>
    <t>3JVH3X6V</t>
  </si>
  <si>
    <t>3T5A4HGS</t>
  </si>
  <si>
    <t>6URIVW8E</t>
  </si>
  <si>
    <t>22年IC结余</t>
  </si>
  <si>
    <t>POGE00001458</t>
  </si>
  <si>
    <t>6/30/2021 第九批MA</t>
  </si>
  <si>
    <t>000235</t>
  </si>
  <si>
    <t>88MW5S7X</t>
  </si>
  <si>
    <t>11/15/2021放MA</t>
  </si>
  <si>
    <t>新IC</t>
  </si>
  <si>
    <t>8F4MT89Z</t>
  </si>
  <si>
    <t>1CFE9ZDZ</t>
  </si>
  <si>
    <t>3AMO3DVY</t>
  </si>
  <si>
    <t>5D6PZGOB</t>
  </si>
  <si>
    <t>5UAS1C5J</t>
  </si>
  <si>
    <t>92000484 PKW</t>
  </si>
  <si>
    <t>4500186394 PKW</t>
  </si>
  <si>
    <t>JAZ111056</t>
  </si>
  <si>
    <t>JAZ117957</t>
  </si>
  <si>
    <t>JAZ117971</t>
  </si>
  <si>
    <t>97759 / PKW0264</t>
  </si>
  <si>
    <t>11/15/2021 第11批MA</t>
  </si>
  <si>
    <t>54 - QATAR</t>
  </si>
  <si>
    <t>1WIR4R5V</t>
  </si>
  <si>
    <t>6CQ6RCMJ</t>
  </si>
  <si>
    <t>77BSCP6U</t>
  </si>
  <si>
    <t>3PJ5ZN9L</t>
  </si>
  <si>
    <t>8UJSTOLG</t>
  </si>
  <si>
    <t>4Z9OBRAC</t>
  </si>
  <si>
    <t>72BF7DSP</t>
  </si>
  <si>
    <t>3NVRFXCC</t>
  </si>
  <si>
    <t>3R8KX2XX</t>
  </si>
  <si>
    <t>8J5H38ZR</t>
  </si>
  <si>
    <t>R00097816</t>
  </si>
  <si>
    <t>04072022 PKW</t>
  </si>
  <si>
    <t>04262022 PKW</t>
  </si>
  <si>
    <t>92000458 PKW</t>
  </si>
  <si>
    <t>4KJ6YAHT</t>
  </si>
  <si>
    <t>2023-00007</t>
  </si>
  <si>
    <t>030822-01 PKW</t>
  </si>
  <si>
    <t>2023-00046</t>
  </si>
  <si>
    <t>63-1</t>
  </si>
  <si>
    <t>JAZ114614</t>
  </si>
  <si>
    <t>JAZ142841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</si>
</sst>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mm/dd/yy;@"/>
    <numFmt numFmtId="178" formatCode="#,##0_ "/>
    <numFmt numFmtId="179" formatCode="m&quot;月&quot;d&quot;日&quot;\(aaa\)"/>
    <numFmt numFmtId="180" formatCode="yyyy/m/d&quot;周&quot;aaa"/>
    <numFmt numFmtId="181" formatCode="0.000_ ;[Red]\-0.000\ "/>
    <numFmt numFmtId="182" formatCode="0.00_ ;[Red]\-0.00\ "/>
    <numFmt numFmtId="183" formatCode="0.00_ "/>
    <numFmt numFmtId="184" formatCode="#,##0.00_);[Red]\(#,##0.00\)"/>
    <numFmt numFmtId="185" formatCode="0_ "/>
    <numFmt numFmtId="186" formatCode="#,##0.00_ "/>
    <numFmt numFmtId="187" formatCode="0.000_ "/>
  </numFmts>
  <fonts count="62">
    <font>
      <sz val="12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9"/>
      <color indexed="8"/>
      <name val="宋体"/>
      <charset val="134"/>
    </font>
    <font>
      <sz val="9"/>
      <color rgb="FF0000FF"/>
      <name val="宋体"/>
      <charset val="134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  <scheme val="major"/>
    </font>
    <font>
      <b/>
      <sz val="9"/>
      <color rgb="FFFF0000"/>
      <name val="宋体"/>
      <charset val="134"/>
    </font>
    <font>
      <sz val="9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b/>
      <strike/>
      <sz val="9"/>
      <color rgb="FFFF0000"/>
      <name val="宋体"/>
      <charset val="134"/>
    </font>
    <font>
      <sz val="9"/>
      <color rgb="FFFF00FF"/>
      <name val="宋体"/>
      <charset val="134"/>
      <scheme val="major"/>
    </font>
    <font>
      <sz val="9"/>
      <color rgb="FFFF00FF"/>
      <name val="宋体"/>
      <charset val="134"/>
    </font>
    <font>
      <sz val="10"/>
      <name val="Times New Roman"/>
      <charset val="134"/>
    </font>
    <font>
      <b/>
      <sz val="10"/>
      <color rgb="FFFF0000"/>
      <name val="宋体"/>
      <charset val="134"/>
    </font>
    <font>
      <b/>
      <sz val="10"/>
      <color rgb="FFFF0000"/>
      <name val="Times New Roman"/>
      <charset val="134"/>
    </font>
    <font>
      <sz val="9"/>
      <color rgb="FF417FF9"/>
      <name val="宋体"/>
      <charset val="134"/>
      <scheme val="major"/>
    </font>
    <font>
      <sz val="9"/>
      <color rgb="FF417FF9"/>
      <name val="宋体"/>
      <charset val="134"/>
    </font>
    <font>
      <b/>
      <sz val="9"/>
      <name val="宋体"/>
      <charset val="134"/>
    </font>
    <font>
      <sz val="9"/>
      <color rgb="FF000000"/>
      <name val="宋体"/>
      <charset val="134"/>
    </font>
    <font>
      <sz val="9"/>
      <color rgb="FF1B04FA"/>
      <name val="宋体"/>
      <charset val="134"/>
      <scheme val="major"/>
    </font>
    <font>
      <sz val="9"/>
      <color rgb="FF1B04FA"/>
      <name val="宋体"/>
      <charset val="134"/>
    </font>
    <font>
      <b/>
      <sz val="9"/>
      <color rgb="FF1B04FA"/>
      <name val="宋体"/>
      <charset val="134"/>
      <scheme val="major"/>
    </font>
    <font>
      <b/>
      <sz val="9"/>
      <name val="宋体"/>
      <charset val="134"/>
      <scheme val="major"/>
    </font>
    <font>
      <b/>
      <sz val="9"/>
      <color rgb="FF417FF9"/>
      <name val="宋体"/>
      <charset val="134"/>
      <scheme val="major"/>
    </font>
    <font>
      <sz val="9"/>
      <color rgb="FF000000"/>
      <name val="宋体"/>
      <charset val="134"/>
      <scheme val="major"/>
    </font>
    <font>
      <strike/>
      <sz val="9"/>
      <name val="宋体"/>
      <charset val="134"/>
      <scheme val="major"/>
    </font>
    <font>
      <sz val="9"/>
      <color rgb="FF0000FF"/>
      <name val="宋体"/>
      <charset val="134"/>
      <scheme val="major"/>
    </font>
    <font>
      <sz val="12"/>
      <name val="微软雅黑"/>
      <charset val="134"/>
    </font>
    <font>
      <b/>
      <sz val="9"/>
      <color rgb="FF00B050"/>
      <name val="宋体"/>
      <charset val="134"/>
    </font>
    <font>
      <b/>
      <sz val="9"/>
      <color rgb="FFFF0000"/>
      <name val="Times New Roman"/>
      <charset val="134"/>
    </font>
    <font>
      <sz val="9"/>
      <color rgb="FFFF0000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9"/>
      <name val="宋体"/>
      <charset val="0"/>
    </font>
    <font>
      <b/>
      <sz val="9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43" fontId="36" fillId="0" borderId="0" applyFont="0" applyFill="0" applyBorder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7" borderId="10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13" applyNumberFormat="0" applyAlignment="0" applyProtection="0">
      <alignment vertical="center"/>
    </xf>
    <xf numFmtId="0" fontId="46" fillId="9" borderId="14" applyNumberFormat="0" applyAlignment="0" applyProtection="0">
      <alignment vertical="center"/>
    </xf>
    <xf numFmtId="0" fontId="47" fillId="9" borderId="13" applyNumberFormat="0" applyAlignment="0" applyProtection="0">
      <alignment vertical="center"/>
    </xf>
    <xf numFmtId="0" fontId="48" fillId="10" borderId="15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36" fillId="0" borderId="0">
      <alignment vertical="center"/>
    </xf>
    <xf numFmtId="0" fontId="56" fillId="0" borderId="0"/>
    <xf numFmtId="0" fontId="36" fillId="0" borderId="0">
      <alignment vertical="center"/>
    </xf>
    <xf numFmtId="0" fontId="57" fillId="0" borderId="0"/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35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6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79" applyFont="1" applyFill="1" applyBorder="1" applyAlignment="1">
      <alignment horizontal="center" vertical="center" wrapText="1" shrinkToFit="1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79" applyFont="1" applyFill="1" applyBorder="1" applyAlignment="1">
      <alignment horizontal="center" vertical="center" wrapText="1" shrinkToFit="1"/>
    </xf>
    <xf numFmtId="0" fontId="1" fillId="0" borderId="4" xfId="79" applyFont="1" applyFill="1" applyBorder="1" applyAlignment="1">
      <alignment horizontal="center" vertical="center" wrapText="1" shrinkToFit="1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1" fillId="0" borderId="1" xfId="79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180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80" fontId="1" fillId="0" borderId="0" xfId="0" applyNumberFormat="1" applyFont="1" applyFill="1" applyAlignment="1">
      <alignment horizontal="center" vertical="center" wrapText="1"/>
    </xf>
    <xf numFmtId="181" fontId="1" fillId="0" borderId="0" xfId="0" applyNumberFormat="1" applyFont="1" applyFill="1" applyAlignment="1">
      <alignment horizontal="center" vertical="center" wrapText="1"/>
    </xf>
    <xf numFmtId="182" fontId="1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 wrapText="1" shrinkToFit="1"/>
    </xf>
    <xf numFmtId="180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183" fontId="7" fillId="0" borderId="1" xfId="0" applyNumberFormat="1" applyFont="1" applyFill="1" applyBorder="1" applyAlignment="1">
      <alignment horizontal="center" vertical="center" wrapText="1"/>
    </xf>
    <xf numFmtId="58" fontId="7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 shrinkToFit="1"/>
    </xf>
    <xf numFmtId="22" fontId="3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81" fontId="3" fillId="0" borderId="1" xfId="0" applyNumberFormat="1" applyFont="1" applyFill="1" applyBorder="1" applyAlignment="1">
      <alignment horizontal="center" vertical="center" wrapText="1"/>
    </xf>
    <xf numFmtId="182" fontId="3" fillId="0" borderId="1" xfId="0" applyNumberFormat="1" applyFont="1" applyFill="1" applyBorder="1" applyAlignment="1">
      <alignment horizontal="center" vertical="center" wrapText="1"/>
    </xf>
    <xf numFmtId="58" fontId="8" fillId="0" borderId="1" xfId="0" applyNumberFormat="1" applyFont="1" applyFill="1" applyBorder="1" applyAlignment="1">
      <alignment horizontal="center" vertical="center" wrapText="1"/>
    </xf>
    <xf numFmtId="183" fontId="3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 vertical="center" wrapText="1" shrinkToFit="1"/>
    </xf>
    <xf numFmtId="179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shrinkToFit="1"/>
    </xf>
    <xf numFmtId="180" fontId="7" fillId="0" borderId="1" xfId="0" applyNumberFormat="1" applyFont="1" applyFill="1" applyBorder="1" applyAlignment="1">
      <alignment horizontal="center" vertical="center" wrapText="1"/>
    </xf>
    <xf numFmtId="22" fontId="7" fillId="0" borderId="1" xfId="0" applyNumberFormat="1" applyFont="1" applyFill="1" applyBorder="1" applyAlignment="1">
      <alignment horizontal="center" vertical="center" wrapText="1"/>
    </xf>
    <xf numFmtId="181" fontId="7" fillId="0" borderId="1" xfId="0" applyNumberFormat="1" applyFont="1" applyFill="1" applyBorder="1" applyAlignment="1">
      <alignment horizontal="center" vertical="center" wrapText="1"/>
    </xf>
    <xf numFmtId="182" fontId="7" fillId="0" borderId="1" xfId="0" applyNumberFormat="1" applyFont="1" applyFill="1" applyBorder="1" applyAlignment="1">
      <alignment horizontal="center" vertical="center" wrapText="1"/>
    </xf>
    <xf numFmtId="0" fontId="3" fillId="0" borderId="1" xfId="79" applyFont="1" applyFill="1" applyBorder="1" applyAlignment="1">
      <alignment horizontal="center" vertical="center" wrapText="1" shrinkToFit="1"/>
    </xf>
    <xf numFmtId="184" fontId="3" fillId="0" borderId="1" xfId="0" applyNumberFormat="1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 wrapText="1"/>
    </xf>
    <xf numFmtId="184" fontId="7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85" fontId="7" fillId="0" borderId="1" xfId="0" applyNumberFormat="1" applyFont="1" applyFill="1" applyBorder="1" applyAlignment="1">
      <alignment horizontal="center" vertical="center" wrapText="1"/>
    </xf>
    <xf numFmtId="58" fontId="10" fillId="0" borderId="1" xfId="0" applyNumberFormat="1" applyFont="1" applyFill="1" applyBorder="1" applyAlignment="1">
      <alignment horizontal="center" vertical="center" wrapText="1"/>
    </xf>
    <xf numFmtId="58" fontId="11" fillId="0" borderId="1" xfId="0" applyNumberFormat="1" applyFont="1" applyFill="1" applyBorder="1" applyAlignment="1">
      <alignment horizontal="center" vertical="center" wrapText="1"/>
    </xf>
    <xf numFmtId="180" fontId="8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5" fillId="0" borderId="1" xfId="0" applyFont="1" applyFill="1" applyBorder="1" applyAlignment="1">
      <alignment horizontal="center" vertical="center" wrapText="1"/>
    </xf>
    <xf numFmtId="180" fontId="12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83" fontId="12" fillId="0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 shrinkToFit="1"/>
    </xf>
    <xf numFmtId="0" fontId="12" fillId="0" borderId="1" xfId="0" applyNumberFormat="1" applyFont="1" applyFill="1" applyBorder="1" applyAlignment="1">
      <alignment horizontal="center" vertical="center" wrapText="1"/>
    </xf>
    <xf numFmtId="180" fontId="12" fillId="0" borderId="1" xfId="0" applyNumberFormat="1" applyFont="1" applyFill="1" applyBorder="1" applyAlignment="1">
      <alignment horizontal="center" vertical="center" wrapText="1" shrinkToFit="1"/>
    </xf>
    <xf numFmtId="0" fontId="12" fillId="0" borderId="1" xfId="0" applyFont="1" applyFill="1" applyBorder="1" applyAlignment="1">
      <alignment horizontal="center" vertical="center" wrapText="1" shrinkToFit="1"/>
    </xf>
    <xf numFmtId="22" fontId="12" fillId="0" borderId="1" xfId="0" applyNumberFormat="1" applyFont="1" applyFill="1" applyBorder="1" applyAlignment="1">
      <alignment horizontal="center" vertical="center" wrapText="1"/>
    </xf>
    <xf numFmtId="181" fontId="12" fillId="0" borderId="1" xfId="0" applyNumberFormat="1" applyFont="1" applyFill="1" applyBorder="1" applyAlignment="1">
      <alignment horizontal="center" vertical="center" wrapText="1"/>
    </xf>
    <xf numFmtId="182" fontId="12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80" fontId="13" fillId="0" borderId="1" xfId="0" applyNumberFormat="1" applyFont="1" applyFill="1" applyBorder="1" applyAlignment="1">
      <alignment horizontal="center" vertical="center" wrapText="1"/>
    </xf>
    <xf numFmtId="22" fontId="13" fillId="0" borderId="1" xfId="0" applyNumberFormat="1" applyFont="1" applyFill="1" applyBorder="1" applyAlignment="1">
      <alignment horizontal="center" vertical="center" wrapText="1"/>
    </xf>
    <xf numFmtId="181" fontId="13" fillId="0" borderId="1" xfId="0" applyNumberFormat="1" applyFont="1" applyFill="1" applyBorder="1" applyAlignment="1">
      <alignment horizontal="center" vertical="center" wrapText="1"/>
    </xf>
    <xf numFmtId="182" fontId="13" fillId="0" borderId="1" xfId="0" applyNumberFormat="1" applyFont="1" applyFill="1" applyBorder="1" applyAlignment="1">
      <alignment horizontal="center" vertical="center" wrapText="1"/>
    </xf>
    <xf numFmtId="180" fontId="13" fillId="0" borderId="1" xfId="0" applyNumberFormat="1" applyFont="1" applyFill="1" applyBorder="1" applyAlignment="1">
      <alignment horizontal="center" vertical="center" wrapText="1" shrinkToFi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185" fontId="12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>
      <alignment horizontal="center" vertical="center"/>
    </xf>
    <xf numFmtId="18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183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183" fontId="13" fillId="0" borderId="1" xfId="0" applyNumberFormat="1" applyFont="1" applyFill="1" applyBorder="1" applyAlignment="1">
      <alignment horizontal="center" vertical="center" wrapText="1"/>
    </xf>
    <xf numFmtId="183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13" fillId="0" borderId="1" xfId="0" applyNumberFormat="1" applyFont="1" applyFill="1" applyBorder="1" applyAlignment="1" applyProtection="1">
      <alignment horizontal="center" vertical="center" wrapText="1"/>
    </xf>
    <xf numFmtId="180" fontId="13" fillId="3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58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6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80" fontId="17" fillId="0" borderId="1" xfId="0" applyNumberFormat="1" applyFont="1" applyFill="1" applyBorder="1" applyAlignment="1">
      <alignment horizontal="center" vertical="center" wrapText="1"/>
    </xf>
    <xf numFmtId="180" fontId="18" fillId="3" borderId="1" xfId="0" applyNumberFormat="1" applyFont="1" applyFill="1" applyBorder="1" applyAlignment="1">
      <alignment horizontal="center" vertical="center" wrapText="1"/>
    </xf>
    <xf numFmtId="180" fontId="17" fillId="0" borderId="1" xfId="0" applyNumberFormat="1" applyFont="1" applyFill="1" applyBorder="1" applyAlignment="1">
      <alignment horizontal="center" vertical="center" wrapText="1" shrinkToFit="1"/>
    </xf>
    <xf numFmtId="0" fontId="18" fillId="0" borderId="1" xfId="0" applyFont="1" applyFill="1" applyBorder="1" applyAlignment="1">
      <alignment horizontal="center" vertical="center" wrapText="1"/>
    </xf>
    <xf numFmtId="183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3" fontId="9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 shrinkToFit="1"/>
    </xf>
    <xf numFmtId="0" fontId="9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 shrinkToFit="1"/>
    </xf>
    <xf numFmtId="22" fontId="1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179" fontId="9" fillId="0" borderId="1" xfId="0" applyNumberFormat="1" applyFont="1" applyFill="1" applyBorder="1" applyAlignment="1">
      <alignment horizontal="center" vertical="center" wrapText="1"/>
    </xf>
    <xf numFmtId="58" fontId="9" fillId="0" borderId="1" xfId="0" applyNumberFormat="1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 applyProtection="1">
      <alignment horizontal="center" vertical="center" wrapText="1"/>
      <protection locked="0"/>
    </xf>
    <xf numFmtId="181" fontId="9" fillId="0" borderId="1" xfId="0" applyNumberFormat="1" applyFont="1" applyFill="1" applyBorder="1" applyAlignment="1">
      <alignment horizontal="center" vertical="center" wrapText="1"/>
    </xf>
    <xf numFmtId="182" fontId="9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180" fontId="9" fillId="0" borderId="0" xfId="0" applyNumberFormat="1" applyFont="1" applyFill="1" applyBorder="1" applyAlignment="1">
      <alignment horizontal="center" vertical="center" wrapText="1" shrinkToFit="1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/>
    </xf>
    <xf numFmtId="180" fontId="9" fillId="0" borderId="0" xfId="0" applyNumberFormat="1" applyFont="1" applyFill="1" applyBorder="1" applyAlignment="1">
      <alignment horizontal="center" vertical="center" wrapText="1"/>
    </xf>
    <xf numFmtId="181" fontId="9" fillId="0" borderId="0" xfId="0" applyNumberFormat="1" applyFont="1" applyFill="1" applyBorder="1" applyAlignment="1">
      <alignment horizontal="center" vertical="center" wrapText="1"/>
    </xf>
    <xf numFmtId="182" fontId="9" fillId="0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 shrinkToFit="1"/>
    </xf>
    <xf numFmtId="0" fontId="9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 shrinkToFit="1"/>
    </xf>
    <xf numFmtId="180" fontId="21" fillId="0" borderId="1" xfId="0" applyNumberFormat="1" applyFont="1" applyFill="1" applyBorder="1" applyAlignment="1">
      <alignment horizontal="center" vertical="center" wrapText="1" shrinkToFit="1"/>
    </xf>
    <xf numFmtId="179" fontId="21" fillId="0" borderId="1" xfId="0" applyNumberFormat="1" applyFont="1" applyFill="1" applyBorder="1" applyAlignment="1">
      <alignment horizontal="center" vertical="center" wrapText="1"/>
    </xf>
    <xf numFmtId="0" fontId="21" fillId="0" borderId="1" xfId="79" applyFont="1" applyFill="1" applyBorder="1" applyAlignment="1">
      <alignment horizontal="center" vertical="center" wrapText="1" shrinkToFit="1"/>
    </xf>
    <xf numFmtId="183" fontId="21" fillId="0" borderId="1" xfId="0" applyNumberFormat="1" applyFont="1" applyFill="1" applyBorder="1" applyAlignment="1">
      <alignment horizontal="center" vertical="center" wrapText="1"/>
    </xf>
    <xf numFmtId="58" fontId="21" fillId="0" borderId="1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 shrinkToFit="1"/>
    </xf>
    <xf numFmtId="0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/>
    </xf>
    <xf numFmtId="180" fontId="21" fillId="0" borderId="1" xfId="0" applyNumberFormat="1" applyFont="1" applyFill="1" applyBorder="1" applyAlignment="1">
      <alignment horizontal="center" vertical="center" wrapText="1"/>
    </xf>
    <xf numFmtId="22" fontId="21" fillId="0" borderId="1" xfId="0" applyNumberFormat="1" applyFont="1" applyFill="1" applyBorder="1" applyAlignment="1">
      <alignment horizontal="center" vertical="center" wrapText="1"/>
    </xf>
    <xf numFmtId="181" fontId="21" fillId="0" borderId="1" xfId="0" applyNumberFormat="1" applyFont="1" applyFill="1" applyBorder="1" applyAlignment="1">
      <alignment horizontal="center" vertical="center" wrapText="1"/>
    </xf>
    <xf numFmtId="182" fontId="21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184" fontId="21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shrinkToFit="1"/>
    </xf>
    <xf numFmtId="180" fontId="20" fillId="0" borderId="1" xfId="0" applyNumberFormat="1" applyFont="1" applyFill="1" applyBorder="1" applyAlignment="1">
      <alignment horizontal="center" vertical="center" wrapText="1"/>
    </xf>
    <xf numFmtId="22" fontId="9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 wrapText="1"/>
      <protection locked="0"/>
    </xf>
    <xf numFmtId="183" fontId="20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Fill="1" applyBorder="1" applyAlignment="1">
      <alignment horizontal="center" vertical="center" wrapText="1"/>
    </xf>
    <xf numFmtId="183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20" fillId="0" borderId="1" xfId="0" applyNumberFormat="1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 applyProtection="1">
      <alignment horizontal="center" vertical="center" wrapText="1"/>
      <protection locked="0"/>
    </xf>
    <xf numFmtId="22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 shrinkToFi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180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183" fontId="18" fillId="0" borderId="1" xfId="0" applyNumberFormat="1" applyFont="1" applyFill="1" applyBorder="1" applyAlignment="1">
      <alignment horizontal="center" vertical="center" wrapText="1"/>
    </xf>
    <xf numFmtId="22" fontId="17" fillId="0" borderId="1" xfId="0" applyNumberFormat="1" applyFont="1" applyFill="1" applyBorder="1" applyAlignment="1">
      <alignment horizontal="center" vertical="center" wrapText="1"/>
    </xf>
    <xf numFmtId="180" fontId="22" fillId="0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183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22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18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 applyProtection="1">
      <alignment horizontal="center" vertical="center" wrapText="1"/>
      <protection locked="0"/>
    </xf>
    <xf numFmtId="183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17" fillId="0" borderId="1" xfId="0" applyNumberFormat="1" applyFont="1" applyFill="1" applyBorder="1" applyAlignment="1">
      <alignment horizontal="center" vertical="center" wrapText="1"/>
    </xf>
    <xf numFmtId="182" fontId="17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180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83" fontId="22" fillId="0" borderId="1" xfId="0" applyNumberFormat="1" applyFont="1" applyFill="1" applyBorder="1" applyAlignment="1">
      <alignment horizontal="center" vertical="center" wrapText="1"/>
    </xf>
    <xf numFmtId="183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20" fillId="0" borderId="1" xfId="0" applyNumberFormat="1" applyFont="1" applyFill="1" applyBorder="1" applyAlignment="1">
      <alignment horizontal="center" vertical="center" wrapText="1"/>
    </xf>
    <xf numFmtId="180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20" fillId="3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79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180" fontId="20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181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 shrinkToFit="1"/>
      <protection locked="0"/>
    </xf>
    <xf numFmtId="0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82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 shrinkToFit="1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180" fontId="2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22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22" fontId="20" fillId="0" borderId="1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180" fontId="9" fillId="6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0" applyFont="1" applyFill="1" applyBorder="1" applyAlignment="1" applyProtection="1">
      <alignment horizontal="center" vertical="center" wrapText="1"/>
      <protection locked="0"/>
    </xf>
    <xf numFmtId="183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58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 shrinkToFit="1"/>
      <protection locked="0"/>
    </xf>
    <xf numFmtId="0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180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180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180" fontId="1" fillId="6" borderId="1" xfId="0" applyNumberFormat="1" applyFont="1" applyFill="1" applyBorder="1" applyAlignment="1" applyProtection="1">
      <alignment horizontal="center" vertical="center" wrapText="1" shrinkToFit="1"/>
      <protection locked="0"/>
    </xf>
    <xf numFmtId="22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181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182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180" fontId="1" fillId="6" borderId="1" xfId="0" applyNumberFormat="1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179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22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180" fontId="9" fillId="0" borderId="0" xfId="0" applyNumberFormat="1" applyFont="1" applyFill="1" applyAlignment="1">
      <alignment horizontal="left" vertical="center"/>
    </xf>
    <xf numFmtId="180" fontId="9" fillId="0" borderId="0" xfId="0" applyNumberFormat="1" applyFont="1" applyFill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180" fontId="9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80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80" fontId="2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3" fillId="0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0" fontId="30" fillId="0" borderId="2" xfId="0" applyNumberFormat="1" applyFont="1" applyFill="1" applyBorder="1" applyAlignment="1">
      <alignment horizontal="center" vertical="center" wrapText="1"/>
    </xf>
    <xf numFmtId="0" fontId="30" fillId="0" borderId="3" xfId="0" applyNumberFormat="1" applyFont="1" applyFill="1" applyBorder="1" applyAlignment="1">
      <alignment horizontal="center" vertical="center" wrapText="1"/>
    </xf>
    <xf numFmtId="0" fontId="1" fillId="0" borderId="1" xfId="78" applyNumberFormat="1" applyFont="1" applyFill="1" applyBorder="1" applyAlignment="1">
      <alignment horizontal="center" vertical="center" wrapText="1"/>
    </xf>
    <xf numFmtId="49" fontId="1" fillId="0" borderId="1" xfId="78" applyNumberFormat="1" applyFont="1" applyFill="1" applyBorder="1" applyAlignment="1">
      <alignment horizontal="center" vertical="center" wrapText="1"/>
    </xf>
    <xf numFmtId="0" fontId="1" fillId="0" borderId="1" xfId="79" applyNumberFormat="1" applyFont="1" applyFill="1" applyBorder="1" applyAlignment="1">
      <alignment horizontal="center" vertical="center" wrapText="1" shrinkToFit="1"/>
    </xf>
    <xf numFmtId="58" fontId="13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180" fontId="9" fillId="6" borderId="1" xfId="0" applyNumberFormat="1" applyFont="1" applyFill="1" applyBorder="1" applyAlignment="1">
      <alignment horizontal="center" vertical="center" wrapText="1" shrinkToFit="1"/>
    </xf>
    <xf numFmtId="58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81" fontId="9" fillId="6" borderId="1" xfId="0" applyNumberFormat="1" applyFont="1" applyFill="1" applyBorder="1" applyAlignment="1">
      <alignment horizontal="center" vertical="center" wrapText="1"/>
    </xf>
    <xf numFmtId="182" fontId="1" fillId="6" borderId="1" xfId="0" applyNumberFormat="1" applyFont="1" applyFill="1" applyBorder="1" applyAlignment="1">
      <alignment horizontal="center" vertical="center" wrapText="1"/>
    </xf>
    <xf numFmtId="182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2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20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8" fillId="0" borderId="1" xfId="0" applyNumberFormat="1" applyFont="1" applyFill="1" applyBorder="1" applyAlignment="1">
      <alignment horizontal="center" vertical="center" wrapText="1" shrinkToFi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180" fontId="31" fillId="0" borderId="0" xfId="0" applyNumberFormat="1" applyFont="1" applyFill="1" applyBorder="1" applyAlignment="1">
      <alignment horizontal="right" vertical="center" wrapText="1"/>
    </xf>
    <xf numFmtId="0" fontId="31" fillId="0" borderId="0" xfId="0" applyFont="1" applyFill="1" applyAlignment="1">
      <alignment horizontal="center" vertical="center" wrapText="1"/>
    </xf>
    <xf numFmtId="0" fontId="32" fillId="0" borderId="0" xfId="0" applyFont="1" applyFill="1" applyAlignment="1">
      <alignment horizontal="center" vertical="center" wrapText="1"/>
    </xf>
    <xf numFmtId="182" fontId="8" fillId="0" borderId="0" xfId="0" applyNumberFormat="1" applyFont="1" applyFill="1" applyBorder="1" applyAlignment="1">
      <alignment horizontal="center" vertical="center" wrapText="1"/>
    </xf>
    <xf numFmtId="186" fontId="15" fillId="0" borderId="0" xfId="0" applyNumberFormat="1" applyFont="1" applyFill="1" applyAlignment="1">
      <alignment horizontal="center" vertical="center" wrapText="1"/>
    </xf>
    <xf numFmtId="183" fontId="31" fillId="0" borderId="0" xfId="0" applyNumberFormat="1" applyFont="1" applyFill="1" applyBorder="1" applyAlignment="1" applyProtection="1">
      <alignment horizontal="center" vertical="center" wrapText="1"/>
    </xf>
    <xf numFmtId="183" fontId="31" fillId="0" borderId="0" xfId="0" applyNumberFormat="1" applyFont="1" applyFill="1" applyBorder="1" applyAlignment="1">
      <alignment horizontal="center" vertical="center" wrapText="1"/>
    </xf>
    <xf numFmtId="180" fontId="8" fillId="0" borderId="0" xfId="0" applyNumberFormat="1" applyFont="1" applyFill="1" applyBorder="1" applyAlignment="1">
      <alignment horizontal="right" vertical="center" wrapText="1"/>
    </xf>
    <xf numFmtId="182" fontId="31" fillId="0" borderId="0" xfId="0" applyNumberFormat="1" applyFont="1" applyFill="1" applyBorder="1" applyAlignment="1">
      <alignment horizontal="center" vertical="center" wrapText="1"/>
    </xf>
    <xf numFmtId="186" fontId="16" fillId="0" borderId="0" xfId="0" applyNumberFormat="1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186" fontId="15" fillId="0" borderId="0" xfId="0" applyNumberFormat="1" applyFont="1" applyFill="1" applyBorder="1" applyAlignment="1">
      <alignment horizontal="center" vertical="center"/>
    </xf>
    <xf numFmtId="187" fontId="31" fillId="0" borderId="0" xfId="0" applyNumberFormat="1" applyFont="1" applyFill="1" applyBorder="1" applyAlignment="1">
      <alignment horizontal="center" vertical="center" wrapText="1"/>
    </xf>
    <xf numFmtId="182" fontId="31" fillId="0" borderId="0" xfId="0" applyNumberFormat="1" applyFont="1" applyFill="1" applyAlignment="1">
      <alignment horizontal="center" vertical="center" wrapText="1"/>
    </xf>
    <xf numFmtId="180" fontId="8" fillId="0" borderId="0" xfId="0" applyNumberFormat="1" applyFont="1" applyFill="1" applyBorder="1" applyAlignment="1">
      <alignment horizontal="left" vertical="center"/>
    </xf>
    <xf numFmtId="0" fontId="33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 wrapText="1"/>
    </xf>
    <xf numFmtId="0" fontId="35" fillId="0" borderId="0" xfId="0" applyFont="1" applyBorder="1" applyAlignment="1">
      <alignment wrapText="1"/>
    </xf>
    <xf numFmtId="0" fontId="0" fillId="0" borderId="0" xfId="0" applyBorder="1"/>
    <xf numFmtId="0" fontId="12" fillId="0" borderId="7" xfId="0" applyFont="1" applyFill="1" applyBorder="1" applyAlignment="1" quotePrefix="1">
      <alignment horizontal="center" vertical="center"/>
    </xf>
    <xf numFmtId="0" fontId="12" fillId="0" borderId="1" xfId="0" applyFont="1" applyFill="1" applyBorder="1" applyAlignment="1" quotePrefix="1">
      <alignment horizontal="center" vertical="center" wrapText="1"/>
    </xf>
    <xf numFmtId="0" fontId="13" fillId="0" borderId="1" xfId="0" applyFont="1" applyFill="1" applyBorder="1" applyAlignment="1" quotePrefix="1">
      <alignment horizontal="center" vertical="center" wrapText="1"/>
    </xf>
    <xf numFmtId="0" fontId="1" fillId="0" borderId="1" xfId="0" applyFont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常规 6" xfId="51"/>
    <cellStyle name="Normal_Book1_INVOICE (Tray 2+ 3) 2003070091&amp;031212" xfId="52"/>
    <cellStyle name="常规 5 2" xfId="53"/>
    <cellStyle name="_ET_STYLE_NoName_00_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 2 3" xfId="62"/>
    <cellStyle name="常规 2 3 2" xfId="63"/>
    <cellStyle name="常规 2" xfId="64"/>
    <cellStyle name="常规 2 3 2 2" xfId="65"/>
    <cellStyle name="常规 2 4" xfId="66"/>
    <cellStyle name="常规 2 4 2" xfId="67"/>
    <cellStyle name="常规 3" xfId="68"/>
    <cellStyle name="常规 3 2" xfId="69"/>
    <cellStyle name="常规 3 2 2" xfId="70"/>
    <cellStyle name="常规 3 3" xfId="71"/>
    <cellStyle name="常规 4" xfId="72"/>
    <cellStyle name="常规 4 2" xfId="73"/>
    <cellStyle name="常规 4 2 2" xfId="74"/>
    <cellStyle name="常规 4 3" xfId="75"/>
    <cellStyle name="常规 5" xfId="76"/>
    <cellStyle name="常规_2014年Basic Concepts合同评审表(3)" xfId="77"/>
    <cellStyle name="常规_Sheet3" xfId="78"/>
    <cellStyle name="常规_排期" xfId="79"/>
    <cellStyle name="千位分隔 2" xfId="80"/>
    <cellStyle name="千位分隔 2 2" xfId="81"/>
    <cellStyle name="千位分隔 2 2 2" xfId="82"/>
    <cellStyle name="千位分隔 2 4" xfId="83"/>
    <cellStyle name="千位分隔 2 2 2 2" xfId="84"/>
    <cellStyle name="千位分隔 2 2 3" xfId="85"/>
    <cellStyle name="千位分隔 2 3" xfId="86"/>
    <cellStyle name="千位分隔 2 3 2" xfId="87"/>
    <cellStyle name="样式 1" xfId="88"/>
    <cellStyle name="样式 1 2" xfId="89"/>
    <cellStyle name="样式 1 2 2 2" xfId="90"/>
    <cellStyle name="样式 1 3" xfId="91"/>
    <cellStyle name="样式 1 3 2" xfId="92"/>
    <cellStyle name="样式 1 4" xfId="9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AE5F8"/>
      <color rgb="00E82EE6"/>
      <color rgb="000000FF"/>
      <color rgb="00FF0000"/>
      <color rgb="001B04FA"/>
      <color rgb="001B1BFB"/>
      <color rgb="00ECA7E6"/>
      <color rgb="00000000"/>
      <color rgb="00FFFF00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417" dbFileVersion="0" changeLogVersion="0">
    <open main="88" threadCnt="1"/>
    <sheetInfos>
      <sheetInfo cellCmpFml="0" sheetStid="48">
        <open main="1" threadCnt="1"/>
      </sheetInfo>
      <sheetInfo cellCmpFml="506" sheetStid="47">
        <open main="23" threadCnt="1"/>
      </sheetInfo>
      <sheetInfo cellCmpFml="279" sheetStid="45">
        <open main="14" threadCnt="1"/>
      </sheetInfo>
      <sheetInfo cellCmpFml="38" sheetStid="44">
        <open main="1" threadCnt="1"/>
      </sheetInfo>
      <sheetInfo cellCmpFml="350" sheetStid="46">
        <open main="9" threadCnt="1"/>
      </sheetInfo>
      <sheetInfo cellCmpFml="97" sheetStid="39">
        <open main="2" threadCnt="1"/>
      </sheetInfo>
      <sheetInfo cellCmpFml="147" sheetStid="37">
        <open main="7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5.xml"/><Relationship Id="rId15" Type="http://schemas.openxmlformats.org/officeDocument/2006/relationships/customXml" Target="../customXml/item4.xml"/><Relationship Id="rId14" Type="http://schemas.openxmlformats.org/officeDocument/2006/relationships/customXml" Target="../customXml/item3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78105</xdr:colOff>
          <xdr:row>211</xdr:row>
          <xdr:rowOff>163195</xdr:rowOff>
        </xdr:from>
        <xdr:to>
          <xdr:col>4</xdr:col>
          <xdr:colOff>360045</xdr:colOff>
          <xdr:row>226</xdr:row>
          <xdr:rowOff>226060</xdr:rowOff>
        </xdr:to>
        <xdr:sp>
          <xdr:nvSpPr>
            <xdr:cNvPr id="25871" name="Object 271" hidden="1">
              <a:extLst>
                <a:ext uri="{63B3BB69-23CF-44E3-9099-C40C66FF867C}">
                  <a14:compatExt spid="_x0000_s25871"/>
                </a:ext>
              </a:extLst>
            </xdr:cNvPr>
            <xdr:cNvSpPr/>
          </xdr:nvSpPr>
          <xdr:spPr>
            <a:xfrm>
              <a:off x="78105" y="67155695"/>
              <a:ext cx="3971925" cy="48253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152400</xdr:colOff>
      <xdr:row>643</xdr:row>
      <xdr:rowOff>175260</xdr:rowOff>
    </xdr:from>
    <xdr:to>
      <xdr:col>8</xdr:col>
      <xdr:colOff>948690</xdr:colOff>
      <xdr:row>644</xdr:row>
      <xdr:rowOff>294005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202680" y="203511150"/>
          <a:ext cx="5055870" cy="434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zengqingbo/Documents/&#38382;&#39064;&#25490;&#26399;/&#26377;&#38382;&#39064;&#30340;/C:/Users/Administrator/AppData/Roaming/kingsoft/office6/backup/JAZ AME &#34507;&#20844;&#20180;&#31995;&#21015;&#24635;&#25490;&#26399;2026-4-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zengqingbo/Documents/&#38382;&#39064;&#25490;&#26399;/&#26377;&#38382;&#39064;&#30340;/C:/Users/Administrator/AppData/Roaming/kingsoft/office6/backup/JWC&#25103;&#26381;&#31867;&#25490;&#26399;2026-4-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系列"/>
      <sheetName val="AME接单"/>
      <sheetName val="AME客排"/>
      <sheetName val="AME仓排"/>
      <sheetName val="AME已走"/>
      <sheetName val="0和取消单"/>
      <sheetName val="IC 扣数明细"/>
      <sheetName val="公仔配比"/>
    </sheetNames>
    <sheetDataSet>
      <sheetData sheetId="0"/>
      <sheetData sheetId="1">
        <row r="11">
          <cell r="E11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JWC接单"/>
      <sheetName val="JWC客排"/>
      <sheetName val="JWC仓排"/>
      <sheetName val="JWC走货"/>
      <sheetName val="JWC取消"/>
      <sheetName val="Sheet1"/>
      <sheetName val="未有BOM货号"/>
    </sheetNames>
    <sheetDataSet>
      <sheetData sheetId="0"/>
      <sheetData sheetId="1">
        <row r="837">
          <cell r="E837">
            <v>21093383.25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workbookViewId="0">
      <pane ySplit="1" topLeftCell="A2" activePane="bottomLeft" state="frozen"/>
      <selection/>
      <selection pane="bottomLeft" activeCell="G144" sqref="G144"/>
    </sheetView>
  </sheetViews>
  <sheetFormatPr defaultColWidth="9" defaultRowHeight="20.1" customHeight="1" outlineLevelCol="3"/>
  <cols>
    <col min="1" max="1" width="21" style="361" customWidth="1"/>
    <col min="2" max="2" width="25.6" style="362" customWidth="1"/>
    <col min="3" max="3" width="5.6" style="361" customWidth="1"/>
    <col min="4" max="16384" width="9" style="361"/>
  </cols>
  <sheetData>
    <row r="1" customHeight="1" spans="1:4">
      <c r="A1" s="361" t="s">
        <v>0</v>
      </c>
      <c r="B1" s="362" t="s">
        <v>1</v>
      </c>
      <c r="C1" s="361" t="s">
        <v>2</v>
      </c>
      <c r="D1" s="363" t="s">
        <v>3</v>
      </c>
    </row>
    <row r="2" customHeight="1" spans="1:4">
      <c r="A2" s="364">
        <v>10727</v>
      </c>
      <c r="B2" s="365" t="s">
        <v>4</v>
      </c>
      <c r="C2" s="364" t="s">
        <v>5</v>
      </c>
      <c r="D2" s="364"/>
    </row>
    <row r="3" customHeight="1" spans="1:4">
      <c r="A3" s="364">
        <v>10730</v>
      </c>
      <c r="B3" s="365" t="s">
        <v>6</v>
      </c>
      <c r="C3" s="364" t="s">
        <v>5</v>
      </c>
      <c r="D3" s="364"/>
    </row>
    <row r="4" customHeight="1" spans="1:4">
      <c r="A4" s="364">
        <v>10740</v>
      </c>
      <c r="B4" s="365" t="s">
        <v>4</v>
      </c>
      <c r="C4" s="364" t="s">
        <v>5</v>
      </c>
      <c r="D4" s="364"/>
    </row>
    <row r="5" customHeight="1" spans="1:4">
      <c r="A5" s="364">
        <v>10761</v>
      </c>
      <c r="B5" s="365" t="s">
        <v>7</v>
      </c>
      <c r="C5" s="364" t="s">
        <v>5</v>
      </c>
      <c r="D5" s="364"/>
    </row>
    <row r="6" customHeight="1" spans="1:4">
      <c r="A6" s="364">
        <v>11588</v>
      </c>
      <c r="B6" s="365" t="s">
        <v>8</v>
      </c>
      <c r="C6" s="364" t="s">
        <v>9</v>
      </c>
      <c r="D6" s="364"/>
    </row>
    <row r="7" customHeight="1" spans="1:4">
      <c r="A7" s="364">
        <v>19852</v>
      </c>
      <c r="B7" s="366"/>
      <c r="C7" s="364" t="s">
        <v>5</v>
      </c>
      <c r="D7" s="364"/>
    </row>
    <row r="8" customHeight="1" spans="1:4">
      <c r="A8" s="364">
        <v>97759</v>
      </c>
      <c r="B8" s="365" t="s">
        <v>10</v>
      </c>
      <c r="C8" s="364" t="s">
        <v>11</v>
      </c>
      <c r="D8" s="364"/>
    </row>
    <row r="9" customHeight="1" spans="1:4">
      <c r="A9" s="364" t="s">
        <v>12</v>
      </c>
      <c r="B9" s="365" t="s">
        <v>13</v>
      </c>
      <c r="C9" s="364" t="s">
        <v>5</v>
      </c>
      <c r="D9" s="364"/>
    </row>
    <row r="10" customHeight="1" spans="1:4">
      <c r="A10" s="364" t="s">
        <v>14</v>
      </c>
      <c r="B10" s="365" t="s">
        <v>15</v>
      </c>
      <c r="C10" s="364" t="s">
        <v>16</v>
      </c>
      <c r="D10" s="364"/>
    </row>
    <row r="11" customHeight="1" spans="1:4">
      <c r="A11" s="364" t="s">
        <v>17</v>
      </c>
      <c r="B11" s="365" t="s">
        <v>18</v>
      </c>
      <c r="C11" s="364" t="s">
        <v>16</v>
      </c>
      <c r="D11" s="364"/>
    </row>
    <row r="12" customHeight="1" spans="1:4">
      <c r="A12" s="364" t="s">
        <v>19</v>
      </c>
      <c r="B12" s="365" t="s">
        <v>20</v>
      </c>
      <c r="C12" s="364" t="s">
        <v>16</v>
      </c>
      <c r="D12" s="364"/>
    </row>
    <row r="13" customHeight="1" spans="1:4">
      <c r="A13" s="364" t="s">
        <v>21</v>
      </c>
      <c r="B13" s="365" t="s">
        <v>22</v>
      </c>
      <c r="C13" s="364" t="s">
        <v>16</v>
      </c>
      <c r="D13" s="364"/>
    </row>
    <row r="14" customHeight="1" spans="1:4">
      <c r="A14" s="364" t="s">
        <v>23</v>
      </c>
      <c r="B14" s="365" t="s">
        <v>24</v>
      </c>
      <c r="C14" s="364" t="s">
        <v>16</v>
      </c>
      <c r="D14" s="364"/>
    </row>
    <row r="15" customHeight="1" spans="1:4">
      <c r="A15" s="364" t="s">
        <v>25</v>
      </c>
      <c r="B15" s="365" t="s">
        <v>26</v>
      </c>
      <c r="C15" s="364" t="s">
        <v>16</v>
      </c>
      <c r="D15" s="364">
        <v>4</v>
      </c>
    </row>
    <row r="16" customHeight="1" spans="1:4">
      <c r="A16" s="364" t="s">
        <v>27</v>
      </c>
      <c r="B16" s="365" t="s">
        <v>28</v>
      </c>
      <c r="C16" s="364" t="s">
        <v>16</v>
      </c>
      <c r="D16" s="364"/>
    </row>
    <row r="17" customHeight="1" spans="1:4">
      <c r="A17" s="364" t="s">
        <v>29</v>
      </c>
      <c r="B17" s="365" t="s">
        <v>30</v>
      </c>
      <c r="C17" s="364" t="s">
        <v>16</v>
      </c>
      <c r="D17" s="364">
        <v>9</v>
      </c>
    </row>
    <row r="18" customHeight="1" spans="1:4">
      <c r="A18" s="364" t="s">
        <v>31</v>
      </c>
      <c r="B18" s="365" t="s">
        <v>26</v>
      </c>
      <c r="C18" s="364" t="s">
        <v>16</v>
      </c>
      <c r="D18" s="364"/>
    </row>
    <row r="19" customHeight="1" spans="1:4">
      <c r="A19" s="364" t="s">
        <v>32</v>
      </c>
      <c r="B19" s="365" t="s">
        <v>33</v>
      </c>
      <c r="C19" s="364" t="s">
        <v>16</v>
      </c>
      <c r="D19" s="364"/>
    </row>
    <row r="20" customHeight="1" spans="1:4">
      <c r="A20" s="364" t="s">
        <v>34</v>
      </c>
      <c r="B20" s="365" t="s">
        <v>35</v>
      </c>
      <c r="C20" s="364" t="s">
        <v>16</v>
      </c>
      <c r="D20" s="364"/>
    </row>
    <row r="21" customHeight="1" spans="1:4">
      <c r="A21" s="364" t="s">
        <v>36</v>
      </c>
      <c r="B21" s="365" t="s">
        <v>35</v>
      </c>
      <c r="C21" s="364" t="s">
        <v>16</v>
      </c>
      <c r="D21" s="364"/>
    </row>
    <row r="22" customHeight="1" spans="1:4">
      <c r="A22" s="364" t="s">
        <v>37</v>
      </c>
      <c r="B22" s="365" t="s">
        <v>38</v>
      </c>
      <c r="C22" s="364" t="s">
        <v>16</v>
      </c>
      <c r="D22" s="364"/>
    </row>
    <row r="23" customHeight="1" spans="1:4">
      <c r="A23" s="364" t="s">
        <v>39</v>
      </c>
      <c r="B23" s="365" t="s">
        <v>40</v>
      </c>
      <c r="C23" s="364" t="s">
        <v>16</v>
      </c>
      <c r="D23" s="364"/>
    </row>
    <row r="24" customHeight="1" spans="1:4">
      <c r="A24" s="364" t="s">
        <v>41</v>
      </c>
      <c r="B24" s="365" t="s">
        <v>42</v>
      </c>
      <c r="C24" s="364" t="s">
        <v>16</v>
      </c>
      <c r="D24" s="364"/>
    </row>
    <row r="25" customHeight="1" spans="1:4">
      <c r="A25" s="364" t="s">
        <v>43</v>
      </c>
      <c r="B25" s="365" t="s">
        <v>44</v>
      </c>
      <c r="C25" s="364" t="s">
        <v>16</v>
      </c>
      <c r="D25" s="364"/>
    </row>
    <row r="26" customHeight="1" spans="1:4">
      <c r="A26" s="364" t="s">
        <v>45</v>
      </c>
      <c r="B26" s="365" t="s">
        <v>35</v>
      </c>
      <c r="C26" s="364" t="s">
        <v>16</v>
      </c>
      <c r="D26" s="364"/>
    </row>
    <row r="27" customHeight="1" spans="1:4">
      <c r="A27" s="364" t="s">
        <v>46</v>
      </c>
      <c r="B27" s="365" t="s">
        <v>47</v>
      </c>
      <c r="C27" s="364" t="s">
        <v>16</v>
      </c>
      <c r="D27" s="364"/>
    </row>
    <row r="28" customHeight="1" spans="1:4">
      <c r="A28" s="364" t="s">
        <v>48</v>
      </c>
      <c r="B28" s="365" t="s">
        <v>49</v>
      </c>
      <c r="C28" s="364" t="s">
        <v>16</v>
      </c>
      <c r="D28" s="364"/>
    </row>
    <row r="29" customHeight="1" spans="1:4">
      <c r="A29" s="364" t="s">
        <v>50</v>
      </c>
      <c r="B29" s="365" t="s">
        <v>51</v>
      </c>
      <c r="C29" s="364" t="s">
        <v>16</v>
      </c>
      <c r="D29" s="364"/>
    </row>
    <row r="30" customHeight="1" spans="1:4">
      <c r="A30" s="364" t="s">
        <v>52</v>
      </c>
      <c r="B30" s="365" t="s">
        <v>53</v>
      </c>
      <c r="C30" s="364" t="s">
        <v>16</v>
      </c>
      <c r="D30" s="364"/>
    </row>
    <row r="31" customHeight="1" spans="1:4">
      <c r="A31" s="364" t="s">
        <v>54</v>
      </c>
      <c r="B31" s="365" t="s">
        <v>55</v>
      </c>
      <c r="C31" s="364" t="s">
        <v>16</v>
      </c>
      <c r="D31" s="364"/>
    </row>
    <row r="32" customHeight="1" spans="1:4">
      <c r="A32" s="364" t="s">
        <v>56</v>
      </c>
      <c r="B32" s="365" t="s">
        <v>57</v>
      </c>
      <c r="C32" s="364" t="s">
        <v>16</v>
      </c>
      <c r="D32" s="364"/>
    </row>
    <row r="33" customHeight="1" spans="1:4">
      <c r="A33" s="364" t="s">
        <v>58</v>
      </c>
      <c r="B33" s="365" t="s">
        <v>59</v>
      </c>
      <c r="C33" s="364" t="s">
        <v>16</v>
      </c>
      <c r="D33" s="364"/>
    </row>
    <row r="34" customHeight="1" spans="1:4">
      <c r="A34" s="364" t="s">
        <v>60</v>
      </c>
      <c r="B34" s="365" t="s">
        <v>61</v>
      </c>
      <c r="C34" s="364" t="s">
        <v>16</v>
      </c>
      <c r="D34" s="364"/>
    </row>
    <row r="35" customHeight="1" spans="1:4">
      <c r="A35" s="364" t="s">
        <v>62</v>
      </c>
      <c r="B35" s="365" t="s">
        <v>63</v>
      </c>
      <c r="C35" s="364" t="s">
        <v>16</v>
      </c>
      <c r="D35" s="364"/>
    </row>
    <row r="36" customHeight="1" spans="1:4">
      <c r="A36" s="364" t="s">
        <v>64</v>
      </c>
      <c r="B36" s="365" t="s">
        <v>33</v>
      </c>
      <c r="C36" s="364" t="s">
        <v>16</v>
      </c>
      <c r="D36" s="364"/>
    </row>
    <row r="37" customHeight="1" spans="1:4">
      <c r="A37" s="364" t="s">
        <v>65</v>
      </c>
      <c r="B37" s="365" t="s">
        <v>6</v>
      </c>
      <c r="C37" s="364" t="s">
        <v>16</v>
      </c>
      <c r="D37" s="364">
        <v>6</v>
      </c>
    </row>
    <row r="38" customHeight="1" spans="1:4">
      <c r="A38" s="364" t="s">
        <v>66</v>
      </c>
      <c r="B38" s="365" t="s">
        <v>67</v>
      </c>
      <c r="C38" s="364" t="s">
        <v>16</v>
      </c>
      <c r="D38" s="364"/>
    </row>
    <row r="39" customHeight="1" spans="1:4">
      <c r="A39" s="364" t="s">
        <v>68</v>
      </c>
      <c r="B39" s="365" t="s">
        <v>69</v>
      </c>
      <c r="C39" s="364" t="s">
        <v>16</v>
      </c>
      <c r="D39" s="364"/>
    </row>
    <row r="40" customHeight="1" spans="1:4">
      <c r="A40" s="364" t="s">
        <v>70</v>
      </c>
      <c r="B40" s="365" t="s">
        <v>71</v>
      </c>
      <c r="C40" s="364" t="s">
        <v>16</v>
      </c>
      <c r="D40" s="364">
        <v>4</v>
      </c>
    </row>
    <row r="41" customHeight="1" spans="1:4">
      <c r="A41" s="364" t="s">
        <v>72</v>
      </c>
      <c r="B41" s="365" t="s">
        <v>73</v>
      </c>
      <c r="C41" s="364" t="s">
        <v>16</v>
      </c>
      <c r="D41" s="364"/>
    </row>
    <row r="42" customHeight="1" spans="1:4">
      <c r="A42" s="364" t="s">
        <v>74</v>
      </c>
      <c r="B42" s="365" t="s">
        <v>75</v>
      </c>
      <c r="C42" s="364" t="s">
        <v>16</v>
      </c>
      <c r="D42" s="364"/>
    </row>
    <row r="43" customHeight="1" spans="1:4">
      <c r="A43" s="364" t="s">
        <v>76</v>
      </c>
      <c r="B43" s="365" t="s">
        <v>33</v>
      </c>
      <c r="C43" s="364" t="s">
        <v>16</v>
      </c>
      <c r="D43" s="364"/>
    </row>
    <row r="44" customHeight="1" spans="1:4">
      <c r="A44" s="364" t="s">
        <v>77</v>
      </c>
      <c r="B44" s="365" t="s">
        <v>78</v>
      </c>
      <c r="C44" s="364" t="s">
        <v>16</v>
      </c>
      <c r="D44" s="364"/>
    </row>
    <row r="45" customHeight="1" spans="1:4">
      <c r="A45" s="364" t="s">
        <v>79</v>
      </c>
      <c r="B45" s="365" t="s">
        <v>80</v>
      </c>
      <c r="C45" s="364" t="s">
        <v>16</v>
      </c>
      <c r="D45" s="364"/>
    </row>
    <row r="46" customHeight="1" spans="1:4">
      <c r="A46" s="364" t="s">
        <v>81</v>
      </c>
      <c r="B46" s="365" t="s">
        <v>82</v>
      </c>
      <c r="C46" s="364" t="s">
        <v>16</v>
      </c>
      <c r="D46" s="364"/>
    </row>
    <row r="47" customHeight="1" spans="1:4">
      <c r="A47" s="364" t="s">
        <v>83</v>
      </c>
      <c r="B47" s="365" t="s">
        <v>84</v>
      </c>
      <c r="C47" s="364" t="s">
        <v>16</v>
      </c>
      <c r="D47" s="364"/>
    </row>
    <row r="48" customHeight="1" spans="1:4">
      <c r="A48" s="364" t="s">
        <v>85</v>
      </c>
      <c r="B48" s="365" t="s">
        <v>86</v>
      </c>
      <c r="C48" s="364" t="s">
        <v>16</v>
      </c>
      <c r="D48" s="364"/>
    </row>
    <row r="49" customHeight="1" spans="1:4">
      <c r="A49" s="364" t="s">
        <v>87</v>
      </c>
      <c r="B49" s="365" t="s">
        <v>69</v>
      </c>
      <c r="C49" s="364" t="s">
        <v>16</v>
      </c>
      <c r="D49" s="364"/>
    </row>
    <row r="50" customHeight="1" spans="1:4">
      <c r="A50" s="364" t="s">
        <v>88</v>
      </c>
      <c r="B50" s="367"/>
      <c r="C50" s="364" t="s">
        <v>16</v>
      </c>
      <c r="D50" s="364">
        <v>6</v>
      </c>
    </row>
    <row r="51" customHeight="1" spans="1:4">
      <c r="A51" s="364" t="s">
        <v>89</v>
      </c>
      <c r="B51" s="365" t="s">
        <v>90</v>
      </c>
      <c r="C51" s="364" t="s">
        <v>16</v>
      </c>
      <c r="D51" s="364">
        <v>2</v>
      </c>
    </row>
    <row r="52" customHeight="1" spans="1:4">
      <c r="A52" s="364" t="s">
        <v>91</v>
      </c>
      <c r="B52" s="365" t="s">
        <v>92</v>
      </c>
      <c r="C52" s="364" t="s">
        <v>16</v>
      </c>
      <c r="D52" s="364"/>
    </row>
    <row r="53" customHeight="1" spans="1:4">
      <c r="A53" s="364" t="s">
        <v>93</v>
      </c>
      <c r="B53" s="365" t="s">
        <v>92</v>
      </c>
      <c r="C53" s="364" t="s">
        <v>16</v>
      </c>
      <c r="D53" s="364"/>
    </row>
    <row r="54" customHeight="1" spans="1:4">
      <c r="A54" s="364" t="s">
        <v>94</v>
      </c>
      <c r="B54" s="365" t="s">
        <v>95</v>
      </c>
      <c r="C54" s="364" t="s">
        <v>16</v>
      </c>
      <c r="D54" s="364"/>
    </row>
    <row r="55" customHeight="1" spans="1:4">
      <c r="A55" s="364" t="s">
        <v>96</v>
      </c>
      <c r="B55" s="365" t="s">
        <v>28</v>
      </c>
      <c r="C55" s="364" t="s">
        <v>16</v>
      </c>
      <c r="D55" s="364"/>
    </row>
    <row r="56" customHeight="1" spans="1:4">
      <c r="A56" s="364" t="s">
        <v>97</v>
      </c>
      <c r="B56" s="365" t="s">
        <v>71</v>
      </c>
      <c r="C56" s="364" t="s">
        <v>16</v>
      </c>
      <c r="D56" s="364"/>
    </row>
    <row r="57" customHeight="1" spans="1:4">
      <c r="A57" s="364" t="s">
        <v>98</v>
      </c>
      <c r="B57" s="365" t="s">
        <v>71</v>
      </c>
      <c r="C57" s="364" t="s">
        <v>16</v>
      </c>
      <c r="D57" s="364"/>
    </row>
    <row r="58" customHeight="1" spans="1:4">
      <c r="A58" s="364" t="s">
        <v>99</v>
      </c>
      <c r="B58" s="365" t="s">
        <v>51</v>
      </c>
      <c r="C58" s="364" t="s">
        <v>16</v>
      </c>
      <c r="D58" s="364"/>
    </row>
    <row r="59" customHeight="1" spans="1:4">
      <c r="A59" s="364" t="s">
        <v>100</v>
      </c>
      <c r="B59" s="365" t="s">
        <v>101</v>
      </c>
      <c r="C59" s="364" t="s">
        <v>16</v>
      </c>
      <c r="D59" s="364"/>
    </row>
    <row r="60" customHeight="1" spans="1:4">
      <c r="A60" s="364" t="s">
        <v>102</v>
      </c>
      <c r="B60" s="365" t="s">
        <v>103</v>
      </c>
      <c r="C60" s="364" t="s">
        <v>16</v>
      </c>
      <c r="D60" s="364"/>
    </row>
    <row r="61" customHeight="1" spans="1:4">
      <c r="A61" s="364" t="s">
        <v>104</v>
      </c>
      <c r="B61" s="365" t="s">
        <v>105</v>
      </c>
      <c r="C61" s="364" t="s">
        <v>106</v>
      </c>
      <c r="D61" s="364"/>
    </row>
    <row r="62" customHeight="1" spans="1:4">
      <c r="A62" s="364" t="s">
        <v>107</v>
      </c>
      <c r="B62" s="365" t="s">
        <v>108</v>
      </c>
      <c r="C62" s="364" t="s">
        <v>106</v>
      </c>
      <c r="D62" s="364"/>
    </row>
    <row r="63" customHeight="1" spans="1:4">
      <c r="A63" s="364" t="s">
        <v>109</v>
      </c>
      <c r="B63" s="365" t="s">
        <v>108</v>
      </c>
      <c r="C63" s="364" t="s">
        <v>106</v>
      </c>
      <c r="D63" s="364"/>
    </row>
    <row r="64" customHeight="1" spans="1:4">
      <c r="A64" s="364" t="s">
        <v>110</v>
      </c>
      <c r="B64" s="365" t="s">
        <v>105</v>
      </c>
      <c r="C64" s="364" t="s">
        <v>106</v>
      </c>
      <c r="D64" s="364"/>
    </row>
    <row r="65" customHeight="1" spans="1:4">
      <c r="A65" s="364" t="s">
        <v>111</v>
      </c>
      <c r="B65" s="365" t="s">
        <v>105</v>
      </c>
      <c r="C65" s="364" t="s">
        <v>106</v>
      </c>
      <c r="D65" s="364"/>
    </row>
    <row r="66" customHeight="1" spans="1:4">
      <c r="A66" s="364" t="s">
        <v>112</v>
      </c>
      <c r="B66" s="365" t="s">
        <v>113</v>
      </c>
      <c r="C66" s="364" t="s">
        <v>106</v>
      </c>
      <c r="D66" s="364"/>
    </row>
    <row r="67" customHeight="1" spans="1:4">
      <c r="A67" s="364" t="s">
        <v>114</v>
      </c>
      <c r="B67" s="365" t="s">
        <v>105</v>
      </c>
      <c r="C67" s="364" t="s">
        <v>106</v>
      </c>
      <c r="D67" s="364"/>
    </row>
    <row r="68" customHeight="1" spans="1:4">
      <c r="A68" s="364" t="s">
        <v>115</v>
      </c>
      <c r="B68" s="365" t="s">
        <v>105</v>
      </c>
      <c r="C68" s="364" t="s">
        <v>106</v>
      </c>
      <c r="D68" s="364"/>
    </row>
    <row r="69" customHeight="1" spans="1:4">
      <c r="A69" s="364" t="s">
        <v>116</v>
      </c>
      <c r="B69" s="365" t="s">
        <v>105</v>
      </c>
      <c r="C69" s="364" t="s">
        <v>106</v>
      </c>
      <c r="D69" s="364"/>
    </row>
    <row r="70" customHeight="1" spans="1:4">
      <c r="A70" s="364" t="s">
        <v>117</v>
      </c>
      <c r="B70" s="365" t="s">
        <v>118</v>
      </c>
      <c r="C70" s="364" t="s">
        <v>106</v>
      </c>
      <c r="D70" s="364"/>
    </row>
    <row r="71" customHeight="1" spans="1:4">
      <c r="A71" s="364" t="s">
        <v>119</v>
      </c>
      <c r="B71" s="367"/>
      <c r="C71" s="364" t="s">
        <v>106</v>
      </c>
      <c r="D71" s="364">
        <v>6</v>
      </c>
    </row>
    <row r="72" customHeight="1" spans="1:4">
      <c r="A72" s="364" t="s">
        <v>120</v>
      </c>
      <c r="B72" s="367"/>
      <c r="C72" s="364" t="s">
        <v>106</v>
      </c>
      <c r="D72" s="364">
        <v>6</v>
      </c>
    </row>
    <row r="73" customHeight="1" spans="1:4">
      <c r="A73" s="364" t="s">
        <v>121</v>
      </c>
      <c r="B73" s="367"/>
      <c r="C73" s="364" t="s">
        <v>106</v>
      </c>
      <c r="D73" s="364">
        <v>6</v>
      </c>
    </row>
    <row r="74" customHeight="1" spans="1:4">
      <c r="A74" s="364" t="s">
        <v>122</v>
      </c>
      <c r="B74" s="367"/>
      <c r="C74" s="364" t="s">
        <v>106</v>
      </c>
      <c r="D74" s="364">
        <v>6</v>
      </c>
    </row>
    <row r="75" customHeight="1" spans="1:4">
      <c r="A75" s="364" t="s">
        <v>123</v>
      </c>
      <c r="B75" s="365" t="s">
        <v>124</v>
      </c>
      <c r="C75" s="364" t="s">
        <v>106</v>
      </c>
      <c r="D75" s="364">
        <v>6</v>
      </c>
    </row>
    <row r="76" customHeight="1" spans="1:4">
      <c r="A76" s="364" t="s">
        <v>125</v>
      </c>
      <c r="B76" s="365" t="s">
        <v>126</v>
      </c>
      <c r="C76" s="364" t="s">
        <v>106</v>
      </c>
      <c r="D76" s="364">
        <v>6</v>
      </c>
    </row>
    <row r="77" customHeight="1" spans="1:4">
      <c r="A77" s="364" t="s">
        <v>127</v>
      </c>
      <c r="B77" s="365" t="s">
        <v>128</v>
      </c>
      <c r="C77" s="364" t="s">
        <v>106</v>
      </c>
      <c r="D77" s="364">
        <v>6</v>
      </c>
    </row>
    <row r="78" customHeight="1" spans="1:4">
      <c r="A78" s="364" t="s">
        <v>129</v>
      </c>
      <c r="B78" s="365" t="s">
        <v>130</v>
      </c>
      <c r="C78" s="364" t="s">
        <v>106</v>
      </c>
      <c r="D78" s="364">
        <v>6</v>
      </c>
    </row>
    <row r="79" customHeight="1" spans="1:4">
      <c r="A79" s="364" t="s">
        <v>131</v>
      </c>
      <c r="B79" s="365" t="s">
        <v>132</v>
      </c>
      <c r="C79" s="364" t="s">
        <v>106</v>
      </c>
      <c r="D79" s="364">
        <v>6</v>
      </c>
    </row>
    <row r="80" customHeight="1" spans="1:4">
      <c r="A80" s="364" t="s">
        <v>133</v>
      </c>
      <c r="B80" s="365" t="s">
        <v>134</v>
      </c>
      <c r="C80" s="364" t="s">
        <v>106</v>
      </c>
      <c r="D80" s="364">
        <v>6</v>
      </c>
    </row>
    <row r="81" customHeight="1" spans="1:4">
      <c r="A81" s="364" t="s">
        <v>135</v>
      </c>
      <c r="B81" s="365" t="s">
        <v>136</v>
      </c>
      <c r="C81" s="364" t="s">
        <v>106</v>
      </c>
      <c r="D81" s="364">
        <v>6</v>
      </c>
    </row>
    <row r="82" customHeight="1" spans="1:4">
      <c r="A82" s="364" t="s">
        <v>137</v>
      </c>
      <c r="B82" s="365" t="s">
        <v>138</v>
      </c>
      <c r="C82" s="364" t="s">
        <v>106</v>
      </c>
      <c r="D82" s="364">
        <v>6</v>
      </c>
    </row>
    <row r="83" customHeight="1" spans="1:4">
      <c r="A83" s="364" t="s">
        <v>139</v>
      </c>
      <c r="B83" s="365" t="s">
        <v>140</v>
      </c>
      <c r="C83" s="364" t="s">
        <v>106</v>
      </c>
      <c r="D83" s="364">
        <v>6</v>
      </c>
    </row>
    <row r="84" customHeight="1" spans="1:4">
      <c r="A84" s="364" t="s">
        <v>141</v>
      </c>
      <c r="B84" s="365" t="s">
        <v>142</v>
      </c>
      <c r="C84" s="364" t="s">
        <v>106</v>
      </c>
      <c r="D84" s="364">
        <v>6</v>
      </c>
    </row>
    <row r="85" customHeight="1" spans="1:4">
      <c r="A85" s="364" t="s">
        <v>143</v>
      </c>
      <c r="B85" s="367"/>
      <c r="C85" s="364" t="s">
        <v>106</v>
      </c>
      <c r="D85" s="364">
        <v>4</v>
      </c>
    </row>
    <row r="86" customHeight="1" spans="1:4">
      <c r="A86" s="364" t="s">
        <v>144</v>
      </c>
      <c r="B86" s="367"/>
      <c r="C86" s="364" t="s">
        <v>106</v>
      </c>
      <c r="D86" s="364">
        <v>6</v>
      </c>
    </row>
    <row r="87" customHeight="1" spans="1:4">
      <c r="A87" s="364" t="s">
        <v>145</v>
      </c>
      <c r="B87" s="367"/>
      <c r="C87" s="364" t="s">
        <v>106</v>
      </c>
      <c r="D87" s="364">
        <v>6</v>
      </c>
    </row>
    <row r="88" customHeight="1" spans="1:4">
      <c r="A88" s="364" t="s">
        <v>146</v>
      </c>
      <c r="B88" s="367"/>
      <c r="C88" s="364" t="s">
        <v>106</v>
      </c>
      <c r="D88" s="364">
        <v>6</v>
      </c>
    </row>
    <row r="89" customHeight="1" spans="1:4">
      <c r="A89" s="364" t="s">
        <v>147</v>
      </c>
      <c r="B89" s="367"/>
      <c r="C89" s="364" t="s">
        <v>106</v>
      </c>
      <c r="D89" s="364">
        <v>6</v>
      </c>
    </row>
    <row r="90" customHeight="1" spans="1:4">
      <c r="A90" s="364" t="s">
        <v>148</v>
      </c>
      <c r="B90" s="367"/>
      <c r="C90" s="364" t="s">
        <v>106</v>
      </c>
      <c r="D90" s="364">
        <v>6</v>
      </c>
    </row>
    <row r="91" customHeight="1" spans="1:4">
      <c r="A91" s="364" t="s">
        <v>149</v>
      </c>
      <c r="B91" s="367"/>
      <c r="C91" s="364" t="s">
        <v>106</v>
      </c>
      <c r="D91" s="364">
        <v>6</v>
      </c>
    </row>
    <row r="92" customHeight="1" spans="1:4">
      <c r="A92" s="364" t="s">
        <v>150</v>
      </c>
      <c r="B92" s="367"/>
      <c r="C92" s="364" t="s">
        <v>106</v>
      </c>
      <c r="D92" s="364">
        <v>6</v>
      </c>
    </row>
    <row r="93" customHeight="1" spans="1:4">
      <c r="A93" s="364" t="s">
        <v>151</v>
      </c>
      <c r="B93" s="367"/>
      <c r="C93" s="364" t="s">
        <v>106</v>
      </c>
      <c r="D93" s="364">
        <v>6</v>
      </c>
    </row>
    <row r="94" customHeight="1" spans="1:4">
      <c r="A94" s="364" t="s">
        <v>152</v>
      </c>
      <c r="B94" s="365" t="s">
        <v>124</v>
      </c>
      <c r="C94" s="364" t="s">
        <v>106</v>
      </c>
      <c r="D94" s="364">
        <v>6</v>
      </c>
    </row>
    <row r="95" customHeight="1" spans="1:4">
      <c r="A95" s="364" t="s">
        <v>153</v>
      </c>
      <c r="B95" s="367"/>
      <c r="C95" s="364" t="s">
        <v>106</v>
      </c>
      <c r="D95" s="364">
        <v>4</v>
      </c>
    </row>
    <row r="96" customHeight="1" spans="1:4">
      <c r="A96" s="364" t="s">
        <v>154</v>
      </c>
      <c r="B96" s="367"/>
      <c r="C96" s="364" t="s">
        <v>106</v>
      </c>
      <c r="D96" s="364">
        <v>4</v>
      </c>
    </row>
    <row r="97" customHeight="1" spans="1:4">
      <c r="A97" s="364" t="s">
        <v>155</v>
      </c>
      <c r="B97" s="367"/>
      <c r="C97" s="364" t="s">
        <v>106</v>
      </c>
      <c r="D97" s="364">
        <v>4</v>
      </c>
    </row>
    <row r="98" customHeight="1" spans="1:4">
      <c r="A98" s="364" t="s">
        <v>156</v>
      </c>
      <c r="B98" s="365" t="s">
        <v>157</v>
      </c>
      <c r="C98" s="364" t="s">
        <v>9</v>
      </c>
      <c r="D98" s="364"/>
    </row>
    <row r="99" customHeight="1" spans="1:4">
      <c r="A99" s="364" t="s">
        <v>158</v>
      </c>
      <c r="B99" s="365" t="s">
        <v>8</v>
      </c>
      <c r="C99" s="364" t="s">
        <v>9</v>
      </c>
      <c r="D99" s="364">
        <v>4</v>
      </c>
    </row>
    <row r="100" customHeight="1" spans="1:4">
      <c r="A100" s="364" t="s">
        <v>159</v>
      </c>
      <c r="B100" s="365" t="s">
        <v>160</v>
      </c>
      <c r="C100" s="364" t="s">
        <v>9</v>
      </c>
      <c r="D100" s="364"/>
    </row>
    <row r="101" customHeight="1" spans="1:4">
      <c r="A101" s="364" t="s">
        <v>161</v>
      </c>
      <c r="B101" s="365" t="s">
        <v>160</v>
      </c>
      <c r="C101" s="364" t="s">
        <v>9</v>
      </c>
      <c r="D101" s="364"/>
    </row>
    <row r="102" customHeight="1" spans="1:4">
      <c r="A102" s="364" t="s">
        <v>162</v>
      </c>
      <c r="B102" s="365" t="s">
        <v>163</v>
      </c>
      <c r="C102" s="364" t="s">
        <v>9</v>
      </c>
      <c r="D102" s="364"/>
    </row>
    <row r="103" customHeight="1" spans="1:4">
      <c r="A103" s="364" t="s">
        <v>164</v>
      </c>
      <c r="B103" s="365" t="s">
        <v>165</v>
      </c>
      <c r="C103" s="364" t="s">
        <v>9</v>
      </c>
      <c r="D103" s="364"/>
    </row>
    <row r="104" customHeight="1" spans="1:4">
      <c r="A104" s="364" t="s">
        <v>166</v>
      </c>
      <c r="B104" s="365" t="s">
        <v>167</v>
      </c>
      <c r="C104" s="364" t="s">
        <v>9</v>
      </c>
      <c r="D104" s="364"/>
    </row>
    <row r="105" customHeight="1" spans="1:4">
      <c r="A105" s="364" t="s">
        <v>168</v>
      </c>
      <c r="B105" s="365" t="s">
        <v>169</v>
      </c>
      <c r="C105" s="364" t="s">
        <v>9</v>
      </c>
      <c r="D105" s="364"/>
    </row>
    <row r="106" customHeight="1" spans="1:4">
      <c r="A106" s="364" t="s">
        <v>170</v>
      </c>
      <c r="B106" s="365" t="s">
        <v>171</v>
      </c>
      <c r="C106" s="364" t="s">
        <v>9</v>
      </c>
      <c r="D106" s="364"/>
    </row>
    <row r="107" customHeight="1" spans="1:4">
      <c r="A107" s="364" t="s">
        <v>172</v>
      </c>
      <c r="B107" s="365" t="s">
        <v>173</v>
      </c>
      <c r="C107" s="364" t="s">
        <v>9</v>
      </c>
      <c r="D107" s="364"/>
    </row>
    <row r="108" customHeight="1" spans="1:4">
      <c r="A108" s="364" t="s">
        <v>174</v>
      </c>
      <c r="B108" s="365" t="s">
        <v>175</v>
      </c>
      <c r="C108" s="364" t="s">
        <v>9</v>
      </c>
      <c r="D108" s="364"/>
    </row>
    <row r="109" customHeight="1" spans="1:4">
      <c r="A109" s="364" t="s">
        <v>176</v>
      </c>
      <c r="B109" s="365" t="s">
        <v>177</v>
      </c>
      <c r="C109" s="364" t="s">
        <v>9</v>
      </c>
      <c r="D109" s="364"/>
    </row>
    <row r="110" customHeight="1" spans="1:4">
      <c r="A110" s="364" t="s">
        <v>178</v>
      </c>
      <c r="B110" s="365" t="s">
        <v>179</v>
      </c>
      <c r="C110" s="364" t="s">
        <v>11</v>
      </c>
      <c r="D110" s="364"/>
    </row>
    <row r="111" customHeight="1" spans="1:4">
      <c r="A111" s="364" t="s">
        <v>180</v>
      </c>
      <c r="B111" s="365" t="s">
        <v>10</v>
      </c>
      <c r="C111" s="364" t="s">
        <v>11</v>
      </c>
      <c r="D111" s="364"/>
    </row>
    <row r="112" customHeight="1" spans="1:4">
      <c r="A112" s="364" t="s">
        <v>181</v>
      </c>
      <c r="B112" s="365" t="s">
        <v>182</v>
      </c>
      <c r="C112" s="364" t="s">
        <v>11</v>
      </c>
      <c r="D112" s="364"/>
    </row>
    <row r="113" customHeight="1" spans="1:4">
      <c r="A113" s="364" t="s">
        <v>183</v>
      </c>
      <c r="B113" s="365" t="s">
        <v>184</v>
      </c>
      <c r="C113" s="364" t="s">
        <v>11</v>
      </c>
      <c r="D113" s="364"/>
    </row>
    <row r="114" customHeight="1" spans="1:4">
      <c r="A114" s="364" t="s">
        <v>185</v>
      </c>
      <c r="B114" s="362" t="s">
        <v>186</v>
      </c>
      <c r="C114" s="364" t="s">
        <v>11</v>
      </c>
      <c r="D114" s="364"/>
    </row>
    <row r="115" customHeight="1" spans="1:4">
      <c r="A115" s="364" t="s">
        <v>187</v>
      </c>
      <c r="B115" s="365" t="s">
        <v>188</v>
      </c>
      <c r="C115" s="364" t="s">
        <v>11</v>
      </c>
      <c r="D115" s="364"/>
    </row>
    <row r="116" customHeight="1" spans="1:4">
      <c r="A116" s="364" t="s">
        <v>189</v>
      </c>
      <c r="B116" s="362" t="s">
        <v>190</v>
      </c>
      <c r="C116" s="364" t="s">
        <v>11</v>
      </c>
      <c r="D116" s="364"/>
    </row>
    <row r="117" customHeight="1" spans="1:4">
      <c r="A117" s="364" t="s">
        <v>191</v>
      </c>
      <c r="B117" s="362" t="s">
        <v>6</v>
      </c>
      <c r="C117" s="364" t="s">
        <v>5</v>
      </c>
      <c r="D117" s="364"/>
    </row>
    <row r="118" customHeight="1" spans="1:4">
      <c r="A118" s="364" t="s">
        <v>192</v>
      </c>
      <c r="B118" s="362" t="s">
        <v>193</v>
      </c>
      <c r="C118" s="364" t="s">
        <v>5</v>
      </c>
      <c r="D118" s="364"/>
    </row>
    <row r="119" customHeight="1" spans="1:4">
      <c r="A119" s="364" t="s">
        <v>194</v>
      </c>
      <c r="B119" s="362" t="s">
        <v>195</v>
      </c>
      <c r="C119" s="364" t="s">
        <v>5</v>
      </c>
      <c r="D119" s="364"/>
    </row>
    <row r="120" customHeight="1" spans="1:4">
      <c r="A120" s="364" t="s">
        <v>196</v>
      </c>
      <c r="B120" s="365" t="s">
        <v>6</v>
      </c>
      <c r="C120" s="364" t="s">
        <v>5</v>
      </c>
      <c r="D120" s="364"/>
    </row>
    <row r="121" customHeight="1" spans="1:4">
      <c r="A121" s="364" t="s">
        <v>197</v>
      </c>
      <c r="B121" s="365" t="s">
        <v>198</v>
      </c>
      <c r="C121" s="364" t="s">
        <v>199</v>
      </c>
      <c r="D121" s="364">
        <v>6</v>
      </c>
    </row>
    <row r="122" customHeight="1" spans="1:4">
      <c r="A122" s="364" t="s">
        <v>200</v>
      </c>
      <c r="B122" s="362" t="s">
        <v>201</v>
      </c>
      <c r="C122" s="364" t="s">
        <v>199</v>
      </c>
      <c r="D122" s="364"/>
    </row>
    <row r="123" customHeight="1" spans="1:4">
      <c r="A123" s="364" t="s">
        <v>202</v>
      </c>
      <c r="B123" s="362" t="s">
        <v>203</v>
      </c>
      <c r="C123" s="364" t="s">
        <v>199</v>
      </c>
      <c r="D123" s="364"/>
    </row>
    <row r="124" customHeight="1" spans="1:4">
      <c r="A124" s="364" t="s">
        <v>204</v>
      </c>
      <c r="B124" s="362" t="s">
        <v>198</v>
      </c>
      <c r="C124" s="364" t="s">
        <v>199</v>
      </c>
      <c r="D124" s="364">
        <v>3</v>
      </c>
    </row>
    <row r="125" customHeight="1" spans="1:4">
      <c r="A125" s="364" t="s">
        <v>205</v>
      </c>
      <c r="B125" s="362" t="s">
        <v>201</v>
      </c>
      <c r="C125" s="364" t="s">
        <v>199</v>
      </c>
      <c r="D125" s="364">
        <v>3</v>
      </c>
    </row>
    <row r="126" customHeight="1" spans="1:4">
      <c r="A126" s="364" t="s">
        <v>206</v>
      </c>
      <c r="B126" s="365" t="s">
        <v>207</v>
      </c>
      <c r="C126" s="364" t="s">
        <v>199</v>
      </c>
      <c r="D126" s="364"/>
    </row>
    <row r="127" customHeight="1" spans="1:4">
      <c r="A127" s="364" t="s">
        <v>208</v>
      </c>
      <c r="B127" s="365" t="s">
        <v>209</v>
      </c>
      <c r="C127" s="364" t="s">
        <v>199</v>
      </c>
      <c r="D127" s="364"/>
    </row>
    <row r="128" customHeight="1" spans="1:4">
      <c r="A128" s="364" t="s">
        <v>210</v>
      </c>
      <c r="B128" s="365" t="s">
        <v>211</v>
      </c>
      <c r="C128" s="364" t="s">
        <v>199</v>
      </c>
      <c r="D128" s="364"/>
    </row>
    <row r="129" customHeight="1" spans="1:4">
      <c r="A129" s="364" t="s">
        <v>212</v>
      </c>
      <c r="B129" s="362" t="s">
        <v>213</v>
      </c>
      <c r="C129" s="364" t="s">
        <v>199</v>
      </c>
      <c r="D129" s="364"/>
    </row>
    <row r="130" customHeight="1" spans="1:4">
      <c r="A130" s="364" t="s">
        <v>214</v>
      </c>
      <c r="B130" s="362" t="s">
        <v>215</v>
      </c>
      <c r="C130" s="364" t="s">
        <v>199</v>
      </c>
      <c r="D130" s="364">
        <v>6</v>
      </c>
    </row>
    <row r="131" customHeight="1" spans="1:4">
      <c r="A131" s="364" t="s">
        <v>216</v>
      </c>
      <c r="B131" s="362" t="s">
        <v>217</v>
      </c>
      <c r="C131" s="364" t="s">
        <v>199</v>
      </c>
      <c r="D131" s="364"/>
    </row>
    <row r="132" customHeight="1" spans="1:4">
      <c r="A132" s="364" t="s">
        <v>218</v>
      </c>
      <c r="B132" s="362" t="s">
        <v>219</v>
      </c>
      <c r="C132" s="364" t="s">
        <v>199</v>
      </c>
      <c r="D132" s="364"/>
    </row>
    <row r="133" customHeight="1" spans="1:4">
      <c r="A133" s="364" t="s">
        <v>220</v>
      </c>
      <c r="B133" s="362" t="s">
        <v>221</v>
      </c>
      <c r="C133" s="364" t="s">
        <v>199</v>
      </c>
      <c r="D133" s="364"/>
    </row>
    <row r="134" customHeight="1" spans="1:4">
      <c r="A134" s="364" t="s">
        <v>222</v>
      </c>
      <c r="B134" s="362" t="s">
        <v>223</v>
      </c>
      <c r="C134" s="364" t="s">
        <v>199</v>
      </c>
      <c r="D134" s="364">
        <v>6</v>
      </c>
    </row>
    <row r="135" customHeight="1" spans="1:4">
      <c r="A135" s="364" t="s">
        <v>224</v>
      </c>
      <c r="B135" s="362" t="s">
        <v>225</v>
      </c>
      <c r="C135" s="364" t="s">
        <v>199</v>
      </c>
      <c r="D135" s="364"/>
    </row>
    <row r="136" customHeight="1" spans="1:4">
      <c r="A136" s="364" t="s">
        <v>226</v>
      </c>
      <c r="B136" s="362" t="s">
        <v>209</v>
      </c>
      <c r="C136" s="364" t="s">
        <v>199</v>
      </c>
      <c r="D136" s="364"/>
    </row>
    <row r="137" customHeight="1" spans="1:4">
      <c r="A137" s="364" t="s">
        <v>227</v>
      </c>
      <c r="B137" s="362" t="s">
        <v>209</v>
      </c>
      <c r="C137" s="364" t="s">
        <v>199</v>
      </c>
      <c r="D137" s="36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137" etc:filterBottomFollowUsedRange="0">
    <sortState ref="A1:D137">
      <sortCondition ref="A1"/>
    </sortState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10"/>
  <sheetViews>
    <sheetView workbookViewId="0">
      <pane xSplit="9" ySplit="2" topLeftCell="AE197" activePane="bottomRight" state="frozen"/>
      <selection/>
      <selection pane="topRight"/>
      <selection pane="bottomLeft"/>
      <selection pane="bottomRight" activeCell="A200" sqref="A200"/>
    </sheetView>
  </sheetViews>
  <sheetFormatPr defaultColWidth="9" defaultRowHeight="25" customHeight="1"/>
  <cols>
    <col min="1" max="2" width="12.6" style="45" customWidth="1"/>
    <col min="3" max="3" width="10.625" style="45" customWidth="1"/>
    <col min="4" max="5" width="12.6" style="45" customWidth="1"/>
    <col min="6" max="6" width="10.6" style="45" customWidth="1"/>
    <col min="7" max="7" width="6.625" style="169" customWidth="1"/>
    <col min="8" max="8" width="10.625" style="45" customWidth="1"/>
    <col min="9" max="9" width="5.6" style="45" customWidth="1"/>
    <col min="10" max="33" width="8.6" style="45" customWidth="1"/>
    <col min="34" max="34" width="10.35" style="45" customWidth="1"/>
    <col min="35" max="41" width="8.6" style="45" customWidth="1"/>
    <col min="42" max="42" width="8.6" style="68" customWidth="1"/>
    <col min="43" max="44" width="12.6" style="69" customWidth="1"/>
    <col min="45" max="16384" width="9" style="45"/>
  </cols>
  <sheetData>
    <row r="1" s="45" customFormat="1" customHeight="1" spans="1:44">
      <c r="A1" s="56" t="s">
        <v>228</v>
      </c>
      <c r="B1" s="56"/>
      <c r="C1" s="56"/>
      <c r="D1" s="56"/>
      <c r="E1" s="56"/>
      <c r="F1" s="56"/>
      <c r="G1" s="171"/>
      <c r="H1" s="56"/>
      <c r="I1" s="56"/>
      <c r="J1" s="14"/>
      <c r="K1" s="14"/>
      <c r="L1" s="32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324" t="s">
        <v>229</v>
      </c>
      <c r="AE1" s="325"/>
      <c r="AF1" s="325"/>
      <c r="AG1" s="324" t="s">
        <v>125</v>
      </c>
      <c r="AH1" s="325"/>
      <c r="AI1" s="325"/>
      <c r="AJ1" s="324" t="s">
        <v>230</v>
      </c>
      <c r="AK1" s="325"/>
      <c r="AL1" s="325"/>
      <c r="AM1" s="325"/>
      <c r="AN1" s="14"/>
      <c r="AO1" s="14"/>
      <c r="AP1" s="71"/>
      <c r="AQ1" s="72"/>
      <c r="AR1" s="72"/>
    </row>
    <row r="2" s="45" customFormat="1" customHeight="1" spans="1:44">
      <c r="A2" s="176" t="s">
        <v>231</v>
      </c>
      <c r="B2" s="176" t="s">
        <v>232</v>
      </c>
      <c r="C2" s="176" t="s">
        <v>233</v>
      </c>
      <c r="D2" s="176" t="s">
        <v>234</v>
      </c>
      <c r="E2" s="176" t="s">
        <v>235</v>
      </c>
      <c r="F2" s="176" t="s">
        <v>236</v>
      </c>
      <c r="G2" s="171" t="s">
        <v>237</v>
      </c>
      <c r="H2" s="176" t="s">
        <v>238</v>
      </c>
      <c r="I2" s="176" t="s">
        <v>239</v>
      </c>
      <c r="J2" s="326" t="s">
        <v>25</v>
      </c>
      <c r="K2" s="327" t="s">
        <v>29</v>
      </c>
      <c r="L2" s="327" t="s">
        <v>65</v>
      </c>
      <c r="M2" s="326" t="s">
        <v>70</v>
      </c>
      <c r="N2" s="327" t="s">
        <v>88</v>
      </c>
      <c r="O2" s="327" t="s">
        <v>89</v>
      </c>
      <c r="P2" s="14" t="s">
        <v>141</v>
      </c>
      <c r="Q2" s="14" t="s">
        <v>143</v>
      </c>
      <c r="R2" s="14" t="s">
        <v>148</v>
      </c>
      <c r="S2" s="14" t="s">
        <v>149</v>
      </c>
      <c r="T2" s="14" t="s">
        <v>150</v>
      </c>
      <c r="U2" s="14" t="s">
        <v>151</v>
      </c>
      <c r="V2" s="14" t="s">
        <v>153</v>
      </c>
      <c r="W2" s="14" t="s">
        <v>155</v>
      </c>
      <c r="X2" s="14" t="s">
        <v>158</v>
      </c>
      <c r="Y2" s="14" t="s">
        <v>197</v>
      </c>
      <c r="Z2" s="14" t="s">
        <v>204</v>
      </c>
      <c r="AA2" s="14" t="s">
        <v>205</v>
      </c>
      <c r="AB2" s="14" t="s">
        <v>214</v>
      </c>
      <c r="AC2" s="14" t="s">
        <v>222</v>
      </c>
      <c r="AD2" s="14" t="s">
        <v>139</v>
      </c>
      <c r="AE2" s="14" t="s">
        <v>137</v>
      </c>
      <c r="AF2" s="14" t="s">
        <v>135</v>
      </c>
      <c r="AG2" s="14" t="s">
        <v>240</v>
      </c>
      <c r="AH2" s="14" t="s">
        <v>241</v>
      </c>
      <c r="AI2" s="14" t="s">
        <v>242</v>
      </c>
      <c r="AJ2" s="14" t="s">
        <v>144</v>
      </c>
      <c r="AK2" s="14" t="s">
        <v>145</v>
      </c>
      <c r="AL2" s="14" t="s">
        <v>146</v>
      </c>
      <c r="AM2" s="14" t="s">
        <v>147</v>
      </c>
      <c r="AN2" s="172" t="s">
        <v>154</v>
      </c>
      <c r="AO2" s="14"/>
      <c r="AP2" s="71" t="s">
        <v>243</v>
      </c>
      <c r="AQ2" s="72" t="s">
        <v>244</v>
      </c>
      <c r="AR2" s="72" t="s">
        <v>245</v>
      </c>
    </row>
    <row r="3" s="319" customFormat="1" customHeight="1" spans="1:44">
      <c r="A3" s="176">
        <v>44487</v>
      </c>
      <c r="B3" s="176">
        <v>44641</v>
      </c>
      <c r="C3" s="14" t="s">
        <v>246</v>
      </c>
      <c r="D3" s="14"/>
      <c r="E3" s="14" t="s">
        <v>247</v>
      </c>
      <c r="F3" s="14" t="s">
        <v>158</v>
      </c>
      <c r="G3" s="171">
        <f>9000-300</f>
        <v>8700</v>
      </c>
      <c r="H3" s="14" t="s">
        <v>248</v>
      </c>
      <c r="I3" s="14" t="str">
        <f>IFERROR(VLOOKUP(F3,名称!A:C,3,0),"")</f>
        <v>NER</v>
      </c>
      <c r="J3" s="14" t="str">
        <f t="shared" ref="J3:AC3" si="0">IF(AND($F3=J$2,$G3&gt;0),$G3,"")</f>
        <v/>
      </c>
      <c r="K3" s="14" t="str">
        <f t="shared" si="0"/>
        <v/>
      </c>
      <c r="L3" s="14" t="str">
        <f t="shared" si="0"/>
        <v/>
      </c>
      <c r="M3" s="14" t="str">
        <f t="shared" si="0"/>
        <v/>
      </c>
      <c r="N3" s="14" t="str">
        <f t="shared" si="0"/>
        <v/>
      </c>
      <c r="O3" s="14" t="str">
        <f t="shared" si="0"/>
        <v/>
      </c>
      <c r="P3" s="14" t="str">
        <f t="shared" si="0"/>
        <v/>
      </c>
      <c r="Q3" s="14" t="str">
        <f t="shared" si="0"/>
        <v/>
      </c>
      <c r="R3" s="14" t="str">
        <f t="shared" si="0"/>
        <v/>
      </c>
      <c r="S3" s="14" t="str">
        <f t="shared" si="0"/>
        <v/>
      </c>
      <c r="T3" s="14" t="str">
        <f t="shared" si="0"/>
        <v/>
      </c>
      <c r="U3" s="14" t="str">
        <f t="shared" si="0"/>
        <v/>
      </c>
      <c r="V3" s="14" t="str">
        <f t="shared" si="0"/>
        <v/>
      </c>
      <c r="W3" s="14" t="str">
        <f t="shared" si="0"/>
        <v/>
      </c>
      <c r="X3" s="14">
        <f t="shared" si="0"/>
        <v>8700</v>
      </c>
      <c r="Y3" s="14" t="str">
        <f t="shared" si="0"/>
        <v/>
      </c>
      <c r="Z3" s="14" t="str">
        <f t="shared" si="0"/>
        <v/>
      </c>
      <c r="AA3" s="14" t="str">
        <f t="shared" si="0"/>
        <v/>
      </c>
      <c r="AB3" s="14" t="str">
        <f t="shared" si="0"/>
        <v/>
      </c>
      <c r="AC3" s="14" t="str">
        <f t="shared" si="0"/>
        <v/>
      </c>
      <c r="AD3" s="14" t="str">
        <f t="shared" ref="AD3:AD66" si="1">IF(AND($G3&gt;0,$F3&lt;&gt;""),IF(OR($F3="FNT1608-G",$F3="FNT1675-G"),IF(OR(AD$2="FNT1611",AD$2="FNT1610",AD$2="FNT1609"),$G3/3,""),IF($F3=AD$2,$G3,"")),"")</f>
        <v/>
      </c>
      <c r="AE3" s="14" t="str">
        <f t="shared" ref="AE3:AE66" si="2">IF(AND($G3&gt;0,$F3&lt;&gt;""),IF(OR($F3="FNT1608-G",$F3="FNT1675-G"),IF(OR(AE$2="FNT1611",AE$2="FNT1610",AE$2="FNT1609"),$G3/3,""),IF($F3=AE$2,$G3,"")),"")</f>
        <v/>
      </c>
      <c r="AF3" s="14" t="str">
        <f t="shared" ref="AF3:AF66" si="3">IF(AND($G3&gt;0,$F3&lt;&gt;""),IF(OR($F3="FNT1608-G",$F3="FNT1675-G"),IF(OR(AF$2="FNT1611",AF$2="FNT1610",AF$2="FNT1609"),$G3/3,""),IF($F3=AF$2,$G3,"")),"")</f>
        <v/>
      </c>
      <c r="AG3" s="14" t="str">
        <f t="shared" ref="AG3:AG66" si="4">IF(AND($G3&gt;0,$F3&lt;&gt;""),IF($F3="FNT1608-H",IF(OR(AG$2="FNT1618",AG$2="FNT1619",AG$2="FNT1620"),$G3/3,""),IF($F3=AG$2,$G3,"")),"")</f>
        <v/>
      </c>
      <c r="AH3" s="14" t="str">
        <f t="shared" ref="AH3:AH66" si="5">IF(AND($G3&gt;0,$F3&lt;&gt;""),IF($F3="FNT1608-H",IF(OR(AH$2="FNT1618",AH$2="FNT1619",AH$2="FNT1620"),$G3/3,""),IF($F3=AH$2,$G3,"")),"")</f>
        <v/>
      </c>
      <c r="AI3" s="14" t="str">
        <f t="shared" ref="AI3:AI66" si="6">IF(AND($G3&gt;0,$F3&lt;&gt;""),IF($F3="FNT1608-H",IF(OR(AI$2="FNT1618",AI$2="FNT1619",AI$2="FNT1620"),$G3/3,""),IF($F3=AI$2,$G3,"")),"")</f>
        <v/>
      </c>
      <c r="AJ3" s="14" t="str">
        <f t="shared" ref="AJ3:AJ66" si="7">IF(AND($G3&gt;0,$F3&lt;&gt;""),IF($F3="FNT1608-I",IF(AJ$2="FNT1653",$G3*2/6,IF(AJ$2="FNT1654",$G3*1/6,IF(AJ$2="FNT1655",$G3*1/6,IF(AJ$2="FNT1657",$G3*2/6,"")))),IF($F3="FNT1608-K",IF(AJ$2="FNT1653",$G3*1/6,IF(AJ$2="FNT1654",$G3*2/6,IF(AJ$2="FNT1655",$G3*1/6,IF(AJ$2="FNT1657",$G3*2/6,"")))),IF($F3=AJ$2,$G3,""))),"")</f>
        <v/>
      </c>
      <c r="AK3" s="14" t="str">
        <f t="shared" ref="AK3:AK66" si="8">IF(AND($G3&gt;0,$F3&lt;&gt;""),IF($F3="FNT1608-I",IF(AK$2="FNT1653",$G3*2/6,IF(AK$2="FNT1654",$G3*1/6,IF(AK$2="FNT1655",$G3*1/6,IF(AK$2="FNT1657",$G3*2/6,"")))),IF($F3="FNT1608-K",IF(AK$2="FNT1653",$G3*1/6,IF(AK$2="FNT1654",$G3*2/6,IF(AK$2="FNT1655",$G3*1/6,IF(AK$2="FNT1657",$G3*2/6,"")))),IF($F3=AK$2,$G3,""))),"")</f>
        <v/>
      </c>
      <c r="AL3" s="14" t="str">
        <f t="shared" ref="AL3:AL66" si="9">IF(AND($G3&gt;0,$F3&lt;&gt;""),IF($F3="FNT1608-I",IF(AL$2="FNT1653",$G3*2/6,IF(AL$2="FNT1654",$G3*1/6,IF(AL$2="FNT1655",$G3*1/6,IF(AL$2="FNT1657",$G3*2/6,"")))),IF($F3="FNT1608-K",IF(AL$2="FNT1653",$G3*1/6,IF(AL$2="FNT1654",$G3*2/6,IF(AL$2="FNT1655",$G3*1/6,IF(AL$2="FNT1657",$G3*2/6,"")))),IF($F3=AL$2,$G3,""))),"")</f>
        <v/>
      </c>
      <c r="AM3" s="14" t="str">
        <f t="shared" ref="AM3:AM66" si="10">IF(AND($G3&gt;0,$F3&lt;&gt;""),IF($F3="FNT1608-I",IF(AM$2="FNT1653",$G3*2/6,IF(AM$2="FNT1654",$G3*1/6,IF(AM$2="FNT1655",$G3*1/6,IF(AM$2="FNT1657",$G3*2/6,"")))),IF($F3="FNT1608-K",IF(AM$2="FNT1653",$G3*1/6,IF(AM$2="FNT1654",$G3*2/6,IF(AM$2="FNT1655",$G3*1/6,IF(AM$2="FNT1657",$G3*2/6,"")))),IF($F3=AM$2,$G3,""))),"")</f>
        <v/>
      </c>
      <c r="AN3" s="14" t="str">
        <f t="shared" ref="AN3:AN66" si="11">IF(AND($G3&gt;0,$F3&lt;&gt;""),IF(OR($F3="FNT1608-G",$F3="FNT1675-G"),IF(OR(AN$2="FNT1611",AN$2="FNT1610",AN$2="FNT1609"),$G3/3,""),IF($F3="FNT1608-H",IF(OR(AN$2="FNT1618",AN$2="FNT1619",AN$2="FNT1620"),$G3/3,""),IF($F3="FNT1608-I",IF(AN$2="FNT1653",$G3*2/6,IF(AN$2="FNT1654",$G3*1/6,IF(AN$2="FNT1655",$G3*1/6,IF(AN$2="FNT1657",$G3*2/6,"")))),IF($F3="FNT1608-K",IF(AN$2="FNT1653",$G3*1/6,IF(AN$2="FNT1654",$G3*2/6,IF(AN$2="FNT1655",$G3*1/6,IF(AN$2="FNT1657",$G3*2/6,"")))),IF($F3=AN$2,$G3,""))))),"")</f>
        <v/>
      </c>
      <c r="AO3" s="14" t="str">
        <f t="shared" ref="AO3:AO66" si="12">IF(AND($G3&gt;0,$F3&lt;&gt;""),IF(OR($F3="FNT1608-G",$F3="FNT1675-G"),IF(OR(AO$2="FNT1611",AO$2="FNT1610",AO$2="FNT1609"),$G3/3,""),IF($F3="FNT1608-H",IF(OR(AO$2="FNT1618",AO$2="FNT1619",AO$2="FNT1620"),$G3/3,""),IF($F3="FNT1608-I",IF(AO$2="FNT1653",$G3*2/6,IF(AO$2="FNT1654",$G3*1/6,IF(AO$2="FNT1655",$G3*1/6,IF(AO$2="FNT1657",$G3*2/6,"")))),IF($F3="FNT1608-K",IF(AO$2="FNT1653",$G3*1/6,IF(AO$2="FNT1654",$G3*2/6,IF(AO$2="FNT1655",$G3*1/6,IF(AO$2="FNT1657",$G3*2/6,"")))),IF($F3=AO$2,$G3,""))))),"")</f>
        <v/>
      </c>
      <c r="AP3" s="71">
        <v>5.38</v>
      </c>
      <c r="AQ3" s="72">
        <f t="shared" ref="AQ3:AQ66" si="13">SUM(J3:AO3)*AP3</f>
        <v>46806</v>
      </c>
      <c r="AR3" s="72">
        <f t="shared" ref="AR3:AR66" si="14">AQ3*7.75</f>
        <v>362746.5</v>
      </c>
    </row>
    <row r="4" s="45" customFormat="1" customHeight="1" spans="1:44">
      <c r="A4" s="56">
        <v>45068</v>
      </c>
      <c r="B4" s="56">
        <v>45127</v>
      </c>
      <c r="C4" s="14" t="s">
        <v>246</v>
      </c>
      <c r="D4" s="172" t="s">
        <v>249</v>
      </c>
      <c r="E4" s="328" t="s">
        <v>250</v>
      </c>
      <c r="F4" s="14" t="s">
        <v>204</v>
      </c>
      <c r="G4" s="171">
        <f>198-54</f>
        <v>144</v>
      </c>
      <c r="H4" s="14" t="s">
        <v>251</v>
      </c>
      <c r="I4" s="14" t="str">
        <f>IFERROR(VLOOKUP(F4,名称!A:C,3,0),"")</f>
        <v>SNF</v>
      </c>
      <c r="J4" s="14" t="str">
        <f t="shared" ref="J4:AC4" si="15">IF(AND($F4=J$2,$G4&gt;0),$G4,"")</f>
        <v/>
      </c>
      <c r="K4" s="14" t="str">
        <f t="shared" si="15"/>
        <v/>
      </c>
      <c r="L4" s="14" t="str">
        <f t="shared" si="15"/>
        <v/>
      </c>
      <c r="M4" s="14" t="str">
        <f t="shared" si="15"/>
        <v/>
      </c>
      <c r="N4" s="14" t="str">
        <f t="shared" si="15"/>
        <v/>
      </c>
      <c r="O4" s="14" t="str">
        <f t="shared" si="15"/>
        <v/>
      </c>
      <c r="P4" s="14" t="str">
        <f t="shared" si="15"/>
        <v/>
      </c>
      <c r="Q4" s="14" t="str">
        <f t="shared" si="15"/>
        <v/>
      </c>
      <c r="R4" s="14" t="str">
        <f t="shared" si="15"/>
        <v/>
      </c>
      <c r="S4" s="14" t="str">
        <f t="shared" si="15"/>
        <v/>
      </c>
      <c r="T4" s="14" t="str">
        <f t="shared" si="15"/>
        <v/>
      </c>
      <c r="U4" s="14" t="str">
        <f t="shared" si="15"/>
        <v/>
      </c>
      <c r="V4" s="14" t="str">
        <f t="shared" si="15"/>
        <v/>
      </c>
      <c r="W4" s="14" t="str">
        <f t="shared" si="15"/>
        <v/>
      </c>
      <c r="X4" s="14" t="str">
        <f t="shared" si="15"/>
        <v/>
      </c>
      <c r="Y4" s="14" t="str">
        <f t="shared" si="15"/>
        <v/>
      </c>
      <c r="Z4" s="14">
        <f t="shared" si="15"/>
        <v>144</v>
      </c>
      <c r="AA4" s="14" t="str">
        <f t="shared" si="15"/>
        <v/>
      </c>
      <c r="AB4" s="14" t="str">
        <f t="shared" si="15"/>
        <v/>
      </c>
      <c r="AC4" s="14" t="str">
        <f t="shared" si="15"/>
        <v/>
      </c>
      <c r="AD4" s="14" t="str">
        <f t="shared" si="1"/>
        <v/>
      </c>
      <c r="AE4" s="14" t="str">
        <f t="shared" si="2"/>
        <v/>
      </c>
      <c r="AF4" s="14" t="str">
        <f t="shared" si="3"/>
        <v/>
      </c>
      <c r="AG4" s="14" t="str">
        <f t="shared" si="4"/>
        <v/>
      </c>
      <c r="AH4" s="14" t="str">
        <f t="shared" si="5"/>
        <v/>
      </c>
      <c r="AI4" s="14" t="str">
        <f t="shared" si="6"/>
        <v/>
      </c>
      <c r="AJ4" s="14" t="str">
        <f t="shared" si="7"/>
        <v/>
      </c>
      <c r="AK4" s="14" t="str">
        <f t="shared" si="8"/>
        <v/>
      </c>
      <c r="AL4" s="14" t="str">
        <f t="shared" si="9"/>
        <v/>
      </c>
      <c r="AM4" s="14" t="str">
        <f t="shared" si="10"/>
        <v/>
      </c>
      <c r="AN4" s="14" t="str">
        <f t="shared" si="11"/>
        <v/>
      </c>
      <c r="AO4" s="14" t="str">
        <f t="shared" si="12"/>
        <v/>
      </c>
      <c r="AP4" s="71">
        <v>2.22</v>
      </c>
      <c r="AQ4" s="72">
        <f t="shared" si="13"/>
        <v>319.68</v>
      </c>
      <c r="AR4" s="72">
        <f t="shared" si="14"/>
        <v>2477.52</v>
      </c>
    </row>
    <row r="5" s="45" customFormat="1" customHeight="1" spans="1:44">
      <c r="A5" s="56">
        <v>45128</v>
      </c>
      <c r="B5" s="56">
        <v>45184</v>
      </c>
      <c r="C5" s="14" t="s">
        <v>246</v>
      </c>
      <c r="D5" s="57" t="s">
        <v>249</v>
      </c>
      <c r="E5" s="14" t="s">
        <v>252</v>
      </c>
      <c r="F5" s="14" t="s">
        <v>70</v>
      </c>
      <c r="G5" s="171">
        <f>1820-836-56-188-60-500+100-180</f>
        <v>100</v>
      </c>
      <c r="H5" s="14" t="s">
        <v>253</v>
      </c>
      <c r="I5" s="14" t="str">
        <f>IFERROR(VLOOKUP(F5,名称!A:C,3,0),"")</f>
        <v>CMW</v>
      </c>
      <c r="J5" s="14" t="str">
        <f t="shared" ref="J5:AC5" si="16">IF(AND($F5=J$2,$G5&gt;0),$G5,"")</f>
        <v/>
      </c>
      <c r="K5" s="14" t="str">
        <f t="shared" si="16"/>
        <v/>
      </c>
      <c r="L5" s="14" t="str">
        <f t="shared" si="16"/>
        <v/>
      </c>
      <c r="M5" s="14">
        <f t="shared" si="16"/>
        <v>100</v>
      </c>
      <c r="N5" s="14" t="str">
        <f t="shared" si="16"/>
        <v/>
      </c>
      <c r="O5" s="14" t="str">
        <f t="shared" si="16"/>
        <v/>
      </c>
      <c r="P5" s="14" t="str">
        <f t="shared" si="16"/>
        <v/>
      </c>
      <c r="Q5" s="14" t="str">
        <f t="shared" si="16"/>
        <v/>
      </c>
      <c r="R5" s="14" t="str">
        <f t="shared" si="16"/>
        <v/>
      </c>
      <c r="S5" s="14" t="str">
        <f t="shared" si="16"/>
        <v/>
      </c>
      <c r="T5" s="14" t="str">
        <f t="shared" si="16"/>
        <v/>
      </c>
      <c r="U5" s="14" t="str">
        <f t="shared" si="16"/>
        <v/>
      </c>
      <c r="V5" s="14" t="str">
        <f t="shared" si="16"/>
        <v/>
      </c>
      <c r="W5" s="14" t="str">
        <f t="shared" si="16"/>
        <v/>
      </c>
      <c r="X5" s="14" t="str">
        <f t="shared" si="16"/>
        <v/>
      </c>
      <c r="Y5" s="14" t="str">
        <f t="shared" si="16"/>
        <v/>
      </c>
      <c r="Z5" s="14" t="str">
        <f t="shared" si="16"/>
        <v/>
      </c>
      <c r="AA5" s="14" t="str">
        <f t="shared" si="16"/>
        <v/>
      </c>
      <c r="AB5" s="14" t="str">
        <f t="shared" si="16"/>
        <v/>
      </c>
      <c r="AC5" s="14" t="str">
        <f t="shared" si="16"/>
        <v/>
      </c>
      <c r="AD5" s="14" t="str">
        <f t="shared" si="1"/>
        <v/>
      </c>
      <c r="AE5" s="14" t="str">
        <f t="shared" si="2"/>
        <v/>
      </c>
      <c r="AF5" s="14" t="str">
        <f t="shared" si="3"/>
        <v/>
      </c>
      <c r="AG5" s="14" t="str">
        <f t="shared" si="4"/>
        <v/>
      </c>
      <c r="AH5" s="14" t="str">
        <f t="shared" si="5"/>
        <v/>
      </c>
      <c r="AI5" s="14" t="str">
        <f t="shared" si="6"/>
        <v/>
      </c>
      <c r="AJ5" s="14" t="str">
        <f t="shared" si="7"/>
        <v/>
      </c>
      <c r="AK5" s="14" t="str">
        <f t="shared" si="8"/>
        <v/>
      </c>
      <c r="AL5" s="14" t="str">
        <f t="shared" si="9"/>
        <v/>
      </c>
      <c r="AM5" s="14" t="str">
        <f t="shared" si="10"/>
        <v/>
      </c>
      <c r="AN5" s="14" t="str">
        <f t="shared" si="11"/>
        <v/>
      </c>
      <c r="AO5" s="14" t="str">
        <f t="shared" si="12"/>
        <v/>
      </c>
      <c r="AP5" s="71">
        <v>13.42</v>
      </c>
      <c r="AQ5" s="72">
        <f t="shared" si="13"/>
        <v>1342</v>
      </c>
      <c r="AR5" s="72">
        <f t="shared" si="14"/>
        <v>10400.5</v>
      </c>
    </row>
    <row r="6" s="45" customFormat="1" customHeight="1" spans="1:44">
      <c r="A6" s="56">
        <v>45313</v>
      </c>
      <c r="B6" s="56">
        <v>45444</v>
      </c>
      <c r="C6" s="182" t="s">
        <v>246</v>
      </c>
      <c r="D6" s="57"/>
      <c r="E6" s="14" t="s">
        <v>254</v>
      </c>
      <c r="F6" s="14" t="s">
        <v>89</v>
      </c>
      <c r="G6" s="171">
        <f>2250-1126-224-896</f>
        <v>4</v>
      </c>
      <c r="H6" s="14" t="s">
        <v>255</v>
      </c>
      <c r="I6" s="14" t="str">
        <f>IFERROR(VLOOKUP(F6,名称!A:C,3,0),"")</f>
        <v>CMW</v>
      </c>
      <c r="J6" s="14" t="str">
        <f t="shared" ref="J6:AC6" si="17">IF(AND($F6=J$2,$G6&gt;0),$G6,"")</f>
        <v/>
      </c>
      <c r="K6" s="14" t="str">
        <f t="shared" si="17"/>
        <v/>
      </c>
      <c r="L6" s="14" t="str">
        <f t="shared" si="17"/>
        <v/>
      </c>
      <c r="M6" s="14" t="str">
        <f t="shared" si="17"/>
        <v/>
      </c>
      <c r="N6" s="14" t="str">
        <f t="shared" si="17"/>
        <v/>
      </c>
      <c r="O6" s="14">
        <f t="shared" si="17"/>
        <v>4</v>
      </c>
      <c r="P6" s="14" t="str">
        <f t="shared" si="17"/>
        <v/>
      </c>
      <c r="Q6" s="14" t="str">
        <f t="shared" si="17"/>
        <v/>
      </c>
      <c r="R6" s="14" t="str">
        <f t="shared" si="17"/>
        <v/>
      </c>
      <c r="S6" s="14" t="str">
        <f t="shared" si="17"/>
        <v/>
      </c>
      <c r="T6" s="14" t="str">
        <f t="shared" si="17"/>
        <v/>
      </c>
      <c r="U6" s="14" t="str">
        <f t="shared" si="17"/>
        <v/>
      </c>
      <c r="V6" s="14" t="str">
        <f t="shared" si="17"/>
        <v/>
      </c>
      <c r="W6" s="14" t="str">
        <f t="shared" si="17"/>
        <v/>
      </c>
      <c r="X6" s="14" t="str">
        <f t="shared" si="17"/>
        <v/>
      </c>
      <c r="Y6" s="14" t="str">
        <f t="shared" si="17"/>
        <v/>
      </c>
      <c r="Z6" s="14" t="str">
        <f t="shared" si="17"/>
        <v/>
      </c>
      <c r="AA6" s="14" t="str">
        <f t="shared" si="17"/>
        <v/>
      </c>
      <c r="AB6" s="14" t="str">
        <f t="shared" si="17"/>
        <v/>
      </c>
      <c r="AC6" s="14" t="str">
        <f t="shared" si="17"/>
        <v/>
      </c>
      <c r="AD6" s="14" t="str">
        <f t="shared" si="1"/>
        <v/>
      </c>
      <c r="AE6" s="14" t="str">
        <f t="shared" si="2"/>
        <v/>
      </c>
      <c r="AF6" s="14" t="str">
        <f t="shared" si="3"/>
        <v/>
      </c>
      <c r="AG6" s="14" t="str">
        <f t="shared" si="4"/>
        <v/>
      </c>
      <c r="AH6" s="14" t="str">
        <f t="shared" si="5"/>
        <v/>
      </c>
      <c r="AI6" s="14" t="str">
        <f t="shared" si="6"/>
        <v/>
      </c>
      <c r="AJ6" s="14" t="str">
        <f t="shared" si="7"/>
        <v/>
      </c>
      <c r="AK6" s="14" t="str">
        <f t="shared" si="8"/>
        <v/>
      </c>
      <c r="AL6" s="14" t="str">
        <f t="shared" si="9"/>
        <v/>
      </c>
      <c r="AM6" s="14" t="str">
        <f t="shared" si="10"/>
        <v/>
      </c>
      <c r="AN6" s="14" t="str">
        <f t="shared" si="11"/>
        <v/>
      </c>
      <c r="AO6" s="14" t="str">
        <f t="shared" si="12"/>
        <v/>
      </c>
      <c r="AP6" s="71">
        <v>13.53</v>
      </c>
      <c r="AQ6" s="72">
        <f t="shared" si="13"/>
        <v>54.12</v>
      </c>
      <c r="AR6" s="72">
        <f t="shared" si="14"/>
        <v>419.43</v>
      </c>
    </row>
    <row r="7" s="45" customFormat="1" customHeight="1" spans="1:44">
      <c r="A7" s="74">
        <v>45588</v>
      </c>
      <c r="B7" s="183">
        <v>45609</v>
      </c>
      <c r="C7" s="189" t="s">
        <v>246</v>
      </c>
      <c r="D7" s="14" t="s">
        <v>256</v>
      </c>
      <c r="E7" s="172" t="s">
        <v>257</v>
      </c>
      <c r="F7" s="172" t="s">
        <v>25</v>
      </c>
      <c r="G7" s="175">
        <f>60+60</f>
        <v>120</v>
      </c>
      <c r="H7" s="172" t="s">
        <v>258</v>
      </c>
      <c r="I7" s="14" t="str">
        <f>IFERROR(VLOOKUP(F7,名称!A:C,3,0),"")</f>
        <v>CMW</v>
      </c>
      <c r="J7" s="14">
        <f t="shared" ref="J7:AC7" si="18">IF(AND($F7=J$2,$G7&gt;0),$G7,"")</f>
        <v>120</v>
      </c>
      <c r="K7" s="14" t="str">
        <f t="shared" si="18"/>
        <v/>
      </c>
      <c r="L7" s="14" t="str">
        <f t="shared" si="18"/>
        <v/>
      </c>
      <c r="M7" s="14" t="str">
        <f t="shared" si="18"/>
        <v/>
      </c>
      <c r="N7" s="14" t="str">
        <f t="shared" si="18"/>
        <v/>
      </c>
      <c r="O7" s="14" t="str">
        <f t="shared" si="18"/>
        <v/>
      </c>
      <c r="P7" s="14" t="str">
        <f t="shared" si="18"/>
        <v/>
      </c>
      <c r="Q7" s="14" t="str">
        <f t="shared" si="18"/>
        <v/>
      </c>
      <c r="R7" s="14" t="str">
        <f t="shared" si="18"/>
        <v/>
      </c>
      <c r="S7" s="14" t="str">
        <f t="shared" si="18"/>
        <v/>
      </c>
      <c r="T7" s="14" t="str">
        <f t="shared" si="18"/>
        <v/>
      </c>
      <c r="U7" s="14" t="str">
        <f t="shared" si="18"/>
        <v/>
      </c>
      <c r="V7" s="14" t="str">
        <f t="shared" si="18"/>
        <v/>
      </c>
      <c r="W7" s="14" t="str">
        <f t="shared" si="18"/>
        <v/>
      </c>
      <c r="X7" s="14" t="str">
        <f t="shared" si="18"/>
        <v/>
      </c>
      <c r="Y7" s="14" t="str">
        <f t="shared" si="18"/>
        <v/>
      </c>
      <c r="Z7" s="14" t="str">
        <f t="shared" si="18"/>
        <v/>
      </c>
      <c r="AA7" s="14" t="str">
        <f t="shared" si="18"/>
        <v/>
      </c>
      <c r="AB7" s="14" t="str">
        <f t="shared" si="18"/>
        <v/>
      </c>
      <c r="AC7" s="14" t="str">
        <f t="shared" si="18"/>
        <v/>
      </c>
      <c r="AD7" s="14" t="str">
        <f t="shared" si="1"/>
        <v/>
      </c>
      <c r="AE7" s="14" t="str">
        <f t="shared" si="2"/>
        <v/>
      </c>
      <c r="AF7" s="14" t="str">
        <f t="shared" si="3"/>
        <v/>
      </c>
      <c r="AG7" s="14" t="str">
        <f t="shared" si="4"/>
        <v/>
      </c>
      <c r="AH7" s="14" t="str">
        <f t="shared" si="5"/>
        <v/>
      </c>
      <c r="AI7" s="14" t="str">
        <f t="shared" si="6"/>
        <v/>
      </c>
      <c r="AJ7" s="14" t="str">
        <f t="shared" si="7"/>
        <v/>
      </c>
      <c r="AK7" s="14" t="str">
        <f t="shared" si="8"/>
        <v/>
      </c>
      <c r="AL7" s="14" t="str">
        <f t="shared" si="9"/>
        <v/>
      </c>
      <c r="AM7" s="14" t="str">
        <f t="shared" si="10"/>
        <v/>
      </c>
      <c r="AN7" s="14" t="str">
        <f t="shared" si="11"/>
        <v/>
      </c>
      <c r="AO7" s="14" t="str">
        <f t="shared" si="12"/>
        <v/>
      </c>
      <c r="AP7" s="186">
        <v>4.26</v>
      </c>
      <c r="AQ7" s="72">
        <f t="shared" si="13"/>
        <v>511.2</v>
      </c>
      <c r="AR7" s="72">
        <f t="shared" si="14"/>
        <v>3961.8</v>
      </c>
    </row>
    <row r="8" s="45" customFormat="1" customHeight="1" spans="1:44">
      <c r="A8" s="74">
        <v>45722</v>
      </c>
      <c r="B8" s="183">
        <v>45806</v>
      </c>
      <c r="C8" s="172" t="s">
        <v>259</v>
      </c>
      <c r="D8" s="14" t="s">
        <v>260</v>
      </c>
      <c r="E8" s="14" t="s">
        <v>261</v>
      </c>
      <c r="F8" s="14" t="s">
        <v>65</v>
      </c>
      <c r="G8" s="171">
        <v>300</v>
      </c>
      <c r="H8" s="14" t="s">
        <v>258</v>
      </c>
      <c r="I8" s="14" t="str">
        <f>IFERROR(VLOOKUP(F8,名称!A:C,3,0),"")</f>
        <v>CMW</v>
      </c>
      <c r="J8" s="14" t="str">
        <f t="shared" ref="J8:AC8" si="19">IF(AND($F8=J$2,$G8&gt;0),$G8,"")</f>
        <v/>
      </c>
      <c r="K8" s="14" t="str">
        <f t="shared" si="19"/>
        <v/>
      </c>
      <c r="L8" s="14">
        <f t="shared" si="19"/>
        <v>300</v>
      </c>
      <c r="M8" s="14" t="str">
        <f t="shared" si="19"/>
        <v/>
      </c>
      <c r="N8" s="14" t="str">
        <f t="shared" si="19"/>
        <v/>
      </c>
      <c r="O8" s="14" t="str">
        <f t="shared" si="19"/>
        <v/>
      </c>
      <c r="P8" s="14" t="str">
        <f t="shared" si="19"/>
        <v/>
      </c>
      <c r="Q8" s="14" t="str">
        <f t="shared" si="19"/>
        <v/>
      </c>
      <c r="R8" s="14" t="str">
        <f t="shared" si="19"/>
        <v/>
      </c>
      <c r="S8" s="14" t="str">
        <f t="shared" si="19"/>
        <v/>
      </c>
      <c r="T8" s="14" t="str">
        <f t="shared" si="19"/>
        <v/>
      </c>
      <c r="U8" s="14" t="str">
        <f t="shared" si="19"/>
        <v/>
      </c>
      <c r="V8" s="14" t="str">
        <f t="shared" si="19"/>
        <v/>
      </c>
      <c r="W8" s="14" t="str">
        <f t="shared" si="19"/>
        <v/>
      </c>
      <c r="X8" s="14" t="str">
        <f t="shared" si="19"/>
        <v/>
      </c>
      <c r="Y8" s="14" t="str">
        <f t="shared" si="19"/>
        <v/>
      </c>
      <c r="Z8" s="14" t="str">
        <f t="shared" si="19"/>
        <v/>
      </c>
      <c r="AA8" s="14" t="str">
        <f t="shared" si="19"/>
        <v/>
      </c>
      <c r="AB8" s="14" t="str">
        <f t="shared" si="19"/>
        <v/>
      </c>
      <c r="AC8" s="14" t="str">
        <f t="shared" si="19"/>
        <v/>
      </c>
      <c r="AD8" s="14" t="str">
        <f t="shared" si="1"/>
        <v/>
      </c>
      <c r="AE8" s="14" t="str">
        <f t="shared" si="2"/>
        <v/>
      </c>
      <c r="AF8" s="14" t="str">
        <f t="shared" si="3"/>
        <v/>
      </c>
      <c r="AG8" s="14" t="str">
        <f t="shared" si="4"/>
        <v/>
      </c>
      <c r="AH8" s="14" t="str">
        <f t="shared" si="5"/>
        <v/>
      </c>
      <c r="AI8" s="14" t="str">
        <f t="shared" si="6"/>
        <v/>
      </c>
      <c r="AJ8" s="14" t="str">
        <f t="shared" si="7"/>
        <v/>
      </c>
      <c r="AK8" s="14" t="str">
        <f t="shared" si="8"/>
        <v/>
      </c>
      <c r="AL8" s="14" t="str">
        <f t="shared" si="9"/>
        <v/>
      </c>
      <c r="AM8" s="14" t="str">
        <f t="shared" si="10"/>
        <v/>
      </c>
      <c r="AN8" s="14" t="str">
        <f t="shared" si="11"/>
        <v/>
      </c>
      <c r="AO8" s="14" t="str">
        <f t="shared" si="12"/>
        <v/>
      </c>
      <c r="AP8" s="71">
        <v>3.84</v>
      </c>
      <c r="AQ8" s="72">
        <f t="shared" si="13"/>
        <v>1152</v>
      </c>
      <c r="AR8" s="72">
        <f t="shared" si="14"/>
        <v>8928</v>
      </c>
    </row>
    <row r="9" s="320" customFormat="1" customHeight="1" spans="1:44">
      <c r="A9" s="119">
        <v>45741</v>
      </c>
      <c r="B9" s="112">
        <v>46001</v>
      </c>
      <c r="C9" s="114" t="s">
        <v>262</v>
      </c>
      <c r="D9" s="114" t="s">
        <v>263</v>
      </c>
      <c r="E9" s="114" t="s">
        <v>264</v>
      </c>
      <c r="F9" s="114" t="s">
        <v>123</v>
      </c>
      <c r="G9" s="118">
        <v>804</v>
      </c>
      <c r="H9" s="114" t="s">
        <v>258</v>
      </c>
      <c r="I9" s="125" t="str">
        <f>IFERROR(VLOOKUP(F9,名称!A:C,3,0),"")</f>
        <v>FNT</v>
      </c>
      <c r="J9" s="125" t="str">
        <f t="shared" ref="J9:AC9" si="20">IF(AND($F9=J$2,$G9&gt;0),$G9,"")</f>
        <v/>
      </c>
      <c r="K9" s="125" t="str">
        <f t="shared" si="20"/>
        <v/>
      </c>
      <c r="L9" s="125" t="str">
        <f t="shared" si="20"/>
        <v/>
      </c>
      <c r="M9" s="125" t="str">
        <f t="shared" si="20"/>
        <v/>
      </c>
      <c r="N9" s="125" t="str">
        <f t="shared" si="20"/>
        <v/>
      </c>
      <c r="O9" s="125" t="str">
        <f t="shared" si="20"/>
        <v/>
      </c>
      <c r="P9" s="125" t="str">
        <f t="shared" si="20"/>
        <v/>
      </c>
      <c r="Q9" s="125" t="str">
        <f t="shared" si="20"/>
        <v/>
      </c>
      <c r="R9" s="125" t="str">
        <f t="shared" si="20"/>
        <v/>
      </c>
      <c r="S9" s="125" t="str">
        <f t="shared" si="20"/>
        <v/>
      </c>
      <c r="T9" s="125" t="str">
        <f t="shared" si="20"/>
        <v/>
      </c>
      <c r="U9" s="125" t="str">
        <f t="shared" si="20"/>
        <v/>
      </c>
      <c r="V9" s="125" t="str">
        <f t="shared" si="20"/>
        <v/>
      </c>
      <c r="W9" s="125" t="str">
        <f t="shared" si="20"/>
        <v/>
      </c>
      <c r="X9" s="125" t="str">
        <f t="shared" si="20"/>
        <v/>
      </c>
      <c r="Y9" s="125" t="str">
        <f t="shared" si="20"/>
        <v/>
      </c>
      <c r="Z9" s="125" t="str">
        <f t="shared" si="20"/>
        <v/>
      </c>
      <c r="AA9" s="125" t="str">
        <f t="shared" si="20"/>
        <v/>
      </c>
      <c r="AB9" s="125" t="str">
        <f t="shared" si="20"/>
        <v/>
      </c>
      <c r="AC9" s="125" t="str">
        <f t="shared" si="20"/>
        <v/>
      </c>
      <c r="AD9" s="125">
        <f t="shared" si="1"/>
        <v>268</v>
      </c>
      <c r="AE9" s="125">
        <f t="shared" si="2"/>
        <v>268</v>
      </c>
      <c r="AF9" s="125">
        <f t="shared" si="3"/>
        <v>268</v>
      </c>
      <c r="AG9" s="125" t="str">
        <f t="shared" si="4"/>
        <v/>
      </c>
      <c r="AH9" s="125" t="str">
        <f t="shared" si="5"/>
        <v/>
      </c>
      <c r="AI9" s="125" t="str">
        <f t="shared" si="6"/>
        <v/>
      </c>
      <c r="AJ9" s="125" t="str">
        <f t="shared" si="7"/>
        <v/>
      </c>
      <c r="AK9" s="125" t="str">
        <f t="shared" si="8"/>
        <v/>
      </c>
      <c r="AL9" s="125" t="str">
        <f t="shared" si="9"/>
        <v/>
      </c>
      <c r="AM9" s="125" t="str">
        <f t="shared" si="10"/>
        <v/>
      </c>
      <c r="AN9" s="125" t="str">
        <f t="shared" si="11"/>
        <v/>
      </c>
      <c r="AO9" s="125" t="str">
        <f t="shared" si="12"/>
        <v/>
      </c>
      <c r="AP9" s="129">
        <v>2.06</v>
      </c>
      <c r="AQ9" s="130">
        <f t="shared" si="13"/>
        <v>1656.24</v>
      </c>
      <c r="AR9" s="130">
        <f t="shared" si="14"/>
        <v>12835.86</v>
      </c>
    </row>
    <row r="10" s="45" customFormat="1" customHeight="1" spans="1:44">
      <c r="A10" s="183">
        <v>45766</v>
      </c>
      <c r="B10" s="183">
        <v>45812</v>
      </c>
      <c r="C10" s="172" t="s">
        <v>259</v>
      </c>
      <c r="D10" s="172"/>
      <c r="E10" s="172" t="s">
        <v>265</v>
      </c>
      <c r="F10" s="172" t="s">
        <v>123</v>
      </c>
      <c r="G10" s="175">
        <v>6</v>
      </c>
      <c r="H10" s="14" t="s">
        <v>258</v>
      </c>
      <c r="I10" s="14" t="str">
        <f>IFERROR(VLOOKUP(F10,名称!A:C,3,0),"")</f>
        <v>FNT</v>
      </c>
      <c r="J10" s="14" t="str">
        <f t="shared" ref="J10:AC10" si="21">IF(AND($F10=J$2,$G10&gt;0),$G10,"")</f>
        <v/>
      </c>
      <c r="K10" s="14" t="str">
        <f t="shared" si="21"/>
        <v/>
      </c>
      <c r="L10" s="14" t="str">
        <f t="shared" si="21"/>
        <v/>
      </c>
      <c r="M10" s="14" t="str">
        <f t="shared" si="21"/>
        <v/>
      </c>
      <c r="N10" s="14" t="str">
        <f t="shared" si="21"/>
        <v/>
      </c>
      <c r="O10" s="14" t="str">
        <f t="shared" si="21"/>
        <v/>
      </c>
      <c r="P10" s="14" t="str">
        <f t="shared" si="21"/>
        <v/>
      </c>
      <c r="Q10" s="14" t="str">
        <f t="shared" si="21"/>
        <v/>
      </c>
      <c r="R10" s="14" t="str">
        <f t="shared" si="21"/>
        <v/>
      </c>
      <c r="S10" s="14" t="str">
        <f t="shared" si="21"/>
        <v/>
      </c>
      <c r="T10" s="14" t="str">
        <f t="shared" si="21"/>
        <v/>
      </c>
      <c r="U10" s="14" t="str">
        <f t="shared" si="21"/>
        <v/>
      </c>
      <c r="V10" s="14" t="str">
        <f t="shared" si="21"/>
        <v/>
      </c>
      <c r="W10" s="14" t="str">
        <f t="shared" si="21"/>
        <v/>
      </c>
      <c r="X10" s="14" t="str">
        <f t="shared" si="21"/>
        <v/>
      </c>
      <c r="Y10" s="14" t="str">
        <f t="shared" si="21"/>
        <v/>
      </c>
      <c r="Z10" s="14" t="str">
        <f t="shared" si="21"/>
        <v/>
      </c>
      <c r="AA10" s="14" t="str">
        <f t="shared" si="21"/>
        <v/>
      </c>
      <c r="AB10" s="14" t="str">
        <f t="shared" si="21"/>
        <v/>
      </c>
      <c r="AC10" s="14" t="str">
        <f t="shared" si="21"/>
        <v/>
      </c>
      <c r="AD10" s="14">
        <f t="shared" si="1"/>
        <v>2</v>
      </c>
      <c r="AE10" s="14">
        <f t="shared" si="2"/>
        <v>2</v>
      </c>
      <c r="AF10" s="14">
        <f t="shared" si="3"/>
        <v>2</v>
      </c>
      <c r="AG10" s="14" t="str">
        <f t="shared" si="4"/>
        <v/>
      </c>
      <c r="AH10" s="14" t="str">
        <f t="shared" si="5"/>
        <v/>
      </c>
      <c r="AI10" s="14" t="str">
        <f t="shared" si="6"/>
        <v/>
      </c>
      <c r="AJ10" s="14" t="str">
        <f t="shared" si="7"/>
        <v/>
      </c>
      <c r="AK10" s="14" t="str">
        <f t="shared" si="8"/>
        <v/>
      </c>
      <c r="AL10" s="14" t="str">
        <f t="shared" si="9"/>
        <v/>
      </c>
      <c r="AM10" s="14" t="str">
        <f t="shared" si="10"/>
        <v/>
      </c>
      <c r="AN10" s="14" t="str">
        <f t="shared" si="11"/>
        <v/>
      </c>
      <c r="AO10" s="14" t="str">
        <f t="shared" si="12"/>
        <v/>
      </c>
      <c r="AP10" s="71">
        <v>2.143</v>
      </c>
      <c r="AQ10" s="72">
        <f t="shared" si="13"/>
        <v>12.86</v>
      </c>
      <c r="AR10" s="72">
        <f t="shared" si="14"/>
        <v>99.67</v>
      </c>
    </row>
    <row r="11" s="320" customFormat="1" customHeight="1" spans="1:44">
      <c r="A11" s="119">
        <v>45864</v>
      </c>
      <c r="B11" s="112">
        <v>45926</v>
      </c>
      <c r="C11" s="329" t="s">
        <v>246</v>
      </c>
      <c r="D11" s="114"/>
      <c r="E11" s="114" t="s">
        <v>266</v>
      </c>
      <c r="F11" s="114" t="s">
        <v>25</v>
      </c>
      <c r="G11" s="118">
        <v>360</v>
      </c>
      <c r="H11" s="114" t="s">
        <v>258</v>
      </c>
      <c r="I11" s="125" t="str">
        <f>IFERROR(VLOOKUP(F11,名称!A:C,3,0),"")</f>
        <v>CMW</v>
      </c>
      <c r="J11" s="125">
        <f t="shared" ref="J11:AC11" si="22">IF(AND($F11=J$2,$G11&gt;0),$G11,"")</f>
        <v>360</v>
      </c>
      <c r="K11" s="125" t="str">
        <f t="shared" si="22"/>
        <v/>
      </c>
      <c r="L11" s="125" t="str">
        <f t="shared" si="22"/>
        <v/>
      </c>
      <c r="M11" s="125" t="str">
        <f t="shared" si="22"/>
        <v/>
      </c>
      <c r="N11" s="125" t="str">
        <f t="shared" si="22"/>
        <v/>
      </c>
      <c r="O11" s="125" t="str">
        <f t="shared" si="22"/>
        <v/>
      </c>
      <c r="P11" s="125" t="str">
        <f t="shared" si="22"/>
        <v/>
      </c>
      <c r="Q11" s="125" t="str">
        <f t="shared" si="22"/>
        <v/>
      </c>
      <c r="R11" s="125" t="str">
        <f t="shared" si="22"/>
        <v/>
      </c>
      <c r="S11" s="125" t="str">
        <f t="shared" si="22"/>
        <v/>
      </c>
      <c r="T11" s="125" t="str">
        <f t="shared" si="22"/>
        <v/>
      </c>
      <c r="U11" s="125" t="str">
        <f t="shared" si="22"/>
        <v/>
      </c>
      <c r="V11" s="125" t="str">
        <f t="shared" si="22"/>
        <v/>
      </c>
      <c r="W11" s="125" t="str">
        <f t="shared" si="22"/>
        <v/>
      </c>
      <c r="X11" s="125" t="str">
        <f t="shared" si="22"/>
        <v/>
      </c>
      <c r="Y11" s="125" t="str">
        <f t="shared" si="22"/>
        <v/>
      </c>
      <c r="Z11" s="125" t="str">
        <f t="shared" si="22"/>
        <v/>
      </c>
      <c r="AA11" s="125" t="str">
        <f t="shared" si="22"/>
        <v/>
      </c>
      <c r="AB11" s="125" t="str">
        <f t="shared" si="22"/>
        <v/>
      </c>
      <c r="AC11" s="125" t="str">
        <f t="shared" si="22"/>
        <v/>
      </c>
      <c r="AD11" s="125" t="str">
        <f t="shared" si="1"/>
        <v/>
      </c>
      <c r="AE11" s="125" t="str">
        <f t="shared" si="2"/>
        <v/>
      </c>
      <c r="AF11" s="125" t="str">
        <f t="shared" si="3"/>
        <v/>
      </c>
      <c r="AG11" s="125" t="str">
        <f t="shared" si="4"/>
        <v/>
      </c>
      <c r="AH11" s="125" t="str">
        <f t="shared" si="5"/>
        <v/>
      </c>
      <c r="AI11" s="125" t="str">
        <f t="shared" si="6"/>
        <v/>
      </c>
      <c r="AJ11" s="125" t="str">
        <f t="shared" si="7"/>
        <v/>
      </c>
      <c r="AK11" s="125" t="str">
        <f t="shared" si="8"/>
        <v/>
      </c>
      <c r="AL11" s="125" t="str">
        <f t="shared" si="9"/>
        <v/>
      </c>
      <c r="AM11" s="125" t="str">
        <f t="shared" si="10"/>
        <v/>
      </c>
      <c r="AN11" s="125" t="str">
        <f t="shared" si="11"/>
        <v/>
      </c>
      <c r="AO11" s="125" t="str">
        <f t="shared" si="12"/>
        <v/>
      </c>
      <c r="AP11" s="129">
        <v>4.26</v>
      </c>
      <c r="AQ11" s="130">
        <f t="shared" si="13"/>
        <v>1533.6</v>
      </c>
      <c r="AR11" s="130">
        <f t="shared" si="14"/>
        <v>11885.4</v>
      </c>
    </row>
    <row r="12" s="320" customFormat="1" customHeight="1" spans="1:44">
      <c r="A12" s="119">
        <v>45887</v>
      </c>
      <c r="B12" s="112">
        <v>45992</v>
      </c>
      <c r="C12" s="329" t="s">
        <v>246</v>
      </c>
      <c r="D12" s="114"/>
      <c r="E12" s="114" t="s">
        <v>267</v>
      </c>
      <c r="F12" s="114" t="s">
        <v>141</v>
      </c>
      <c r="G12" s="118">
        <v>240</v>
      </c>
      <c r="H12" s="114" t="s">
        <v>258</v>
      </c>
      <c r="I12" s="125" t="str">
        <f>IFERROR(VLOOKUP(F12,名称!A:C,3,0),"")</f>
        <v>FNT</v>
      </c>
      <c r="J12" s="125" t="str">
        <f t="shared" ref="J12:AC12" si="23">IF(AND($F12=J$2,$G12&gt;0),$G12,"")</f>
        <v/>
      </c>
      <c r="K12" s="125" t="str">
        <f t="shared" si="23"/>
        <v/>
      </c>
      <c r="L12" s="125" t="str">
        <f t="shared" si="23"/>
        <v/>
      </c>
      <c r="M12" s="125" t="str">
        <f t="shared" si="23"/>
        <v/>
      </c>
      <c r="N12" s="125" t="str">
        <f t="shared" si="23"/>
        <v/>
      </c>
      <c r="O12" s="125" t="str">
        <f t="shared" si="23"/>
        <v/>
      </c>
      <c r="P12" s="125">
        <f t="shared" si="23"/>
        <v>240</v>
      </c>
      <c r="Q12" s="125" t="str">
        <f t="shared" si="23"/>
        <v/>
      </c>
      <c r="R12" s="125" t="str">
        <f t="shared" si="23"/>
        <v/>
      </c>
      <c r="S12" s="125" t="str">
        <f t="shared" si="23"/>
        <v/>
      </c>
      <c r="T12" s="125" t="str">
        <f t="shared" si="23"/>
        <v/>
      </c>
      <c r="U12" s="125" t="str">
        <f t="shared" si="23"/>
        <v/>
      </c>
      <c r="V12" s="125" t="str">
        <f t="shared" si="23"/>
        <v/>
      </c>
      <c r="W12" s="125" t="str">
        <f t="shared" si="23"/>
        <v/>
      </c>
      <c r="X12" s="125" t="str">
        <f t="shared" si="23"/>
        <v/>
      </c>
      <c r="Y12" s="125" t="str">
        <f t="shared" si="23"/>
        <v/>
      </c>
      <c r="Z12" s="125" t="str">
        <f t="shared" si="23"/>
        <v/>
      </c>
      <c r="AA12" s="125" t="str">
        <f t="shared" si="23"/>
        <v/>
      </c>
      <c r="AB12" s="125" t="str">
        <f t="shared" si="23"/>
        <v/>
      </c>
      <c r="AC12" s="125" t="str">
        <f t="shared" si="23"/>
        <v/>
      </c>
      <c r="AD12" s="125" t="str">
        <f t="shared" si="1"/>
        <v/>
      </c>
      <c r="AE12" s="125" t="str">
        <f t="shared" si="2"/>
        <v/>
      </c>
      <c r="AF12" s="125" t="str">
        <f t="shared" si="3"/>
        <v/>
      </c>
      <c r="AG12" s="125" t="str">
        <f t="shared" si="4"/>
        <v/>
      </c>
      <c r="AH12" s="125" t="str">
        <f t="shared" si="5"/>
        <v/>
      </c>
      <c r="AI12" s="125" t="str">
        <f t="shared" si="6"/>
        <v/>
      </c>
      <c r="AJ12" s="125" t="str">
        <f t="shared" si="7"/>
        <v/>
      </c>
      <c r="AK12" s="125" t="str">
        <f t="shared" si="8"/>
        <v/>
      </c>
      <c r="AL12" s="125" t="str">
        <f t="shared" si="9"/>
        <v/>
      </c>
      <c r="AM12" s="125" t="str">
        <f t="shared" si="10"/>
        <v/>
      </c>
      <c r="AN12" s="125" t="str">
        <f t="shared" si="11"/>
        <v/>
      </c>
      <c r="AO12" s="125" t="str">
        <f t="shared" si="12"/>
        <v/>
      </c>
      <c r="AP12" s="129">
        <v>2.12</v>
      </c>
      <c r="AQ12" s="130">
        <f t="shared" si="13"/>
        <v>508.8</v>
      </c>
      <c r="AR12" s="130">
        <f t="shared" si="14"/>
        <v>3943.2</v>
      </c>
    </row>
    <row r="13" s="320" customFormat="1" customHeight="1" spans="1:44">
      <c r="A13" s="119">
        <v>45887</v>
      </c>
      <c r="B13" s="112">
        <v>45992</v>
      </c>
      <c r="C13" s="329" t="s">
        <v>246</v>
      </c>
      <c r="D13" s="114"/>
      <c r="E13" s="114" t="s">
        <v>267</v>
      </c>
      <c r="F13" s="114" t="s">
        <v>141</v>
      </c>
      <c r="G13" s="118">
        <v>480</v>
      </c>
      <c r="H13" s="114" t="s">
        <v>258</v>
      </c>
      <c r="I13" s="125" t="str">
        <f>IFERROR(VLOOKUP(F13,名称!A:C,3,0),"")</f>
        <v>FNT</v>
      </c>
      <c r="J13" s="125" t="str">
        <f t="shared" ref="J13:AC13" si="24">IF(AND($F13=J$2,$G13&gt;0),$G13,"")</f>
        <v/>
      </c>
      <c r="K13" s="125" t="str">
        <f t="shared" si="24"/>
        <v/>
      </c>
      <c r="L13" s="125" t="str">
        <f t="shared" si="24"/>
        <v/>
      </c>
      <c r="M13" s="125" t="str">
        <f t="shared" si="24"/>
        <v/>
      </c>
      <c r="N13" s="125" t="str">
        <f t="shared" si="24"/>
        <v/>
      </c>
      <c r="O13" s="125" t="str">
        <f t="shared" si="24"/>
        <v/>
      </c>
      <c r="P13" s="125">
        <f t="shared" si="24"/>
        <v>480</v>
      </c>
      <c r="Q13" s="125" t="str">
        <f t="shared" si="24"/>
        <v/>
      </c>
      <c r="R13" s="125" t="str">
        <f t="shared" si="24"/>
        <v/>
      </c>
      <c r="S13" s="125" t="str">
        <f t="shared" si="24"/>
        <v/>
      </c>
      <c r="T13" s="125" t="str">
        <f t="shared" si="24"/>
        <v/>
      </c>
      <c r="U13" s="125" t="str">
        <f t="shared" si="24"/>
        <v/>
      </c>
      <c r="V13" s="125" t="str">
        <f t="shared" si="24"/>
        <v/>
      </c>
      <c r="W13" s="125" t="str">
        <f t="shared" si="24"/>
        <v/>
      </c>
      <c r="X13" s="125" t="str">
        <f t="shared" si="24"/>
        <v/>
      </c>
      <c r="Y13" s="125" t="str">
        <f t="shared" si="24"/>
        <v/>
      </c>
      <c r="Z13" s="125" t="str">
        <f t="shared" si="24"/>
        <v/>
      </c>
      <c r="AA13" s="125" t="str">
        <f t="shared" si="24"/>
        <v/>
      </c>
      <c r="AB13" s="125" t="str">
        <f t="shared" si="24"/>
        <v/>
      </c>
      <c r="AC13" s="125" t="str">
        <f t="shared" si="24"/>
        <v/>
      </c>
      <c r="AD13" s="125" t="str">
        <f t="shared" si="1"/>
        <v/>
      </c>
      <c r="AE13" s="125" t="str">
        <f t="shared" si="2"/>
        <v/>
      </c>
      <c r="AF13" s="125" t="str">
        <f t="shared" si="3"/>
        <v/>
      </c>
      <c r="AG13" s="125" t="str">
        <f t="shared" si="4"/>
        <v/>
      </c>
      <c r="AH13" s="125" t="str">
        <f t="shared" si="5"/>
        <v/>
      </c>
      <c r="AI13" s="125" t="str">
        <f t="shared" si="6"/>
        <v/>
      </c>
      <c r="AJ13" s="125" t="str">
        <f t="shared" si="7"/>
        <v/>
      </c>
      <c r="AK13" s="125" t="str">
        <f t="shared" si="8"/>
        <v/>
      </c>
      <c r="AL13" s="125" t="str">
        <f t="shared" si="9"/>
        <v/>
      </c>
      <c r="AM13" s="125" t="str">
        <f t="shared" si="10"/>
        <v/>
      </c>
      <c r="AN13" s="125" t="str">
        <f t="shared" si="11"/>
        <v/>
      </c>
      <c r="AO13" s="125" t="str">
        <f t="shared" si="12"/>
        <v/>
      </c>
      <c r="AP13" s="129">
        <v>2.12</v>
      </c>
      <c r="AQ13" s="130">
        <f t="shared" si="13"/>
        <v>1017.6</v>
      </c>
      <c r="AR13" s="130">
        <f t="shared" si="14"/>
        <v>7886.4</v>
      </c>
    </row>
    <row r="14" s="320" customFormat="1" customHeight="1" spans="1:44">
      <c r="A14" s="119">
        <v>45887</v>
      </c>
      <c r="B14" s="112">
        <v>45992</v>
      </c>
      <c r="C14" s="329" t="s">
        <v>246</v>
      </c>
      <c r="D14" s="114"/>
      <c r="E14" s="114" t="s">
        <v>267</v>
      </c>
      <c r="F14" s="114" t="s">
        <v>141</v>
      </c>
      <c r="G14" s="118">
        <f>804+240+480+480-804-240-480</f>
        <v>480</v>
      </c>
      <c r="H14" s="114" t="s">
        <v>258</v>
      </c>
      <c r="I14" s="125" t="str">
        <f>IFERROR(VLOOKUP(F14,名称!A:C,3,0),"")</f>
        <v>FNT</v>
      </c>
      <c r="J14" s="125" t="str">
        <f t="shared" ref="J14:AC14" si="25">IF(AND($F14=J$2,$G14&gt;0),$G14,"")</f>
        <v/>
      </c>
      <c r="K14" s="125" t="str">
        <f t="shared" si="25"/>
        <v/>
      </c>
      <c r="L14" s="125" t="str">
        <f t="shared" si="25"/>
        <v/>
      </c>
      <c r="M14" s="125" t="str">
        <f t="shared" si="25"/>
        <v/>
      </c>
      <c r="N14" s="125" t="str">
        <f t="shared" si="25"/>
        <v/>
      </c>
      <c r="O14" s="125" t="str">
        <f t="shared" si="25"/>
        <v/>
      </c>
      <c r="P14" s="125">
        <f t="shared" si="25"/>
        <v>480</v>
      </c>
      <c r="Q14" s="125" t="str">
        <f t="shared" si="25"/>
        <v/>
      </c>
      <c r="R14" s="125" t="str">
        <f t="shared" si="25"/>
        <v/>
      </c>
      <c r="S14" s="125" t="str">
        <f t="shared" si="25"/>
        <v/>
      </c>
      <c r="T14" s="125" t="str">
        <f t="shared" si="25"/>
        <v/>
      </c>
      <c r="U14" s="125" t="str">
        <f t="shared" si="25"/>
        <v/>
      </c>
      <c r="V14" s="125" t="str">
        <f t="shared" si="25"/>
        <v/>
      </c>
      <c r="W14" s="125" t="str">
        <f t="shared" si="25"/>
        <v/>
      </c>
      <c r="X14" s="125" t="str">
        <f t="shared" si="25"/>
        <v/>
      </c>
      <c r="Y14" s="125" t="str">
        <f t="shared" si="25"/>
        <v/>
      </c>
      <c r="Z14" s="125" t="str">
        <f t="shared" si="25"/>
        <v/>
      </c>
      <c r="AA14" s="125" t="str">
        <f t="shared" si="25"/>
        <v/>
      </c>
      <c r="AB14" s="125" t="str">
        <f t="shared" si="25"/>
        <v/>
      </c>
      <c r="AC14" s="125" t="str">
        <f t="shared" si="25"/>
        <v/>
      </c>
      <c r="AD14" s="125" t="str">
        <f t="shared" si="1"/>
        <v/>
      </c>
      <c r="AE14" s="125" t="str">
        <f t="shared" si="2"/>
        <v/>
      </c>
      <c r="AF14" s="125" t="str">
        <f t="shared" si="3"/>
        <v/>
      </c>
      <c r="AG14" s="125" t="str">
        <f t="shared" si="4"/>
        <v/>
      </c>
      <c r="AH14" s="125" t="str">
        <f t="shared" si="5"/>
        <v/>
      </c>
      <c r="AI14" s="125" t="str">
        <f t="shared" si="6"/>
        <v/>
      </c>
      <c r="AJ14" s="125" t="str">
        <f t="shared" si="7"/>
        <v/>
      </c>
      <c r="AK14" s="125" t="str">
        <f t="shared" si="8"/>
        <v/>
      </c>
      <c r="AL14" s="125" t="str">
        <f t="shared" si="9"/>
        <v/>
      </c>
      <c r="AM14" s="125" t="str">
        <f t="shared" si="10"/>
        <v/>
      </c>
      <c r="AN14" s="125" t="str">
        <f t="shared" si="11"/>
        <v/>
      </c>
      <c r="AO14" s="125" t="str">
        <f t="shared" si="12"/>
        <v/>
      </c>
      <c r="AP14" s="129">
        <v>2.12</v>
      </c>
      <c r="AQ14" s="130">
        <f t="shared" si="13"/>
        <v>1017.6</v>
      </c>
      <c r="AR14" s="130">
        <f t="shared" si="14"/>
        <v>7886.4</v>
      </c>
    </row>
    <row r="15" s="320" customFormat="1" customHeight="1" spans="1:44">
      <c r="A15" s="119">
        <v>45887</v>
      </c>
      <c r="B15" s="112">
        <v>46028</v>
      </c>
      <c r="C15" s="329" t="s">
        <v>246</v>
      </c>
      <c r="D15" s="114"/>
      <c r="E15" s="114" t="s">
        <v>268</v>
      </c>
      <c r="F15" s="114" t="s">
        <v>135</v>
      </c>
      <c r="G15" s="118">
        <v>900</v>
      </c>
      <c r="H15" s="114" t="s">
        <v>258</v>
      </c>
      <c r="I15" s="125" t="str">
        <f>IFERROR(VLOOKUP(F15,名称!A:C,3,0),"")</f>
        <v>FNT</v>
      </c>
      <c r="J15" s="125" t="str">
        <f t="shared" ref="J15:AC15" si="26">IF(AND($F15=J$2,$G15&gt;0),$G15,"")</f>
        <v/>
      </c>
      <c r="K15" s="125" t="str">
        <f t="shared" si="26"/>
        <v/>
      </c>
      <c r="L15" s="125" t="str">
        <f t="shared" si="26"/>
        <v/>
      </c>
      <c r="M15" s="125" t="str">
        <f t="shared" si="26"/>
        <v/>
      </c>
      <c r="N15" s="125" t="str">
        <f t="shared" si="26"/>
        <v/>
      </c>
      <c r="O15" s="125" t="str">
        <f t="shared" si="26"/>
        <v/>
      </c>
      <c r="P15" s="125" t="str">
        <f t="shared" si="26"/>
        <v/>
      </c>
      <c r="Q15" s="125" t="str">
        <f t="shared" si="26"/>
        <v/>
      </c>
      <c r="R15" s="125" t="str">
        <f t="shared" si="26"/>
        <v/>
      </c>
      <c r="S15" s="125" t="str">
        <f t="shared" si="26"/>
        <v/>
      </c>
      <c r="T15" s="125" t="str">
        <f t="shared" si="26"/>
        <v/>
      </c>
      <c r="U15" s="125" t="str">
        <f t="shared" si="26"/>
        <v/>
      </c>
      <c r="V15" s="125" t="str">
        <f t="shared" si="26"/>
        <v/>
      </c>
      <c r="W15" s="125" t="str">
        <f t="shared" si="26"/>
        <v/>
      </c>
      <c r="X15" s="125" t="str">
        <f t="shared" si="26"/>
        <v/>
      </c>
      <c r="Y15" s="125" t="str">
        <f t="shared" si="26"/>
        <v/>
      </c>
      <c r="Z15" s="125" t="str">
        <f t="shared" si="26"/>
        <v/>
      </c>
      <c r="AA15" s="125" t="str">
        <f t="shared" si="26"/>
        <v/>
      </c>
      <c r="AB15" s="125" t="str">
        <f t="shared" si="26"/>
        <v/>
      </c>
      <c r="AC15" s="125" t="str">
        <f t="shared" si="26"/>
        <v/>
      </c>
      <c r="AD15" s="125" t="str">
        <f t="shared" si="1"/>
        <v/>
      </c>
      <c r="AE15" s="125" t="str">
        <f t="shared" si="2"/>
        <v/>
      </c>
      <c r="AF15" s="125">
        <f t="shared" si="3"/>
        <v>900</v>
      </c>
      <c r="AG15" s="125" t="str">
        <f t="shared" si="4"/>
        <v/>
      </c>
      <c r="AH15" s="125" t="str">
        <f t="shared" si="5"/>
        <v/>
      </c>
      <c r="AI15" s="125" t="str">
        <f t="shared" si="6"/>
        <v/>
      </c>
      <c r="AJ15" s="125" t="str">
        <f t="shared" si="7"/>
        <v/>
      </c>
      <c r="AK15" s="125" t="str">
        <f t="shared" si="8"/>
        <v/>
      </c>
      <c r="AL15" s="125" t="str">
        <f t="shared" si="9"/>
        <v/>
      </c>
      <c r="AM15" s="125" t="str">
        <f t="shared" si="10"/>
        <v/>
      </c>
      <c r="AN15" s="125" t="str">
        <f t="shared" si="11"/>
        <v/>
      </c>
      <c r="AO15" s="125" t="str">
        <f t="shared" si="12"/>
        <v/>
      </c>
      <c r="AP15" s="129">
        <v>2.13</v>
      </c>
      <c r="AQ15" s="130">
        <f t="shared" si="13"/>
        <v>1917</v>
      </c>
      <c r="AR15" s="130">
        <f t="shared" si="14"/>
        <v>14856.75</v>
      </c>
    </row>
    <row r="16" s="320" customFormat="1" customHeight="1" spans="1:44">
      <c r="A16" s="119">
        <v>45887</v>
      </c>
      <c r="B16" s="112">
        <v>46028</v>
      </c>
      <c r="C16" s="329" t="s">
        <v>246</v>
      </c>
      <c r="D16" s="114"/>
      <c r="E16" s="114" t="s">
        <v>268</v>
      </c>
      <c r="F16" s="114" t="s">
        <v>139</v>
      </c>
      <c r="G16" s="118">
        <v>1002</v>
      </c>
      <c r="H16" s="114" t="s">
        <v>258</v>
      </c>
      <c r="I16" s="125" t="str">
        <f>IFERROR(VLOOKUP(F16,名称!A:C,3,0),"")</f>
        <v>FNT</v>
      </c>
      <c r="J16" s="125" t="str">
        <f t="shared" ref="J16:AC16" si="27">IF(AND($F16=J$2,$G16&gt;0),$G16,"")</f>
        <v/>
      </c>
      <c r="K16" s="125" t="str">
        <f t="shared" si="27"/>
        <v/>
      </c>
      <c r="L16" s="125" t="str">
        <f t="shared" si="27"/>
        <v/>
      </c>
      <c r="M16" s="125" t="str">
        <f t="shared" si="27"/>
        <v/>
      </c>
      <c r="N16" s="125" t="str">
        <f t="shared" si="27"/>
        <v/>
      </c>
      <c r="O16" s="125" t="str">
        <f t="shared" si="27"/>
        <v/>
      </c>
      <c r="P16" s="125" t="str">
        <f t="shared" si="27"/>
        <v/>
      </c>
      <c r="Q16" s="125" t="str">
        <f t="shared" si="27"/>
        <v/>
      </c>
      <c r="R16" s="125" t="str">
        <f t="shared" si="27"/>
        <v/>
      </c>
      <c r="S16" s="125" t="str">
        <f t="shared" si="27"/>
        <v/>
      </c>
      <c r="T16" s="125" t="str">
        <f t="shared" si="27"/>
        <v/>
      </c>
      <c r="U16" s="125" t="str">
        <f t="shared" si="27"/>
        <v/>
      </c>
      <c r="V16" s="125" t="str">
        <f t="shared" si="27"/>
        <v/>
      </c>
      <c r="W16" s="125" t="str">
        <f t="shared" si="27"/>
        <v/>
      </c>
      <c r="X16" s="125" t="str">
        <f t="shared" si="27"/>
        <v/>
      </c>
      <c r="Y16" s="125" t="str">
        <f t="shared" si="27"/>
        <v/>
      </c>
      <c r="Z16" s="125" t="str">
        <f t="shared" si="27"/>
        <v/>
      </c>
      <c r="AA16" s="125" t="str">
        <f t="shared" si="27"/>
        <v/>
      </c>
      <c r="AB16" s="125" t="str">
        <f t="shared" si="27"/>
        <v/>
      </c>
      <c r="AC16" s="125" t="str">
        <f t="shared" si="27"/>
        <v/>
      </c>
      <c r="AD16" s="125">
        <f t="shared" si="1"/>
        <v>1002</v>
      </c>
      <c r="AE16" s="125" t="str">
        <f t="shared" si="2"/>
        <v/>
      </c>
      <c r="AF16" s="125" t="str">
        <f t="shared" si="3"/>
        <v/>
      </c>
      <c r="AG16" s="125" t="str">
        <f t="shared" si="4"/>
        <v/>
      </c>
      <c r="AH16" s="125" t="str">
        <f t="shared" si="5"/>
        <v/>
      </c>
      <c r="AI16" s="125" t="str">
        <f t="shared" si="6"/>
        <v/>
      </c>
      <c r="AJ16" s="125" t="str">
        <f t="shared" si="7"/>
        <v/>
      </c>
      <c r="AK16" s="125" t="str">
        <f t="shared" si="8"/>
        <v/>
      </c>
      <c r="AL16" s="125" t="str">
        <f t="shared" si="9"/>
        <v/>
      </c>
      <c r="AM16" s="125" t="str">
        <f t="shared" si="10"/>
        <v/>
      </c>
      <c r="AN16" s="125" t="str">
        <f t="shared" si="11"/>
        <v/>
      </c>
      <c r="AO16" s="125" t="str">
        <f t="shared" si="12"/>
        <v/>
      </c>
      <c r="AP16" s="129">
        <v>1.88</v>
      </c>
      <c r="AQ16" s="130">
        <f t="shared" si="13"/>
        <v>1883.76</v>
      </c>
      <c r="AR16" s="130">
        <f t="shared" si="14"/>
        <v>14599.14</v>
      </c>
    </row>
    <row r="17" s="320" customFormat="1" customHeight="1" spans="1:44">
      <c r="A17" s="119">
        <v>45887</v>
      </c>
      <c r="B17" s="112">
        <v>45948</v>
      </c>
      <c r="C17" s="329" t="s">
        <v>246</v>
      </c>
      <c r="D17" s="114"/>
      <c r="E17" s="114" t="s">
        <v>269</v>
      </c>
      <c r="F17" s="114" t="s">
        <v>139</v>
      </c>
      <c r="G17" s="118">
        <v>1002</v>
      </c>
      <c r="H17" s="114" t="s">
        <v>258</v>
      </c>
      <c r="I17" s="125" t="str">
        <f>IFERROR(VLOOKUP(F17,名称!A:C,3,0),"")</f>
        <v>FNT</v>
      </c>
      <c r="J17" s="125" t="str">
        <f t="shared" ref="J17:AC17" si="28">IF(AND($F17=J$2,$G17&gt;0),$G17,"")</f>
        <v/>
      </c>
      <c r="K17" s="125" t="str">
        <f t="shared" si="28"/>
        <v/>
      </c>
      <c r="L17" s="125" t="str">
        <f t="shared" si="28"/>
        <v/>
      </c>
      <c r="M17" s="125" t="str">
        <f t="shared" si="28"/>
        <v/>
      </c>
      <c r="N17" s="125" t="str">
        <f t="shared" si="28"/>
        <v/>
      </c>
      <c r="O17" s="125" t="str">
        <f t="shared" si="28"/>
        <v/>
      </c>
      <c r="P17" s="125" t="str">
        <f t="shared" si="28"/>
        <v/>
      </c>
      <c r="Q17" s="125" t="str">
        <f t="shared" si="28"/>
        <v/>
      </c>
      <c r="R17" s="125" t="str">
        <f t="shared" si="28"/>
        <v/>
      </c>
      <c r="S17" s="125" t="str">
        <f t="shared" si="28"/>
        <v/>
      </c>
      <c r="T17" s="125" t="str">
        <f t="shared" si="28"/>
        <v/>
      </c>
      <c r="U17" s="125" t="str">
        <f t="shared" si="28"/>
        <v/>
      </c>
      <c r="V17" s="125" t="str">
        <f t="shared" si="28"/>
        <v/>
      </c>
      <c r="W17" s="125" t="str">
        <f t="shared" si="28"/>
        <v/>
      </c>
      <c r="X17" s="125" t="str">
        <f t="shared" si="28"/>
        <v/>
      </c>
      <c r="Y17" s="125" t="str">
        <f t="shared" si="28"/>
        <v/>
      </c>
      <c r="Z17" s="125" t="str">
        <f t="shared" si="28"/>
        <v/>
      </c>
      <c r="AA17" s="125" t="str">
        <f t="shared" si="28"/>
        <v/>
      </c>
      <c r="AB17" s="125" t="str">
        <f t="shared" si="28"/>
        <v/>
      </c>
      <c r="AC17" s="125" t="str">
        <f t="shared" si="28"/>
        <v/>
      </c>
      <c r="AD17" s="125">
        <f t="shared" si="1"/>
        <v>1002</v>
      </c>
      <c r="AE17" s="125" t="str">
        <f t="shared" si="2"/>
        <v/>
      </c>
      <c r="AF17" s="125" t="str">
        <f t="shared" si="3"/>
        <v/>
      </c>
      <c r="AG17" s="125" t="str">
        <f t="shared" si="4"/>
        <v/>
      </c>
      <c r="AH17" s="125" t="str">
        <f t="shared" si="5"/>
        <v/>
      </c>
      <c r="AI17" s="125" t="str">
        <f t="shared" si="6"/>
        <v/>
      </c>
      <c r="AJ17" s="125" t="str">
        <f t="shared" si="7"/>
        <v/>
      </c>
      <c r="AK17" s="125" t="str">
        <f t="shared" si="8"/>
        <v/>
      </c>
      <c r="AL17" s="125" t="str">
        <f t="shared" si="9"/>
        <v/>
      </c>
      <c r="AM17" s="125" t="str">
        <f t="shared" si="10"/>
        <v/>
      </c>
      <c r="AN17" s="125" t="str">
        <f t="shared" si="11"/>
        <v/>
      </c>
      <c r="AO17" s="125" t="str">
        <f t="shared" si="12"/>
        <v/>
      </c>
      <c r="AP17" s="129">
        <v>1.88</v>
      </c>
      <c r="AQ17" s="130">
        <f t="shared" si="13"/>
        <v>1883.76</v>
      </c>
      <c r="AR17" s="130">
        <f t="shared" si="14"/>
        <v>14599.14</v>
      </c>
    </row>
    <row r="18" s="320" customFormat="1" customHeight="1" spans="1:44">
      <c r="A18" s="119">
        <v>45887</v>
      </c>
      <c r="B18" s="112">
        <v>45948</v>
      </c>
      <c r="C18" s="329" t="s">
        <v>246</v>
      </c>
      <c r="D18" s="114"/>
      <c r="E18" s="114" t="s">
        <v>269</v>
      </c>
      <c r="F18" s="114" t="s">
        <v>137</v>
      </c>
      <c r="G18" s="118">
        <v>1002</v>
      </c>
      <c r="H18" s="114" t="s">
        <v>258</v>
      </c>
      <c r="I18" s="125" t="str">
        <f>IFERROR(VLOOKUP(F18,名称!A:C,3,0),"")</f>
        <v>FNT</v>
      </c>
      <c r="J18" s="125" t="str">
        <f t="shared" ref="J18:AC18" si="29">IF(AND($F18=J$2,$G18&gt;0),$G18,"")</f>
        <v/>
      </c>
      <c r="K18" s="125" t="str">
        <f t="shared" si="29"/>
        <v/>
      </c>
      <c r="L18" s="125" t="str">
        <f t="shared" si="29"/>
        <v/>
      </c>
      <c r="M18" s="125" t="str">
        <f t="shared" si="29"/>
        <v/>
      </c>
      <c r="N18" s="125" t="str">
        <f t="shared" si="29"/>
        <v/>
      </c>
      <c r="O18" s="125" t="str">
        <f t="shared" si="29"/>
        <v/>
      </c>
      <c r="P18" s="125" t="str">
        <f t="shared" si="29"/>
        <v/>
      </c>
      <c r="Q18" s="125" t="str">
        <f t="shared" si="29"/>
        <v/>
      </c>
      <c r="R18" s="125" t="str">
        <f t="shared" si="29"/>
        <v/>
      </c>
      <c r="S18" s="125" t="str">
        <f t="shared" si="29"/>
        <v/>
      </c>
      <c r="T18" s="125" t="str">
        <f t="shared" si="29"/>
        <v/>
      </c>
      <c r="U18" s="125" t="str">
        <f t="shared" si="29"/>
        <v/>
      </c>
      <c r="V18" s="125" t="str">
        <f t="shared" si="29"/>
        <v/>
      </c>
      <c r="W18" s="125" t="str">
        <f t="shared" si="29"/>
        <v/>
      </c>
      <c r="X18" s="125" t="str">
        <f t="shared" si="29"/>
        <v/>
      </c>
      <c r="Y18" s="125" t="str">
        <f t="shared" si="29"/>
        <v/>
      </c>
      <c r="Z18" s="125" t="str">
        <f t="shared" si="29"/>
        <v/>
      </c>
      <c r="AA18" s="125" t="str">
        <f t="shared" si="29"/>
        <v/>
      </c>
      <c r="AB18" s="125" t="str">
        <f t="shared" si="29"/>
        <v/>
      </c>
      <c r="AC18" s="125" t="str">
        <f t="shared" si="29"/>
        <v/>
      </c>
      <c r="AD18" s="125" t="str">
        <f t="shared" si="1"/>
        <v/>
      </c>
      <c r="AE18" s="125">
        <f t="shared" si="2"/>
        <v>1002</v>
      </c>
      <c r="AF18" s="125" t="str">
        <f t="shared" si="3"/>
        <v/>
      </c>
      <c r="AG18" s="125" t="str">
        <f t="shared" si="4"/>
        <v/>
      </c>
      <c r="AH18" s="125" t="str">
        <f t="shared" si="5"/>
        <v/>
      </c>
      <c r="AI18" s="125" t="str">
        <f t="shared" si="6"/>
        <v/>
      </c>
      <c r="AJ18" s="125" t="str">
        <f t="shared" si="7"/>
        <v/>
      </c>
      <c r="AK18" s="125" t="str">
        <f t="shared" si="8"/>
        <v/>
      </c>
      <c r="AL18" s="125" t="str">
        <f t="shared" si="9"/>
        <v/>
      </c>
      <c r="AM18" s="125" t="str">
        <f t="shared" si="10"/>
        <v/>
      </c>
      <c r="AN18" s="125" t="str">
        <f t="shared" si="11"/>
        <v/>
      </c>
      <c r="AO18" s="125" t="str">
        <f t="shared" si="12"/>
        <v/>
      </c>
      <c r="AP18" s="129">
        <v>2.18</v>
      </c>
      <c r="AQ18" s="130">
        <f t="shared" si="13"/>
        <v>2184.36</v>
      </c>
      <c r="AR18" s="130">
        <f t="shared" si="14"/>
        <v>16928.79</v>
      </c>
    </row>
    <row r="19" s="320" customFormat="1" customHeight="1" spans="1:44">
      <c r="A19" s="119">
        <v>45887</v>
      </c>
      <c r="B19" s="112">
        <v>45948</v>
      </c>
      <c r="C19" s="329" t="s">
        <v>246</v>
      </c>
      <c r="D19" s="114"/>
      <c r="E19" s="114" t="s">
        <v>269</v>
      </c>
      <c r="F19" s="114" t="s">
        <v>135</v>
      </c>
      <c r="G19" s="118">
        <v>1302</v>
      </c>
      <c r="H19" s="114" t="s">
        <v>258</v>
      </c>
      <c r="I19" s="125" t="str">
        <f>IFERROR(VLOOKUP(F19,名称!A:C,3,0),"")</f>
        <v>FNT</v>
      </c>
      <c r="J19" s="125" t="str">
        <f t="shared" ref="J19:AC19" si="30">IF(AND($F19=J$2,$G19&gt;0),$G19,"")</f>
        <v/>
      </c>
      <c r="K19" s="125" t="str">
        <f t="shared" si="30"/>
        <v/>
      </c>
      <c r="L19" s="125" t="str">
        <f t="shared" si="30"/>
        <v/>
      </c>
      <c r="M19" s="125" t="str">
        <f t="shared" si="30"/>
        <v/>
      </c>
      <c r="N19" s="125" t="str">
        <f t="shared" si="30"/>
        <v/>
      </c>
      <c r="O19" s="125" t="str">
        <f t="shared" si="30"/>
        <v/>
      </c>
      <c r="P19" s="125" t="str">
        <f t="shared" si="30"/>
        <v/>
      </c>
      <c r="Q19" s="125" t="str">
        <f t="shared" si="30"/>
        <v/>
      </c>
      <c r="R19" s="125" t="str">
        <f t="shared" si="30"/>
        <v/>
      </c>
      <c r="S19" s="125" t="str">
        <f t="shared" si="30"/>
        <v/>
      </c>
      <c r="T19" s="125" t="str">
        <f t="shared" si="30"/>
        <v/>
      </c>
      <c r="U19" s="125" t="str">
        <f t="shared" si="30"/>
        <v/>
      </c>
      <c r="V19" s="125" t="str">
        <f t="shared" si="30"/>
        <v/>
      </c>
      <c r="W19" s="125" t="str">
        <f t="shared" si="30"/>
        <v/>
      </c>
      <c r="X19" s="125" t="str">
        <f t="shared" si="30"/>
        <v/>
      </c>
      <c r="Y19" s="125" t="str">
        <f t="shared" si="30"/>
        <v/>
      </c>
      <c r="Z19" s="125" t="str">
        <f t="shared" si="30"/>
        <v/>
      </c>
      <c r="AA19" s="125" t="str">
        <f t="shared" si="30"/>
        <v/>
      </c>
      <c r="AB19" s="125" t="str">
        <f t="shared" si="30"/>
        <v/>
      </c>
      <c r="AC19" s="125" t="str">
        <f t="shared" si="30"/>
        <v/>
      </c>
      <c r="AD19" s="125" t="str">
        <f t="shared" si="1"/>
        <v/>
      </c>
      <c r="AE19" s="125" t="str">
        <f t="shared" si="2"/>
        <v/>
      </c>
      <c r="AF19" s="125">
        <f t="shared" si="3"/>
        <v>1302</v>
      </c>
      <c r="AG19" s="125" t="str">
        <f t="shared" si="4"/>
        <v/>
      </c>
      <c r="AH19" s="125" t="str">
        <f t="shared" si="5"/>
        <v/>
      </c>
      <c r="AI19" s="125" t="str">
        <f t="shared" si="6"/>
        <v/>
      </c>
      <c r="AJ19" s="125" t="str">
        <f t="shared" si="7"/>
        <v/>
      </c>
      <c r="AK19" s="125" t="str">
        <f t="shared" si="8"/>
        <v/>
      </c>
      <c r="AL19" s="125" t="str">
        <f t="shared" si="9"/>
        <v/>
      </c>
      <c r="AM19" s="125" t="str">
        <f t="shared" si="10"/>
        <v/>
      </c>
      <c r="AN19" s="125" t="str">
        <f t="shared" si="11"/>
        <v/>
      </c>
      <c r="AO19" s="125" t="str">
        <f t="shared" si="12"/>
        <v/>
      </c>
      <c r="AP19" s="129">
        <v>2.13</v>
      </c>
      <c r="AQ19" s="130">
        <f t="shared" si="13"/>
        <v>2773.26</v>
      </c>
      <c r="AR19" s="130">
        <f t="shared" si="14"/>
        <v>21492.77</v>
      </c>
    </row>
    <row r="20" s="320" customFormat="1" customHeight="1" spans="1:44">
      <c r="A20" s="119">
        <v>45887</v>
      </c>
      <c r="B20" s="112">
        <v>45948</v>
      </c>
      <c r="C20" s="329" t="s">
        <v>246</v>
      </c>
      <c r="D20" s="114"/>
      <c r="E20" s="114" t="s">
        <v>270</v>
      </c>
      <c r="F20" s="114" t="s">
        <v>135</v>
      </c>
      <c r="G20" s="118">
        <f>900-402</f>
        <v>498</v>
      </c>
      <c r="H20" s="114" t="s">
        <v>258</v>
      </c>
      <c r="I20" s="125" t="str">
        <f>IFERROR(VLOOKUP(F20,名称!A:C,3,0),"")</f>
        <v>FNT</v>
      </c>
      <c r="J20" s="125" t="str">
        <f t="shared" ref="J20:AC20" si="31">IF(AND($F20=J$2,$G20&gt;0),$G20,"")</f>
        <v/>
      </c>
      <c r="K20" s="125" t="str">
        <f t="shared" si="31"/>
        <v/>
      </c>
      <c r="L20" s="125" t="str">
        <f t="shared" si="31"/>
        <v/>
      </c>
      <c r="M20" s="125" t="str">
        <f t="shared" si="31"/>
        <v/>
      </c>
      <c r="N20" s="125" t="str">
        <f t="shared" si="31"/>
        <v/>
      </c>
      <c r="O20" s="125" t="str">
        <f t="shared" si="31"/>
        <v/>
      </c>
      <c r="P20" s="125" t="str">
        <f t="shared" si="31"/>
        <v/>
      </c>
      <c r="Q20" s="125" t="str">
        <f t="shared" si="31"/>
        <v/>
      </c>
      <c r="R20" s="125" t="str">
        <f t="shared" si="31"/>
        <v/>
      </c>
      <c r="S20" s="125" t="str">
        <f t="shared" si="31"/>
        <v/>
      </c>
      <c r="T20" s="125" t="str">
        <f t="shared" si="31"/>
        <v/>
      </c>
      <c r="U20" s="125" t="str">
        <f t="shared" si="31"/>
        <v/>
      </c>
      <c r="V20" s="125" t="str">
        <f t="shared" si="31"/>
        <v/>
      </c>
      <c r="W20" s="125" t="str">
        <f t="shared" si="31"/>
        <v/>
      </c>
      <c r="X20" s="125" t="str">
        <f t="shared" si="31"/>
        <v/>
      </c>
      <c r="Y20" s="125" t="str">
        <f t="shared" si="31"/>
        <v/>
      </c>
      <c r="Z20" s="125" t="str">
        <f t="shared" si="31"/>
        <v/>
      </c>
      <c r="AA20" s="125" t="str">
        <f t="shared" si="31"/>
        <v/>
      </c>
      <c r="AB20" s="125" t="str">
        <f t="shared" si="31"/>
        <v/>
      </c>
      <c r="AC20" s="125" t="str">
        <f t="shared" si="31"/>
        <v/>
      </c>
      <c r="AD20" s="125" t="str">
        <f t="shared" si="1"/>
        <v/>
      </c>
      <c r="AE20" s="125" t="str">
        <f t="shared" si="2"/>
        <v/>
      </c>
      <c r="AF20" s="125">
        <f t="shared" si="3"/>
        <v>498</v>
      </c>
      <c r="AG20" s="125" t="str">
        <f t="shared" si="4"/>
        <v/>
      </c>
      <c r="AH20" s="125" t="str">
        <f t="shared" si="5"/>
        <v/>
      </c>
      <c r="AI20" s="125" t="str">
        <f t="shared" si="6"/>
        <v/>
      </c>
      <c r="AJ20" s="125" t="str">
        <f t="shared" si="7"/>
        <v/>
      </c>
      <c r="AK20" s="125" t="str">
        <f t="shared" si="8"/>
        <v/>
      </c>
      <c r="AL20" s="125" t="str">
        <f t="shared" si="9"/>
        <v/>
      </c>
      <c r="AM20" s="125" t="str">
        <f t="shared" si="10"/>
        <v/>
      </c>
      <c r="AN20" s="125" t="str">
        <f t="shared" si="11"/>
        <v/>
      </c>
      <c r="AO20" s="125" t="str">
        <f t="shared" si="12"/>
        <v/>
      </c>
      <c r="AP20" s="129">
        <v>2.13</v>
      </c>
      <c r="AQ20" s="130">
        <f t="shared" si="13"/>
        <v>1060.74</v>
      </c>
      <c r="AR20" s="130">
        <f t="shared" si="14"/>
        <v>8220.74</v>
      </c>
    </row>
    <row r="21" s="320" customFormat="1" customHeight="1" spans="1:44">
      <c r="A21" s="119">
        <v>45898</v>
      </c>
      <c r="B21" s="112">
        <v>45959</v>
      </c>
      <c r="C21" s="116" t="s">
        <v>246</v>
      </c>
      <c r="D21" s="114"/>
      <c r="E21" s="114" t="s">
        <v>271</v>
      </c>
      <c r="F21" s="114" t="s">
        <v>125</v>
      </c>
      <c r="G21" s="118">
        <v>2814</v>
      </c>
      <c r="H21" s="114" t="s">
        <v>258</v>
      </c>
      <c r="I21" s="125" t="str">
        <f>IFERROR(VLOOKUP(F21,名称!A:C,3,0),"")</f>
        <v>FNT</v>
      </c>
      <c r="J21" s="125" t="str">
        <f t="shared" ref="J21:AC21" si="32">IF(AND($F21=J$2,$G21&gt;0),$G21,"")</f>
        <v/>
      </c>
      <c r="K21" s="125" t="str">
        <f t="shared" si="32"/>
        <v/>
      </c>
      <c r="L21" s="125" t="str">
        <f t="shared" si="32"/>
        <v/>
      </c>
      <c r="M21" s="125" t="str">
        <f t="shared" si="32"/>
        <v/>
      </c>
      <c r="N21" s="125" t="str">
        <f t="shared" si="32"/>
        <v/>
      </c>
      <c r="O21" s="125" t="str">
        <f t="shared" si="32"/>
        <v/>
      </c>
      <c r="P21" s="125" t="str">
        <f t="shared" si="32"/>
        <v/>
      </c>
      <c r="Q21" s="125" t="str">
        <f t="shared" si="32"/>
        <v/>
      </c>
      <c r="R21" s="125" t="str">
        <f t="shared" si="32"/>
        <v/>
      </c>
      <c r="S21" s="125" t="str">
        <f t="shared" si="32"/>
        <v/>
      </c>
      <c r="T21" s="125" t="str">
        <f t="shared" si="32"/>
        <v/>
      </c>
      <c r="U21" s="125" t="str">
        <f t="shared" si="32"/>
        <v/>
      </c>
      <c r="V21" s="125" t="str">
        <f t="shared" si="32"/>
        <v/>
      </c>
      <c r="W21" s="125" t="str">
        <f t="shared" si="32"/>
        <v/>
      </c>
      <c r="X21" s="125" t="str">
        <f t="shared" si="32"/>
        <v/>
      </c>
      <c r="Y21" s="125" t="str">
        <f t="shared" si="32"/>
        <v/>
      </c>
      <c r="Z21" s="125" t="str">
        <f t="shared" si="32"/>
        <v/>
      </c>
      <c r="AA21" s="125" t="str">
        <f t="shared" si="32"/>
        <v/>
      </c>
      <c r="AB21" s="125" t="str">
        <f t="shared" si="32"/>
        <v/>
      </c>
      <c r="AC21" s="125" t="str">
        <f t="shared" si="32"/>
        <v/>
      </c>
      <c r="AD21" s="125" t="str">
        <f t="shared" si="1"/>
        <v/>
      </c>
      <c r="AE21" s="125" t="str">
        <f t="shared" si="2"/>
        <v/>
      </c>
      <c r="AF21" s="125" t="str">
        <f t="shared" si="3"/>
        <v/>
      </c>
      <c r="AG21" s="125">
        <f t="shared" si="4"/>
        <v>938</v>
      </c>
      <c r="AH21" s="125">
        <f t="shared" si="5"/>
        <v>938</v>
      </c>
      <c r="AI21" s="125">
        <f t="shared" si="6"/>
        <v>938</v>
      </c>
      <c r="AJ21" s="125" t="str">
        <f t="shared" si="7"/>
        <v/>
      </c>
      <c r="AK21" s="125" t="str">
        <f t="shared" si="8"/>
        <v/>
      </c>
      <c r="AL21" s="125" t="str">
        <f t="shared" si="9"/>
        <v/>
      </c>
      <c r="AM21" s="125" t="str">
        <f t="shared" si="10"/>
        <v/>
      </c>
      <c r="AN21" s="125" t="str">
        <f t="shared" si="11"/>
        <v/>
      </c>
      <c r="AO21" s="125" t="str">
        <f t="shared" si="12"/>
        <v/>
      </c>
      <c r="AP21" s="129">
        <v>2.1</v>
      </c>
      <c r="AQ21" s="130">
        <f t="shared" si="13"/>
        <v>5909.4</v>
      </c>
      <c r="AR21" s="130">
        <f t="shared" si="14"/>
        <v>45797.85</v>
      </c>
    </row>
    <row r="22" s="45" customFormat="1" customHeight="1" spans="1:44">
      <c r="A22" s="74">
        <v>45916</v>
      </c>
      <c r="B22" s="183">
        <v>45976</v>
      </c>
      <c r="C22" s="182" t="s">
        <v>246</v>
      </c>
      <c r="D22" s="57" t="s">
        <v>249</v>
      </c>
      <c r="E22" s="172" t="s">
        <v>272</v>
      </c>
      <c r="F22" s="172" t="s">
        <v>205</v>
      </c>
      <c r="G22" s="175">
        <v>252</v>
      </c>
      <c r="H22" s="172" t="s">
        <v>258</v>
      </c>
      <c r="I22" s="14" t="str">
        <f>IFERROR(VLOOKUP(F22,名称!A:C,3,0),"")</f>
        <v>SNF</v>
      </c>
      <c r="J22" s="14" t="str">
        <f t="shared" ref="J22:AC22" si="33">IF(AND($F22=J$2,$G22&gt;0),$G22,"")</f>
        <v/>
      </c>
      <c r="K22" s="14" t="str">
        <f t="shared" si="33"/>
        <v/>
      </c>
      <c r="L22" s="14" t="str">
        <f t="shared" si="33"/>
        <v/>
      </c>
      <c r="M22" s="14" t="str">
        <f t="shared" si="33"/>
        <v/>
      </c>
      <c r="N22" s="14" t="str">
        <f t="shared" si="33"/>
        <v/>
      </c>
      <c r="O22" s="14" t="str">
        <f t="shared" si="33"/>
        <v/>
      </c>
      <c r="P22" s="14" t="str">
        <f t="shared" si="33"/>
        <v/>
      </c>
      <c r="Q22" s="14" t="str">
        <f t="shared" si="33"/>
        <v/>
      </c>
      <c r="R22" s="14" t="str">
        <f t="shared" si="33"/>
        <v/>
      </c>
      <c r="S22" s="14" t="str">
        <f t="shared" si="33"/>
        <v/>
      </c>
      <c r="T22" s="14" t="str">
        <f t="shared" si="33"/>
        <v/>
      </c>
      <c r="U22" s="14" t="str">
        <f t="shared" si="33"/>
        <v/>
      </c>
      <c r="V22" s="14" t="str">
        <f t="shared" si="33"/>
        <v/>
      </c>
      <c r="W22" s="14" t="str">
        <f t="shared" si="33"/>
        <v/>
      </c>
      <c r="X22" s="14" t="str">
        <f t="shared" si="33"/>
        <v/>
      </c>
      <c r="Y22" s="14" t="str">
        <f t="shared" si="33"/>
        <v/>
      </c>
      <c r="Z22" s="14" t="str">
        <f t="shared" si="33"/>
        <v/>
      </c>
      <c r="AA22" s="14">
        <f t="shared" si="33"/>
        <v>252</v>
      </c>
      <c r="AB22" s="14" t="str">
        <f t="shared" si="33"/>
        <v/>
      </c>
      <c r="AC22" s="14" t="str">
        <f t="shared" si="33"/>
        <v/>
      </c>
      <c r="AD22" s="14" t="str">
        <f t="shared" si="1"/>
        <v/>
      </c>
      <c r="AE22" s="14" t="str">
        <f t="shared" si="2"/>
        <v/>
      </c>
      <c r="AF22" s="14" t="str">
        <f t="shared" si="3"/>
        <v/>
      </c>
      <c r="AG22" s="14" t="str">
        <f t="shared" si="4"/>
        <v/>
      </c>
      <c r="AH22" s="14" t="str">
        <f t="shared" si="5"/>
        <v/>
      </c>
      <c r="AI22" s="14" t="str">
        <f t="shared" si="6"/>
        <v/>
      </c>
      <c r="AJ22" s="14" t="str">
        <f t="shared" si="7"/>
        <v/>
      </c>
      <c r="AK22" s="14" t="str">
        <f t="shared" si="8"/>
        <v/>
      </c>
      <c r="AL22" s="14" t="str">
        <f t="shared" si="9"/>
        <v/>
      </c>
      <c r="AM22" s="14" t="str">
        <f t="shared" si="10"/>
        <v/>
      </c>
      <c r="AN22" s="14" t="str">
        <f t="shared" si="11"/>
        <v/>
      </c>
      <c r="AO22" s="14" t="str">
        <f t="shared" si="12"/>
        <v/>
      </c>
      <c r="AP22" s="186">
        <v>3.64</v>
      </c>
      <c r="AQ22" s="72">
        <f t="shared" si="13"/>
        <v>917.28</v>
      </c>
      <c r="AR22" s="72">
        <f t="shared" si="14"/>
        <v>7108.92</v>
      </c>
    </row>
    <row r="23" s="45" customFormat="1" customHeight="1" spans="1:44">
      <c r="A23" s="74">
        <v>45917</v>
      </c>
      <c r="B23" s="183">
        <v>45930</v>
      </c>
      <c r="C23" s="182" t="s">
        <v>259</v>
      </c>
      <c r="D23" s="172"/>
      <c r="E23" s="172" t="s">
        <v>273</v>
      </c>
      <c r="F23" s="172" t="s">
        <v>125</v>
      </c>
      <c r="G23" s="175">
        <v>12</v>
      </c>
      <c r="H23" s="172" t="s">
        <v>255</v>
      </c>
      <c r="I23" s="14" t="str">
        <f>IFERROR(VLOOKUP(F23,名称!A:C,3,0),"")</f>
        <v>FNT</v>
      </c>
      <c r="J23" s="14" t="str">
        <f t="shared" ref="J23:AC23" si="34">IF(AND($F23=J$2,$G23&gt;0),$G23,"")</f>
        <v/>
      </c>
      <c r="K23" s="14" t="str">
        <f t="shared" si="34"/>
        <v/>
      </c>
      <c r="L23" s="14" t="str">
        <f t="shared" si="34"/>
        <v/>
      </c>
      <c r="M23" s="14" t="str">
        <f t="shared" si="34"/>
        <v/>
      </c>
      <c r="N23" s="14" t="str">
        <f t="shared" si="34"/>
        <v/>
      </c>
      <c r="O23" s="14" t="str">
        <f t="shared" si="34"/>
        <v/>
      </c>
      <c r="P23" s="14" t="str">
        <f t="shared" si="34"/>
        <v/>
      </c>
      <c r="Q23" s="14" t="str">
        <f t="shared" si="34"/>
        <v/>
      </c>
      <c r="R23" s="14" t="str">
        <f t="shared" si="34"/>
        <v/>
      </c>
      <c r="S23" s="14" t="str">
        <f t="shared" si="34"/>
        <v/>
      </c>
      <c r="T23" s="14" t="str">
        <f t="shared" si="34"/>
        <v/>
      </c>
      <c r="U23" s="14" t="str">
        <f t="shared" si="34"/>
        <v/>
      </c>
      <c r="V23" s="14" t="str">
        <f t="shared" si="34"/>
        <v/>
      </c>
      <c r="W23" s="14" t="str">
        <f t="shared" si="34"/>
        <v/>
      </c>
      <c r="X23" s="14" t="str">
        <f t="shared" si="34"/>
        <v/>
      </c>
      <c r="Y23" s="14" t="str">
        <f t="shared" si="34"/>
        <v/>
      </c>
      <c r="Z23" s="14" t="str">
        <f t="shared" si="34"/>
        <v/>
      </c>
      <c r="AA23" s="14" t="str">
        <f t="shared" si="34"/>
        <v/>
      </c>
      <c r="AB23" s="14" t="str">
        <f t="shared" si="34"/>
        <v/>
      </c>
      <c r="AC23" s="14" t="str">
        <f t="shared" si="34"/>
        <v/>
      </c>
      <c r="AD23" s="14" t="str">
        <f t="shared" si="1"/>
        <v/>
      </c>
      <c r="AE23" s="14" t="str">
        <f t="shared" si="2"/>
        <v/>
      </c>
      <c r="AF23" s="14" t="str">
        <f t="shared" si="3"/>
        <v/>
      </c>
      <c r="AG23" s="14">
        <f t="shared" si="4"/>
        <v>4</v>
      </c>
      <c r="AH23" s="14">
        <f t="shared" si="5"/>
        <v>4</v>
      </c>
      <c r="AI23" s="14">
        <f t="shared" si="6"/>
        <v>4</v>
      </c>
      <c r="AJ23" s="14" t="str">
        <f t="shared" si="7"/>
        <v/>
      </c>
      <c r="AK23" s="14" t="str">
        <f t="shared" si="8"/>
        <v/>
      </c>
      <c r="AL23" s="14" t="str">
        <f t="shared" si="9"/>
        <v/>
      </c>
      <c r="AM23" s="14" t="str">
        <f t="shared" si="10"/>
        <v/>
      </c>
      <c r="AN23" s="14" t="str">
        <f t="shared" si="11"/>
        <v/>
      </c>
      <c r="AO23" s="14" t="str">
        <f t="shared" si="12"/>
        <v/>
      </c>
      <c r="AP23" s="186">
        <v>1.98</v>
      </c>
      <c r="AQ23" s="72">
        <f t="shared" si="13"/>
        <v>23.76</v>
      </c>
      <c r="AR23" s="72">
        <f t="shared" si="14"/>
        <v>184.14</v>
      </c>
    </row>
    <row r="24" s="45" customFormat="1" customHeight="1" spans="1:44">
      <c r="A24" s="74">
        <v>45917</v>
      </c>
      <c r="B24" s="183">
        <v>45930</v>
      </c>
      <c r="C24" s="182" t="s">
        <v>259</v>
      </c>
      <c r="D24" s="172"/>
      <c r="E24" s="172" t="s">
        <v>273</v>
      </c>
      <c r="F24" s="172" t="s">
        <v>125</v>
      </c>
      <c r="G24" s="175">
        <v>12</v>
      </c>
      <c r="H24" s="172" t="s">
        <v>255</v>
      </c>
      <c r="I24" s="14" t="str">
        <f>IFERROR(VLOOKUP(F24,名称!A:C,3,0),"")</f>
        <v>FNT</v>
      </c>
      <c r="J24" s="14" t="str">
        <f t="shared" ref="J24:AC24" si="35">IF(AND($F24=J$2,$G24&gt;0),$G24,"")</f>
        <v/>
      </c>
      <c r="K24" s="14" t="str">
        <f t="shared" si="35"/>
        <v/>
      </c>
      <c r="L24" s="14" t="str">
        <f t="shared" si="35"/>
        <v/>
      </c>
      <c r="M24" s="14" t="str">
        <f t="shared" si="35"/>
        <v/>
      </c>
      <c r="N24" s="14" t="str">
        <f t="shared" si="35"/>
        <v/>
      </c>
      <c r="O24" s="14" t="str">
        <f t="shared" si="35"/>
        <v/>
      </c>
      <c r="P24" s="14" t="str">
        <f t="shared" si="35"/>
        <v/>
      </c>
      <c r="Q24" s="14" t="str">
        <f t="shared" si="35"/>
        <v/>
      </c>
      <c r="R24" s="14" t="str">
        <f t="shared" si="35"/>
        <v/>
      </c>
      <c r="S24" s="14" t="str">
        <f t="shared" si="35"/>
        <v/>
      </c>
      <c r="T24" s="14" t="str">
        <f t="shared" si="35"/>
        <v/>
      </c>
      <c r="U24" s="14" t="str">
        <f t="shared" si="35"/>
        <v/>
      </c>
      <c r="V24" s="14" t="str">
        <f t="shared" si="35"/>
        <v/>
      </c>
      <c r="W24" s="14" t="str">
        <f t="shared" si="35"/>
        <v/>
      </c>
      <c r="X24" s="14" t="str">
        <f t="shared" si="35"/>
        <v/>
      </c>
      <c r="Y24" s="14" t="str">
        <f t="shared" si="35"/>
        <v/>
      </c>
      <c r="Z24" s="14" t="str">
        <f t="shared" si="35"/>
        <v/>
      </c>
      <c r="AA24" s="14" t="str">
        <f t="shared" si="35"/>
        <v/>
      </c>
      <c r="AB24" s="14" t="str">
        <f t="shared" si="35"/>
        <v/>
      </c>
      <c r="AC24" s="14" t="str">
        <f t="shared" si="35"/>
        <v/>
      </c>
      <c r="AD24" s="14" t="str">
        <f t="shared" si="1"/>
        <v/>
      </c>
      <c r="AE24" s="14" t="str">
        <f t="shared" si="2"/>
        <v/>
      </c>
      <c r="AF24" s="14" t="str">
        <f t="shared" si="3"/>
        <v/>
      </c>
      <c r="AG24" s="14">
        <f t="shared" si="4"/>
        <v>4</v>
      </c>
      <c r="AH24" s="14">
        <f t="shared" si="5"/>
        <v>4</v>
      </c>
      <c r="AI24" s="14">
        <f t="shared" si="6"/>
        <v>4</v>
      </c>
      <c r="AJ24" s="14" t="str">
        <f t="shared" si="7"/>
        <v/>
      </c>
      <c r="AK24" s="14" t="str">
        <f t="shared" si="8"/>
        <v/>
      </c>
      <c r="AL24" s="14" t="str">
        <f t="shared" si="9"/>
        <v/>
      </c>
      <c r="AM24" s="14" t="str">
        <f t="shared" si="10"/>
        <v/>
      </c>
      <c r="AN24" s="14" t="str">
        <f t="shared" si="11"/>
        <v/>
      </c>
      <c r="AO24" s="14" t="str">
        <f t="shared" si="12"/>
        <v/>
      </c>
      <c r="AP24" s="186">
        <v>1.98</v>
      </c>
      <c r="AQ24" s="72">
        <f t="shared" si="13"/>
        <v>23.76</v>
      </c>
      <c r="AR24" s="72">
        <f t="shared" si="14"/>
        <v>184.14</v>
      </c>
    </row>
    <row r="25" s="45" customFormat="1" customHeight="1" spans="1:44">
      <c r="A25" s="74">
        <v>45917</v>
      </c>
      <c r="B25" s="183">
        <v>45930</v>
      </c>
      <c r="C25" s="182" t="s">
        <v>259</v>
      </c>
      <c r="D25" s="172"/>
      <c r="E25" s="172" t="s">
        <v>273</v>
      </c>
      <c r="F25" s="172" t="s">
        <v>125</v>
      </c>
      <c r="G25" s="175">
        <v>12</v>
      </c>
      <c r="H25" s="172" t="s">
        <v>255</v>
      </c>
      <c r="I25" s="14" t="str">
        <f>IFERROR(VLOOKUP(F25,名称!A:C,3,0),"")</f>
        <v>FNT</v>
      </c>
      <c r="J25" s="14" t="str">
        <f t="shared" ref="J25:AC25" si="36">IF(AND($F25=J$2,$G25&gt;0),$G25,"")</f>
        <v/>
      </c>
      <c r="K25" s="14" t="str">
        <f t="shared" si="36"/>
        <v/>
      </c>
      <c r="L25" s="14" t="str">
        <f t="shared" si="36"/>
        <v/>
      </c>
      <c r="M25" s="14" t="str">
        <f t="shared" si="36"/>
        <v/>
      </c>
      <c r="N25" s="14" t="str">
        <f t="shared" si="36"/>
        <v/>
      </c>
      <c r="O25" s="14" t="str">
        <f t="shared" si="36"/>
        <v/>
      </c>
      <c r="P25" s="14" t="str">
        <f t="shared" si="36"/>
        <v/>
      </c>
      <c r="Q25" s="14" t="str">
        <f t="shared" si="36"/>
        <v/>
      </c>
      <c r="R25" s="14" t="str">
        <f t="shared" si="36"/>
        <v/>
      </c>
      <c r="S25" s="14" t="str">
        <f t="shared" si="36"/>
        <v/>
      </c>
      <c r="T25" s="14" t="str">
        <f t="shared" si="36"/>
        <v/>
      </c>
      <c r="U25" s="14" t="str">
        <f t="shared" si="36"/>
        <v/>
      </c>
      <c r="V25" s="14" t="str">
        <f t="shared" si="36"/>
        <v/>
      </c>
      <c r="W25" s="14" t="str">
        <f t="shared" si="36"/>
        <v/>
      </c>
      <c r="X25" s="14" t="str">
        <f t="shared" si="36"/>
        <v/>
      </c>
      <c r="Y25" s="14" t="str">
        <f t="shared" si="36"/>
        <v/>
      </c>
      <c r="Z25" s="14" t="str">
        <f t="shared" si="36"/>
        <v/>
      </c>
      <c r="AA25" s="14" t="str">
        <f t="shared" si="36"/>
        <v/>
      </c>
      <c r="AB25" s="14" t="str">
        <f t="shared" si="36"/>
        <v/>
      </c>
      <c r="AC25" s="14" t="str">
        <f t="shared" si="36"/>
        <v/>
      </c>
      <c r="AD25" s="14" t="str">
        <f t="shared" si="1"/>
        <v/>
      </c>
      <c r="AE25" s="14" t="str">
        <f t="shared" si="2"/>
        <v/>
      </c>
      <c r="AF25" s="14" t="str">
        <f t="shared" si="3"/>
        <v/>
      </c>
      <c r="AG25" s="14">
        <f t="shared" si="4"/>
        <v>4</v>
      </c>
      <c r="AH25" s="14">
        <f t="shared" si="5"/>
        <v>4</v>
      </c>
      <c r="AI25" s="14">
        <f t="shared" si="6"/>
        <v>4</v>
      </c>
      <c r="AJ25" s="14" t="str">
        <f t="shared" si="7"/>
        <v/>
      </c>
      <c r="AK25" s="14" t="str">
        <f t="shared" si="8"/>
        <v/>
      </c>
      <c r="AL25" s="14" t="str">
        <f t="shared" si="9"/>
        <v/>
      </c>
      <c r="AM25" s="14" t="str">
        <f t="shared" si="10"/>
        <v/>
      </c>
      <c r="AN25" s="14" t="str">
        <f t="shared" si="11"/>
        <v/>
      </c>
      <c r="AO25" s="14" t="str">
        <f t="shared" si="12"/>
        <v/>
      </c>
      <c r="AP25" s="186">
        <v>1.98</v>
      </c>
      <c r="AQ25" s="72">
        <f t="shared" si="13"/>
        <v>23.76</v>
      </c>
      <c r="AR25" s="72">
        <f t="shared" si="14"/>
        <v>184.14</v>
      </c>
    </row>
    <row r="26" s="45" customFormat="1" customHeight="1" spans="1:44">
      <c r="A26" s="74">
        <v>45917</v>
      </c>
      <c r="B26" s="183">
        <v>45930</v>
      </c>
      <c r="C26" s="182" t="s">
        <v>259</v>
      </c>
      <c r="D26" s="172"/>
      <c r="E26" s="172" t="s">
        <v>273</v>
      </c>
      <c r="F26" s="172" t="s">
        <v>135</v>
      </c>
      <c r="G26" s="175">
        <v>14</v>
      </c>
      <c r="H26" s="172" t="s">
        <v>255</v>
      </c>
      <c r="I26" s="14" t="str">
        <f>IFERROR(VLOOKUP(F26,名称!A:C,3,0),"")</f>
        <v>FNT</v>
      </c>
      <c r="J26" s="14" t="str">
        <f t="shared" ref="J26:AC26" si="37">IF(AND($F26=J$2,$G26&gt;0),$G26,"")</f>
        <v/>
      </c>
      <c r="K26" s="14" t="str">
        <f t="shared" si="37"/>
        <v/>
      </c>
      <c r="L26" s="14" t="str">
        <f t="shared" si="37"/>
        <v/>
      </c>
      <c r="M26" s="14" t="str">
        <f t="shared" si="37"/>
        <v/>
      </c>
      <c r="N26" s="14" t="str">
        <f t="shared" si="37"/>
        <v/>
      </c>
      <c r="O26" s="14" t="str">
        <f t="shared" si="37"/>
        <v/>
      </c>
      <c r="P26" s="14" t="str">
        <f t="shared" si="37"/>
        <v/>
      </c>
      <c r="Q26" s="14" t="str">
        <f t="shared" si="37"/>
        <v/>
      </c>
      <c r="R26" s="14" t="str">
        <f t="shared" si="37"/>
        <v/>
      </c>
      <c r="S26" s="14" t="str">
        <f t="shared" si="37"/>
        <v/>
      </c>
      <c r="T26" s="14" t="str">
        <f t="shared" si="37"/>
        <v/>
      </c>
      <c r="U26" s="14" t="str">
        <f t="shared" si="37"/>
        <v/>
      </c>
      <c r="V26" s="14" t="str">
        <f t="shared" si="37"/>
        <v/>
      </c>
      <c r="W26" s="14" t="str">
        <f t="shared" si="37"/>
        <v/>
      </c>
      <c r="X26" s="14" t="str">
        <f t="shared" si="37"/>
        <v/>
      </c>
      <c r="Y26" s="14" t="str">
        <f t="shared" si="37"/>
        <v/>
      </c>
      <c r="Z26" s="14" t="str">
        <f t="shared" si="37"/>
        <v/>
      </c>
      <c r="AA26" s="14" t="str">
        <f t="shared" si="37"/>
        <v/>
      </c>
      <c r="AB26" s="14" t="str">
        <f t="shared" si="37"/>
        <v/>
      </c>
      <c r="AC26" s="14" t="str">
        <f t="shared" si="37"/>
        <v/>
      </c>
      <c r="AD26" s="14" t="str">
        <f t="shared" si="1"/>
        <v/>
      </c>
      <c r="AE26" s="14" t="str">
        <f t="shared" si="2"/>
        <v/>
      </c>
      <c r="AF26" s="14">
        <f t="shared" si="3"/>
        <v>14</v>
      </c>
      <c r="AG26" s="14" t="str">
        <f t="shared" si="4"/>
        <v/>
      </c>
      <c r="AH26" s="14" t="str">
        <f t="shared" si="5"/>
        <v/>
      </c>
      <c r="AI26" s="14" t="str">
        <f t="shared" si="6"/>
        <v/>
      </c>
      <c r="AJ26" s="14" t="str">
        <f t="shared" si="7"/>
        <v/>
      </c>
      <c r="AK26" s="14" t="str">
        <f t="shared" si="8"/>
        <v/>
      </c>
      <c r="AL26" s="14" t="str">
        <f t="shared" si="9"/>
        <v/>
      </c>
      <c r="AM26" s="14" t="str">
        <f t="shared" si="10"/>
        <v/>
      </c>
      <c r="AN26" s="14" t="str">
        <f t="shared" si="11"/>
        <v/>
      </c>
      <c r="AO26" s="14" t="str">
        <f t="shared" si="12"/>
        <v/>
      </c>
      <c r="AP26" s="71">
        <v>2.13</v>
      </c>
      <c r="AQ26" s="72">
        <f t="shared" si="13"/>
        <v>29.82</v>
      </c>
      <c r="AR26" s="72">
        <f t="shared" si="14"/>
        <v>231.11</v>
      </c>
    </row>
    <row r="27" s="45" customFormat="1" customHeight="1" spans="1:44">
      <c r="A27" s="74">
        <v>45917</v>
      </c>
      <c r="B27" s="183">
        <v>45930</v>
      </c>
      <c r="C27" s="182" t="s">
        <v>259</v>
      </c>
      <c r="D27" s="172"/>
      <c r="E27" s="172" t="s">
        <v>273</v>
      </c>
      <c r="F27" s="172" t="s">
        <v>137</v>
      </c>
      <c r="G27" s="175">
        <v>14</v>
      </c>
      <c r="H27" s="172" t="s">
        <v>255</v>
      </c>
      <c r="I27" s="14" t="str">
        <f>IFERROR(VLOOKUP(F27,名称!A:C,3,0),"")</f>
        <v>FNT</v>
      </c>
      <c r="J27" s="14" t="str">
        <f t="shared" ref="J27:AC27" si="38">IF(AND($F27=J$2,$G27&gt;0),$G27,"")</f>
        <v/>
      </c>
      <c r="K27" s="14" t="str">
        <f t="shared" si="38"/>
        <v/>
      </c>
      <c r="L27" s="14" t="str">
        <f t="shared" si="38"/>
        <v/>
      </c>
      <c r="M27" s="14" t="str">
        <f t="shared" si="38"/>
        <v/>
      </c>
      <c r="N27" s="14" t="str">
        <f t="shared" si="38"/>
        <v/>
      </c>
      <c r="O27" s="14" t="str">
        <f t="shared" si="38"/>
        <v/>
      </c>
      <c r="P27" s="14" t="str">
        <f t="shared" si="38"/>
        <v/>
      </c>
      <c r="Q27" s="14" t="str">
        <f t="shared" si="38"/>
        <v/>
      </c>
      <c r="R27" s="14" t="str">
        <f t="shared" si="38"/>
        <v/>
      </c>
      <c r="S27" s="14" t="str">
        <f t="shared" si="38"/>
        <v/>
      </c>
      <c r="T27" s="14" t="str">
        <f t="shared" si="38"/>
        <v/>
      </c>
      <c r="U27" s="14" t="str">
        <f t="shared" si="38"/>
        <v/>
      </c>
      <c r="V27" s="14" t="str">
        <f t="shared" si="38"/>
        <v/>
      </c>
      <c r="W27" s="14" t="str">
        <f t="shared" si="38"/>
        <v/>
      </c>
      <c r="X27" s="14" t="str">
        <f t="shared" si="38"/>
        <v/>
      </c>
      <c r="Y27" s="14" t="str">
        <f t="shared" si="38"/>
        <v/>
      </c>
      <c r="Z27" s="14" t="str">
        <f t="shared" si="38"/>
        <v/>
      </c>
      <c r="AA27" s="14" t="str">
        <f t="shared" si="38"/>
        <v/>
      </c>
      <c r="AB27" s="14" t="str">
        <f t="shared" si="38"/>
        <v/>
      </c>
      <c r="AC27" s="14" t="str">
        <f t="shared" si="38"/>
        <v/>
      </c>
      <c r="AD27" s="14" t="str">
        <f t="shared" si="1"/>
        <v/>
      </c>
      <c r="AE27" s="14">
        <f t="shared" si="2"/>
        <v>14</v>
      </c>
      <c r="AF27" s="14" t="str">
        <f t="shared" si="3"/>
        <v/>
      </c>
      <c r="AG27" s="14" t="str">
        <f t="shared" si="4"/>
        <v/>
      </c>
      <c r="AH27" s="14" t="str">
        <f t="shared" si="5"/>
        <v/>
      </c>
      <c r="AI27" s="14" t="str">
        <f t="shared" si="6"/>
        <v/>
      </c>
      <c r="AJ27" s="14" t="str">
        <f t="shared" si="7"/>
        <v/>
      </c>
      <c r="AK27" s="14" t="str">
        <f t="shared" si="8"/>
        <v/>
      </c>
      <c r="AL27" s="14" t="str">
        <f t="shared" si="9"/>
        <v/>
      </c>
      <c r="AM27" s="14" t="str">
        <f t="shared" si="10"/>
        <v/>
      </c>
      <c r="AN27" s="14" t="str">
        <f t="shared" si="11"/>
        <v/>
      </c>
      <c r="AO27" s="14" t="str">
        <f t="shared" si="12"/>
        <v/>
      </c>
      <c r="AP27" s="186">
        <v>2.18</v>
      </c>
      <c r="AQ27" s="72">
        <f t="shared" si="13"/>
        <v>30.52</v>
      </c>
      <c r="AR27" s="72">
        <f t="shared" si="14"/>
        <v>236.53</v>
      </c>
    </row>
    <row r="28" s="45" customFormat="1" customHeight="1" spans="1:44">
      <c r="A28" s="74">
        <v>45917</v>
      </c>
      <c r="B28" s="183">
        <v>45930</v>
      </c>
      <c r="C28" s="182" t="s">
        <v>259</v>
      </c>
      <c r="D28" s="172"/>
      <c r="E28" s="172" t="s">
        <v>273</v>
      </c>
      <c r="F28" s="172" t="s">
        <v>139</v>
      </c>
      <c r="G28" s="175">
        <v>14</v>
      </c>
      <c r="H28" s="172" t="s">
        <v>255</v>
      </c>
      <c r="I28" s="14" t="str">
        <f>IFERROR(VLOOKUP(F28,名称!A:C,3,0),"")</f>
        <v>FNT</v>
      </c>
      <c r="J28" s="14" t="str">
        <f t="shared" ref="J28:AC28" si="39">IF(AND($F28=J$2,$G28&gt;0),$G28,"")</f>
        <v/>
      </c>
      <c r="K28" s="14" t="str">
        <f t="shared" si="39"/>
        <v/>
      </c>
      <c r="L28" s="14" t="str">
        <f t="shared" si="39"/>
        <v/>
      </c>
      <c r="M28" s="14" t="str">
        <f t="shared" si="39"/>
        <v/>
      </c>
      <c r="N28" s="14" t="str">
        <f t="shared" si="39"/>
        <v/>
      </c>
      <c r="O28" s="14" t="str">
        <f t="shared" si="39"/>
        <v/>
      </c>
      <c r="P28" s="14" t="str">
        <f t="shared" si="39"/>
        <v/>
      </c>
      <c r="Q28" s="14" t="str">
        <f t="shared" si="39"/>
        <v/>
      </c>
      <c r="R28" s="14" t="str">
        <f t="shared" si="39"/>
        <v/>
      </c>
      <c r="S28" s="14" t="str">
        <f t="shared" si="39"/>
        <v/>
      </c>
      <c r="T28" s="14" t="str">
        <f t="shared" si="39"/>
        <v/>
      </c>
      <c r="U28" s="14" t="str">
        <f t="shared" si="39"/>
        <v/>
      </c>
      <c r="V28" s="14" t="str">
        <f t="shared" si="39"/>
        <v/>
      </c>
      <c r="W28" s="14" t="str">
        <f t="shared" si="39"/>
        <v/>
      </c>
      <c r="X28" s="14" t="str">
        <f t="shared" si="39"/>
        <v/>
      </c>
      <c r="Y28" s="14" t="str">
        <f t="shared" si="39"/>
        <v/>
      </c>
      <c r="Z28" s="14" t="str">
        <f t="shared" si="39"/>
        <v/>
      </c>
      <c r="AA28" s="14" t="str">
        <f t="shared" si="39"/>
        <v/>
      </c>
      <c r="AB28" s="14" t="str">
        <f t="shared" si="39"/>
        <v/>
      </c>
      <c r="AC28" s="14" t="str">
        <f t="shared" si="39"/>
        <v/>
      </c>
      <c r="AD28" s="14">
        <f t="shared" si="1"/>
        <v>14</v>
      </c>
      <c r="AE28" s="14" t="str">
        <f t="shared" si="2"/>
        <v/>
      </c>
      <c r="AF28" s="14" t="str">
        <f t="shared" si="3"/>
        <v/>
      </c>
      <c r="AG28" s="14" t="str">
        <f t="shared" si="4"/>
        <v/>
      </c>
      <c r="AH28" s="14" t="str">
        <f t="shared" si="5"/>
        <v/>
      </c>
      <c r="AI28" s="14" t="str">
        <f t="shared" si="6"/>
        <v/>
      </c>
      <c r="AJ28" s="14" t="str">
        <f t="shared" si="7"/>
        <v/>
      </c>
      <c r="AK28" s="14" t="str">
        <f t="shared" si="8"/>
        <v/>
      </c>
      <c r="AL28" s="14" t="str">
        <f t="shared" si="9"/>
        <v/>
      </c>
      <c r="AM28" s="14" t="str">
        <f t="shared" si="10"/>
        <v/>
      </c>
      <c r="AN28" s="14" t="str">
        <f t="shared" si="11"/>
        <v/>
      </c>
      <c r="AO28" s="14" t="str">
        <f t="shared" si="12"/>
        <v/>
      </c>
      <c r="AP28" s="71">
        <v>1.88</v>
      </c>
      <c r="AQ28" s="72">
        <f t="shared" si="13"/>
        <v>26.32</v>
      </c>
      <c r="AR28" s="72">
        <f t="shared" si="14"/>
        <v>203.98</v>
      </c>
    </row>
    <row r="29" s="45" customFormat="1" customHeight="1" spans="1:44">
      <c r="A29" s="74">
        <v>45917</v>
      </c>
      <c r="B29" s="183">
        <v>45930</v>
      </c>
      <c r="C29" s="182" t="s">
        <v>259</v>
      </c>
      <c r="D29" s="172"/>
      <c r="E29" s="172" t="s">
        <v>273</v>
      </c>
      <c r="F29" s="172" t="s">
        <v>143</v>
      </c>
      <c r="G29" s="175">
        <v>14</v>
      </c>
      <c r="H29" s="172" t="s">
        <v>255</v>
      </c>
      <c r="I29" s="14" t="str">
        <f>IFERROR(VLOOKUP(F29,名称!A:C,3,0),"")</f>
        <v>FNT</v>
      </c>
      <c r="J29" s="14" t="str">
        <f t="shared" ref="J29:AC29" si="40">IF(AND($F29=J$2,$G29&gt;0),$G29,"")</f>
        <v/>
      </c>
      <c r="K29" s="14" t="str">
        <f t="shared" si="40"/>
        <v/>
      </c>
      <c r="L29" s="14" t="str">
        <f t="shared" si="40"/>
        <v/>
      </c>
      <c r="M29" s="14" t="str">
        <f t="shared" si="40"/>
        <v/>
      </c>
      <c r="N29" s="14" t="str">
        <f t="shared" si="40"/>
        <v/>
      </c>
      <c r="O29" s="14" t="str">
        <f t="shared" si="40"/>
        <v/>
      </c>
      <c r="P29" s="14" t="str">
        <f t="shared" si="40"/>
        <v/>
      </c>
      <c r="Q29" s="14">
        <f t="shared" si="40"/>
        <v>14</v>
      </c>
      <c r="R29" s="14" t="str">
        <f t="shared" si="40"/>
        <v/>
      </c>
      <c r="S29" s="14" t="str">
        <f t="shared" si="40"/>
        <v/>
      </c>
      <c r="T29" s="14" t="str">
        <f t="shared" si="40"/>
        <v/>
      </c>
      <c r="U29" s="14" t="str">
        <f t="shared" si="40"/>
        <v/>
      </c>
      <c r="V29" s="14" t="str">
        <f t="shared" si="40"/>
        <v/>
      </c>
      <c r="W29" s="14" t="str">
        <f t="shared" si="40"/>
        <v/>
      </c>
      <c r="X29" s="14" t="str">
        <f t="shared" si="40"/>
        <v/>
      </c>
      <c r="Y29" s="14" t="str">
        <f t="shared" si="40"/>
        <v/>
      </c>
      <c r="Z29" s="14" t="str">
        <f t="shared" si="40"/>
        <v/>
      </c>
      <c r="AA29" s="14" t="str">
        <f t="shared" si="40"/>
        <v/>
      </c>
      <c r="AB29" s="14" t="str">
        <f t="shared" si="40"/>
        <v/>
      </c>
      <c r="AC29" s="14" t="str">
        <f t="shared" si="40"/>
        <v/>
      </c>
      <c r="AD29" s="14" t="str">
        <f t="shared" si="1"/>
        <v/>
      </c>
      <c r="AE29" s="14" t="str">
        <f t="shared" si="2"/>
        <v/>
      </c>
      <c r="AF29" s="14" t="str">
        <f t="shared" si="3"/>
        <v/>
      </c>
      <c r="AG29" s="14" t="str">
        <f t="shared" si="4"/>
        <v/>
      </c>
      <c r="AH29" s="14" t="str">
        <f t="shared" si="5"/>
        <v/>
      </c>
      <c r="AI29" s="14" t="str">
        <f t="shared" si="6"/>
        <v/>
      </c>
      <c r="AJ29" s="14" t="str">
        <f t="shared" si="7"/>
        <v/>
      </c>
      <c r="AK29" s="14" t="str">
        <f t="shared" si="8"/>
        <v/>
      </c>
      <c r="AL29" s="14" t="str">
        <f t="shared" si="9"/>
        <v/>
      </c>
      <c r="AM29" s="14" t="str">
        <f t="shared" si="10"/>
        <v/>
      </c>
      <c r="AN29" s="14" t="str">
        <f t="shared" si="11"/>
        <v/>
      </c>
      <c r="AO29" s="14" t="str">
        <f t="shared" si="12"/>
        <v/>
      </c>
      <c r="AP29" s="186">
        <v>7.86</v>
      </c>
      <c r="AQ29" s="72">
        <f t="shared" si="13"/>
        <v>110.04</v>
      </c>
      <c r="AR29" s="72">
        <f t="shared" si="14"/>
        <v>852.81</v>
      </c>
    </row>
    <row r="30" s="45" customFormat="1" customHeight="1" spans="1:44">
      <c r="A30" s="74">
        <v>45917</v>
      </c>
      <c r="B30" s="56">
        <v>45964</v>
      </c>
      <c r="C30" s="172" t="s">
        <v>246</v>
      </c>
      <c r="D30" s="14">
        <v>10001441544</v>
      </c>
      <c r="E30" s="14" t="s">
        <v>274</v>
      </c>
      <c r="F30" s="14" t="s">
        <v>205</v>
      </c>
      <c r="G30" s="171">
        <f>4101-1200+399-501</f>
        <v>2799</v>
      </c>
      <c r="H30" s="172" t="s">
        <v>258</v>
      </c>
      <c r="I30" s="14" t="str">
        <f>IFERROR(VLOOKUP(F30,名称!A:C,3,0),"")</f>
        <v>SNF</v>
      </c>
      <c r="J30" s="14" t="str">
        <f t="shared" ref="J30:AC30" si="41">IF(AND($F30=J$2,$G30&gt;0),$G30,"")</f>
        <v/>
      </c>
      <c r="K30" s="14" t="str">
        <f t="shared" si="41"/>
        <v/>
      </c>
      <c r="L30" s="14" t="str">
        <f t="shared" si="41"/>
        <v/>
      </c>
      <c r="M30" s="14" t="str">
        <f t="shared" si="41"/>
        <v/>
      </c>
      <c r="N30" s="14" t="str">
        <f t="shared" si="41"/>
        <v/>
      </c>
      <c r="O30" s="14" t="str">
        <f t="shared" si="41"/>
        <v/>
      </c>
      <c r="P30" s="14" t="str">
        <f t="shared" si="41"/>
        <v/>
      </c>
      <c r="Q30" s="14" t="str">
        <f t="shared" si="41"/>
        <v/>
      </c>
      <c r="R30" s="14" t="str">
        <f t="shared" si="41"/>
        <v/>
      </c>
      <c r="S30" s="14" t="str">
        <f t="shared" si="41"/>
        <v/>
      </c>
      <c r="T30" s="14" t="str">
        <f t="shared" si="41"/>
        <v/>
      </c>
      <c r="U30" s="14" t="str">
        <f t="shared" si="41"/>
        <v/>
      </c>
      <c r="V30" s="14" t="str">
        <f t="shared" si="41"/>
        <v/>
      </c>
      <c r="W30" s="14" t="str">
        <f t="shared" si="41"/>
        <v/>
      </c>
      <c r="X30" s="14" t="str">
        <f t="shared" si="41"/>
        <v/>
      </c>
      <c r="Y30" s="14" t="str">
        <f t="shared" si="41"/>
        <v/>
      </c>
      <c r="Z30" s="14" t="str">
        <f t="shared" si="41"/>
        <v/>
      </c>
      <c r="AA30" s="14">
        <f t="shared" si="41"/>
        <v>2799</v>
      </c>
      <c r="AB30" s="14" t="str">
        <f t="shared" si="41"/>
        <v/>
      </c>
      <c r="AC30" s="14" t="str">
        <f t="shared" si="41"/>
        <v/>
      </c>
      <c r="AD30" s="14" t="str">
        <f t="shared" si="1"/>
        <v/>
      </c>
      <c r="AE30" s="14" t="str">
        <f t="shared" si="2"/>
        <v/>
      </c>
      <c r="AF30" s="14" t="str">
        <f t="shared" si="3"/>
        <v/>
      </c>
      <c r="AG30" s="14" t="str">
        <f t="shared" si="4"/>
        <v/>
      </c>
      <c r="AH30" s="14" t="str">
        <f t="shared" si="5"/>
        <v/>
      </c>
      <c r="AI30" s="14" t="str">
        <f t="shared" si="6"/>
        <v/>
      </c>
      <c r="AJ30" s="14" t="str">
        <f t="shared" si="7"/>
        <v/>
      </c>
      <c r="AK30" s="14" t="str">
        <f t="shared" si="8"/>
        <v/>
      </c>
      <c r="AL30" s="14" t="str">
        <f t="shared" si="9"/>
        <v/>
      </c>
      <c r="AM30" s="14" t="str">
        <f t="shared" si="10"/>
        <v/>
      </c>
      <c r="AN30" s="14" t="str">
        <f t="shared" si="11"/>
        <v/>
      </c>
      <c r="AO30" s="14" t="str">
        <f t="shared" si="12"/>
        <v/>
      </c>
      <c r="AP30" s="71">
        <v>3.64</v>
      </c>
      <c r="AQ30" s="72">
        <f t="shared" si="13"/>
        <v>10188.36</v>
      </c>
      <c r="AR30" s="72">
        <f t="shared" si="14"/>
        <v>78959.79</v>
      </c>
    </row>
    <row r="31" s="45" customFormat="1" customHeight="1" spans="1:44">
      <c r="A31" s="74">
        <v>45940</v>
      </c>
      <c r="B31" s="56">
        <v>45962</v>
      </c>
      <c r="C31" s="182" t="s">
        <v>259</v>
      </c>
      <c r="D31" s="172"/>
      <c r="E31" s="14" t="s">
        <v>275</v>
      </c>
      <c r="F31" s="14" t="s">
        <v>222</v>
      </c>
      <c r="G31" s="171">
        <f>204-156</f>
        <v>48</v>
      </c>
      <c r="H31" s="14" t="s">
        <v>276</v>
      </c>
      <c r="I31" s="14" t="str">
        <f>IFERROR(VLOOKUP(F31,名称!A:C,3,0),"")</f>
        <v>SNF</v>
      </c>
      <c r="J31" s="14" t="str">
        <f t="shared" ref="J31:AC31" si="42">IF(AND($F31=J$2,$G31&gt;0),$G31,"")</f>
        <v/>
      </c>
      <c r="K31" s="14" t="str">
        <f t="shared" si="42"/>
        <v/>
      </c>
      <c r="L31" s="14" t="str">
        <f t="shared" si="42"/>
        <v/>
      </c>
      <c r="M31" s="14" t="str">
        <f t="shared" si="42"/>
        <v/>
      </c>
      <c r="N31" s="14" t="str">
        <f t="shared" si="42"/>
        <v/>
      </c>
      <c r="O31" s="14" t="str">
        <f t="shared" si="42"/>
        <v/>
      </c>
      <c r="P31" s="14" t="str">
        <f t="shared" si="42"/>
        <v/>
      </c>
      <c r="Q31" s="14" t="str">
        <f t="shared" si="42"/>
        <v/>
      </c>
      <c r="R31" s="14" t="str">
        <f t="shared" si="42"/>
        <v/>
      </c>
      <c r="S31" s="14" t="str">
        <f t="shared" si="42"/>
        <v/>
      </c>
      <c r="T31" s="14" t="str">
        <f t="shared" si="42"/>
        <v/>
      </c>
      <c r="U31" s="14" t="str">
        <f t="shared" si="42"/>
        <v/>
      </c>
      <c r="V31" s="14" t="str">
        <f t="shared" si="42"/>
        <v/>
      </c>
      <c r="W31" s="14" t="str">
        <f t="shared" si="42"/>
        <v/>
      </c>
      <c r="X31" s="14" t="str">
        <f t="shared" si="42"/>
        <v/>
      </c>
      <c r="Y31" s="14" t="str">
        <f t="shared" si="42"/>
        <v/>
      </c>
      <c r="Z31" s="14" t="str">
        <f t="shared" si="42"/>
        <v/>
      </c>
      <c r="AA31" s="14" t="str">
        <f t="shared" si="42"/>
        <v/>
      </c>
      <c r="AB31" s="14" t="str">
        <f t="shared" si="42"/>
        <v/>
      </c>
      <c r="AC31" s="14">
        <f t="shared" si="42"/>
        <v>48</v>
      </c>
      <c r="AD31" s="14" t="str">
        <f t="shared" si="1"/>
        <v/>
      </c>
      <c r="AE31" s="14" t="str">
        <f t="shared" si="2"/>
        <v/>
      </c>
      <c r="AF31" s="14" t="str">
        <f t="shared" si="3"/>
        <v/>
      </c>
      <c r="AG31" s="14" t="str">
        <f t="shared" si="4"/>
        <v/>
      </c>
      <c r="AH31" s="14" t="str">
        <f t="shared" si="5"/>
        <v/>
      </c>
      <c r="AI31" s="14" t="str">
        <f t="shared" si="6"/>
        <v/>
      </c>
      <c r="AJ31" s="14" t="str">
        <f t="shared" si="7"/>
        <v/>
      </c>
      <c r="AK31" s="14" t="str">
        <f t="shared" si="8"/>
        <v/>
      </c>
      <c r="AL31" s="14" t="str">
        <f t="shared" si="9"/>
        <v/>
      </c>
      <c r="AM31" s="14" t="str">
        <f t="shared" si="10"/>
        <v/>
      </c>
      <c r="AN31" s="14" t="str">
        <f t="shared" si="11"/>
        <v/>
      </c>
      <c r="AO31" s="14" t="str">
        <f t="shared" si="12"/>
        <v/>
      </c>
      <c r="AP31" s="71">
        <v>4.28</v>
      </c>
      <c r="AQ31" s="72">
        <f t="shared" si="13"/>
        <v>205.44</v>
      </c>
      <c r="AR31" s="72">
        <f t="shared" si="14"/>
        <v>1592.16</v>
      </c>
    </row>
    <row r="32" s="320" customFormat="1" customHeight="1" spans="1:44">
      <c r="A32" s="119">
        <v>45940</v>
      </c>
      <c r="B32" s="112">
        <v>45960</v>
      </c>
      <c r="C32" s="114" t="s">
        <v>277</v>
      </c>
      <c r="D32" s="114"/>
      <c r="E32" s="114" t="s">
        <v>278</v>
      </c>
      <c r="F32" s="114" t="s">
        <v>123</v>
      </c>
      <c r="G32" s="118">
        <v>1800</v>
      </c>
      <c r="H32" s="114" t="s">
        <v>255</v>
      </c>
      <c r="I32" s="125" t="str">
        <f>IFERROR(VLOOKUP(F32,名称!A:C,3,0),"")</f>
        <v>FNT</v>
      </c>
      <c r="J32" s="125" t="str">
        <f t="shared" ref="J32:AC32" si="43">IF(AND($F32=J$2,$G32&gt;0),$G32,"")</f>
        <v/>
      </c>
      <c r="K32" s="125" t="str">
        <f t="shared" si="43"/>
        <v/>
      </c>
      <c r="L32" s="125" t="str">
        <f t="shared" si="43"/>
        <v/>
      </c>
      <c r="M32" s="125" t="str">
        <f t="shared" si="43"/>
        <v/>
      </c>
      <c r="N32" s="125" t="str">
        <f t="shared" si="43"/>
        <v/>
      </c>
      <c r="O32" s="125" t="str">
        <f t="shared" si="43"/>
        <v/>
      </c>
      <c r="P32" s="125" t="str">
        <f t="shared" si="43"/>
        <v/>
      </c>
      <c r="Q32" s="125" t="str">
        <f t="shared" si="43"/>
        <v/>
      </c>
      <c r="R32" s="125" t="str">
        <f t="shared" si="43"/>
        <v/>
      </c>
      <c r="S32" s="125" t="str">
        <f t="shared" si="43"/>
        <v/>
      </c>
      <c r="T32" s="125" t="str">
        <f t="shared" si="43"/>
        <v/>
      </c>
      <c r="U32" s="125" t="str">
        <f t="shared" si="43"/>
        <v/>
      </c>
      <c r="V32" s="125" t="str">
        <f t="shared" si="43"/>
        <v/>
      </c>
      <c r="W32" s="125" t="str">
        <f t="shared" si="43"/>
        <v/>
      </c>
      <c r="X32" s="125" t="str">
        <f t="shared" si="43"/>
        <v/>
      </c>
      <c r="Y32" s="125" t="str">
        <f t="shared" si="43"/>
        <v/>
      </c>
      <c r="Z32" s="125" t="str">
        <f t="shared" si="43"/>
        <v/>
      </c>
      <c r="AA32" s="125" t="str">
        <f t="shared" si="43"/>
        <v/>
      </c>
      <c r="AB32" s="125" t="str">
        <f t="shared" si="43"/>
        <v/>
      </c>
      <c r="AC32" s="125" t="str">
        <f t="shared" si="43"/>
        <v/>
      </c>
      <c r="AD32" s="125">
        <f t="shared" si="1"/>
        <v>600</v>
      </c>
      <c r="AE32" s="125">
        <f t="shared" si="2"/>
        <v>600</v>
      </c>
      <c r="AF32" s="125">
        <f t="shared" si="3"/>
        <v>600</v>
      </c>
      <c r="AG32" s="125" t="str">
        <f t="shared" si="4"/>
        <v/>
      </c>
      <c r="AH32" s="125" t="str">
        <f t="shared" si="5"/>
        <v/>
      </c>
      <c r="AI32" s="125" t="str">
        <f t="shared" si="6"/>
        <v/>
      </c>
      <c r="AJ32" s="125" t="str">
        <f t="shared" si="7"/>
        <v/>
      </c>
      <c r="AK32" s="125" t="str">
        <f t="shared" si="8"/>
        <v/>
      </c>
      <c r="AL32" s="125" t="str">
        <f t="shared" si="9"/>
        <v/>
      </c>
      <c r="AM32" s="125" t="str">
        <f t="shared" si="10"/>
        <v/>
      </c>
      <c r="AN32" s="125" t="str">
        <f t="shared" si="11"/>
        <v/>
      </c>
      <c r="AO32" s="125" t="str">
        <f t="shared" si="12"/>
        <v/>
      </c>
      <c r="AP32" s="122">
        <v>2.06</v>
      </c>
      <c r="AQ32" s="130">
        <f t="shared" si="13"/>
        <v>3708</v>
      </c>
      <c r="AR32" s="130">
        <f t="shared" si="14"/>
        <v>28737</v>
      </c>
    </row>
    <row r="33" s="320" customFormat="1" customHeight="1" spans="1:44">
      <c r="A33" s="112">
        <v>45947</v>
      </c>
      <c r="B33" s="112">
        <v>46020</v>
      </c>
      <c r="C33" s="116" t="s">
        <v>262</v>
      </c>
      <c r="D33" s="114" t="s">
        <v>279</v>
      </c>
      <c r="E33" s="114">
        <v>60255937</v>
      </c>
      <c r="F33" s="114" t="s">
        <v>29</v>
      </c>
      <c r="G33" s="118">
        <v>2394</v>
      </c>
      <c r="H33" s="114" t="s">
        <v>255</v>
      </c>
      <c r="I33" s="125" t="str">
        <f>IFERROR(VLOOKUP(F33,名称!A:C,3,0),"")</f>
        <v>CMW</v>
      </c>
      <c r="J33" s="125" t="str">
        <f t="shared" ref="J33:AC33" si="44">IF(AND($F33=J$2,$G33&gt;0),$G33,"")</f>
        <v/>
      </c>
      <c r="K33" s="125">
        <f t="shared" si="44"/>
        <v>2394</v>
      </c>
      <c r="L33" s="125" t="str">
        <f t="shared" si="44"/>
        <v/>
      </c>
      <c r="M33" s="125" t="str">
        <f t="shared" si="44"/>
        <v/>
      </c>
      <c r="N33" s="125" t="str">
        <f t="shared" si="44"/>
        <v/>
      </c>
      <c r="O33" s="125" t="str">
        <f t="shared" si="44"/>
        <v/>
      </c>
      <c r="P33" s="125" t="str">
        <f t="shared" si="44"/>
        <v/>
      </c>
      <c r="Q33" s="125" t="str">
        <f t="shared" si="44"/>
        <v/>
      </c>
      <c r="R33" s="125" t="str">
        <f t="shared" si="44"/>
        <v/>
      </c>
      <c r="S33" s="125" t="str">
        <f t="shared" si="44"/>
        <v/>
      </c>
      <c r="T33" s="125" t="str">
        <f t="shared" si="44"/>
        <v/>
      </c>
      <c r="U33" s="125" t="str">
        <f t="shared" si="44"/>
        <v/>
      </c>
      <c r="V33" s="125" t="str">
        <f t="shared" si="44"/>
        <v/>
      </c>
      <c r="W33" s="125" t="str">
        <f t="shared" si="44"/>
        <v/>
      </c>
      <c r="X33" s="125" t="str">
        <f t="shared" si="44"/>
        <v/>
      </c>
      <c r="Y33" s="125" t="str">
        <f t="shared" si="44"/>
        <v/>
      </c>
      <c r="Z33" s="125" t="str">
        <f t="shared" si="44"/>
        <v/>
      </c>
      <c r="AA33" s="125" t="str">
        <f t="shared" si="44"/>
        <v/>
      </c>
      <c r="AB33" s="125" t="str">
        <f t="shared" si="44"/>
        <v/>
      </c>
      <c r="AC33" s="125" t="str">
        <f t="shared" si="44"/>
        <v/>
      </c>
      <c r="AD33" s="125" t="str">
        <f t="shared" si="1"/>
        <v/>
      </c>
      <c r="AE33" s="125" t="str">
        <f t="shared" si="2"/>
        <v/>
      </c>
      <c r="AF33" s="125" t="str">
        <f t="shared" si="3"/>
        <v/>
      </c>
      <c r="AG33" s="125" t="str">
        <f t="shared" si="4"/>
        <v/>
      </c>
      <c r="AH33" s="125" t="str">
        <f t="shared" si="5"/>
        <v/>
      </c>
      <c r="AI33" s="125" t="str">
        <f t="shared" si="6"/>
        <v/>
      </c>
      <c r="AJ33" s="125" t="str">
        <f t="shared" si="7"/>
        <v/>
      </c>
      <c r="AK33" s="125" t="str">
        <f t="shared" si="8"/>
        <v/>
      </c>
      <c r="AL33" s="125" t="str">
        <f t="shared" si="9"/>
        <v/>
      </c>
      <c r="AM33" s="125" t="str">
        <f t="shared" si="10"/>
        <v/>
      </c>
      <c r="AN33" s="125" t="str">
        <f t="shared" si="11"/>
        <v/>
      </c>
      <c r="AO33" s="125" t="str">
        <f t="shared" si="12"/>
        <v/>
      </c>
      <c r="AP33" s="122">
        <v>1.408</v>
      </c>
      <c r="AQ33" s="130">
        <f t="shared" si="13"/>
        <v>3370.75</v>
      </c>
      <c r="AR33" s="130">
        <f t="shared" si="14"/>
        <v>26123.31</v>
      </c>
    </row>
    <row r="34" s="320" customFormat="1" customHeight="1" spans="1:44">
      <c r="A34" s="119">
        <v>45950</v>
      </c>
      <c r="B34" s="127">
        <v>46024</v>
      </c>
      <c r="C34" s="114" t="s">
        <v>246</v>
      </c>
      <c r="D34" s="125" t="s">
        <v>280</v>
      </c>
      <c r="E34" s="125" t="s">
        <v>281</v>
      </c>
      <c r="F34" s="125" t="s">
        <v>222</v>
      </c>
      <c r="G34" s="126">
        <v>336</v>
      </c>
      <c r="H34" s="125" t="s">
        <v>276</v>
      </c>
      <c r="I34" s="125" t="str">
        <f>IFERROR(VLOOKUP(F34,名称!A:C,3,0),"")</f>
        <v>SNF</v>
      </c>
      <c r="J34" s="125" t="str">
        <f t="shared" ref="J34:AC34" si="45">IF(AND($F34=J$2,$G34&gt;0),$G34,"")</f>
        <v/>
      </c>
      <c r="K34" s="125" t="str">
        <f t="shared" si="45"/>
        <v/>
      </c>
      <c r="L34" s="125" t="str">
        <f t="shared" si="45"/>
        <v/>
      </c>
      <c r="M34" s="125" t="str">
        <f t="shared" si="45"/>
        <v/>
      </c>
      <c r="N34" s="125" t="str">
        <f t="shared" si="45"/>
        <v/>
      </c>
      <c r="O34" s="125" t="str">
        <f t="shared" si="45"/>
        <v/>
      </c>
      <c r="P34" s="125" t="str">
        <f t="shared" si="45"/>
        <v/>
      </c>
      <c r="Q34" s="125" t="str">
        <f t="shared" si="45"/>
        <v/>
      </c>
      <c r="R34" s="125" t="str">
        <f t="shared" si="45"/>
        <v/>
      </c>
      <c r="S34" s="125" t="str">
        <f t="shared" si="45"/>
        <v/>
      </c>
      <c r="T34" s="125" t="str">
        <f t="shared" si="45"/>
        <v/>
      </c>
      <c r="U34" s="125" t="str">
        <f t="shared" si="45"/>
        <v/>
      </c>
      <c r="V34" s="125" t="str">
        <f t="shared" si="45"/>
        <v/>
      </c>
      <c r="W34" s="125" t="str">
        <f t="shared" si="45"/>
        <v/>
      </c>
      <c r="X34" s="125" t="str">
        <f t="shared" si="45"/>
        <v/>
      </c>
      <c r="Y34" s="125" t="str">
        <f t="shared" si="45"/>
        <v/>
      </c>
      <c r="Z34" s="125" t="str">
        <f t="shared" si="45"/>
        <v/>
      </c>
      <c r="AA34" s="125" t="str">
        <f t="shared" si="45"/>
        <v/>
      </c>
      <c r="AB34" s="125" t="str">
        <f t="shared" si="45"/>
        <v/>
      </c>
      <c r="AC34" s="125">
        <f t="shared" si="45"/>
        <v>336</v>
      </c>
      <c r="AD34" s="125" t="str">
        <f t="shared" si="1"/>
        <v/>
      </c>
      <c r="AE34" s="125" t="str">
        <f t="shared" si="2"/>
        <v/>
      </c>
      <c r="AF34" s="125" t="str">
        <f t="shared" si="3"/>
        <v/>
      </c>
      <c r="AG34" s="125" t="str">
        <f t="shared" si="4"/>
        <v/>
      </c>
      <c r="AH34" s="125" t="str">
        <f t="shared" si="5"/>
        <v/>
      </c>
      <c r="AI34" s="125" t="str">
        <f t="shared" si="6"/>
        <v/>
      </c>
      <c r="AJ34" s="125" t="str">
        <f t="shared" si="7"/>
        <v/>
      </c>
      <c r="AK34" s="125" t="str">
        <f t="shared" si="8"/>
        <v/>
      </c>
      <c r="AL34" s="125" t="str">
        <f t="shared" si="9"/>
        <v/>
      </c>
      <c r="AM34" s="125" t="str">
        <f t="shared" si="10"/>
        <v/>
      </c>
      <c r="AN34" s="125" t="str">
        <f t="shared" si="11"/>
        <v/>
      </c>
      <c r="AO34" s="125" t="str">
        <f t="shared" si="12"/>
        <v/>
      </c>
      <c r="AP34" s="129">
        <v>4.28</v>
      </c>
      <c r="AQ34" s="130">
        <f t="shared" si="13"/>
        <v>1438.08</v>
      </c>
      <c r="AR34" s="130">
        <f t="shared" si="14"/>
        <v>11145.12</v>
      </c>
    </row>
    <row r="35" s="320" customFormat="1" customHeight="1" spans="1:44">
      <c r="A35" s="119">
        <v>45950</v>
      </c>
      <c r="B35" s="127">
        <v>46024</v>
      </c>
      <c r="C35" s="114" t="s">
        <v>246</v>
      </c>
      <c r="D35" s="125" t="s">
        <v>280</v>
      </c>
      <c r="E35" s="125" t="s">
        <v>282</v>
      </c>
      <c r="F35" s="125" t="s">
        <v>222</v>
      </c>
      <c r="G35" s="126">
        <v>348</v>
      </c>
      <c r="H35" s="125" t="s">
        <v>276</v>
      </c>
      <c r="I35" s="125" t="str">
        <f>IFERROR(VLOOKUP(F35,名称!A:C,3,0),"")</f>
        <v>SNF</v>
      </c>
      <c r="J35" s="125" t="str">
        <f t="shared" ref="J35:AC35" si="46">IF(AND($F35=J$2,$G35&gt;0),$G35,"")</f>
        <v/>
      </c>
      <c r="K35" s="125" t="str">
        <f t="shared" si="46"/>
        <v/>
      </c>
      <c r="L35" s="125" t="str">
        <f t="shared" si="46"/>
        <v/>
      </c>
      <c r="M35" s="125" t="str">
        <f t="shared" si="46"/>
        <v/>
      </c>
      <c r="N35" s="125" t="str">
        <f t="shared" si="46"/>
        <v/>
      </c>
      <c r="O35" s="125" t="str">
        <f t="shared" si="46"/>
        <v/>
      </c>
      <c r="P35" s="125" t="str">
        <f t="shared" si="46"/>
        <v/>
      </c>
      <c r="Q35" s="125" t="str">
        <f t="shared" si="46"/>
        <v/>
      </c>
      <c r="R35" s="125" t="str">
        <f t="shared" si="46"/>
        <v/>
      </c>
      <c r="S35" s="125" t="str">
        <f t="shared" si="46"/>
        <v/>
      </c>
      <c r="T35" s="125" t="str">
        <f t="shared" si="46"/>
        <v/>
      </c>
      <c r="U35" s="125" t="str">
        <f t="shared" si="46"/>
        <v/>
      </c>
      <c r="V35" s="125" t="str">
        <f t="shared" si="46"/>
        <v/>
      </c>
      <c r="W35" s="125" t="str">
        <f t="shared" si="46"/>
        <v/>
      </c>
      <c r="X35" s="125" t="str">
        <f t="shared" si="46"/>
        <v/>
      </c>
      <c r="Y35" s="125" t="str">
        <f t="shared" si="46"/>
        <v/>
      </c>
      <c r="Z35" s="125" t="str">
        <f t="shared" si="46"/>
        <v/>
      </c>
      <c r="AA35" s="125" t="str">
        <f t="shared" si="46"/>
        <v/>
      </c>
      <c r="AB35" s="125" t="str">
        <f t="shared" si="46"/>
        <v/>
      </c>
      <c r="AC35" s="125">
        <f t="shared" si="46"/>
        <v>348</v>
      </c>
      <c r="AD35" s="125" t="str">
        <f t="shared" si="1"/>
        <v/>
      </c>
      <c r="AE35" s="125" t="str">
        <f t="shared" si="2"/>
        <v/>
      </c>
      <c r="AF35" s="125" t="str">
        <f t="shared" si="3"/>
        <v/>
      </c>
      <c r="AG35" s="125" t="str">
        <f t="shared" si="4"/>
        <v/>
      </c>
      <c r="AH35" s="125" t="str">
        <f t="shared" si="5"/>
        <v/>
      </c>
      <c r="AI35" s="125" t="str">
        <f t="shared" si="6"/>
        <v/>
      </c>
      <c r="AJ35" s="125" t="str">
        <f t="shared" si="7"/>
        <v/>
      </c>
      <c r="AK35" s="125" t="str">
        <f t="shared" si="8"/>
        <v/>
      </c>
      <c r="AL35" s="125" t="str">
        <f t="shared" si="9"/>
        <v/>
      </c>
      <c r="AM35" s="125" t="str">
        <f t="shared" si="10"/>
        <v/>
      </c>
      <c r="AN35" s="125" t="str">
        <f t="shared" si="11"/>
        <v/>
      </c>
      <c r="AO35" s="125" t="str">
        <f t="shared" si="12"/>
        <v/>
      </c>
      <c r="AP35" s="129">
        <v>4.28</v>
      </c>
      <c r="AQ35" s="130">
        <f t="shared" si="13"/>
        <v>1489.44</v>
      </c>
      <c r="AR35" s="130">
        <f t="shared" si="14"/>
        <v>11543.16</v>
      </c>
    </row>
    <row r="36" s="320" customFormat="1" customHeight="1" spans="1:44">
      <c r="A36" s="119">
        <v>45950</v>
      </c>
      <c r="B36" s="127">
        <v>46024</v>
      </c>
      <c r="C36" s="114" t="s">
        <v>246</v>
      </c>
      <c r="D36" s="125" t="s">
        <v>280</v>
      </c>
      <c r="E36" s="125" t="s">
        <v>283</v>
      </c>
      <c r="F36" s="125" t="s">
        <v>222</v>
      </c>
      <c r="G36" s="126">
        <v>480</v>
      </c>
      <c r="H36" s="125" t="s">
        <v>276</v>
      </c>
      <c r="I36" s="125" t="str">
        <f>IFERROR(VLOOKUP(F36,名称!A:C,3,0),"")</f>
        <v>SNF</v>
      </c>
      <c r="J36" s="125" t="str">
        <f t="shared" ref="J36:AC36" si="47">IF(AND($F36=J$2,$G36&gt;0),$G36,"")</f>
        <v/>
      </c>
      <c r="K36" s="125" t="str">
        <f t="shared" si="47"/>
        <v/>
      </c>
      <c r="L36" s="125" t="str">
        <f t="shared" si="47"/>
        <v/>
      </c>
      <c r="M36" s="125" t="str">
        <f t="shared" si="47"/>
        <v/>
      </c>
      <c r="N36" s="125" t="str">
        <f t="shared" si="47"/>
        <v/>
      </c>
      <c r="O36" s="125" t="str">
        <f t="shared" si="47"/>
        <v/>
      </c>
      <c r="P36" s="125" t="str">
        <f t="shared" si="47"/>
        <v/>
      </c>
      <c r="Q36" s="125" t="str">
        <f t="shared" si="47"/>
        <v/>
      </c>
      <c r="R36" s="125" t="str">
        <f t="shared" si="47"/>
        <v/>
      </c>
      <c r="S36" s="125" t="str">
        <f t="shared" si="47"/>
        <v/>
      </c>
      <c r="T36" s="125" t="str">
        <f t="shared" si="47"/>
        <v/>
      </c>
      <c r="U36" s="125" t="str">
        <f t="shared" si="47"/>
        <v/>
      </c>
      <c r="V36" s="125" t="str">
        <f t="shared" si="47"/>
        <v/>
      </c>
      <c r="W36" s="125" t="str">
        <f t="shared" si="47"/>
        <v/>
      </c>
      <c r="X36" s="125" t="str">
        <f t="shared" si="47"/>
        <v/>
      </c>
      <c r="Y36" s="125" t="str">
        <f t="shared" si="47"/>
        <v/>
      </c>
      <c r="Z36" s="125" t="str">
        <f t="shared" si="47"/>
        <v/>
      </c>
      <c r="AA36" s="125" t="str">
        <f t="shared" si="47"/>
        <v/>
      </c>
      <c r="AB36" s="125" t="str">
        <f t="shared" si="47"/>
        <v/>
      </c>
      <c r="AC36" s="125">
        <f t="shared" si="47"/>
        <v>480</v>
      </c>
      <c r="AD36" s="125" t="str">
        <f t="shared" si="1"/>
        <v/>
      </c>
      <c r="AE36" s="125" t="str">
        <f t="shared" si="2"/>
        <v/>
      </c>
      <c r="AF36" s="125" t="str">
        <f t="shared" si="3"/>
        <v/>
      </c>
      <c r="AG36" s="125" t="str">
        <f t="shared" si="4"/>
        <v/>
      </c>
      <c r="AH36" s="125" t="str">
        <f t="shared" si="5"/>
        <v/>
      </c>
      <c r="AI36" s="125" t="str">
        <f t="shared" si="6"/>
        <v/>
      </c>
      <c r="AJ36" s="125" t="str">
        <f t="shared" si="7"/>
        <v/>
      </c>
      <c r="AK36" s="125" t="str">
        <f t="shared" si="8"/>
        <v/>
      </c>
      <c r="AL36" s="125" t="str">
        <f t="shared" si="9"/>
        <v/>
      </c>
      <c r="AM36" s="125" t="str">
        <f t="shared" si="10"/>
        <v/>
      </c>
      <c r="AN36" s="125" t="str">
        <f t="shared" si="11"/>
        <v/>
      </c>
      <c r="AO36" s="125" t="str">
        <f t="shared" si="12"/>
        <v/>
      </c>
      <c r="AP36" s="129">
        <v>4.28</v>
      </c>
      <c r="AQ36" s="130">
        <f t="shared" si="13"/>
        <v>2054.4</v>
      </c>
      <c r="AR36" s="130">
        <f t="shared" si="14"/>
        <v>15921.6</v>
      </c>
    </row>
    <row r="37" s="320" customFormat="1" customHeight="1" spans="1:44">
      <c r="A37" s="119">
        <v>45950</v>
      </c>
      <c r="B37" s="127">
        <v>46017</v>
      </c>
      <c r="C37" s="114" t="s">
        <v>246</v>
      </c>
      <c r="D37" s="125" t="s">
        <v>280</v>
      </c>
      <c r="E37" s="125" t="s">
        <v>284</v>
      </c>
      <c r="F37" s="125" t="s">
        <v>222</v>
      </c>
      <c r="G37" s="126">
        <v>330</v>
      </c>
      <c r="H37" s="125" t="s">
        <v>276</v>
      </c>
      <c r="I37" s="125" t="str">
        <f>IFERROR(VLOOKUP(F37,名称!A:C,3,0),"")</f>
        <v>SNF</v>
      </c>
      <c r="J37" s="125" t="str">
        <f t="shared" ref="J37:AC37" si="48">IF(AND($F37=J$2,$G37&gt;0),$G37,"")</f>
        <v/>
      </c>
      <c r="K37" s="125" t="str">
        <f t="shared" si="48"/>
        <v/>
      </c>
      <c r="L37" s="125" t="str">
        <f t="shared" si="48"/>
        <v/>
      </c>
      <c r="M37" s="125" t="str">
        <f t="shared" si="48"/>
        <v/>
      </c>
      <c r="N37" s="125" t="str">
        <f t="shared" si="48"/>
        <v/>
      </c>
      <c r="O37" s="125" t="str">
        <f t="shared" si="48"/>
        <v/>
      </c>
      <c r="P37" s="125" t="str">
        <f t="shared" si="48"/>
        <v/>
      </c>
      <c r="Q37" s="125" t="str">
        <f t="shared" si="48"/>
        <v/>
      </c>
      <c r="R37" s="125" t="str">
        <f t="shared" si="48"/>
        <v/>
      </c>
      <c r="S37" s="125" t="str">
        <f t="shared" si="48"/>
        <v/>
      </c>
      <c r="T37" s="125" t="str">
        <f t="shared" si="48"/>
        <v/>
      </c>
      <c r="U37" s="125" t="str">
        <f t="shared" si="48"/>
        <v/>
      </c>
      <c r="V37" s="125" t="str">
        <f t="shared" si="48"/>
        <v/>
      </c>
      <c r="W37" s="125" t="str">
        <f t="shared" si="48"/>
        <v/>
      </c>
      <c r="X37" s="125" t="str">
        <f t="shared" si="48"/>
        <v/>
      </c>
      <c r="Y37" s="125" t="str">
        <f t="shared" si="48"/>
        <v/>
      </c>
      <c r="Z37" s="125" t="str">
        <f t="shared" si="48"/>
        <v/>
      </c>
      <c r="AA37" s="125" t="str">
        <f t="shared" si="48"/>
        <v/>
      </c>
      <c r="AB37" s="125" t="str">
        <f t="shared" si="48"/>
        <v/>
      </c>
      <c r="AC37" s="125">
        <f t="shared" si="48"/>
        <v>330</v>
      </c>
      <c r="AD37" s="125" t="str">
        <f t="shared" si="1"/>
        <v/>
      </c>
      <c r="AE37" s="125" t="str">
        <f t="shared" si="2"/>
        <v/>
      </c>
      <c r="AF37" s="125" t="str">
        <f t="shared" si="3"/>
        <v/>
      </c>
      <c r="AG37" s="125" t="str">
        <f t="shared" si="4"/>
        <v/>
      </c>
      <c r="AH37" s="125" t="str">
        <f t="shared" si="5"/>
        <v/>
      </c>
      <c r="AI37" s="125" t="str">
        <f t="shared" si="6"/>
        <v/>
      </c>
      <c r="AJ37" s="125" t="str">
        <f t="shared" si="7"/>
        <v/>
      </c>
      <c r="AK37" s="125" t="str">
        <f t="shared" si="8"/>
        <v/>
      </c>
      <c r="AL37" s="125" t="str">
        <f t="shared" si="9"/>
        <v/>
      </c>
      <c r="AM37" s="125" t="str">
        <f t="shared" si="10"/>
        <v/>
      </c>
      <c r="AN37" s="125" t="str">
        <f t="shared" si="11"/>
        <v/>
      </c>
      <c r="AO37" s="125" t="str">
        <f t="shared" si="12"/>
        <v/>
      </c>
      <c r="AP37" s="129">
        <v>4.28</v>
      </c>
      <c r="AQ37" s="130">
        <f t="shared" si="13"/>
        <v>1412.4</v>
      </c>
      <c r="AR37" s="130">
        <f t="shared" si="14"/>
        <v>10946.1</v>
      </c>
    </row>
    <row r="38" s="320" customFormat="1" customHeight="1" spans="1:44">
      <c r="A38" s="119">
        <v>45950</v>
      </c>
      <c r="B38" s="127">
        <v>46017</v>
      </c>
      <c r="C38" s="114" t="s">
        <v>246</v>
      </c>
      <c r="D38" s="125" t="s">
        <v>280</v>
      </c>
      <c r="E38" s="125" t="s">
        <v>285</v>
      </c>
      <c r="F38" s="125" t="s">
        <v>222</v>
      </c>
      <c r="G38" s="126">
        <v>504</v>
      </c>
      <c r="H38" s="125" t="s">
        <v>276</v>
      </c>
      <c r="I38" s="125" t="str">
        <f>IFERROR(VLOOKUP(F38,名称!A:C,3,0),"")</f>
        <v>SNF</v>
      </c>
      <c r="J38" s="125" t="str">
        <f t="shared" ref="J38:AC38" si="49">IF(AND($F38=J$2,$G38&gt;0),$G38,"")</f>
        <v/>
      </c>
      <c r="K38" s="125" t="str">
        <f t="shared" si="49"/>
        <v/>
      </c>
      <c r="L38" s="125" t="str">
        <f t="shared" si="49"/>
        <v/>
      </c>
      <c r="M38" s="125" t="str">
        <f t="shared" si="49"/>
        <v/>
      </c>
      <c r="N38" s="125" t="str">
        <f t="shared" si="49"/>
        <v/>
      </c>
      <c r="O38" s="125" t="str">
        <f t="shared" si="49"/>
        <v/>
      </c>
      <c r="P38" s="125" t="str">
        <f t="shared" si="49"/>
        <v/>
      </c>
      <c r="Q38" s="125" t="str">
        <f t="shared" si="49"/>
        <v/>
      </c>
      <c r="R38" s="125" t="str">
        <f t="shared" si="49"/>
        <v/>
      </c>
      <c r="S38" s="125" t="str">
        <f t="shared" si="49"/>
        <v/>
      </c>
      <c r="T38" s="125" t="str">
        <f t="shared" si="49"/>
        <v/>
      </c>
      <c r="U38" s="125" t="str">
        <f t="shared" si="49"/>
        <v/>
      </c>
      <c r="V38" s="125" t="str">
        <f t="shared" si="49"/>
        <v/>
      </c>
      <c r="W38" s="125" t="str">
        <f t="shared" si="49"/>
        <v/>
      </c>
      <c r="X38" s="125" t="str">
        <f t="shared" si="49"/>
        <v/>
      </c>
      <c r="Y38" s="125" t="str">
        <f t="shared" si="49"/>
        <v/>
      </c>
      <c r="Z38" s="125" t="str">
        <f t="shared" si="49"/>
        <v/>
      </c>
      <c r="AA38" s="125" t="str">
        <f t="shared" si="49"/>
        <v/>
      </c>
      <c r="AB38" s="125" t="str">
        <f t="shared" si="49"/>
        <v/>
      </c>
      <c r="AC38" s="125">
        <f t="shared" si="49"/>
        <v>504</v>
      </c>
      <c r="AD38" s="125" t="str">
        <f t="shared" si="1"/>
        <v/>
      </c>
      <c r="AE38" s="125" t="str">
        <f t="shared" si="2"/>
        <v/>
      </c>
      <c r="AF38" s="125" t="str">
        <f t="shared" si="3"/>
        <v/>
      </c>
      <c r="AG38" s="125" t="str">
        <f t="shared" si="4"/>
        <v/>
      </c>
      <c r="AH38" s="125" t="str">
        <f t="shared" si="5"/>
        <v/>
      </c>
      <c r="AI38" s="125" t="str">
        <f t="shared" si="6"/>
        <v/>
      </c>
      <c r="AJ38" s="125" t="str">
        <f t="shared" si="7"/>
        <v/>
      </c>
      <c r="AK38" s="125" t="str">
        <f t="shared" si="8"/>
        <v/>
      </c>
      <c r="AL38" s="125" t="str">
        <f t="shared" si="9"/>
        <v/>
      </c>
      <c r="AM38" s="125" t="str">
        <f t="shared" si="10"/>
        <v/>
      </c>
      <c r="AN38" s="125" t="str">
        <f t="shared" si="11"/>
        <v/>
      </c>
      <c r="AO38" s="125" t="str">
        <f t="shared" si="12"/>
        <v/>
      </c>
      <c r="AP38" s="129">
        <v>4.28</v>
      </c>
      <c r="AQ38" s="130">
        <f t="shared" si="13"/>
        <v>2157.12</v>
      </c>
      <c r="AR38" s="130">
        <f t="shared" si="14"/>
        <v>16717.68</v>
      </c>
    </row>
    <row r="39" s="320" customFormat="1" customHeight="1" spans="1:44">
      <c r="A39" s="119">
        <v>45960</v>
      </c>
      <c r="B39" s="112">
        <v>46028</v>
      </c>
      <c r="C39" s="114" t="s">
        <v>246</v>
      </c>
      <c r="D39" s="114"/>
      <c r="E39" s="114" t="s">
        <v>286</v>
      </c>
      <c r="F39" s="114" t="s">
        <v>149</v>
      </c>
      <c r="G39" s="118">
        <v>7998</v>
      </c>
      <c r="H39" s="114" t="s">
        <v>255</v>
      </c>
      <c r="I39" s="125" t="str">
        <f>IFERROR(VLOOKUP(F39,名称!A:C,3,0),"")</f>
        <v>FNT</v>
      </c>
      <c r="J39" s="125" t="str">
        <f t="shared" ref="J39:AC39" si="50">IF(AND($F39=J$2,$G39&gt;0),$G39,"")</f>
        <v/>
      </c>
      <c r="K39" s="125" t="str">
        <f t="shared" si="50"/>
        <v/>
      </c>
      <c r="L39" s="125" t="str">
        <f t="shared" si="50"/>
        <v/>
      </c>
      <c r="M39" s="125" t="str">
        <f t="shared" si="50"/>
        <v/>
      </c>
      <c r="N39" s="125" t="str">
        <f t="shared" si="50"/>
        <v/>
      </c>
      <c r="O39" s="125" t="str">
        <f t="shared" si="50"/>
        <v/>
      </c>
      <c r="P39" s="125" t="str">
        <f t="shared" si="50"/>
        <v/>
      </c>
      <c r="Q39" s="125" t="str">
        <f t="shared" si="50"/>
        <v/>
      </c>
      <c r="R39" s="125" t="str">
        <f t="shared" si="50"/>
        <v/>
      </c>
      <c r="S39" s="125">
        <f t="shared" si="50"/>
        <v>7998</v>
      </c>
      <c r="T39" s="125" t="str">
        <f t="shared" si="50"/>
        <v/>
      </c>
      <c r="U39" s="125" t="str">
        <f t="shared" si="50"/>
        <v/>
      </c>
      <c r="V39" s="125" t="str">
        <f t="shared" si="50"/>
        <v/>
      </c>
      <c r="W39" s="125" t="str">
        <f t="shared" si="50"/>
        <v/>
      </c>
      <c r="X39" s="125" t="str">
        <f t="shared" si="50"/>
        <v/>
      </c>
      <c r="Y39" s="125" t="str">
        <f t="shared" si="50"/>
        <v/>
      </c>
      <c r="Z39" s="125" t="str">
        <f t="shared" si="50"/>
        <v/>
      </c>
      <c r="AA39" s="125" t="str">
        <f t="shared" si="50"/>
        <v/>
      </c>
      <c r="AB39" s="125" t="str">
        <f t="shared" si="50"/>
        <v/>
      </c>
      <c r="AC39" s="125" t="str">
        <f t="shared" si="50"/>
        <v/>
      </c>
      <c r="AD39" s="125" t="str">
        <f t="shared" si="1"/>
        <v/>
      </c>
      <c r="AE39" s="125" t="str">
        <f t="shared" si="2"/>
        <v/>
      </c>
      <c r="AF39" s="125" t="str">
        <f t="shared" si="3"/>
        <v/>
      </c>
      <c r="AG39" s="125" t="str">
        <f t="shared" si="4"/>
        <v/>
      </c>
      <c r="AH39" s="125" t="str">
        <f t="shared" si="5"/>
        <v/>
      </c>
      <c r="AI39" s="125" t="str">
        <f t="shared" si="6"/>
        <v/>
      </c>
      <c r="AJ39" s="125" t="str">
        <f t="shared" si="7"/>
        <v/>
      </c>
      <c r="AK39" s="125" t="str">
        <f t="shared" si="8"/>
        <v/>
      </c>
      <c r="AL39" s="125" t="str">
        <f t="shared" si="9"/>
        <v/>
      </c>
      <c r="AM39" s="125" t="str">
        <f t="shared" si="10"/>
        <v/>
      </c>
      <c r="AN39" s="125" t="str">
        <f t="shared" si="11"/>
        <v/>
      </c>
      <c r="AO39" s="125" t="str">
        <f t="shared" si="12"/>
        <v/>
      </c>
      <c r="AP39" s="122">
        <v>3.87</v>
      </c>
      <c r="AQ39" s="130">
        <f t="shared" si="13"/>
        <v>30952.26</v>
      </c>
      <c r="AR39" s="130">
        <f t="shared" si="14"/>
        <v>239880.02</v>
      </c>
    </row>
    <row r="40" s="45" customFormat="1" customHeight="1" spans="1:44">
      <c r="A40" s="74">
        <v>45960</v>
      </c>
      <c r="B40" s="183">
        <v>46027</v>
      </c>
      <c r="C40" s="172" t="s">
        <v>246</v>
      </c>
      <c r="D40" s="57"/>
      <c r="E40" s="172" t="s">
        <v>287</v>
      </c>
      <c r="F40" s="172" t="s">
        <v>150</v>
      </c>
      <c r="G40" s="175">
        <v>54</v>
      </c>
      <c r="H40" s="172" t="s">
        <v>255</v>
      </c>
      <c r="I40" s="14" t="str">
        <f>IFERROR(VLOOKUP(F40,名称!A:C,3,0),"")</f>
        <v>FNT</v>
      </c>
      <c r="J40" s="14" t="str">
        <f t="shared" ref="J40:AC40" si="51">IF(AND($F40=J$2,$G40&gt;0),$G40,"")</f>
        <v/>
      </c>
      <c r="K40" s="14" t="str">
        <f t="shared" si="51"/>
        <v/>
      </c>
      <c r="L40" s="14" t="str">
        <f t="shared" si="51"/>
        <v/>
      </c>
      <c r="M40" s="14" t="str">
        <f t="shared" si="51"/>
        <v/>
      </c>
      <c r="N40" s="14" t="str">
        <f t="shared" si="51"/>
        <v/>
      </c>
      <c r="O40" s="14" t="str">
        <f t="shared" si="51"/>
        <v/>
      </c>
      <c r="P40" s="14" t="str">
        <f t="shared" si="51"/>
        <v/>
      </c>
      <c r="Q40" s="14" t="str">
        <f t="shared" si="51"/>
        <v/>
      </c>
      <c r="R40" s="14" t="str">
        <f t="shared" si="51"/>
        <v/>
      </c>
      <c r="S40" s="14" t="str">
        <f t="shared" si="51"/>
        <v/>
      </c>
      <c r="T40" s="14">
        <f t="shared" si="51"/>
        <v>54</v>
      </c>
      <c r="U40" s="14" t="str">
        <f t="shared" si="51"/>
        <v/>
      </c>
      <c r="V40" s="14" t="str">
        <f t="shared" si="51"/>
        <v/>
      </c>
      <c r="W40" s="14" t="str">
        <f t="shared" si="51"/>
        <v/>
      </c>
      <c r="X40" s="14" t="str">
        <f t="shared" si="51"/>
        <v/>
      </c>
      <c r="Y40" s="14" t="str">
        <f t="shared" si="51"/>
        <v/>
      </c>
      <c r="Z40" s="14" t="str">
        <f t="shared" si="51"/>
        <v/>
      </c>
      <c r="AA40" s="14" t="str">
        <f t="shared" si="51"/>
        <v/>
      </c>
      <c r="AB40" s="14" t="str">
        <f t="shared" si="51"/>
        <v/>
      </c>
      <c r="AC40" s="14" t="str">
        <f t="shared" si="51"/>
        <v/>
      </c>
      <c r="AD40" s="14" t="str">
        <f t="shared" si="1"/>
        <v/>
      </c>
      <c r="AE40" s="14" t="str">
        <f t="shared" si="2"/>
        <v/>
      </c>
      <c r="AF40" s="14" t="str">
        <f t="shared" si="3"/>
        <v/>
      </c>
      <c r="AG40" s="14" t="str">
        <f t="shared" si="4"/>
        <v/>
      </c>
      <c r="AH40" s="14" t="str">
        <f t="shared" si="5"/>
        <v/>
      </c>
      <c r="AI40" s="14" t="str">
        <f t="shared" si="6"/>
        <v/>
      </c>
      <c r="AJ40" s="14" t="str">
        <f t="shared" si="7"/>
        <v/>
      </c>
      <c r="AK40" s="14" t="str">
        <f t="shared" si="8"/>
        <v/>
      </c>
      <c r="AL40" s="14" t="str">
        <f t="shared" si="9"/>
        <v/>
      </c>
      <c r="AM40" s="14" t="str">
        <f t="shared" si="10"/>
        <v/>
      </c>
      <c r="AN40" s="14" t="str">
        <f t="shared" si="11"/>
        <v/>
      </c>
      <c r="AO40" s="14" t="str">
        <f t="shared" si="12"/>
        <v/>
      </c>
      <c r="AP40" s="186">
        <v>3.87</v>
      </c>
      <c r="AQ40" s="72">
        <f t="shared" si="13"/>
        <v>208.98</v>
      </c>
      <c r="AR40" s="72">
        <f t="shared" si="14"/>
        <v>1619.6</v>
      </c>
    </row>
    <row r="41" s="45" customFormat="1" customHeight="1" spans="1:44">
      <c r="A41" s="74">
        <v>45960</v>
      </c>
      <c r="B41" s="183">
        <v>46027</v>
      </c>
      <c r="C41" s="172" t="s">
        <v>246</v>
      </c>
      <c r="D41" s="57"/>
      <c r="E41" s="172" t="s">
        <v>287</v>
      </c>
      <c r="F41" s="172" t="s">
        <v>151</v>
      </c>
      <c r="G41" s="175">
        <v>54</v>
      </c>
      <c r="H41" s="172" t="s">
        <v>255</v>
      </c>
      <c r="I41" s="14" t="str">
        <f>IFERROR(VLOOKUP(F41,名称!A:C,3,0),"")</f>
        <v>FNT</v>
      </c>
      <c r="J41" s="14" t="str">
        <f t="shared" ref="J41:AC41" si="52">IF(AND($F41=J$2,$G41&gt;0),$G41,"")</f>
        <v/>
      </c>
      <c r="K41" s="14" t="str">
        <f t="shared" si="52"/>
        <v/>
      </c>
      <c r="L41" s="14" t="str">
        <f t="shared" si="52"/>
        <v/>
      </c>
      <c r="M41" s="14" t="str">
        <f t="shared" si="52"/>
        <v/>
      </c>
      <c r="N41" s="14" t="str">
        <f t="shared" si="52"/>
        <v/>
      </c>
      <c r="O41" s="14" t="str">
        <f t="shared" si="52"/>
        <v/>
      </c>
      <c r="P41" s="14" t="str">
        <f t="shared" si="52"/>
        <v/>
      </c>
      <c r="Q41" s="14" t="str">
        <f t="shared" si="52"/>
        <v/>
      </c>
      <c r="R41" s="14" t="str">
        <f t="shared" si="52"/>
        <v/>
      </c>
      <c r="S41" s="14" t="str">
        <f t="shared" si="52"/>
        <v/>
      </c>
      <c r="T41" s="14" t="str">
        <f t="shared" si="52"/>
        <v/>
      </c>
      <c r="U41" s="14">
        <f t="shared" si="52"/>
        <v>54</v>
      </c>
      <c r="V41" s="14" t="str">
        <f t="shared" si="52"/>
        <v/>
      </c>
      <c r="W41" s="14" t="str">
        <f t="shared" si="52"/>
        <v/>
      </c>
      <c r="X41" s="14" t="str">
        <f t="shared" si="52"/>
        <v/>
      </c>
      <c r="Y41" s="14" t="str">
        <f t="shared" si="52"/>
        <v/>
      </c>
      <c r="Z41" s="14" t="str">
        <f t="shared" si="52"/>
        <v/>
      </c>
      <c r="AA41" s="14" t="str">
        <f t="shared" si="52"/>
        <v/>
      </c>
      <c r="AB41" s="14" t="str">
        <f t="shared" si="52"/>
        <v/>
      </c>
      <c r="AC41" s="14" t="str">
        <f t="shared" si="52"/>
        <v/>
      </c>
      <c r="AD41" s="14" t="str">
        <f t="shared" si="1"/>
        <v/>
      </c>
      <c r="AE41" s="14" t="str">
        <f t="shared" si="2"/>
        <v/>
      </c>
      <c r="AF41" s="14" t="str">
        <f t="shared" si="3"/>
        <v/>
      </c>
      <c r="AG41" s="14" t="str">
        <f t="shared" si="4"/>
        <v/>
      </c>
      <c r="AH41" s="14" t="str">
        <f t="shared" si="5"/>
        <v/>
      </c>
      <c r="AI41" s="14" t="str">
        <f t="shared" si="6"/>
        <v/>
      </c>
      <c r="AJ41" s="14" t="str">
        <f t="shared" si="7"/>
        <v/>
      </c>
      <c r="AK41" s="14" t="str">
        <f t="shared" si="8"/>
        <v/>
      </c>
      <c r="AL41" s="14" t="str">
        <f t="shared" si="9"/>
        <v/>
      </c>
      <c r="AM41" s="14" t="str">
        <f t="shared" si="10"/>
        <v/>
      </c>
      <c r="AN41" s="14" t="str">
        <f t="shared" si="11"/>
        <v/>
      </c>
      <c r="AO41" s="14" t="str">
        <f t="shared" si="12"/>
        <v/>
      </c>
      <c r="AP41" s="186">
        <v>3.87</v>
      </c>
      <c r="AQ41" s="72">
        <f t="shared" si="13"/>
        <v>208.98</v>
      </c>
      <c r="AR41" s="72">
        <f t="shared" si="14"/>
        <v>1619.6</v>
      </c>
    </row>
    <row r="42" s="320" customFormat="1" customHeight="1" spans="1:44">
      <c r="A42" s="119">
        <v>45961</v>
      </c>
      <c r="B42" s="112">
        <v>46027</v>
      </c>
      <c r="C42" s="114" t="s">
        <v>246</v>
      </c>
      <c r="D42" s="114"/>
      <c r="E42" s="114" t="s">
        <v>288</v>
      </c>
      <c r="F42" s="114" t="s">
        <v>149</v>
      </c>
      <c r="G42" s="118">
        <v>1200</v>
      </c>
      <c r="H42" s="114" t="s">
        <v>255</v>
      </c>
      <c r="I42" s="125" t="str">
        <f>IFERROR(VLOOKUP(F42,名称!A:C,3,0),"")</f>
        <v>FNT</v>
      </c>
      <c r="J42" s="125" t="str">
        <f t="shared" ref="J42:AC42" si="53">IF(AND($F42=J$2,$G42&gt;0),$G42,"")</f>
        <v/>
      </c>
      <c r="K42" s="125" t="str">
        <f t="shared" si="53"/>
        <v/>
      </c>
      <c r="L42" s="125" t="str">
        <f t="shared" si="53"/>
        <v/>
      </c>
      <c r="M42" s="125" t="str">
        <f t="shared" si="53"/>
        <v/>
      </c>
      <c r="N42" s="125" t="str">
        <f t="shared" si="53"/>
        <v/>
      </c>
      <c r="O42" s="125" t="str">
        <f t="shared" si="53"/>
        <v/>
      </c>
      <c r="P42" s="125" t="str">
        <f t="shared" si="53"/>
        <v/>
      </c>
      <c r="Q42" s="125" t="str">
        <f t="shared" si="53"/>
        <v/>
      </c>
      <c r="R42" s="125" t="str">
        <f t="shared" si="53"/>
        <v/>
      </c>
      <c r="S42" s="125">
        <f t="shared" si="53"/>
        <v>1200</v>
      </c>
      <c r="T42" s="125" t="str">
        <f t="shared" si="53"/>
        <v/>
      </c>
      <c r="U42" s="125" t="str">
        <f t="shared" si="53"/>
        <v/>
      </c>
      <c r="V42" s="125" t="str">
        <f t="shared" si="53"/>
        <v/>
      </c>
      <c r="W42" s="125" t="str">
        <f t="shared" si="53"/>
        <v/>
      </c>
      <c r="X42" s="125" t="str">
        <f t="shared" si="53"/>
        <v/>
      </c>
      <c r="Y42" s="125" t="str">
        <f t="shared" si="53"/>
        <v/>
      </c>
      <c r="Z42" s="125" t="str">
        <f t="shared" si="53"/>
        <v/>
      </c>
      <c r="AA42" s="125" t="str">
        <f t="shared" si="53"/>
        <v/>
      </c>
      <c r="AB42" s="125" t="str">
        <f t="shared" si="53"/>
        <v/>
      </c>
      <c r="AC42" s="125" t="str">
        <f t="shared" si="53"/>
        <v/>
      </c>
      <c r="AD42" s="125" t="str">
        <f t="shared" si="1"/>
        <v/>
      </c>
      <c r="AE42" s="125" t="str">
        <f t="shared" si="2"/>
        <v/>
      </c>
      <c r="AF42" s="125" t="str">
        <f t="shared" si="3"/>
        <v/>
      </c>
      <c r="AG42" s="125" t="str">
        <f t="shared" si="4"/>
        <v/>
      </c>
      <c r="AH42" s="125" t="str">
        <f t="shared" si="5"/>
        <v/>
      </c>
      <c r="AI42" s="125" t="str">
        <f t="shared" si="6"/>
        <v/>
      </c>
      <c r="AJ42" s="125" t="str">
        <f t="shared" si="7"/>
        <v/>
      </c>
      <c r="AK42" s="125" t="str">
        <f t="shared" si="8"/>
        <v/>
      </c>
      <c r="AL42" s="125" t="str">
        <f t="shared" si="9"/>
        <v/>
      </c>
      <c r="AM42" s="125" t="str">
        <f t="shared" si="10"/>
        <v/>
      </c>
      <c r="AN42" s="125" t="str">
        <f t="shared" si="11"/>
        <v/>
      </c>
      <c r="AO42" s="125" t="str">
        <f t="shared" si="12"/>
        <v/>
      </c>
      <c r="AP42" s="122">
        <v>3.87</v>
      </c>
      <c r="AQ42" s="130">
        <f t="shared" si="13"/>
        <v>4644</v>
      </c>
      <c r="AR42" s="130">
        <f t="shared" si="14"/>
        <v>35991</v>
      </c>
    </row>
    <row r="43" s="320" customFormat="1" customHeight="1" spans="1:44">
      <c r="A43" s="119">
        <v>45964</v>
      </c>
      <c r="B43" s="112">
        <v>46111</v>
      </c>
      <c r="C43" s="114" t="s">
        <v>246</v>
      </c>
      <c r="D43" s="330"/>
      <c r="E43" s="114">
        <v>10001431518</v>
      </c>
      <c r="F43" s="114" t="s">
        <v>205</v>
      </c>
      <c r="G43" s="118">
        <v>1500</v>
      </c>
      <c r="H43" s="114" t="s">
        <v>255</v>
      </c>
      <c r="I43" s="125" t="str">
        <f>IFERROR(VLOOKUP(F43,名称!A:C,3,0),"")</f>
        <v>SNF</v>
      </c>
      <c r="J43" s="125" t="str">
        <f t="shared" ref="J43:AC43" si="54">IF(AND($F43=J$2,$G43&gt;0),$G43,"")</f>
        <v/>
      </c>
      <c r="K43" s="125" t="str">
        <f t="shared" si="54"/>
        <v/>
      </c>
      <c r="L43" s="125" t="str">
        <f t="shared" si="54"/>
        <v/>
      </c>
      <c r="M43" s="125" t="str">
        <f t="shared" si="54"/>
        <v/>
      </c>
      <c r="N43" s="125" t="str">
        <f t="shared" si="54"/>
        <v/>
      </c>
      <c r="O43" s="125" t="str">
        <f t="shared" si="54"/>
        <v/>
      </c>
      <c r="P43" s="125" t="str">
        <f t="shared" si="54"/>
        <v/>
      </c>
      <c r="Q43" s="125" t="str">
        <f t="shared" si="54"/>
        <v/>
      </c>
      <c r="R43" s="125" t="str">
        <f t="shared" si="54"/>
        <v/>
      </c>
      <c r="S43" s="125" t="str">
        <f t="shared" si="54"/>
        <v/>
      </c>
      <c r="T43" s="125" t="str">
        <f t="shared" si="54"/>
        <v/>
      </c>
      <c r="U43" s="125" t="str">
        <f t="shared" si="54"/>
        <v/>
      </c>
      <c r="V43" s="125" t="str">
        <f t="shared" si="54"/>
        <v/>
      </c>
      <c r="W43" s="125" t="str">
        <f t="shared" si="54"/>
        <v/>
      </c>
      <c r="X43" s="125" t="str">
        <f t="shared" si="54"/>
        <v/>
      </c>
      <c r="Y43" s="125" t="str">
        <f t="shared" si="54"/>
        <v/>
      </c>
      <c r="Z43" s="125" t="str">
        <f t="shared" si="54"/>
        <v/>
      </c>
      <c r="AA43" s="125">
        <f t="shared" si="54"/>
        <v>1500</v>
      </c>
      <c r="AB43" s="125" t="str">
        <f t="shared" si="54"/>
        <v/>
      </c>
      <c r="AC43" s="125" t="str">
        <f t="shared" si="54"/>
        <v/>
      </c>
      <c r="AD43" s="125" t="str">
        <f t="shared" si="1"/>
        <v/>
      </c>
      <c r="AE43" s="125" t="str">
        <f t="shared" si="2"/>
        <v/>
      </c>
      <c r="AF43" s="125" t="str">
        <f t="shared" si="3"/>
        <v/>
      </c>
      <c r="AG43" s="125" t="str">
        <f t="shared" si="4"/>
        <v/>
      </c>
      <c r="AH43" s="125" t="str">
        <f t="shared" si="5"/>
        <v/>
      </c>
      <c r="AI43" s="125" t="str">
        <f t="shared" si="6"/>
        <v/>
      </c>
      <c r="AJ43" s="125" t="str">
        <f t="shared" si="7"/>
        <v/>
      </c>
      <c r="AK43" s="125" t="str">
        <f t="shared" si="8"/>
        <v/>
      </c>
      <c r="AL43" s="125" t="str">
        <f t="shared" si="9"/>
        <v/>
      </c>
      <c r="AM43" s="125" t="str">
        <f t="shared" si="10"/>
        <v/>
      </c>
      <c r="AN43" s="125" t="str">
        <f t="shared" si="11"/>
        <v/>
      </c>
      <c r="AO43" s="125" t="str">
        <f t="shared" si="12"/>
        <v/>
      </c>
      <c r="AP43" s="122">
        <v>3.64</v>
      </c>
      <c r="AQ43" s="130">
        <f t="shared" si="13"/>
        <v>5460</v>
      </c>
      <c r="AR43" s="130">
        <f t="shared" si="14"/>
        <v>42315</v>
      </c>
    </row>
    <row r="44" s="320" customFormat="1" customHeight="1" spans="1:44">
      <c r="A44" s="119">
        <v>45964</v>
      </c>
      <c r="B44" s="112">
        <v>46097</v>
      </c>
      <c r="C44" s="114" t="s">
        <v>246</v>
      </c>
      <c r="D44" s="330"/>
      <c r="E44" s="114">
        <v>10001431519</v>
      </c>
      <c r="F44" s="114" t="s">
        <v>205</v>
      </c>
      <c r="G44" s="118">
        <v>1800</v>
      </c>
      <c r="H44" s="114" t="s">
        <v>255</v>
      </c>
      <c r="I44" s="125" t="str">
        <f>IFERROR(VLOOKUP(F44,名称!A:C,3,0),"")</f>
        <v>SNF</v>
      </c>
      <c r="J44" s="125" t="str">
        <f t="shared" ref="J44:AC44" si="55">IF(AND($F44=J$2,$G44&gt;0),$G44,"")</f>
        <v/>
      </c>
      <c r="K44" s="125" t="str">
        <f t="shared" si="55"/>
        <v/>
      </c>
      <c r="L44" s="125" t="str">
        <f t="shared" si="55"/>
        <v/>
      </c>
      <c r="M44" s="125" t="str">
        <f t="shared" si="55"/>
        <v/>
      </c>
      <c r="N44" s="125" t="str">
        <f t="shared" si="55"/>
        <v/>
      </c>
      <c r="O44" s="125" t="str">
        <f t="shared" si="55"/>
        <v/>
      </c>
      <c r="P44" s="125" t="str">
        <f t="shared" si="55"/>
        <v/>
      </c>
      <c r="Q44" s="125" t="str">
        <f t="shared" si="55"/>
        <v/>
      </c>
      <c r="R44" s="125" t="str">
        <f t="shared" si="55"/>
        <v/>
      </c>
      <c r="S44" s="125" t="str">
        <f t="shared" si="55"/>
        <v/>
      </c>
      <c r="T44" s="125" t="str">
        <f t="shared" si="55"/>
        <v/>
      </c>
      <c r="U44" s="125" t="str">
        <f t="shared" si="55"/>
        <v/>
      </c>
      <c r="V44" s="125" t="str">
        <f t="shared" si="55"/>
        <v/>
      </c>
      <c r="W44" s="125" t="str">
        <f t="shared" si="55"/>
        <v/>
      </c>
      <c r="X44" s="125" t="str">
        <f t="shared" si="55"/>
        <v/>
      </c>
      <c r="Y44" s="125" t="str">
        <f t="shared" si="55"/>
        <v/>
      </c>
      <c r="Z44" s="125" t="str">
        <f t="shared" si="55"/>
        <v/>
      </c>
      <c r="AA44" s="125">
        <f t="shared" si="55"/>
        <v>1800</v>
      </c>
      <c r="AB44" s="125" t="str">
        <f t="shared" si="55"/>
        <v/>
      </c>
      <c r="AC44" s="125" t="str">
        <f t="shared" si="55"/>
        <v/>
      </c>
      <c r="AD44" s="125" t="str">
        <f t="shared" si="1"/>
        <v/>
      </c>
      <c r="AE44" s="125" t="str">
        <f t="shared" si="2"/>
        <v/>
      </c>
      <c r="AF44" s="125" t="str">
        <f t="shared" si="3"/>
        <v/>
      </c>
      <c r="AG44" s="125" t="str">
        <f t="shared" si="4"/>
        <v/>
      </c>
      <c r="AH44" s="125" t="str">
        <f t="shared" si="5"/>
        <v/>
      </c>
      <c r="AI44" s="125" t="str">
        <f t="shared" si="6"/>
        <v/>
      </c>
      <c r="AJ44" s="125" t="str">
        <f t="shared" si="7"/>
        <v/>
      </c>
      <c r="AK44" s="125" t="str">
        <f t="shared" si="8"/>
        <v/>
      </c>
      <c r="AL44" s="125" t="str">
        <f t="shared" si="9"/>
        <v/>
      </c>
      <c r="AM44" s="125" t="str">
        <f t="shared" si="10"/>
        <v/>
      </c>
      <c r="AN44" s="125" t="str">
        <f t="shared" si="11"/>
        <v/>
      </c>
      <c r="AO44" s="125" t="str">
        <f t="shared" si="12"/>
        <v/>
      </c>
      <c r="AP44" s="122">
        <v>3.64</v>
      </c>
      <c r="AQ44" s="130">
        <f t="shared" si="13"/>
        <v>6552</v>
      </c>
      <c r="AR44" s="130">
        <f t="shared" si="14"/>
        <v>50778</v>
      </c>
    </row>
    <row r="45" s="320" customFormat="1" customHeight="1" spans="1:44">
      <c r="A45" s="119">
        <v>45964</v>
      </c>
      <c r="B45" s="112">
        <v>46041</v>
      </c>
      <c r="C45" s="114" t="s">
        <v>246</v>
      </c>
      <c r="D45" s="330"/>
      <c r="E45" s="114">
        <v>10001431523</v>
      </c>
      <c r="F45" s="114" t="s">
        <v>205</v>
      </c>
      <c r="G45" s="118">
        <v>2796</v>
      </c>
      <c r="H45" s="114" t="s">
        <v>255</v>
      </c>
      <c r="I45" s="125" t="str">
        <f>IFERROR(VLOOKUP(F45,名称!A:C,3,0),"")</f>
        <v>SNF</v>
      </c>
      <c r="J45" s="125" t="str">
        <f t="shared" ref="J45:AC45" si="56">IF(AND($F45=J$2,$G45&gt;0),$G45,"")</f>
        <v/>
      </c>
      <c r="K45" s="125" t="str">
        <f t="shared" si="56"/>
        <v/>
      </c>
      <c r="L45" s="125" t="str">
        <f t="shared" si="56"/>
        <v/>
      </c>
      <c r="M45" s="125" t="str">
        <f t="shared" si="56"/>
        <v/>
      </c>
      <c r="N45" s="125" t="str">
        <f t="shared" si="56"/>
        <v/>
      </c>
      <c r="O45" s="125" t="str">
        <f t="shared" si="56"/>
        <v/>
      </c>
      <c r="P45" s="125" t="str">
        <f t="shared" si="56"/>
        <v/>
      </c>
      <c r="Q45" s="125" t="str">
        <f t="shared" si="56"/>
        <v/>
      </c>
      <c r="R45" s="125" t="str">
        <f t="shared" si="56"/>
        <v/>
      </c>
      <c r="S45" s="125" t="str">
        <f t="shared" si="56"/>
        <v/>
      </c>
      <c r="T45" s="125" t="str">
        <f t="shared" si="56"/>
        <v/>
      </c>
      <c r="U45" s="125" t="str">
        <f t="shared" si="56"/>
        <v/>
      </c>
      <c r="V45" s="125" t="str">
        <f t="shared" si="56"/>
        <v/>
      </c>
      <c r="W45" s="125" t="str">
        <f t="shared" si="56"/>
        <v/>
      </c>
      <c r="X45" s="125" t="str">
        <f t="shared" si="56"/>
        <v/>
      </c>
      <c r="Y45" s="125" t="str">
        <f t="shared" si="56"/>
        <v/>
      </c>
      <c r="Z45" s="125" t="str">
        <f t="shared" si="56"/>
        <v/>
      </c>
      <c r="AA45" s="125">
        <f t="shared" si="56"/>
        <v>2796</v>
      </c>
      <c r="AB45" s="125" t="str">
        <f t="shared" si="56"/>
        <v/>
      </c>
      <c r="AC45" s="125" t="str">
        <f t="shared" si="56"/>
        <v/>
      </c>
      <c r="AD45" s="125" t="str">
        <f t="shared" si="1"/>
        <v/>
      </c>
      <c r="AE45" s="125" t="str">
        <f t="shared" si="2"/>
        <v/>
      </c>
      <c r="AF45" s="125" t="str">
        <f t="shared" si="3"/>
        <v/>
      </c>
      <c r="AG45" s="125" t="str">
        <f t="shared" si="4"/>
        <v/>
      </c>
      <c r="AH45" s="125" t="str">
        <f t="shared" si="5"/>
        <v/>
      </c>
      <c r="AI45" s="125" t="str">
        <f t="shared" si="6"/>
        <v/>
      </c>
      <c r="AJ45" s="125" t="str">
        <f t="shared" si="7"/>
        <v/>
      </c>
      <c r="AK45" s="125" t="str">
        <f t="shared" si="8"/>
        <v/>
      </c>
      <c r="AL45" s="125" t="str">
        <f t="shared" si="9"/>
        <v/>
      </c>
      <c r="AM45" s="125" t="str">
        <f t="shared" si="10"/>
        <v/>
      </c>
      <c r="AN45" s="125" t="str">
        <f t="shared" si="11"/>
        <v/>
      </c>
      <c r="AO45" s="125" t="str">
        <f t="shared" si="12"/>
        <v/>
      </c>
      <c r="AP45" s="122">
        <v>3.64</v>
      </c>
      <c r="AQ45" s="130">
        <f t="shared" si="13"/>
        <v>10177.44</v>
      </c>
      <c r="AR45" s="130">
        <f t="shared" si="14"/>
        <v>78875.16</v>
      </c>
    </row>
    <row r="46" s="320" customFormat="1" customHeight="1" spans="1:44">
      <c r="A46" s="119">
        <v>45964</v>
      </c>
      <c r="B46" s="112">
        <v>46055</v>
      </c>
      <c r="C46" s="114" t="s">
        <v>246</v>
      </c>
      <c r="D46" s="330"/>
      <c r="E46" s="114">
        <v>10001431524</v>
      </c>
      <c r="F46" s="114" t="s">
        <v>205</v>
      </c>
      <c r="G46" s="118">
        <v>1002</v>
      </c>
      <c r="H46" s="114" t="s">
        <v>255</v>
      </c>
      <c r="I46" s="125" t="str">
        <f>IFERROR(VLOOKUP(F46,名称!A:C,3,0),"")</f>
        <v>SNF</v>
      </c>
      <c r="J46" s="125" t="str">
        <f t="shared" ref="J46:AC46" si="57">IF(AND($F46=J$2,$G46&gt;0),$G46,"")</f>
        <v/>
      </c>
      <c r="K46" s="125" t="str">
        <f t="shared" si="57"/>
        <v/>
      </c>
      <c r="L46" s="125" t="str">
        <f t="shared" si="57"/>
        <v/>
      </c>
      <c r="M46" s="125" t="str">
        <f t="shared" si="57"/>
        <v/>
      </c>
      <c r="N46" s="125" t="str">
        <f t="shared" si="57"/>
        <v/>
      </c>
      <c r="O46" s="125" t="str">
        <f t="shared" si="57"/>
        <v/>
      </c>
      <c r="P46" s="125" t="str">
        <f t="shared" si="57"/>
        <v/>
      </c>
      <c r="Q46" s="125" t="str">
        <f t="shared" si="57"/>
        <v/>
      </c>
      <c r="R46" s="125" t="str">
        <f t="shared" si="57"/>
        <v/>
      </c>
      <c r="S46" s="125" t="str">
        <f t="shared" si="57"/>
        <v/>
      </c>
      <c r="T46" s="125" t="str">
        <f t="shared" si="57"/>
        <v/>
      </c>
      <c r="U46" s="125" t="str">
        <f t="shared" si="57"/>
        <v/>
      </c>
      <c r="V46" s="125" t="str">
        <f t="shared" si="57"/>
        <v/>
      </c>
      <c r="W46" s="125" t="str">
        <f t="shared" si="57"/>
        <v/>
      </c>
      <c r="X46" s="125" t="str">
        <f t="shared" si="57"/>
        <v/>
      </c>
      <c r="Y46" s="125" t="str">
        <f t="shared" si="57"/>
        <v/>
      </c>
      <c r="Z46" s="125" t="str">
        <f t="shared" si="57"/>
        <v/>
      </c>
      <c r="AA46" s="125">
        <f t="shared" si="57"/>
        <v>1002</v>
      </c>
      <c r="AB46" s="125" t="str">
        <f t="shared" si="57"/>
        <v/>
      </c>
      <c r="AC46" s="125" t="str">
        <f t="shared" si="57"/>
        <v/>
      </c>
      <c r="AD46" s="125" t="str">
        <f t="shared" si="1"/>
        <v/>
      </c>
      <c r="AE46" s="125" t="str">
        <f t="shared" si="2"/>
        <v/>
      </c>
      <c r="AF46" s="125" t="str">
        <f t="shared" si="3"/>
        <v/>
      </c>
      <c r="AG46" s="125" t="str">
        <f t="shared" si="4"/>
        <v/>
      </c>
      <c r="AH46" s="125" t="str">
        <f t="shared" si="5"/>
        <v/>
      </c>
      <c r="AI46" s="125" t="str">
        <f t="shared" si="6"/>
        <v/>
      </c>
      <c r="AJ46" s="125" t="str">
        <f t="shared" si="7"/>
        <v/>
      </c>
      <c r="AK46" s="125" t="str">
        <f t="shared" si="8"/>
        <v/>
      </c>
      <c r="AL46" s="125" t="str">
        <f t="shared" si="9"/>
        <v/>
      </c>
      <c r="AM46" s="125" t="str">
        <f t="shared" si="10"/>
        <v/>
      </c>
      <c r="AN46" s="125" t="str">
        <f t="shared" si="11"/>
        <v/>
      </c>
      <c r="AO46" s="125" t="str">
        <f t="shared" si="12"/>
        <v/>
      </c>
      <c r="AP46" s="122">
        <v>3.64</v>
      </c>
      <c r="AQ46" s="130">
        <f t="shared" si="13"/>
        <v>3647.28</v>
      </c>
      <c r="AR46" s="130">
        <f t="shared" si="14"/>
        <v>28266.42</v>
      </c>
    </row>
    <row r="47" s="320" customFormat="1" customHeight="1" spans="1:44">
      <c r="A47" s="119">
        <v>45964</v>
      </c>
      <c r="B47" s="112">
        <v>46055</v>
      </c>
      <c r="C47" s="114" t="s">
        <v>246</v>
      </c>
      <c r="D47" s="330"/>
      <c r="E47" s="114">
        <v>10001431527</v>
      </c>
      <c r="F47" s="114" t="s">
        <v>205</v>
      </c>
      <c r="G47" s="118">
        <v>1398</v>
      </c>
      <c r="H47" s="114" t="s">
        <v>255</v>
      </c>
      <c r="I47" s="125" t="str">
        <f>IFERROR(VLOOKUP(F47,名称!A:C,3,0),"")</f>
        <v>SNF</v>
      </c>
      <c r="J47" s="125" t="str">
        <f t="shared" ref="J47:AC47" si="58">IF(AND($F47=J$2,$G47&gt;0),$G47,"")</f>
        <v/>
      </c>
      <c r="K47" s="125" t="str">
        <f t="shared" si="58"/>
        <v/>
      </c>
      <c r="L47" s="125" t="str">
        <f t="shared" si="58"/>
        <v/>
      </c>
      <c r="M47" s="125" t="str">
        <f t="shared" si="58"/>
        <v/>
      </c>
      <c r="N47" s="125" t="str">
        <f t="shared" si="58"/>
        <v/>
      </c>
      <c r="O47" s="125" t="str">
        <f t="shared" si="58"/>
        <v/>
      </c>
      <c r="P47" s="125" t="str">
        <f t="shared" si="58"/>
        <v/>
      </c>
      <c r="Q47" s="125" t="str">
        <f t="shared" si="58"/>
        <v/>
      </c>
      <c r="R47" s="125" t="str">
        <f t="shared" si="58"/>
        <v/>
      </c>
      <c r="S47" s="125" t="str">
        <f t="shared" si="58"/>
        <v/>
      </c>
      <c r="T47" s="125" t="str">
        <f t="shared" si="58"/>
        <v/>
      </c>
      <c r="U47" s="125" t="str">
        <f t="shared" si="58"/>
        <v/>
      </c>
      <c r="V47" s="125" t="str">
        <f t="shared" si="58"/>
        <v/>
      </c>
      <c r="W47" s="125" t="str">
        <f t="shared" si="58"/>
        <v/>
      </c>
      <c r="X47" s="125" t="str">
        <f t="shared" si="58"/>
        <v/>
      </c>
      <c r="Y47" s="125" t="str">
        <f t="shared" si="58"/>
        <v/>
      </c>
      <c r="Z47" s="125" t="str">
        <f t="shared" si="58"/>
        <v/>
      </c>
      <c r="AA47" s="125">
        <f t="shared" si="58"/>
        <v>1398</v>
      </c>
      <c r="AB47" s="125" t="str">
        <f t="shared" si="58"/>
        <v/>
      </c>
      <c r="AC47" s="125" t="str">
        <f t="shared" si="58"/>
        <v/>
      </c>
      <c r="AD47" s="125" t="str">
        <f t="shared" si="1"/>
        <v/>
      </c>
      <c r="AE47" s="125" t="str">
        <f t="shared" si="2"/>
        <v/>
      </c>
      <c r="AF47" s="125" t="str">
        <f t="shared" si="3"/>
        <v/>
      </c>
      <c r="AG47" s="125" t="str">
        <f t="shared" si="4"/>
        <v/>
      </c>
      <c r="AH47" s="125" t="str">
        <f t="shared" si="5"/>
        <v/>
      </c>
      <c r="AI47" s="125" t="str">
        <f t="shared" si="6"/>
        <v/>
      </c>
      <c r="AJ47" s="125" t="str">
        <f t="shared" si="7"/>
        <v/>
      </c>
      <c r="AK47" s="125" t="str">
        <f t="shared" si="8"/>
        <v/>
      </c>
      <c r="AL47" s="125" t="str">
        <f t="shared" si="9"/>
        <v/>
      </c>
      <c r="AM47" s="125" t="str">
        <f t="shared" si="10"/>
        <v/>
      </c>
      <c r="AN47" s="125" t="str">
        <f t="shared" si="11"/>
        <v/>
      </c>
      <c r="AO47" s="125" t="str">
        <f t="shared" si="12"/>
        <v/>
      </c>
      <c r="AP47" s="122">
        <v>3.64</v>
      </c>
      <c r="AQ47" s="130">
        <f t="shared" si="13"/>
        <v>5088.72</v>
      </c>
      <c r="AR47" s="130">
        <f t="shared" si="14"/>
        <v>39437.58</v>
      </c>
    </row>
    <row r="48" s="320" customFormat="1" customHeight="1" spans="1:44">
      <c r="A48" s="119">
        <v>45967</v>
      </c>
      <c r="B48" s="112">
        <v>46028</v>
      </c>
      <c r="C48" s="114" t="s">
        <v>259</v>
      </c>
      <c r="D48" s="114"/>
      <c r="E48" s="114" t="s">
        <v>289</v>
      </c>
      <c r="F48" s="114" t="s">
        <v>152</v>
      </c>
      <c r="G48" s="118">
        <v>4968</v>
      </c>
      <c r="H48" s="114" t="s">
        <v>255</v>
      </c>
      <c r="I48" s="125" t="str">
        <f>IFERROR(VLOOKUP(F48,名称!A:C,3,0),"")</f>
        <v>FNT</v>
      </c>
      <c r="J48" s="125" t="str">
        <f t="shared" ref="J48:AC48" si="59">IF(AND($F48=J$2,$G48&gt;0),$G48,"")</f>
        <v/>
      </c>
      <c r="K48" s="125" t="str">
        <f t="shared" si="59"/>
        <v/>
      </c>
      <c r="L48" s="125" t="str">
        <f t="shared" si="59"/>
        <v/>
      </c>
      <c r="M48" s="125" t="str">
        <f t="shared" si="59"/>
        <v/>
      </c>
      <c r="N48" s="125" t="str">
        <f t="shared" si="59"/>
        <v/>
      </c>
      <c r="O48" s="125" t="str">
        <f t="shared" si="59"/>
        <v/>
      </c>
      <c r="P48" s="125" t="str">
        <f t="shared" si="59"/>
        <v/>
      </c>
      <c r="Q48" s="125" t="str">
        <f t="shared" si="59"/>
        <v/>
      </c>
      <c r="R48" s="125" t="str">
        <f t="shared" si="59"/>
        <v/>
      </c>
      <c r="S48" s="125" t="str">
        <f t="shared" si="59"/>
        <v/>
      </c>
      <c r="T48" s="125" t="str">
        <f t="shared" si="59"/>
        <v/>
      </c>
      <c r="U48" s="125" t="str">
        <f t="shared" si="59"/>
        <v/>
      </c>
      <c r="V48" s="125" t="str">
        <f t="shared" si="59"/>
        <v/>
      </c>
      <c r="W48" s="125" t="str">
        <f t="shared" si="59"/>
        <v/>
      </c>
      <c r="X48" s="125" t="str">
        <f t="shared" si="59"/>
        <v/>
      </c>
      <c r="Y48" s="125" t="str">
        <f t="shared" si="59"/>
        <v/>
      </c>
      <c r="Z48" s="125" t="str">
        <f t="shared" si="59"/>
        <v/>
      </c>
      <c r="AA48" s="125" t="str">
        <f t="shared" si="59"/>
        <v/>
      </c>
      <c r="AB48" s="125" t="str">
        <f t="shared" si="59"/>
        <v/>
      </c>
      <c r="AC48" s="125" t="str">
        <f t="shared" si="59"/>
        <v/>
      </c>
      <c r="AD48" s="125">
        <f t="shared" si="1"/>
        <v>1656</v>
      </c>
      <c r="AE48" s="125">
        <f t="shared" si="2"/>
        <v>1656</v>
      </c>
      <c r="AF48" s="125">
        <f t="shared" si="3"/>
        <v>1656</v>
      </c>
      <c r="AG48" s="125" t="str">
        <f t="shared" si="4"/>
        <v/>
      </c>
      <c r="AH48" s="125" t="str">
        <f t="shared" si="5"/>
        <v/>
      </c>
      <c r="AI48" s="125" t="str">
        <f t="shared" si="6"/>
        <v/>
      </c>
      <c r="AJ48" s="125" t="str">
        <f t="shared" si="7"/>
        <v/>
      </c>
      <c r="AK48" s="125" t="str">
        <f t="shared" si="8"/>
        <v/>
      </c>
      <c r="AL48" s="125" t="str">
        <f t="shared" si="9"/>
        <v/>
      </c>
      <c r="AM48" s="125" t="str">
        <f t="shared" si="10"/>
        <v/>
      </c>
      <c r="AN48" s="125" t="str">
        <f t="shared" si="11"/>
        <v/>
      </c>
      <c r="AO48" s="125" t="str">
        <f t="shared" si="12"/>
        <v/>
      </c>
      <c r="AP48" s="122">
        <v>2.06</v>
      </c>
      <c r="AQ48" s="130">
        <f t="shared" si="13"/>
        <v>10234.08</v>
      </c>
      <c r="AR48" s="130">
        <f t="shared" si="14"/>
        <v>79314.12</v>
      </c>
    </row>
    <row r="49" s="320" customFormat="1" customHeight="1" spans="1:44">
      <c r="A49" s="119">
        <v>45967</v>
      </c>
      <c r="B49" s="112">
        <v>46027</v>
      </c>
      <c r="C49" s="114" t="s">
        <v>246</v>
      </c>
      <c r="D49" s="114"/>
      <c r="E49" s="114" t="s">
        <v>288</v>
      </c>
      <c r="F49" s="114" t="s">
        <v>123</v>
      </c>
      <c r="G49" s="118">
        <v>3000</v>
      </c>
      <c r="H49" s="114" t="s">
        <v>258</v>
      </c>
      <c r="I49" s="125" t="str">
        <f>IFERROR(VLOOKUP(F49,名称!A:C,3,0),"")</f>
        <v>FNT</v>
      </c>
      <c r="J49" s="125" t="str">
        <f t="shared" ref="J49:AC49" si="60">IF(AND($F49=J$2,$G49&gt;0),$G49,"")</f>
        <v/>
      </c>
      <c r="K49" s="125" t="str">
        <f t="shared" si="60"/>
        <v/>
      </c>
      <c r="L49" s="125" t="str">
        <f t="shared" si="60"/>
        <v/>
      </c>
      <c r="M49" s="125" t="str">
        <f t="shared" si="60"/>
        <v/>
      </c>
      <c r="N49" s="125" t="str">
        <f t="shared" si="60"/>
        <v/>
      </c>
      <c r="O49" s="125" t="str">
        <f t="shared" si="60"/>
        <v/>
      </c>
      <c r="P49" s="125" t="str">
        <f t="shared" si="60"/>
        <v/>
      </c>
      <c r="Q49" s="125" t="str">
        <f t="shared" si="60"/>
        <v/>
      </c>
      <c r="R49" s="125" t="str">
        <f t="shared" si="60"/>
        <v/>
      </c>
      <c r="S49" s="125" t="str">
        <f t="shared" si="60"/>
        <v/>
      </c>
      <c r="T49" s="125" t="str">
        <f t="shared" si="60"/>
        <v/>
      </c>
      <c r="U49" s="125" t="str">
        <f t="shared" si="60"/>
        <v/>
      </c>
      <c r="V49" s="125" t="str">
        <f t="shared" si="60"/>
        <v/>
      </c>
      <c r="W49" s="125" t="str">
        <f t="shared" si="60"/>
        <v/>
      </c>
      <c r="X49" s="125" t="str">
        <f t="shared" si="60"/>
        <v/>
      </c>
      <c r="Y49" s="125" t="str">
        <f t="shared" si="60"/>
        <v/>
      </c>
      <c r="Z49" s="125" t="str">
        <f t="shared" si="60"/>
        <v/>
      </c>
      <c r="AA49" s="125" t="str">
        <f t="shared" si="60"/>
        <v/>
      </c>
      <c r="AB49" s="125" t="str">
        <f t="shared" si="60"/>
        <v/>
      </c>
      <c r="AC49" s="125" t="str">
        <f t="shared" si="60"/>
        <v/>
      </c>
      <c r="AD49" s="125">
        <f t="shared" si="1"/>
        <v>1000</v>
      </c>
      <c r="AE49" s="125">
        <f t="shared" si="2"/>
        <v>1000</v>
      </c>
      <c r="AF49" s="125">
        <f t="shared" si="3"/>
        <v>1000</v>
      </c>
      <c r="AG49" s="125" t="str">
        <f t="shared" si="4"/>
        <v/>
      </c>
      <c r="AH49" s="125" t="str">
        <f t="shared" si="5"/>
        <v/>
      </c>
      <c r="AI49" s="125" t="str">
        <f t="shared" si="6"/>
        <v/>
      </c>
      <c r="AJ49" s="125" t="str">
        <f t="shared" si="7"/>
        <v/>
      </c>
      <c r="AK49" s="125" t="str">
        <f t="shared" si="8"/>
        <v/>
      </c>
      <c r="AL49" s="125" t="str">
        <f t="shared" si="9"/>
        <v/>
      </c>
      <c r="AM49" s="125" t="str">
        <f t="shared" si="10"/>
        <v/>
      </c>
      <c r="AN49" s="125" t="str">
        <f t="shared" si="11"/>
        <v/>
      </c>
      <c r="AO49" s="125" t="str">
        <f t="shared" si="12"/>
        <v/>
      </c>
      <c r="AP49" s="122">
        <v>2.06</v>
      </c>
      <c r="AQ49" s="130">
        <f t="shared" si="13"/>
        <v>6180</v>
      </c>
      <c r="AR49" s="130">
        <f t="shared" si="14"/>
        <v>47895</v>
      </c>
    </row>
    <row r="50" s="320" customFormat="1" customHeight="1" spans="1:44">
      <c r="A50" s="119">
        <v>45967</v>
      </c>
      <c r="B50" s="112">
        <v>46028</v>
      </c>
      <c r="C50" s="114" t="s">
        <v>246</v>
      </c>
      <c r="D50" s="114"/>
      <c r="E50" s="114" t="s">
        <v>290</v>
      </c>
      <c r="F50" s="114" t="s">
        <v>139</v>
      </c>
      <c r="G50" s="118">
        <v>1200</v>
      </c>
      <c r="H50" s="114" t="s">
        <v>258</v>
      </c>
      <c r="I50" s="125" t="str">
        <f>IFERROR(VLOOKUP(F50,名称!A:C,3,0),"")</f>
        <v>FNT</v>
      </c>
      <c r="J50" s="125" t="str">
        <f t="shared" ref="J50:AC50" si="61">IF(AND($F50=J$2,$G50&gt;0),$G50,"")</f>
        <v/>
      </c>
      <c r="K50" s="125" t="str">
        <f t="shared" si="61"/>
        <v/>
      </c>
      <c r="L50" s="125" t="str">
        <f t="shared" si="61"/>
        <v/>
      </c>
      <c r="M50" s="125" t="str">
        <f t="shared" si="61"/>
        <v/>
      </c>
      <c r="N50" s="125" t="str">
        <f t="shared" si="61"/>
        <v/>
      </c>
      <c r="O50" s="125" t="str">
        <f t="shared" si="61"/>
        <v/>
      </c>
      <c r="P50" s="125" t="str">
        <f t="shared" si="61"/>
        <v/>
      </c>
      <c r="Q50" s="125" t="str">
        <f t="shared" si="61"/>
        <v/>
      </c>
      <c r="R50" s="125" t="str">
        <f t="shared" si="61"/>
        <v/>
      </c>
      <c r="S50" s="125" t="str">
        <f t="shared" si="61"/>
        <v/>
      </c>
      <c r="T50" s="125" t="str">
        <f t="shared" si="61"/>
        <v/>
      </c>
      <c r="U50" s="125" t="str">
        <f t="shared" si="61"/>
        <v/>
      </c>
      <c r="V50" s="125" t="str">
        <f t="shared" si="61"/>
        <v/>
      </c>
      <c r="W50" s="125" t="str">
        <f t="shared" si="61"/>
        <v/>
      </c>
      <c r="X50" s="125" t="str">
        <f t="shared" si="61"/>
        <v/>
      </c>
      <c r="Y50" s="125" t="str">
        <f t="shared" si="61"/>
        <v/>
      </c>
      <c r="Z50" s="125" t="str">
        <f t="shared" si="61"/>
        <v/>
      </c>
      <c r="AA50" s="125" t="str">
        <f t="shared" si="61"/>
        <v/>
      </c>
      <c r="AB50" s="125" t="str">
        <f t="shared" si="61"/>
        <v/>
      </c>
      <c r="AC50" s="125" t="str">
        <f t="shared" si="61"/>
        <v/>
      </c>
      <c r="AD50" s="125">
        <f t="shared" si="1"/>
        <v>1200</v>
      </c>
      <c r="AE50" s="125" t="str">
        <f t="shared" si="2"/>
        <v/>
      </c>
      <c r="AF50" s="125" t="str">
        <f t="shared" si="3"/>
        <v/>
      </c>
      <c r="AG50" s="125" t="str">
        <f t="shared" si="4"/>
        <v/>
      </c>
      <c r="AH50" s="125" t="str">
        <f t="shared" si="5"/>
        <v/>
      </c>
      <c r="AI50" s="125" t="str">
        <f t="shared" si="6"/>
        <v/>
      </c>
      <c r="AJ50" s="125" t="str">
        <f t="shared" si="7"/>
        <v/>
      </c>
      <c r="AK50" s="125" t="str">
        <f t="shared" si="8"/>
        <v/>
      </c>
      <c r="AL50" s="125" t="str">
        <f t="shared" si="9"/>
        <v/>
      </c>
      <c r="AM50" s="125" t="str">
        <f t="shared" si="10"/>
        <v/>
      </c>
      <c r="AN50" s="125" t="str">
        <f t="shared" si="11"/>
        <v/>
      </c>
      <c r="AO50" s="125" t="str">
        <f t="shared" si="12"/>
        <v/>
      </c>
      <c r="AP50" s="122">
        <v>1.68</v>
      </c>
      <c r="AQ50" s="130">
        <f t="shared" si="13"/>
        <v>2016</v>
      </c>
      <c r="AR50" s="130">
        <f t="shared" si="14"/>
        <v>15624</v>
      </c>
    </row>
    <row r="51" s="320" customFormat="1" customHeight="1" spans="1:44">
      <c r="A51" s="119">
        <v>45967</v>
      </c>
      <c r="B51" s="112">
        <v>46028</v>
      </c>
      <c r="C51" s="114" t="s">
        <v>246</v>
      </c>
      <c r="D51" s="114"/>
      <c r="E51" s="114" t="s">
        <v>291</v>
      </c>
      <c r="F51" s="114" t="s">
        <v>123</v>
      </c>
      <c r="G51" s="118">
        <v>3204</v>
      </c>
      <c r="H51" s="114" t="s">
        <v>258</v>
      </c>
      <c r="I51" s="125" t="str">
        <f>IFERROR(VLOOKUP(F51,名称!A:C,3,0),"")</f>
        <v>FNT</v>
      </c>
      <c r="J51" s="125" t="str">
        <f t="shared" ref="J51:AC51" si="62">IF(AND($F51=J$2,$G51&gt;0),$G51,"")</f>
        <v/>
      </c>
      <c r="K51" s="125" t="str">
        <f t="shared" si="62"/>
        <v/>
      </c>
      <c r="L51" s="125" t="str">
        <f t="shared" si="62"/>
        <v/>
      </c>
      <c r="M51" s="125" t="str">
        <f t="shared" si="62"/>
        <v/>
      </c>
      <c r="N51" s="125" t="str">
        <f t="shared" si="62"/>
        <v/>
      </c>
      <c r="O51" s="125" t="str">
        <f t="shared" si="62"/>
        <v/>
      </c>
      <c r="P51" s="125" t="str">
        <f t="shared" si="62"/>
        <v/>
      </c>
      <c r="Q51" s="125" t="str">
        <f t="shared" si="62"/>
        <v/>
      </c>
      <c r="R51" s="125" t="str">
        <f t="shared" si="62"/>
        <v/>
      </c>
      <c r="S51" s="125" t="str">
        <f t="shared" si="62"/>
        <v/>
      </c>
      <c r="T51" s="125" t="str">
        <f t="shared" si="62"/>
        <v/>
      </c>
      <c r="U51" s="125" t="str">
        <f t="shared" si="62"/>
        <v/>
      </c>
      <c r="V51" s="125" t="str">
        <f t="shared" si="62"/>
        <v/>
      </c>
      <c r="W51" s="125" t="str">
        <f t="shared" si="62"/>
        <v/>
      </c>
      <c r="X51" s="125" t="str">
        <f t="shared" si="62"/>
        <v/>
      </c>
      <c r="Y51" s="125" t="str">
        <f t="shared" si="62"/>
        <v/>
      </c>
      <c r="Z51" s="125" t="str">
        <f t="shared" si="62"/>
        <v/>
      </c>
      <c r="AA51" s="125" t="str">
        <f t="shared" si="62"/>
        <v/>
      </c>
      <c r="AB51" s="125" t="str">
        <f t="shared" si="62"/>
        <v/>
      </c>
      <c r="AC51" s="125" t="str">
        <f t="shared" si="62"/>
        <v/>
      </c>
      <c r="AD51" s="125">
        <f t="shared" si="1"/>
        <v>1068</v>
      </c>
      <c r="AE51" s="125">
        <f t="shared" si="2"/>
        <v>1068</v>
      </c>
      <c r="AF51" s="125">
        <f t="shared" si="3"/>
        <v>1068</v>
      </c>
      <c r="AG51" s="125" t="str">
        <f t="shared" si="4"/>
        <v/>
      </c>
      <c r="AH51" s="125" t="str">
        <f t="shared" si="5"/>
        <v/>
      </c>
      <c r="AI51" s="125" t="str">
        <f t="shared" si="6"/>
        <v/>
      </c>
      <c r="AJ51" s="125" t="str">
        <f t="shared" si="7"/>
        <v/>
      </c>
      <c r="AK51" s="125" t="str">
        <f t="shared" si="8"/>
        <v/>
      </c>
      <c r="AL51" s="125" t="str">
        <f t="shared" si="9"/>
        <v/>
      </c>
      <c r="AM51" s="125" t="str">
        <f t="shared" si="10"/>
        <v/>
      </c>
      <c r="AN51" s="125" t="str">
        <f t="shared" si="11"/>
        <v/>
      </c>
      <c r="AO51" s="125" t="str">
        <f t="shared" si="12"/>
        <v/>
      </c>
      <c r="AP51" s="122">
        <v>2.06</v>
      </c>
      <c r="AQ51" s="130">
        <f t="shared" si="13"/>
        <v>6600.24</v>
      </c>
      <c r="AR51" s="130">
        <f t="shared" si="14"/>
        <v>51151.86</v>
      </c>
    </row>
    <row r="52" s="320" customFormat="1" customHeight="1" spans="1:44">
      <c r="A52" s="119">
        <v>45967</v>
      </c>
      <c r="B52" s="112">
        <v>46028</v>
      </c>
      <c r="C52" s="114" t="s">
        <v>246</v>
      </c>
      <c r="D52" s="114"/>
      <c r="E52" s="114" t="s">
        <v>292</v>
      </c>
      <c r="F52" s="114" t="s">
        <v>123</v>
      </c>
      <c r="G52" s="118">
        <v>1500</v>
      </c>
      <c r="H52" s="114" t="s">
        <v>258</v>
      </c>
      <c r="I52" s="125" t="str">
        <f>IFERROR(VLOOKUP(F52,名称!A:C,3,0),"")</f>
        <v>FNT</v>
      </c>
      <c r="J52" s="125" t="str">
        <f t="shared" ref="J52:AC52" si="63">IF(AND($F52=J$2,$G52&gt;0),$G52,"")</f>
        <v/>
      </c>
      <c r="K52" s="125" t="str">
        <f t="shared" si="63"/>
        <v/>
      </c>
      <c r="L52" s="125" t="str">
        <f t="shared" si="63"/>
        <v/>
      </c>
      <c r="M52" s="125" t="str">
        <f t="shared" si="63"/>
        <v/>
      </c>
      <c r="N52" s="125" t="str">
        <f t="shared" si="63"/>
        <v/>
      </c>
      <c r="O52" s="125" t="str">
        <f t="shared" si="63"/>
        <v/>
      </c>
      <c r="P52" s="125" t="str">
        <f t="shared" si="63"/>
        <v/>
      </c>
      <c r="Q52" s="125" t="str">
        <f t="shared" si="63"/>
        <v/>
      </c>
      <c r="R52" s="125" t="str">
        <f t="shared" si="63"/>
        <v/>
      </c>
      <c r="S52" s="125" t="str">
        <f t="shared" si="63"/>
        <v/>
      </c>
      <c r="T52" s="125" t="str">
        <f t="shared" si="63"/>
        <v/>
      </c>
      <c r="U52" s="125" t="str">
        <f t="shared" si="63"/>
        <v/>
      </c>
      <c r="V52" s="125" t="str">
        <f t="shared" si="63"/>
        <v/>
      </c>
      <c r="W52" s="125" t="str">
        <f t="shared" si="63"/>
        <v/>
      </c>
      <c r="X52" s="125" t="str">
        <f t="shared" si="63"/>
        <v/>
      </c>
      <c r="Y52" s="125" t="str">
        <f t="shared" si="63"/>
        <v/>
      </c>
      <c r="Z52" s="125" t="str">
        <f t="shared" si="63"/>
        <v/>
      </c>
      <c r="AA52" s="125" t="str">
        <f t="shared" si="63"/>
        <v/>
      </c>
      <c r="AB52" s="125" t="str">
        <f t="shared" si="63"/>
        <v/>
      </c>
      <c r="AC52" s="125" t="str">
        <f t="shared" si="63"/>
        <v/>
      </c>
      <c r="AD52" s="125">
        <f t="shared" si="1"/>
        <v>500</v>
      </c>
      <c r="AE52" s="125">
        <f t="shared" si="2"/>
        <v>500</v>
      </c>
      <c r="AF52" s="125">
        <f t="shared" si="3"/>
        <v>500</v>
      </c>
      <c r="AG52" s="125" t="str">
        <f t="shared" si="4"/>
        <v/>
      </c>
      <c r="AH52" s="125" t="str">
        <f t="shared" si="5"/>
        <v/>
      </c>
      <c r="AI52" s="125" t="str">
        <f t="shared" si="6"/>
        <v/>
      </c>
      <c r="AJ52" s="125" t="str">
        <f t="shared" si="7"/>
        <v/>
      </c>
      <c r="AK52" s="125" t="str">
        <f t="shared" si="8"/>
        <v/>
      </c>
      <c r="AL52" s="125" t="str">
        <f t="shared" si="9"/>
        <v/>
      </c>
      <c r="AM52" s="125" t="str">
        <f t="shared" si="10"/>
        <v/>
      </c>
      <c r="AN52" s="125" t="str">
        <f t="shared" si="11"/>
        <v/>
      </c>
      <c r="AO52" s="125" t="str">
        <f t="shared" si="12"/>
        <v/>
      </c>
      <c r="AP52" s="122">
        <v>2.06</v>
      </c>
      <c r="AQ52" s="130">
        <f t="shared" si="13"/>
        <v>3090</v>
      </c>
      <c r="AR52" s="130">
        <f t="shared" si="14"/>
        <v>23947.5</v>
      </c>
    </row>
    <row r="53" s="320" customFormat="1" customHeight="1" spans="1:44">
      <c r="A53" s="119">
        <v>45967</v>
      </c>
      <c r="B53" s="112">
        <v>46028</v>
      </c>
      <c r="C53" s="114" t="s">
        <v>246</v>
      </c>
      <c r="D53" s="114"/>
      <c r="E53" s="114" t="s">
        <v>293</v>
      </c>
      <c r="F53" s="114" t="s">
        <v>123</v>
      </c>
      <c r="G53" s="118">
        <v>900</v>
      </c>
      <c r="H53" s="114" t="s">
        <v>258</v>
      </c>
      <c r="I53" s="125" t="str">
        <f>IFERROR(VLOOKUP(F53,名称!A:C,3,0),"")</f>
        <v>FNT</v>
      </c>
      <c r="J53" s="125" t="str">
        <f t="shared" ref="J53:AC53" si="64">IF(AND($F53=J$2,$G53&gt;0),$G53,"")</f>
        <v/>
      </c>
      <c r="K53" s="125" t="str">
        <f t="shared" si="64"/>
        <v/>
      </c>
      <c r="L53" s="125" t="str">
        <f t="shared" si="64"/>
        <v/>
      </c>
      <c r="M53" s="125" t="str">
        <f t="shared" si="64"/>
        <v/>
      </c>
      <c r="N53" s="125" t="str">
        <f t="shared" si="64"/>
        <v/>
      </c>
      <c r="O53" s="125" t="str">
        <f t="shared" si="64"/>
        <v/>
      </c>
      <c r="P53" s="125" t="str">
        <f t="shared" si="64"/>
        <v/>
      </c>
      <c r="Q53" s="125" t="str">
        <f t="shared" si="64"/>
        <v/>
      </c>
      <c r="R53" s="125" t="str">
        <f t="shared" si="64"/>
        <v/>
      </c>
      <c r="S53" s="125" t="str">
        <f t="shared" si="64"/>
        <v/>
      </c>
      <c r="T53" s="125" t="str">
        <f t="shared" si="64"/>
        <v/>
      </c>
      <c r="U53" s="125" t="str">
        <f t="shared" si="64"/>
        <v/>
      </c>
      <c r="V53" s="125" t="str">
        <f t="shared" si="64"/>
        <v/>
      </c>
      <c r="W53" s="125" t="str">
        <f t="shared" si="64"/>
        <v/>
      </c>
      <c r="X53" s="125" t="str">
        <f t="shared" si="64"/>
        <v/>
      </c>
      <c r="Y53" s="125" t="str">
        <f t="shared" si="64"/>
        <v/>
      </c>
      <c r="Z53" s="125" t="str">
        <f t="shared" si="64"/>
        <v/>
      </c>
      <c r="AA53" s="125" t="str">
        <f t="shared" si="64"/>
        <v/>
      </c>
      <c r="AB53" s="125" t="str">
        <f t="shared" si="64"/>
        <v/>
      </c>
      <c r="AC53" s="125" t="str">
        <f t="shared" si="64"/>
        <v/>
      </c>
      <c r="AD53" s="125">
        <f t="shared" si="1"/>
        <v>300</v>
      </c>
      <c r="AE53" s="125">
        <f t="shared" si="2"/>
        <v>300</v>
      </c>
      <c r="AF53" s="125">
        <f t="shared" si="3"/>
        <v>300</v>
      </c>
      <c r="AG53" s="125" t="str">
        <f t="shared" si="4"/>
        <v/>
      </c>
      <c r="AH53" s="125" t="str">
        <f t="shared" si="5"/>
        <v/>
      </c>
      <c r="AI53" s="125" t="str">
        <f t="shared" si="6"/>
        <v/>
      </c>
      <c r="AJ53" s="125" t="str">
        <f t="shared" si="7"/>
        <v/>
      </c>
      <c r="AK53" s="125" t="str">
        <f t="shared" si="8"/>
        <v/>
      </c>
      <c r="AL53" s="125" t="str">
        <f t="shared" si="9"/>
        <v/>
      </c>
      <c r="AM53" s="125" t="str">
        <f t="shared" si="10"/>
        <v/>
      </c>
      <c r="AN53" s="125" t="str">
        <f t="shared" si="11"/>
        <v/>
      </c>
      <c r="AO53" s="125" t="str">
        <f t="shared" si="12"/>
        <v/>
      </c>
      <c r="AP53" s="122">
        <v>2.06</v>
      </c>
      <c r="AQ53" s="130">
        <f t="shared" si="13"/>
        <v>1854</v>
      </c>
      <c r="AR53" s="130">
        <f t="shared" si="14"/>
        <v>14368.5</v>
      </c>
    </row>
    <row r="54" s="320" customFormat="1" customHeight="1" spans="1:44">
      <c r="A54" s="119">
        <v>45968</v>
      </c>
      <c r="B54" s="112">
        <v>46028</v>
      </c>
      <c r="C54" s="114" t="s">
        <v>246</v>
      </c>
      <c r="D54" s="114"/>
      <c r="E54" s="114" t="s">
        <v>294</v>
      </c>
      <c r="F54" s="114" t="s">
        <v>152</v>
      </c>
      <c r="G54" s="118">
        <v>1800</v>
      </c>
      <c r="H54" s="114" t="s">
        <v>258</v>
      </c>
      <c r="I54" s="125" t="str">
        <f>IFERROR(VLOOKUP(F54,名称!A:C,3,0),"")</f>
        <v>FNT</v>
      </c>
      <c r="J54" s="125" t="str">
        <f t="shared" ref="J54:AC54" si="65">IF(AND($F54=J$2,$G54&gt;0),$G54,"")</f>
        <v/>
      </c>
      <c r="K54" s="125" t="str">
        <f t="shared" si="65"/>
        <v/>
      </c>
      <c r="L54" s="125" t="str">
        <f t="shared" si="65"/>
        <v/>
      </c>
      <c r="M54" s="125" t="str">
        <f t="shared" si="65"/>
        <v/>
      </c>
      <c r="N54" s="125" t="str">
        <f t="shared" si="65"/>
        <v/>
      </c>
      <c r="O54" s="125" t="str">
        <f t="shared" si="65"/>
        <v/>
      </c>
      <c r="P54" s="125" t="str">
        <f t="shared" si="65"/>
        <v/>
      </c>
      <c r="Q54" s="125" t="str">
        <f t="shared" si="65"/>
        <v/>
      </c>
      <c r="R54" s="125" t="str">
        <f t="shared" si="65"/>
        <v/>
      </c>
      <c r="S54" s="125" t="str">
        <f t="shared" si="65"/>
        <v/>
      </c>
      <c r="T54" s="125" t="str">
        <f t="shared" si="65"/>
        <v/>
      </c>
      <c r="U54" s="125" t="str">
        <f t="shared" si="65"/>
        <v/>
      </c>
      <c r="V54" s="125" t="str">
        <f t="shared" si="65"/>
        <v/>
      </c>
      <c r="W54" s="125" t="str">
        <f t="shared" si="65"/>
        <v/>
      </c>
      <c r="X54" s="125" t="str">
        <f t="shared" si="65"/>
        <v/>
      </c>
      <c r="Y54" s="125" t="str">
        <f t="shared" si="65"/>
        <v/>
      </c>
      <c r="Z54" s="125" t="str">
        <f t="shared" si="65"/>
        <v/>
      </c>
      <c r="AA54" s="125" t="str">
        <f t="shared" si="65"/>
        <v/>
      </c>
      <c r="AB54" s="125" t="str">
        <f t="shared" si="65"/>
        <v/>
      </c>
      <c r="AC54" s="125" t="str">
        <f t="shared" si="65"/>
        <v/>
      </c>
      <c r="AD54" s="125">
        <f t="shared" si="1"/>
        <v>600</v>
      </c>
      <c r="AE54" s="125">
        <f t="shared" si="2"/>
        <v>600</v>
      </c>
      <c r="AF54" s="125">
        <f t="shared" si="3"/>
        <v>600</v>
      </c>
      <c r="AG54" s="125" t="str">
        <f t="shared" si="4"/>
        <v/>
      </c>
      <c r="AH54" s="125" t="str">
        <f t="shared" si="5"/>
        <v/>
      </c>
      <c r="AI54" s="125" t="str">
        <f t="shared" si="6"/>
        <v/>
      </c>
      <c r="AJ54" s="125" t="str">
        <f t="shared" si="7"/>
        <v/>
      </c>
      <c r="AK54" s="125" t="str">
        <f t="shared" si="8"/>
        <v/>
      </c>
      <c r="AL54" s="125" t="str">
        <f t="shared" si="9"/>
        <v/>
      </c>
      <c r="AM54" s="125" t="str">
        <f t="shared" si="10"/>
        <v/>
      </c>
      <c r="AN54" s="125" t="str">
        <f t="shared" si="11"/>
        <v/>
      </c>
      <c r="AO54" s="125" t="str">
        <f t="shared" si="12"/>
        <v/>
      </c>
      <c r="AP54" s="129">
        <v>2.06</v>
      </c>
      <c r="AQ54" s="130">
        <f t="shared" si="13"/>
        <v>3708</v>
      </c>
      <c r="AR54" s="130">
        <f t="shared" si="14"/>
        <v>28737</v>
      </c>
    </row>
    <row r="55" s="320" customFormat="1" customHeight="1" spans="1:44">
      <c r="A55" s="119">
        <v>45975</v>
      </c>
      <c r="B55" s="112">
        <v>46032</v>
      </c>
      <c r="C55" s="114" t="s">
        <v>246</v>
      </c>
      <c r="D55" s="330"/>
      <c r="E55" s="114" t="s">
        <v>295</v>
      </c>
      <c r="F55" s="114" t="s">
        <v>143</v>
      </c>
      <c r="G55" s="118">
        <v>600</v>
      </c>
      <c r="H55" s="114" t="s">
        <v>258</v>
      </c>
      <c r="I55" s="125" t="str">
        <f>IFERROR(VLOOKUP(F55,名称!A:C,3,0),"")</f>
        <v>FNT</v>
      </c>
      <c r="J55" s="125" t="str">
        <f t="shared" ref="J55:AC55" si="66">IF(AND($F55=J$2,$G55&gt;0),$G55,"")</f>
        <v/>
      </c>
      <c r="K55" s="125" t="str">
        <f t="shared" si="66"/>
        <v/>
      </c>
      <c r="L55" s="125" t="str">
        <f t="shared" si="66"/>
        <v/>
      </c>
      <c r="M55" s="125" t="str">
        <f t="shared" si="66"/>
        <v/>
      </c>
      <c r="N55" s="125" t="str">
        <f t="shared" si="66"/>
        <v/>
      </c>
      <c r="O55" s="125" t="str">
        <f t="shared" si="66"/>
        <v/>
      </c>
      <c r="P55" s="125" t="str">
        <f t="shared" si="66"/>
        <v/>
      </c>
      <c r="Q55" s="125">
        <f t="shared" si="66"/>
        <v>600</v>
      </c>
      <c r="R55" s="125" t="str">
        <f t="shared" si="66"/>
        <v/>
      </c>
      <c r="S55" s="125" t="str">
        <f t="shared" si="66"/>
        <v/>
      </c>
      <c r="T55" s="125" t="str">
        <f t="shared" si="66"/>
        <v/>
      </c>
      <c r="U55" s="125" t="str">
        <f t="shared" si="66"/>
        <v/>
      </c>
      <c r="V55" s="125" t="str">
        <f t="shared" si="66"/>
        <v/>
      </c>
      <c r="W55" s="125" t="str">
        <f t="shared" si="66"/>
        <v/>
      </c>
      <c r="X55" s="125" t="str">
        <f t="shared" si="66"/>
        <v/>
      </c>
      <c r="Y55" s="125" t="str">
        <f t="shared" si="66"/>
        <v/>
      </c>
      <c r="Z55" s="125" t="str">
        <f t="shared" si="66"/>
        <v/>
      </c>
      <c r="AA55" s="125" t="str">
        <f t="shared" si="66"/>
        <v/>
      </c>
      <c r="AB55" s="125" t="str">
        <f t="shared" si="66"/>
        <v/>
      </c>
      <c r="AC55" s="125" t="str">
        <f t="shared" si="66"/>
        <v/>
      </c>
      <c r="AD55" s="125" t="str">
        <f t="shared" si="1"/>
        <v/>
      </c>
      <c r="AE55" s="125" t="str">
        <f t="shared" si="2"/>
        <v/>
      </c>
      <c r="AF55" s="125" t="str">
        <f t="shared" si="3"/>
        <v/>
      </c>
      <c r="AG55" s="125" t="str">
        <f t="shared" si="4"/>
        <v/>
      </c>
      <c r="AH55" s="125" t="str">
        <f t="shared" si="5"/>
        <v/>
      </c>
      <c r="AI55" s="125" t="str">
        <f t="shared" si="6"/>
        <v/>
      </c>
      <c r="AJ55" s="125" t="str">
        <f t="shared" si="7"/>
        <v/>
      </c>
      <c r="AK55" s="125" t="str">
        <f t="shared" si="8"/>
        <v/>
      </c>
      <c r="AL55" s="125" t="str">
        <f t="shared" si="9"/>
        <v/>
      </c>
      <c r="AM55" s="125" t="str">
        <f t="shared" si="10"/>
        <v/>
      </c>
      <c r="AN55" s="125" t="str">
        <f t="shared" si="11"/>
        <v/>
      </c>
      <c r="AO55" s="125" t="str">
        <f t="shared" si="12"/>
        <v/>
      </c>
      <c r="AP55" s="122">
        <v>7.86</v>
      </c>
      <c r="AQ55" s="130">
        <f t="shared" si="13"/>
        <v>4716</v>
      </c>
      <c r="AR55" s="130">
        <f t="shared" si="14"/>
        <v>36549</v>
      </c>
    </row>
    <row r="56" s="320" customFormat="1" customHeight="1" spans="1:44">
      <c r="A56" s="119">
        <v>45975</v>
      </c>
      <c r="B56" s="112">
        <v>46032</v>
      </c>
      <c r="C56" s="114" t="s">
        <v>246</v>
      </c>
      <c r="D56" s="330"/>
      <c r="E56" s="114" t="s">
        <v>295</v>
      </c>
      <c r="F56" s="114" t="s">
        <v>143</v>
      </c>
      <c r="G56" s="118">
        <v>1200</v>
      </c>
      <c r="H56" s="114" t="s">
        <v>258</v>
      </c>
      <c r="I56" s="125" t="str">
        <f>IFERROR(VLOOKUP(F56,名称!A:C,3,0),"")</f>
        <v>FNT</v>
      </c>
      <c r="J56" s="125" t="str">
        <f t="shared" ref="J56:AC56" si="67">IF(AND($F56=J$2,$G56&gt;0),$G56,"")</f>
        <v/>
      </c>
      <c r="K56" s="125" t="str">
        <f t="shared" si="67"/>
        <v/>
      </c>
      <c r="L56" s="125" t="str">
        <f t="shared" si="67"/>
        <v/>
      </c>
      <c r="M56" s="125" t="str">
        <f t="shared" si="67"/>
        <v/>
      </c>
      <c r="N56" s="125" t="str">
        <f t="shared" si="67"/>
        <v/>
      </c>
      <c r="O56" s="125" t="str">
        <f t="shared" si="67"/>
        <v/>
      </c>
      <c r="P56" s="125" t="str">
        <f t="shared" si="67"/>
        <v/>
      </c>
      <c r="Q56" s="125">
        <f t="shared" si="67"/>
        <v>1200</v>
      </c>
      <c r="R56" s="125" t="str">
        <f t="shared" si="67"/>
        <v/>
      </c>
      <c r="S56" s="125" t="str">
        <f t="shared" si="67"/>
        <v/>
      </c>
      <c r="T56" s="125" t="str">
        <f t="shared" si="67"/>
        <v/>
      </c>
      <c r="U56" s="125" t="str">
        <f t="shared" si="67"/>
        <v/>
      </c>
      <c r="V56" s="125" t="str">
        <f t="shared" si="67"/>
        <v/>
      </c>
      <c r="W56" s="125" t="str">
        <f t="shared" si="67"/>
        <v/>
      </c>
      <c r="X56" s="125" t="str">
        <f t="shared" si="67"/>
        <v/>
      </c>
      <c r="Y56" s="125" t="str">
        <f t="shared" si="67"/>
        <v/>
      </c>
      <c r="Z56" s="125" t="str">
        <f t="shared" si="67"/>
        <v/>
      </c>
      <c r="AA56" s="125" t="str">
        <f t="shared" si="67"/>
        <v/>
      </c>
      <c r="AB56" s="125" t="str">
        <f t="shared" si="67"/>
        <v/>
      </c>
      <c r="AC56" s="125" t="str">
        <f t="shared" si="67"/>
        <v/>
      </c>
      <c r="AD56" s="125" t="str">
        <f t="shared" si="1"/>
        <v/>
      </c>
      <c r="AE56" s="125" t="str">
        <f t="shared" si="2"/>
        <v/>
      </c>
      <c r="AF56" s="125" t="str">
        <f t="shared" si="3"/>
        <v/>
      </c>
      <c r="AG56" s="125" t="str">
        <f t="shared" si="4"/>
        <v/>
      </c>
      <c r="AH56" s="125" t="str">
        <f t="shared" si="5"/>
        <v/>
      </c>
      <c r="AI56" s="125" t="str">
        <f t="shared" si="6"/>
        <v/>
      </c>
      <c r="AJ56" s="125" t="str">
        <f t="shared" si="7"/>
        <v/>
      </c>
      <c r="AK56" s="125" t="str">
        <f t="shared" si="8"/>
        <v/>
      </c>
      <c r="AL56" s="125" t="str">
        <f t="shared" si="9"/>
        <v/>
      </c>
      <c r="AM56" s="125" t="str">
        <f t="shared" si="10"/>
        <v/>
      </c>
      <c r="AN56" s="125" t="str">
        <f t="shared" si="11"/>
        <v/>
      </c>
      <c r="AO56" s="125" t="str">
        <f t="shared" si="12"/>
        <v/>
      </c>
      <c r="AP56" s="122">
        <v>7.86</v>
      </c>
      <c r="AQ56" s="130">
        <f t="shared" si="13"/>
        <v>9432</v>
      </c>
      <c r="AR56" s="130">
        <f t="shared" si="14"/>
        <v>73098</v>
      </c>
    </row>
    <row r="57" s="320" customFormat="1" customHeight="1" spans="1:44">
      <c r="A57" s="119">
        <v>45975</v>
      </c>
      <c r="B57" s="112">
        <v>46032</v>
      </c>
      <c r="C57" s="114" t="s">
        <v>246</v>
      </c>
      <c r="D57" s="330"/>
      <c r="E57" s="114" t="s">
        <v>295</v>
      </c>
      <c r="F57" s="114" t="s">
        <v>143</v>
      </c>
      <c r="G57" s="118">
        <f>600+1200+1200-600-1200</f>
        <v>1200</v>
      </c>
      <c r="H57" s="114" t="s">
        <v>258</v>
      </c>
      <c r="I57" s="125" t="str">
        <f>IFERROR(VLOOKUP(F57,名称!A:C,3,0),"")</f>
        <v>FNT</v>
      </c>
      <c r="J57" s="125" t="str">
        <f t="shared" ref="J57:AC57" si="68">IF(AND($F57=J$2,$G57&gt;0),$G57,"")</f>
        <v/>
      </c>
      <c r="K57" s="125" t="str">
        <f t="shared" si="68"/>
        <v/>
      </c>
      <c r="L57" s="125" t="str">
        <f t="shared" si="68"/>
        <v/>
      </c>
      <c r="M57" s="125" t="str">
        <f t="shared" si="68"/>
        <v/>
      </c>
      <c r="N57" s="125" t="str">
        <f t="shared" si="68"/>
        <v/>
      </c>
      <c r="O57" s="125" t="str">
        <f t="shared" si="68"/>
        <v/>
      </c>
      <c r="P57" s="125" t="str">
        <f t="shared" si="68"/>
        <v/>
      </c>
      <c r="Q57" s="125">
        <f t="shared" si="68"/>
        <v>1200</v>
      </c>
      <c r="R57" s="125" t="str">
        <f t="shared" si="68"/>
        <v/>
      </c>
      <c r="S57" s="125" t="str">
        <f t="shared" si="68"/>
        <v/>
      </c>
      <c r="T57" s="125" t="str">
        <f t="shared" si="68"/>
        <v/>
      </c>
      <c r="U57" s="125" t="str">
        <f t="shared" si="68"/>
        <v/>
      </c>
      <c r="V57" s="125" t="str">
        <f t="shared" si="68"/>
        <v/>
      </c>
      <c r="W57" s="125" t="str">
        <f t="shared" si="68"/>
        <v/>
      </c>
      <c r="X57" s="125" t="str">
        <f t="shared" si="68"/>
        <v/>
      </c>
      <c r="Y57" s="125" t="str">
        <f t="shared" si="68"/>
        <v/>
      </c>
      <c r="Z57" s="125" t="str">
        <f t="shared" si="68"/>
        <v/>
      </c>
      <c r="AA57" s="125" t="str">
        <f t="shared" si="68"/>
        <v/>
      </c>
      <c r="AB57" s="125" t="str">
        <f t="shared" si="68"/>
        <v/>
      </c>
      <c r="AC57" s="125" t="str">
        <f t="shared" si="68"/>
        <v/>
      </c>
      <c r="AD57" s="125" t="str">
        <f t="shared" si="1"/>
        <v/>
      </c>
      <c r="AE57" s="125" t="str">
        <f t="shared" si="2"/>
        <v/>
      </c>
      <c r="AF57" s="125" t="str">
        <f t="shared" si="3"/>
        <v/>
      </c>
      <c r="AG57" s="125" t="str">
        <f t="shared" si="4"/>
        <v/>
      </c>
      <c r="AH57" s="125" t="str">
        <f t="shared" si="5"/>
        <v/>
      </c>
      <c r="AI57" s="125" t="str">
        <f t="shared" si="6"/>
        <v/>
      </c>
      <c r="AJ57" s="125" t="str">
        <f t="shared" si="7"/>
        <v/>
      </c>
      <c r="AK57" s="125" t="str">
        <f t="shared" si="8"/>
        <v/>
      </c>
      <c r="AL57" s="125" t="str">
        <f t="shared" si="9"/>
        <v/>
      </c>
      <c r="AM57" s="125" t="str">
        <f t="shared" si="10"/>
        <v/>
      </c>
      <c r="AN57" s="125" t="str">
        <f t="shared" si="11"/>
        <v/>
      </c>
      <c r="AO57" s="125" t="str">
        <f t="shared" si="12"/>
        <v/>
      </c>
      <c r="AP57" s="122">
        <v>7.86</v>
      </c>
      <c r="AQ57" s="130">
        <f t="shared" si="13"/>
        <v>9432</v>
      </c>
      <c r="AR57" s="130">
        <f t="shared" si="14"/>
        <v>73098</v>
      </c>
    </row>
    <row r="58" s="320" customFormat="1" customHeight="1" spans="1:44">
      <c r="A58" s="119">
        <v>45975</v>
      </c>
      <c r="B58" s="112">
        <v>46036</v>
      </c>
      <c r="C58" s="114" t="s">
        <v>246</v>
      </c>
      <c r="D58" s="330"/>
      <c r="E58" s="114" t="s">
        <v>288</v>
      </c>
      <c r="F58" s="114" t="s">
        <v>143</v>
      </c>
      <c r="G58" s="118">
        <v>1000</v>
      </c>
      <c r="H58" s="114" t="s">
        <v>258</v>
      </c>
      <c r="I58" s="125" t="str">
        <f>IFERROR(VLOOKUP(F58,名称!A:C,3,0),"")</f>
        <v>FNT</v>
      </c>
      <c r="J58" s="125" t="str">
        <f t="shared" ref="J58:AC58" si="69">IF(AND($F58=J$2,$G58&gt;0),$G58,"")</f>
        <v/>
      </c>
      <c r="K58" s="125" t="str">
        <f t="shared" si="69"/>
        <v/>
      </c>
      <c r="L58" s="125" t="str">
        <f t="shared" si="69"/>
        <v/>
      </c>
      <c r="M58" s="125" t="str">
        <f t="shared" si="69"/>
        <v/>
      </c>
      <c r="N58" s="125" t="str">
        <f t="shared" si="69"/>
        <v/>
      </c>
      <c r="O58" s="125" t="str">
        <f t="shared" si="69"/>
        <v/>
      </c>
      <c r="P58" s="125" t="str">
        <f t="shared" si="69"/>
        <v/>
      </c>
      <c r="Q58" s="125">
        <f t="shared" si="69"/>
        <v>1000</v>
      </c>
      <c r="R58" s="125" t="str">
        <f t="shared" si="69"/>
        <v/>
      </c>
      <c r="S58" s="125" t="str">
        <f t="shared" si="69"/>
        <v/>
      </c>
      <c r="T58" s="125" t="str">
        <f t="shared" si="69"/>
        <v/>
      </c>
      <c r="U58" s="125" t="str">
        <f t="shared" si="69"/>
        <v/>
      </c>
      <c r="V58" s="125" t="str">
        <f t="shared" si="69"/>
        <v/>
      </c>
      <c r="W58" s="125" t="str">
        <f t="shared" si="69"/>
        <v/>
      </c>
      <c r="X58" s="125" t="str">
        <f t="shared" si="69"/>
        <v/>
      </c>
      <c r="Y58" s="125" t="str">
        <f t="shared" si="69"/>
        <v/>
      </c>
      <c r="Z58" s="125" t="str">
        <f t="shared" si="69"/>
        <v/>
      </c>
      <c r="AA58" s="125" t="str">
        <f t="shared" si="69"/>
        <v/>
      </c>
      <c r="AB58" s="125" t="str">
        <f t="shared" si="69"/>
        <v/>
      </c>
      <c r="AC58" s="125" t="str">
        <f t="shared" si="69"/>
        <v/>
      </c>
      <c r="AD58" s="125" t="str">
        <f t="shared" si="1"/>
        <v/>
      </c>
      <c r="AE58" s="125" t="str">
        <f t="shared" si="2"/>
        <v/>
      </c>
      <c r="AF58" s="125" t="str">
        <f t="shared" si="3"/>
        <v/>
      </c>
      <c r="AG58" s="125" t="str">
        <f t="shared" si="4"/>
        <v/>
      </c>
      <c r="AH58" s="125" t="str">
        <f t="shared" si="5"/>
        <v/>
      </c>
      <c r="AI58" s="125" t="str">
        <f t="shared" si="6"/>
        <v/>
      </c>
      <c r="AJ58" s="125" t="str">
        <f t="shared" si="7"/>
        <v/>
      </c>
      <c r="AK58" s="125" t="str">
        <f t="shared" si="8"/>
        <v/>
      </c>
      <c r="AL58" s="125" t="str">
        <f t="shared" si="9"/>
        <v/>
      </c>
      <c r="AM58" s="125" t="str">
        <f t="shared" si="10"/>
        <v/>
      </c>
      <c r="AN58" s="125" t="str">
        <f t="shared" si="11"/>
        <v/>
      </c>
      <c r="AO58" s="125" t="str">
        <f t="shared" si="12"/>
        <v/>
      </c>
      <c r="AP58" s="122">
        <v>7.86</v>
      </c>
      <c r="AQ58" s="130">
        <f t="shared" si="13"/>
        <v>7860</v>
      </c>
      <c r="AR58" s="130">
        <f t="shared" si="14"/>
        <v>60915</v>
      </c>
    </row>
    <row r="59" s="320" customFormat="1" customHeight="1" spans="1:44">
      <c r="A59" s="119">
        <v>45981</v>
      </c>
      <c r="B59" s="112">
        <v>46029</v>
      </c>
      <c r="C59" s="114" t="s">
        <v>246</v>
      </c>
      <c r="D59" s="330"/>
      <c r="E59" s="114">
        <v>4560812600</v>
      </c>
      <c r="F59" s="114" t="s">
        <v>204</v>
      </c>
      <c r="G59" s="118">
        <v>4113</v>
      </c>
      <c r="H59" s="114" t="s">
        <v>255</v>
      </c>
      <c r="I59" s="125" t="str">
        <f>IFERROR(VLOOKUP(F59,名称!A:C,3,0),"")</f>
        <v>SNF</v>
      </c>
      <c r="J59" s="125" t="str">
        <f t="shared" ref="J59:AC59" si="70">IF(AND($F59=J$2,$G59&gt;0),$G59,"")</f>
        <v/>
      </c>
      <c r="K59" s="125" t="str">
        <f t="shared" si="70"/>
        <v/>
      </c>
      <c r="L59" s="125" t="str">
        <f t="shared" si="70"/>
        <v/>
      </c>
      <c r="M59" s="125" t="str">
        <f t="shared" si="70"/>
        <v/>
      </c>
      <c r="N59" s="125" t="str">
        <f t="shared" si="70"/>
        <v/>
      </c>
      <c r="O59" s="125" t="str">
        <f t="shared" si="70"/>
        <v/>
      </c>
      <c r="P59" s="125" t="str">
        <f t="shared" si="70"/>
        <v/>
      </c>
      <c r="Q59" s="125" t="str">
        <f t="shared" si="70"/>
        <v/>
      </c>
      <c r="R59" s="125" t="str">
        <f t="shared" si="70"/>
        <v/>
      </c>
      <c r="S59" s="125" t="str">
        <f t="shared" si="70"/>
        <v/>
      </c>
      <c r="T59" s="125" t="str">
        <f t="shared" si="70"/>
        <v/>
      </c>
      <c r="U59" s="125" t="str">
        <f t="shared" si="70"/>
        <v/>
      </c>
      <c r="V59" s="125" t="str">
        <f t="shared" si="70"/>
        <v/>
      </c>
      <c r="W59" s="125" t="str">
        <f t="shared" si="70"/>
        <v/>
      </c>
      <c r="X59" s="125" t="str">
        <f t="shared" si="70"/>
        <v/>
      </c>
      <c r="Y59" s="125" t="str">
        <f t="shared" si="70"/>
        <v/>
      </c>
      <c r="Z59" s="125">
        <f t="shared" si="70"/>
        <v>4113</v>
      </c>
      <c r="AA59" s="125" t="str">
        <f t="shared" si="70"/>
        <v/>
      </c>
      <c r="AB59" s="125" t="str">
        <f t="shared" si="70"/>
        <v/>
      </c>
      <c r="AC59" s="125" t="str">
        <f t="shared" si="70"/>
        <v/>
      </c>
      <c r="AD59" s="125" t="str">
        <f t="shared" si="1"/>
        <v/>
      </c>
      <c r="AE59" s="125" t="str">
        <f t="shared" si="2"/>
        <v/>
      </c>
      <c r="AF59" s="125" t="str">
        <f t="shared" si="3"/>
        <v/>
      </c>
      <c r="AG59" s="125" t="str">
        <f t="shared" si="4"/>
        <v/>
      </c>
      <c r="AH59" s="125" t="str">
        <f t="shared" si="5"/>
        <v/>
      </c>
      <c r="AI59" s="125" t="str">
        <f t="shared" si="6"/>
        <v/>
      </c>
      <c r="AJ59" s="125" t="str">
        <f t="shared" si="7"/>
        <v/>
      </c>
      <c r="AK59" s="125" t="str">
        <f t="shared" si="8"/>
        <v/>
      </c>
      <c r="AL59" s="125" t="str">
        <f t="shared" si="9"/>
        <v/>
      </c>
      <c r="AM59" s="125" t="str">
        <f t="shared" si="10"/>
        <v/>
      </c>
      <c r="AN59" s="125" t="str">
        <f t="shared" si="11"/>
        <v/>
      </c>
      <c r="AO59" s="125" t="str">
        <f t="shared" si="12"/>
        <v/>
      </c>
      <c r="AP59" s="122">
        <v>2.22</v>
      </c>
      <c r="AQ59" s="130">
        <f t="shared" si="13"/>
        <v>9130.86</v>
      </c>
      <c r="AR59" s="130">
        <f t="shared" si="14"/>
        <v>70764.17</v>
      </c>
    </row>
    <row r="60" s="320" customFormat="1" customHeight="1" spans="1:44">
      <c r="A60" s="119">
        <v>45981</v>
      </c>
      <c r="B60" s="112">
        <v>46029</v>
      </c>
      <c r="C60" s="114" t="s">
        <v>246</v>
      </c>
      <c r="D60" s="330"/>
      <c r="E60" s="114">
        <v>4560812771</v>
      </c>
      <c r="F60" s="114" t="s">
        <v>204</v>
      </c>
      <c r="G60" s="118">
        <v>3531</v>
      </c>
      <c r="H60" s="114" t="s">
        <v>255</v>
      </c>
      <c r="I60" s="125" t="str">
        <f>IFERROR(VLOOKUP(F60,名称!A:C,3,0),"")</f>
        <v>SNF</v>
      </c>
      <c r="J60" s="125" t="str">
        <f t="shared" ref="J60:AC60" si="71">IF(AND($F60=J$2,$G60&gt;0),$G60,"")</f>
        <v/>
      </c>
      <c r="K60" s="125" t="str">
        <f t="shared" si="71"/>
        <v/>
      </c>
      <c r="L60" s="125" t="str">
        <f t="shared" si="71"/>
        <v/>
      </c>
      <c r="M60" s="125" t="str">
        <f t="shared" si="71"/>
        <v/>
      </c>
      <c r="N60" s="125" t="str">
        <f t="shared" si="71"/>
        <v/>
      </c>
      <c r="O60" s="125" t="str">
        <f t="shared" si="71"/>
        <v/>
      </c>
      <c r="P60" s="125" t="str">
        <f t="shared" si="71"/>
        <v/>
      </c>
      <c r="Q60" s="125" t="str">
        <f t="shared" si="71"/>
        <v/>
      </c>
      <c r="R60" s="125" t="str">
        <f t="shared" si="71"/>
        <v/>
      </c>
      <c r="S60" s="125" t="str">
        <f t="shared" si="71"/>
        <v/>
      </c>
      <c r="T60" s="125" t="str">
        <f t="shared" si="71"/>
        <v/>
      </c>
      <c r="U60" s="125" t="str">
        <f t="shared" si="71"/>
        <v/>
      </c>
      <c r="V60" s="125" t="str">
        <f t="shared" si="71"/>
        <v/>
      </c>
      <c r="W60" s="125" t="str">
        <f t="shared" si="71"/>
        <v/>
      </c>
      <c r="X60" s="125" t="str">
        <f t="shared" si="71"/>
        <v/>
      </c>
      <c r="Y60" s="125" t="str">
        <f t="shared" si="71"/>
        <v/>
      </c>
      <c r="Z60" s="125">
        <f t="shared" si="71"/>
        <v>3531</v>
      </c>
      <c r="AA60" s="125" t="str">
        <f t="shared" si="71"/>
        <v/>
      </c>
      <c r="AB60" s="125" t="str">
        <f t="shared" si="71"/>
        <v/>
      </c>
      <c r="AC60" s="125" t="str">
        <f t="shared" si="71"/>
        <v/>
      </c>
      <c r="AD60" s="125" t="str">
        <f t="shared" si="1"/>
        <v/>
      </c>
      <c r="AE60" s="125" t="str">
        <f t="shared" si="2"/>
        <v/>
      </c>
      <c r="AF60" s="125" t="str">
        <f t="shared" si="3"/>
        <v/>
      </c>
      <c r="AG60" s="125" t="str">
        <f t="shared" si="4"/>
        <v/>
      </c>
      <c r="AH60" s="125" t="str">
        <f t="shared" si="5"/>
        <v/>
      </c>
      <c r="AI60" s="125" t="str">
        <f t="shared" si="6"/>
        <v/>
      </c>
      <c r="AJ60" s="125" t="str">
        <f t="shared" si="7"/>
        <v/>
      </c>
      <c r="AK60" s="125" t="str">
        <f t="shared" si="8"/>
        <v/>
      </c>
      <c r="AL60" s="125" t="str">
        <f t="shared" si="9"/>
        <v/>
      </c>
      <c r="AM60" s="125" t="str">
        <f t="shared" si="10"/>
        <v/>
      </c>
      <c r="AN60" s="125" t="str">
        <f t="shared" si="11"/>
        <v/>
      </c>
      <c r="AO60" s="125" t="str">
        <f t="shared" si="12"/>
        <v/>
      </c>
      <c r="AP60" s="122">
        <v>2.22</v>
      </c>
      <c r="AQ60" s="130">
        <f t="shared" si="13"/>
        <v>7838.82</v>
      </c>
      <c r="AR60" s="130">
        <f t="shared" si="14"/>
        <v>60750.86</v>
      </c>
    </row>
    <row r="61" s="320" customFormat="1" customHeight="1" spans="1:44">
      <c r="A61" s="119">
        <v>45981</v>
      </c>
      <c r="B61" s="112">
        <v>46029</v>
      </c>
      <c r="C61" s="114" t="s">
        <v>246</v>
      </c>
      <c r="D61" s="330"/>
      <c r="E61" s="114">
        <v>4560812829</v>
      </c>
      <c r="F61" s="114" t="s">
        <v>204</v>
      </c>
      <c r="G61" s="118">
        <v>2994</v>
      </c>
      <c r="H61" s="114" t="s">
        <v>255</v>
      </c>
      <c r="I61" s="125" t="str">
        <f>IFERROR(VLOOKUP(F61,名称!A:C,3,0),"")</f>
        <v>SNF</v>
      </c>
      <c r="J61" s="125" t="str">
        <f t="shared" ref="J61:AC61" si="72">IF(AND($F61=J$2,$G61&gt;0),$G61,"")</f>
        <v/>
      </c>
      <c r="K61" s="125" t="str">
        <f t="shared" si="72"/>
        <v/>
      </c>
      <c r="L61" s="125" t="str">
        <f t="shared" si="72"/>
        <v/>
      </c>
      <c r="M61" s="125" t="str">
        <f t="shared" si="72"/>
        <v/>
      </c>
      <c r="N61" s="125" t="str">
        <f t="shared" si="72"/>
        <v/>
      </c>
      <c r="O61" s="125" t="str">
        <f t="shared" si="72"/>
        <v/>
      </c>
      <c r="P61" s="125" t="str">
        <f t="shared" si="72"/>
        <v/>
      </c>
      <c r="Q61" s="125" t="str">
        <f t="shared" si="72"/>
        <v/>
      </c>
      <c r="R61" s="125" t="str">
        <f t="shared" si="72"/>
        <v/>
      </c>
      <c r="S61" s="125" t="str">
        <f t="shared" si="72"/>
        <v/>
      </c>
      <c r="T61" s="125" t="str">
        <f t="shared" si="72"/>
        <v/>
      </c>
      <c r="U61" s="125" t="str">
        <f t="shared" si="72"/>
        <v/>
      </c>
      <c r="V61" s="125" t="str">
        <f t="shared" si="72"/>
        <v/>
      </c>
      <c r="W61" s="125" t="str">
        <f t="shared" si="72"/>
        <v/>
      </c>
      <c r="X61" s="125" t="str">
        <f t="shared" si="72"/>
        <v/>
      </c>
      <c r="Y61" s="125" t="str">
        <f t="shared" si="72"/>
        <v/>
      </c>
      <c r="Z61" s="125">
        <f t="shared" si="72"/>
        <v>2994</v>
      </c>
      <c r="AA61" s="125" t="str">
        <f t="shared" si="72"/>
        <v/>
      </c>
      <c r="AB61" s="125" t="str">
        <f t="shared" si="72"/>
        <v/>
      </c>
      <c r="AC61" s="125" t="str">
        <f t="shared" si="72"/>
        <v/>
      </c>
      <c r="AD61" s="125" t="str">
        <f t="shared" si="1"/>
        <v/>
      </c>
      <c r="AE61" s="125" t="str">
        <f t="shared" si="2"/>
        <v/>
      </c>
      <c r="AF61" s="125" t="str">
        <f t="shared" si="3"/>
        <v/>
      </c>
      <c r="AG61" s="125" t="str">
        <f t="shared" si="4"/>
        <v/>
      </c>
      <c r="AH61" s="125" t="str">
        <f t="shared" si="5"/>
        <v/>
      </c>
      <c r="AI61" s="125" t="str">
        <f t="shared" si="6"/>
        <v/>
      </c>
      <c r="AJ61" s="125" t="str">
        <f t="shared" si="7"/>
        <v/>
      </c>
      <c r="AK61" s="125" t="str">
        <f t="shared" si="8"/>
        <v/>
      </c>
      <c r="AL61" s="125" t="str">
        <f t="shared" si="9"/>
        <v/>
      </c>
      <c r="AM61" s="125" t="str">
        <f t="shared" si="10"/>
        <v/>
      </c>
      <c r="AN61" s="125" t="str">
        <f t="shared" si="11"/>
        <v/>
      </c>
      <c r="AO61" s="125" t="str">
        <f t="shared" si="12"/>
        <v/>
      </c>
      <c r="AP61" s="122">
        <v>2.22</v>
      </c>
      <c r="AQ61" s="130">
        <f t="shared" si="13"/>
        <v>6646.68</v>
      </c>
      <c r="AR61" s="130">
        <f t="shared" si="14"/>
        <v>51511.77</v>
      </c>
    </row>
    <row r="62" s="320" customFormat="1" customHeight="1" spans="1:44">
      <c r="A62" s="119">
        <v>45981</v>
      </c>
      <c r="B62" s="112">
        <v>46029</v>
      </c>
      <c r="C62" s="114" t="s">
        <v>246</v>
      </c>
      <c r="D62" s="330"/>
      <c r="E62" s="114">
        <v>4560812863</v>
      </c>
      <c r="F62" s="114" t="s">
        <v>204</v>
      </c>
      <c r="G62" s="118">
        <v>3402</v>
      </c>
      <c r="H62" s="114" t="s">
        <v>255</v>
      </c>
      <c r="I62" s="125" t="str">
        <f>IFERROR(VLOOKUP(F62,名称!A:C,3,0),"")</f>
        <v>SNF</v>
      </c>
      <c r="J62" s="125" t="str">
        <f t="shared" ref="J62:AC62" si="73">IF(AND($F62=J$2,$G62&gt;0),$G62,"")</f>
        <v/>
      </c>
      <c r="K62" s="125" t="str">
        <f t="shared" si="73"/>
        <v/>
      </c>
      <c r="L62" s="125" t="str">
        <f t="shared" si="73"/>
        <v/>
      </c>
      <c r="M62" s="125" t="str">
        <f t="shared" si="73"/>
        <v/>
      </c>
      <c r="N62" s="125" t="str">
        <f t="shared" si="73"/>
        <v/>
      </c>
      <c r="O62" s="125" t="str">
        <f t="shared" si="73"/>
        <v/>
      </c>
      <c r="P62" s="125" t="str">
        <f t="shared" si="73"/>
        <v/>
      </c>
      <c r="Q62" s="125" t="str">
        <f t="shared" si="73"/>
        <v/>
      </c>
      <c r="R62" s="125" t="str">
        <f t="shared" si="73"/>
        <v/>
      </c>
      <c r="S62" s="125" t="str">
        <f t="shared" si="73"/>
        <v/>
      </c>
      <c r="T62" s="125" t="str">
        <f t="shared" si="73"/>
        <v/>
      </c>
      <c r="U62" s="125" t="str">
        <f t="shared" si="73"/>
        <v/>
      </c>
      <c r="V62" s="125" t="str">
        <f t="shared" si="73"/>
        <v/>
      </c>
      <c r="W62" s="125" t="str">
        <f t="shared" si="73"/>
        <v/>
      </c>
      <c r="X62" s="125" t="str">
        <f t="shared" si="73"/>
        <v/>
      </c>
      <c r="Y62" s="125" t="str">
        <f t="shared" si="73"/>
        <v/>
      </c>
      <c r="Z62" s="125">
        <f t="shared" si="73"/>
        <v>3402</v>
      </c>
      <c r="AA62" s="125" t="str">
        <f t="shared" si="73"/>
        <v/>
      </c>
      <c r="AB62" s="125" t="str">
        <f t="shared" si="73"/>
        <v/>
      </c>
      <c r="AC62" s="125" t="str">
        <f t="shared" si="73"/>
        <v/>
      </c>
      <c r="AD62" s="125" t="str">
        <f t="shared" si="1"/>
        <v/>
      </c>
      <c r="AE62" s="125" t="str">
        <f t="shared" si="2"/>
        <v/>
      </c>
      <c r="AF62" s="125" t="str">
        <f t="shared" si="3"/>
        <v/>
      </c>
      <c r="AG62" s="125" t="str">
        <f t="shared" si="4"/>
        <v/>
      </c>
      <c r="AH62" s="125" t="str">
        <f t="shared" si="5"/>
        <v/>
      </c>
      <c r="AI62" s="125" t="str">
        <f t="shared" si="6"/>
        <v/>
      </c>
      <c r="AJ62" s="125" t="str">
        <f t="shared" si="7"/>
        <v/>
      </c>
      <c r="AK62" s="125" t="str">
        <f t="shared" si="8"/>
        <v/>
      </c>
      <c r="AL62" s="125" t="str">
        <f t="shared" si="9"/>
        <v/>
      </c>
      <c r="AM62" s="125" t="str">
        <f t="shared" si="10"/>
        <v/>
      </c>
      <c r="AN62" s="125" t="str">
        <f t="shared" si="11"/>
        <v/>
      </c>
      <c r="AO62" s="125" t="str">
        <f t="shared" si="12"/>
        <v/>
      </c>
      <c r="AP62" s="122">
        <v>2.22</v>
      </c>
      <c r="AQ62" s="130">
        <f t="shared" si="13"/>
        <v>7552.44</v>
      </c>
      <c r="AR62" s="130">
        <f t="shared" si="14"/>
        <v>58531.41</v>
      </c>
    </row>
    <row r="63" s="320" customFormat="1" customHeight="1" spans="1:44">
      <c r="A63" s="119">
        <v>45981</v>
      </c>
      <c r="B63" s="112">
        <v>46029</v>
      </c>
      <c r="C63" s="114" t="s">
        <v>246</v>
      </c>
      <c r="D63" s="330"/>
      <c r="E63" s="114">
        <v>4560812876</v>
      </c>
      <c r="F63" s="114" t="s">
        <v>204</v>
      </c>
      <c r="G63" s="118">
        <v>3954</v>
      </c>
      <c r="H63" s="114" t="s">
        <v>255</v>
      </c>
      <c r="I63" s="125" t="str">
        <f>IFERROR(VLOOKUP(F63,名称!A:C,3,0),"")</f>
        <v>SNF</v>
      </c>
      <c r="J63" s="125" t="str">
        <f t="shared" ref="J63:AC63" si="74">IF(AND($F63=J$2,$G63&gt;0),$G63,"")</f>
        <v/>
      </c>
      <c r="K63" s="125" t="str">
        <f t="shared" si="74"/>
        <v/>
      </c>
      <c r="L63" s="125" t="str">
        <f t="shared" si="74"/>
        <v/>
      </c>
      <c r="M63" s="125" t="str">
        <f t="shared" si="74"/>
        <v/>
      </c>
      <c r="N63" s="125" t="str">
        <f t="shared" si="74"/>
        <v/>
      </c>
      <c r="O63" s="125" t="str">
        <f t="shared" si="74"/>
        <v/>
      </c>
      <c r="P63" s="125" t="str">
        <f t="shared" si="74"/>
        <v/>
      </c>
      <c r="Q63" s="125" t="str">
        <f t="shared" si="74"/>
        <v/>
      </c>
      <c r="R63" s="125" t="str">
        <f t="shared" si="74"/>
        <v/>
      </c>
      <c r="S63" s="125" t="str">
        <f t="shared" si="74"/>
        <v/>
      </c>
      <c r="T63" s="125" t="str">
        <f t="shared" si="74"/>
        <v/>
      </c>
      <c r="U63" s="125" t="str">
        <f t="shared" si="74"/>
        <v/>
      </c>
      <c r="V63" s="125" t="str">
        <f t="shared" si="74"/>
        <v/>
      </c>
      <c r="W63" s="125" t="str">
        <f t="shared" si="74"/>
        <v/>
      </c>
      <c r="X63" s="125" t="str">
        <f t="shared" si="74"/>
        <v/>
      </c>
      <c r="Y63" s="125" t="str">
        <f t="shared" si="74"/>
        <v/>
      </c>
      <c r="Z63" s="125">
        <f t="shared" si="74"/>
        <v>3954</v>
      </c>
      <c r="AA63" s="125" t="str">
        <f t="shared" si="74"/>
        <v/>
      </c>
      <c r="AB63" s="125" t="str">
        <f t="shared" si="74"/>
        <v/>
      </c>
      <c r="AC63" s="125" t="str">
        <f t="shared" si="74"/>
        <v/>
      </c>
      <c r="AD63" s="125" t="str">
        <f t="shared" si="1"/>
        <v/>
      </c>
      <c r="AE63" s="125" t="str">
        <f t="shared" si="2"/>
        <v/>
      </c>
      <c r="AF63" s="125" t="str">
        <f t="shared" si="3"/>
        <v/>
      </c>
      <c r="AG63" s="125" t="str">
        <f t="shared" si="4"/>
        <v/>
      </c>
      <c r="AH63" s="125" t="str">
        <f t="shared" si="5"/>
        <v/>
      </c>
      <c r="AI63" s="125" t="str">
        <f t="shared" si="6"/>
        <v/>
      </c>
      <c r="AJ63" s="125" t="str">
        <f t="shared" si="7"/>
        <v/>
      </c>
      <c r="AK63" s="125" t="str">
        <f t="shared" si="8"/>
        <v/>
      </c>
      <c r="AL63" s="125" t="str">
        <f t="shared" si="9"/>
        <v/>
      </c>
      <c r="AM63" s="125" t="str">
        <f t="shared" si="10"/>
        <v/>
      </c>
      <c r="AN63" s="125" t="str">
        <f t="shared" si="11"/>
        <v/>
      </c>
      <c r="AO63" s="125" t="str">
        <f t="shared" si="12"/>
        <v/>
      </c>
      <c r="AP63" s="122">
        <v>2.22</v>
      </c>
      <c r="AQ63" s="130">
        <f t="shared" si="13"/>
        <v>8777.88</v>
      </c>
      <c r="AR63" s="130">
        <f t="shared" si="14"/>
        <v>68028.57</v>
      </c>
    </row>
    <row r="64" s="320" customFormat="1" customHeight="1" spans="1:44">
      <c r="A64" s="119">
        <v>45981</v>
      </c>
      <c r="B64" s="112">
        <v>46029</v>
      </c>
      <c r="C64" s="114" t="s">
        <v>246</v>
      </c>
      <c r="D64" s="330"/>
      <c r="E64" s="114">
        <v>4560812888</v>
      </c>
      <c r="F64" s="114" t="s">
        <v>204</v>
      </c>
      <c r="G64" s="118">
        <v>5106</v>
      </c>
      <c r="H64" s="114" t="s">
        <v>255</v>
      </c>
      <c r="I64" s="125" t="str">
        <f>IFERROR(VLOOKUP(F64,名称!A:C,3,0),"")</f>
        <v>SNF</v>
      </c>
      <c r="J64" s="125" t="str">
        <f t="shared" ref="J64:AC64" si="75">IF(AND($F64=J$2,$G64&gt;0),$G64,"")</f>
        <v/>
      </c>
      <c r="K64" s="125" t="str">
        <f t="shared" si="75"/>
        <v/>
      </c>
      <c r="L64" s="125" t="str">
        <f t="shared" si="75"/>
        <v/>
      </c>
      <c r="M64" s="125" t="str">
        <f t="shared" si="75"/>
        <v/>
      </c>
      <c r="N64" s="125" t="str">
        <f t="shared" si="75"/>
        <v/>
      </c>
      <c r="O64" s="125" t="str">
        <f t="shared" si="75"/>
        <v/>
      </c>
      <c r="P64" s="125" t="str">
        <f t="shared" si="75"/>
        <v/>
      </c>
      <c r="Q64" s="125" t="str">
        <f t="shared" si="75"/>
        <v/>
      </c>
      <c r="R64" s="125" t="str">
        <f t="shared" si="75"/>
        <v/>
      </c>
      <c r="S64" s="125" t="str">
        <f t="shared" si="75"/>
        <v/>
      </c>
      <c r="T64" s="125" t="str">
        <f t="shared" si="75"/>
        <v/>
      </c>
      <c r="U64" s="125" t="str">
        <f t="shared" si="75"/>
        <v/>
      </c>
      <c r="V64" s="125" t="str">
        <f t="shared" si="75"/>
        <v/>
      </c>
      <c r="W64" s="125" t="str">
        <f t="shared" si="75"/>
        <v/>
      </c>
      <c r="X64" s="125" t="str">
        <f t="shared" si="75"/>
        <v/>
      </c>
      <c r="Y64" s="125" t="str">
        <f t="shared" si="75"/>
        <v/>
      </c>
      <c r="Z64" s="125">
        <f t="shared" si="75"/>
        <v>5106</v>
      </c>
      <c r="AA64" s="125" t="str">
        <f t="shared" si="75"/>
        <v/>
      </c>
      <c r="AB64" s="125" t="str">
        <f t="shared" si="75"/>
        <v/>
      </c>
      <c r="AC64" s="125" t="str">
        <f t="shared" si="75"/>
        <v/>
      </c>
      <c r="AD64" s="125" t="str">
        <f t="shared" si="1"/>
        <v/>
      </c>
      <c r="AE64" s="125" t="str">
        <f t="shared" si="2"/>
        <v/>
      </c>
      <c r="AF64" s="125" t="str">
        <f t="shared" si="3"/>
        <v/>
      </c>
      <c r="AG64" s="125" t="str">
        <f t="shared" si="4"/>
        <v/>
      </c>
      <c r="AH64" s="125" t="str">
        <f t="shared" si="5"/>
        <v/>
      </c>
      <c r="AI64" s="125" t="str">
        <f t="shared" si="6"/>
        <v/>
      </c>
      <c r="AJ64" s="125" t="str">
        <f t="shared" si="7"/>
        <v/>
      </c>
      <c r="AK64" s="125" t="str">
        <f t="shared" si="8"/>
        <v/>
      </c>
      <c r="AL64" s="125" t="str">
        <f t="shared" si="9"/>
        <v/>
      </c>
      <c r="AM64" s="125" t="str">
        <f t="shared" si="10"/>
        <v/>
      </c>
      <c r="AN64" s="125" t="str">
        <f t="shared" si="11"/>
        <v/>
      </c>
      <c r="AO64" s="125" t="str">
        <f t="shared" si="12"/>
        <v/>
      </c>
      <c r="AP64" s="122">
        <v>2.22</v>
      </c>
      <c r="AQ64" s="130">
        <f t="shared" si="13"/>
        <v>11335.32</v>
      </c>
      <c r="AR64" s="130">
        <f t="shared" si="14"/>
        <v>87848.73</v>
      </c>
    </row>
    <row r="65" s="320" customFormat="1" customHeight="1" spans="1:44">
      <c r="A65" s="119">
        <v>45981</v>
      </c>
      <c r="B65" s="112">
        <v>46029</v>
      </c>
      <c r="C65" s="114" t="s">
        <v>246</v>
      </c>
      <c r="D65" s="330"/>
      <c r="E65" s="114">
        <v>4560812894</v>
      </c>
      <c r="F65" s="114" t="s">
        <v>204</v>
      </c>
      <c r="G65" s="118">
        <v>828</v>
      </c>
      <c r="H65" s="114" t="s">
        <v>255</v>
      </c>
      <c r="I65" s="125" t="str">
        <f>IFERROR(VLOOKUP(F65,名称!A:C,3,0),"")</f>
        <v>SNF</v>
      </c>
      <c r="J65" s="125" t="str">
        <f t="shared" ref="J65:AC65" si="76">IF(AND($F65=J$2,$G65&gt;0),$G65,"")</f>
        <v/>
      </c>
      <c r="K65" s="125" t="str">
        <f t="shared" si="76"/>
        <v/>
      </c>
      <c r="L65" s="125" t="str">
        <f t="shared" si="76"/>
        <v/>
      </c>
      <c r="M65" s="125" t="str">
        <f t="shared" si="76"/>
        <v/>
      </c>
      <c r="N65" s="125" t="str">
        <f t="shared" si="76"/>
        <v/>
      </c>
      <c r="O65" s="125" t="str">
        <f t="shared" si="76"/>
        <v/>
      </c>
      <c r="P65" s="125" t="str">
        <f t="shared" si="76"/>
        <v/>
      </c>
      <c r="Q65" s="125" t="str">
        <f t="shared" si="76"/>
        <v/>
      </c>
      <c r="R65" s="125" t="str">
        <f t="shared" si="76"/>
        <v/>
      </c>
      <c r="S65" s="125" t="str">
        <f t="shared" si="76"/>
        <v/>
      </c>
      <c r="T65" s="125" t="str">
        <f t="shared" si="76"/>
        <v/>
      </c>
      <c r="U65" s="125" t="str">
        <f t="shared" si="76"/>
        <v/>
      </c>
      <c r="V65" s="125" t="str">
        <f t="shared" si="76"/>
        <v/>
      </c>
      <c r="W65" s="125" t="str">
        <f t="shared" si="76"/>
        <v/>
      </c>
      <c r="X65" s="125" t="str">
        <f t="shared" si="76"/>
        <v/>
      </c>
      <c r="Y65" s="125" t="str">
        <f t="shared" si="76"/>
        <v/>
      </c>
      <c r="Z65" s="125">
        <f t="shared" si="76"/>
        <v>828</v>
      </c>
      <c r="AA65" s="125" t="str">
        <f t="shared" si="76"/>
        <v/>
      </c>
      <c r="AB65" s="125" t="str">
        <f t="shared" si="76"/>
        <v/>
      </c>
      <c r="AC65" s="125" t="str">
        <f t="shared" si="76"/>
        <v/>
      </c>
      <c r="AD65" s="125" t="str">
        <f t="shared" si="1"/>
        <v/>
      </c>
      <c r="AE65" s="125" t="str">
        <f t="shared" si="2"/>
        <v/>
      </c>
      <c r="AF65" s="125" t="str">
        <f t="shared" si="3"/>
        <v/>
      </c>
      <c r="AG65" s="125" t="str">
        <f t="shared" si="4"/>
        <v/>
      </c>
      <c r="AH65" s="125" t="str">
        <f t="shared" si="5"/>
        <v/>
      </c>
      <c r="AI65" s="125" t="str">
        <f t="shared" si="6"/>
        <v/>
      </c>
      <c r="AJ65" s="125" t="str">
        <f t="shared" si="7"/>
        <v/>
      </c>
      <c r="AK65" s="125" t="str">
        <f t="shared" si="8"/>
        <v/>
      </c>
      <c r="AL65" s="125" t="str">
        <f t="shared" si="9"/>
        <v/>
      </c>
      <c r="AM65" s="125" t="str">
        <f t="shared" si="10"/>
        <v/>
      </c>
      <c r="AN65" s="125" t="str">
        <f t="shared" si="11"/>
        <v/>
      </c>
      <c r="AO65" s="125" t="str">
        <f t="shared" si="12"/>
        <v/>
      </c>
      <c r="AP65" s="122">
        <v>2.22</v>
      </c>
      <c r="AQ65" s="130">
        <f t="shared" si="13"/>
        <v>1838.16</v>
      </c>
      <c r="AR65" s="130">
        <f t="shared" si="14"/>
        <v>14245.74</v>
      </c>
    </row>
    <row r="66" s="320" customFormat="1" customHeight="1" spans="1:44">
      <c r="A66" s="119">
        <v>45981</v>
      </c>
      <c r="B66" s="112">
        <v>46029</v>
      </c>
      <c r="C66" s="114" t="s">
        <v>246</v>
      </c>
      <c r="D66" s="330"/>
      <c r="E66" s="114">
        <v>4560812940</v>
      </c>
      <c r="F66" s="114" t="s">
        <v>204</v>
      </c>
      <c r="G66" s="118">
        <v>3261</v>
      </c>
      <c r="H66" s="114" t="s">
        <v>255</v>
      </c>
      <c r="I66" s="125" t="str">
        <f>IFERROR(VLOOKUP(F66,名称!A:C,3,0),"")</f>
        <v>SNF</v>
      </c>
      <c r="J66" s="125" t="str">
        <f t="shared" ref="J66:AC66" si="77">IF(AND($F66=J$2,$G66&gt;0),$G66,"")</f>
        <v/>
      </c>
      <c r="K66" s="125" t="str">
        <f t="shared" si="77"/>
        <v/>
      </c>
      <c r="L66" s="125" t="str">
        <f t="shared" si="77"/>
        <v/>
      </c>
      <c r="M66" s="125" t="str">
        <f t="shared" si="77"/>
        <v/>
      </c>
      <c r="N66" s="125" t="str">
        <f t="shared" si="77"/>
        <v/>
      </c>
      <c r="O66" s="125" t="str">
        <f t="shared" si="77"/>
        <v/>
      </c>
      <c r="P66" s="125" t="str">
        <f t="shared" si="77"/>
        <v/>
      </c>
      <c r="Q66" s="125" t="str">
        <f t="shared" si="77"/>
        <v/>
      </c>
      <c r="R66" s="125" t="str">
        <f t="shared" si="77"/>
        <v/>
      </c>
      <c r="S66" s="125" t="str">
        <f t="shared" si="77"/>
        <v/>
      </c>
      <c r="T66" s="125" t="str">
        <f t="shared" si="77"/>
        <v/>
      </c>
      <c r="U66" s="125" t="str">
        <f t="shared" si="77"/>
        <v/>
      </c>
      <c r="V66" s="125" t="str">
        <f t="shared" si="77"/>
        <v/>
      </c>
      <c r="W66" s="125" t="str">
        <f t="shared" si="77"/>
        <v/>
      </c>
      <c r="X66" s="125" t="str">
        <f t="shared" si="77"/>
        <v/>
      </c>
      <c r="Y66" s="125" t="str">
        <f t="shared" si="77"/>
        <v/>
      </c>
      <c r="Z66" s="125">
        <f t="shared" si="77"/>
        <v>3261</v>
      </c>
      <c r="AA66" s="125" t="str">
        <f t="shared" si="77"/>
        <v/>
      </c>
      <c r="AB66" s="125" t="str">
        <f t="shared" si="77"/>
        <v/>
      </c>
      <c r="AC66" s="125" t="str">
        <f t="shared" si="77"/>
        <v/>
      </c>
      <c r="AD66" s="125" t="str">
        <f t="shared" si="1"/>
        <v/>
      </c>
      <c r="AE66" s="125" t="str">
        <f t="shared" si="2"/>
        <v/>
      </c>
      <c r="AF66" s="125" t="str">
        <f t="shared" si="3"/>
        <v/>
      </c>
      <c r="AG66" s="125" t="str">
        <f t="shared" si="4"/>
        <v/>
      </c>
      <c r="AH66" s="125" t="str">
        <f t="shared" si="5"/>
        <v/>
      </c>
      <c r="AI66" s="125" t="str">
        <f t="shared" si="6"/>
        <v/>
      </c>
      <c r="AJ66" s="125" t="str">
        <f t="shared" si="7"/>
        <v/>
      </c>
      <c r="AK66" s="125" t="str">
        <f t="shared" si="8"/>
        <v/>
      </c>
      <c r="AL66" s="125" t="str">
        <f t="shared" si="9"/>
        <v/>
      </c>
      <c r="AM66" s="125" t="str">
        <f t="shared" si="10"/>
        <v/>
      </c>
      <c r="AN66" s="125" t="str">
        <f t="shared" si="11"/>
        <v/>
      </c>
      <c r="AO66" s="125" t="str">
        <f t="shared" si="12"/>
        <v/>
      </c>
      <c r="AP66" s="122">
        <v>2.22</v>
      </c>
      <c r="AQ66" s="130">
        <f t="shared" si="13"/>
        <v>7239.42</v>
      </c>
      <c r="AR66" s="130">
        <f t="shared" si="14"/>
        <v>56105.51</v>
      </c>
    </row>
    <row r="67" s="320" customFormat="1" customHeight="1" spans="1:44">
      <c r="A67" s="119">
        <v>45981</v>
      </c>
      <c r="B67" s="112">
        <v>46029</v>
      </c>
      <c r="C67" s="114" t="s">
        <v>246</v>
      </c>
      <c r="D67" s="330"/>
      <c r="E67" s="114">
        <v>4560812954</v>
      </c>
      <c r="F67" s="114" t="s">
        <v>204</v>
      </c>
      <c r="G67" s="118">
        <v>2700</v>
      </c>
      <c r="H67" s="114" t="s">
        <v>255</v>
      </c>
      <c r="I67" s="125" t="str">
        <f>IFERROR(VLOOKUP(F67,名称!A:C,3,0),"")</f>
        <v>SNF</v>
      </c>
      <c r="J67" s="125" t="str">
        <f t="shared" ref="J67:AC67" si="78">IF(AND($F67=J$2,$G67&gt;0),$G67,"")</f>
        <v/>
      </c>
      <c r="K67" s="125" t="str">
        <f t="shared" si="78"/>
        <v/>
      </c>
      <c r="L67" s="125" t="str">
        <f t="shared" si="78"/>
        <v/>
      </c>
      <c r="M67" s="125" t="str">
        <f t="shared" si="78"/>
        <v/>
      </c>
      <c r="N67" s="125" t="str">
        <f t="shared" si="78"/>
        <v/>
      </c>
      <c r="O67" s="125" t="str">
        <f t="shared" si="78"/>
        <v/>
      </c>
      <c r="P67" s="125" t="str">
        <f t="shared" si="78"/>
        <v/>
      </c>
      <c r="Q67" s="125" t="str">
        <f t="shared" si="78"/>
        <v/>
      </c>
      <c r="R67" s="125" t="str">
        <f t="shared" si="78"/>
        <v/>
      </c>
      <c r="S67" s="125" t="str">
        <f t="shared" si="78"/>
        <v/>
      </c>
      <c r="T67" s="125" t="str">
        <f t="shared" si="78"/>
        <v/>
      </c>
      <c r="U67" s="125" t="str">
        <f t="shared" si="78"/>
        <v/>
      </c>
      <c r="V67" s="125" t="str">
        <f t="shared" si="78"/>
        <v/>
      </c>
      <c r="W67" s="125" t="str">
        <f t="shared" si="78"/>
        <v/>
      </c>
      <c r="X67" s="125" t="str">
        <f t="shared" si="78"/>
        <v/>
      </c>
      <c r="Y67" s="125" t="str">
        <f t="shared" si="78"/>
        <v/>
      </c>
      <c r="Z67" s="125">
        <f t="shared" si="78"/>
        <v>2700</v>
      </c>
      <c r="AA67" s="125" t="str">
        <f t="shared" si="78"/>
        <v/>
      </c>
      <c r="AB67" s="125" t="str">
        <f t="shared" si="78"/>
        <v/>
      </c>
      <c r="AC67" s="125" t="str">
        <f t="shared" si="78"/>
        <v/>
      </c>
      <c r="AD67" s="125" t="str">
        <f t="shared" ref="AD67:AD130" si="79">IF(AND($G67&gt;0,$F67&lt;&gt;""),IF(OR($F67="FNT1608-G",$F67="FNT1675-G"),IF(OR(AD$2="FNT1611",AD$2="FNT1610",AD$2="FNT1609"),$G67/3,""),IF($F67=AD$2,$G67,"")),"")</f>
        <v/>
      </c>
      <c r="AE67" s="125" t="str">
        <f t="shared" ref="AE67:AE130" si="80">IF(AND($G67&gt;0,$F67&lt;&gt;""),IF(OR($F67="FNT1608-G",$F67="FNT1675-G"),IF(OR(AE$2="FNT1611",AE$2="FNT1610",AE$2="FNT1609"),$G67/3,""),IF($F67=AE$2,$G67,"")),"")</f>
        <v/>
      </c>
      <c r="AF67" s="125" t="str">
        <f t="shared" ref="AF67:AF130" si="81">IF(AND($G67&gt;0,$F67&lt;&gt;""),IF(OR($F67="FNT1608-G",$F67="FNT1675-G"),IF(OR(AF$2="FNT1611",AF$2="FNT1610",AF$2="FNT1609"),$G67/3,""),IF($F67=AF$2,$G67,"")),"")</f>
        <v/>
      </c>
      <c r="AG67" s="125" t="str">
        <f t="shared" ref="AG67:AG130" si="82">IF(AND($G67&gt;0,$F67&lt;&gt;""),IF($F67="FNT1608-H",IF(OR(AG$2="FNT1618",AG$2="FNT1619",AG$2="FNT1620"),$G67/3,""),IF($F67=AG$2,$G67,"")),"")</f>
        <v/>
      </c>
      <c r="AH67" s="125" t="str">
        <f t="shared" ref="AH67:AH130" si="83">IF(AND($G67&gt;0,$F67&lt;&gt;""),IF($F67="FNT1608-H",IF(OR(AH$2="FNT1618",AH$2="FNT1619",AH$2="FNT1620"),$G67/3,""),IF($F67=AH$2,$G67,"")),"")</f>
        <v/>
      </c>
      <c r="AI67" s="125" t="str">
        <f t="shared" ref="AI67:AI130" si="84">IF(AND($G67&gt;0,$F67&lt;&gt;""),IF($F67="FNT1608-H",IF(OR(AI$2="FNT1618",AI$2="FNT1619",AI$2="FNT1620"),$G67/3,""),IF($F67=AI$2,$G67,"")),"")</f>
        <v/>
      </c>
      <c r="AJ67" s="125" t="str">
        <f t="shared" ref="AJ67:AJ130" si="85">IF(AND($G67&gt;0,$F67&lt;&gt;""),IF($F67="FNT1608-I",IF(AJ$2="FNT1653",$G67*2/6,IF(AJ$2="FNT1654",$G67*1/6,IF(AJ$2="FNT1655",$G67*1/6,IF(AJ$2="FNT1657",$G67*2/6,"")))),IF($F67="FNT1608-K",IF(AJ$2="FNT1653",$G67*1/6,IF(AJ$2="FNT1654",$G67*2/6,IF(AJ$2="FNT1655",$G67*1/6,IF(AJ$2="FNT1657",$G67*2/6,"")))),IF($F67=AJ$2,$G67,""))),"")</f>
        <v/>
      </c>
      <c r="AK67" s="125" t="str">
        <f t="shared" ref="AK67:AK130" si="86">IF(AND($G67&gt;0,$F67&lt;&gt;""),IF($F67="FNT1608-I",IF(AK$2="FNT1653",$G67*2/6,IF(AK$2="FNT1654",$G67*1/6,IF(AK$2="FNT1655",$G67*1/6,IF(AK$2="FNT1657",$G67*2/6,"")))),IF($F67="FNT1608-K",IF(AK$2="FNT1653",$G67*1/6,IF(AK$2="FNT1654",$G67*2/6,IF(AK$2="FNT1655",$G67*1/6,IF(AK$2="FNT1657",$G67*2/6,"")))),IF($F67=AK$2,$G67,""))),"")</f>
        <v/>
      </c>
      <c r="AL67" s="125" t="str">
        <f t="shared" ref="AL67:AL130" si="87">IF(AND($G67&gt;0,$F67&lt;&gt;""),IF($F67="FNT1608-I",IF(AL$2="FNT1653",$G67*2/6,IF(AL$2="FNT1654",$G67*1/6,IF(AL$2="FNT1655",$G67*1/6,IF(AL$2="FNT1657",$G67*2/6,"")))),IF($F67="FNT1608-K",IF(AL$2="FNT1653",$G67*1/6,IF(AL$2="FNT1654",$G67*2/6,IF(AL$2="FNT1655",$G67*1/6,IF(AL$2="FNT1657",$G67*2/6,"")))),IF($F67=AL$2,$G67,""))),"")</f>
        <v/>
      </c>
      <c r="AM67" s="125" t="str">
        <f t="shared" ref="AM67:AM130" si="88">IF(AND($G67&gt;0,$F67&lt;&gt;""),IF($F67="FNT1608-I",IF(AM$2="FNT1653",$G67*2/6,IF(AM$2="FNT1654",$G67*1/6,IF(AM$2="FNT1655",$G67*1/6,IF(AM$2="FNT1657",$G67*2/6,"")))),IF($F67="FNT1608-K",IF(AM$2="FNT1653",$G67*1/6,IF(AM$2="FNT1654",$G67*2/6,IF(AM$2="FNT1655",$G67*1/6,IF(AM$2="FNT1657",$G67*2/6,"")))),IF($F67=AM$2,$G67,""))),"")</f>
        <v/>
      </c>
      <c r="AN67" s="125" t="str">
        <f t="shared" ref="AN67:AN130" si="89">IF(AND($G67&gt;0,$F67&lt;&gt;""),IF(OR($F67="FNT1608-G",$F67="FNT1675-G"),IF(OR(AN$2="FNT1611",AN$2="FNT1610",AN$2="FNT1609"),$G67/3,""),IF($F67="FNT1608-H",IF(OR(AN$2="FNT1618",AN$2="FNT1619",AN$2="FNT1620"),$G67/3,""),IF($F67="FNT1608-I",IF(AN$2="FNT1653",$G67*2/6,IF(AN$2="FNT1654",$G67*1/6,IF(AN$2="FNT1655",$G67*1/6,IF(AN$2="FNT1657",$G67*2/6,"")))),IF($F67="FNT1608-K",IF(AN$2="FNT1653",$G67*1/6,IF(AN$2="FNT1654",$G67*2/6,IF(AN$2="FNT1655",$G67*1/6,IF(AN$2="FNT1657",$G67*2/6,"")))),IF($F67=AN$2,$G67,""))))),"")</f>
        <v/>
      </c>
      <c r="AO67" s="125" t="str">
        <f t="shared" ref="AO67:AO130" si="90">IF(AND($G67&gt;0,$F67&lt;&gt;""),IF(OR($F67="FNT1608-G",$F67="FNT1675-G"),IF(OR(AO$2="FNT1611",AO$2="FNT1610",AO$2="FNT1609"),$G67/3,""),IF($F67="FNT1608-H",IF(OR(AO$2="FNT1618",AO$2="FNT1619",AO$2="FNT1620"),$G67/3,""),IF($F67="FNT1608-I",IF(AO$2="FNT1653",$G67*2/6,IF(AO$2="FNT1654",$G67*1/6,IF(AO$2="FNT1655",$G67*1/6,IF(AO$2="FNT1657",$G67*2/6,"")))),IF($F67="FNT1608-K",IF(AO$2="FNT1653",$G67*1/6,IF(AO$2="FNT1654",$G67*2/6,IF(AO$2="FNT1655",$G67*1/6,IF(AO$2="FNT1657",$G67*2/6,"")))),IF($F67=AO$2,$G67,""))))),"")</f>
        <v/>
      </c>
      <c r="AP67" s="122">
        <v>2.22</v>
      </c>
      <c r="AQ67" s="130">
        <f t="shared" ref="AQ67:AQ130" si="91">SUM(J67:AO67)*AP67</f>
        <v>5994</v>
      </c>
      <c r="AR67" s="130">
        <f t="shared" ref="AR67:AR130" si="92">AQ67*7.75</f>
        <v>46453.5</v>
      </c>
    </row>
    <row r="68" s="320" customFormat="1" customHeight="1" spans="1:44">
      <c r="A68" s="119">
        <v>45981</v>
      </c>
      <c r="B68" s="112">
        <v>46029</v>
      </c>
      <c r="C68" s="114" t="s">
        <v>246</v>
      </c>
      <c r="D68" s="330"/>
      <c r="E68" s="114">
        <v>4560813082</v>
      </c>
      <c r="F68" s="114" t="s">
        <v>204</v>
      </c>
      <c r="G68" s="118">
        <v>3516</v>
      </c>
      <c r="H68" s="114" t="s">
        <v>255</v>
      </c>
      <c r="I68" s="125" t="str">
        <f>IFERROR(VLOOKUP(F68,名称!A:C,3,0),"")</f>
        <v>SNF</v>
      </c>
      <c r="J68" s="125" t="str">
        <f t="shared" ref="J68:AC68" si="93">IF(AND($F68=J$2,$G68&gt;0),$G68,"")</f>
        <v/>
      </c>
      <c r="K68" s="125" t="str">
        <f t="shared" si="93"/>
        <v/>
      </c>
      <c r="L68" s="125" t="str">
        <f t="shared" si="93"/>
        <v/>
      </c>
      <c r="M68" s="125" t="str">
        <f t="shared" si="93"/>
        <v/>
      </c>
      <c r="N68" s="125" t="str">
        <f t="shared" si="93"/>
        <v/>
      </c>
      <c r="O68" s="125" t="str">
        <f t="shared" si="93"/>
        <v/>
      </c>
      <c r="P68" s="125" t="str">
        <f t="shared" si="93"/>
        <v/>
      </c>
      <c r="Q68" s="125" t="str">
        <f t="shared" si="93"/>
        <v/>
      </c>
      <c r="R68" s="125" t="str">
        <f t="shared" si="93"/>
        <v/>
      </c>
      <c r="S68" s="125" t="str">
        <f t="shared" si="93"/>
        <v/>
      </c>
      <c r="T68" s="125" t="str">
        <f t="shared" si="93"/>
        <v/>
      </c>
      <c r="U68" s="125" t="str">
        <f t="shared" si="93"/>
        <v/>
      </c>
      <c r="V68" s="125" t="str">
        <f t="shared" si="93"/>
        <v/>
      </c>
      <c r="W68" s="125" t="str">
        <f t="shared" si="93"/>
        <v/>
      </c>
      <c r="X68" s="125" t="str">
        <f t="shared" si="93"/>
        <v/>
      </c>
      <c r="Y68" s="125" t="str">
        <f t="shared" si="93"/>
        <v/>
      </c>
      <c r="Z68" s="125">
        <f t="shared" si="93"/>
        <v>3516</v>
      </c>
      <c r="AA68" s="125" t="str">
        <f t="shared" si="93"/>
        <v/>
      </c>
      <c r="AB68" s="125" t="str">
        <f t="shared" si="93"/>
        <v/>
      </c>
      <c r="AC68" s="125" t="str">
        <f t="shared" si="93"/>
        <v/>
      </c>
      <c r="AD68" s="125" t="str">
        <f t="shared" si="79"/>
        <v/>
      </c>
      <c r="AE68" s="125" t="str">
        <f t="shared" si="80"/>
        <v/>
      </c>
      <c r="AF68" s="125" t="str">
        <f t="shared" si="81"/>
        <v/>
      </c>
      <c r="AG68" s="125" t="str">
        <f t="shared" si="82"/>
        <v/>
      </c>
      <c r="AH68" s="125" t="str">
        <f t="shared" si="83"/>
        <v/>
      </c>
      <c r="AI68" s="125" t="str">
        <f t="shared" si="84"/>
        <v/>
      </c>
      <c r="AJ68" s="125" t="str">
        <f t="shared" si="85"/>
        <v/>
      </c>
      <c r="AK68" s="125" t="str">
        <f t="shared" si="86"/>
        <v/>
      </c>
      <c r="AL68" s="125" t="str">
        <f t="shared" si="87"/>
        <v/>
      </c>
      <c r="AM68" s="125" t="str">
        <f t="shared" si="88"/>
        <v/>
      </c>
      <c r="AN68" s="125" t="str">
        <f t="shared" si="89"/>
        <v/>
      </c>
      <c r="AO68" s="125" t="str">
        <f t="shared" si="90"/>
        <v/>
      </c>
      <c r="AP68" s="122">
        <v>2.22</v>
      </c>
      <c r="AQ68" s="130">
        <f t="shared" si="91"/>
        <v>7805.52</v>
      </c>
      <c r="AR68" s="130">
        <f t="shared" si="92"/>
        <v>60492.78</v>
      </c>
    </row>
    <row r="69" s="320" customFormat="1" customHeight="1" spans="1:44">
      <c r="A69" s="119">
        <v>45982</v>
      </c>
      <c r="B69" s="112">
        <v>46042</v>
      </c>
      <c r="C69" s="114" t="s">
        <v>246</v>
      </c>
      <c r="D69" s="330"/>
      <c r="E69" s="114" t="s">
        <v>296</v>
      </c>
      <c r="F69" s="114" t="s">
        <v>214</v>
      </c>
      <c r="G69" s="118">
        <v>3600</v>
      </c>
      <c r="H69" s="114" t="s">
        <v>255</v>
      </c>
      <c r="I69" s="125" t="str">
        <f>IFERROR(VLOOKUP(F69,名称!A:C,3,0),"")</f>
        <v>SNF</v>
      </c>
      <c r="J69" s="125" t="str">
        <f t="shared" ref="J69:AC69" si="94">IF(AND($F69=J$2,$G69&gt;0),$G69,"")</f>
        <v/>
      </c>
      <c r="K69" s="125" t="str">
        <f t="shared" si="94"/>
        <v/>
      </c>
      <c r="L69" s="125" t="str">
        <f t="shared" si="94"/>
        <v/>
      </c>
      <c r="M69" s="125" t="str">
        <f t="shared" si="94"/>
        <v/>
      </c>
      <c r="N69" s="125" t="str">
        <f t="shared" si="94"/>
        <v/>
      </c>
      <c r="O69" s="125" t="str">
        <f t="shared" si="94"/>
        <v/>
      </c>
      <c r="P69" s="125" t="str">
        <f t="shared" si="94"/>
        <v/>
      </c>
      <c r="Q69" s="125" t="str">
        <f t="shared" si="94"/>
        <v/>
      </c>
      <c r="R69" s="125" t="str">
        <f t="shared" si="94"/>
        <v/>
      </c>
      <c r="S69" s="125" t="str">
        <f t="shared" si="94"/>
        <v/>
      </c>
      <c r="T69" s="125" t="str">
        <f t="shared" si="94"/>
        <v/>
      </c>
      <c r="U69" s="125" t="str">
        <f t="shared" si="94"/>
        <v/>
      </c>
      <c r="V69" s="125" t="str">
        <f t="shared" si="94"/>
        <v/>
      </c>
      <c r="W69" s="125" t="str">
        <f t="shared" si="94"/>
        <v/>
      </c>
      <c r="X69" s="125" t="str">
        <f t="shared" si="94"/>
        <v/>
      </c>
      <c r="Y69" s="125" t="str">
        <f t="shared" si="94"/>
        <v/>
      </c>
      <c r="Z69" s="125" t="str">
        <f t="shared" si="94"/>
        <v/>
      </c>
      <c r="AA69" s="125" t="str">
        <f t="shared" si="94"/>
        <v/>
      </c>
      <c r="AB69" s="125">
        <f t="shared" si="94"/>
        <v>3600</v>
      </c>
      <c r="AC69" s="125" t="str">
        <f t="shared" si="94"/>
        <v/>
      </c>
      <c r="AD69" s="125" t="str">
        <f t="shared" si="79"/>
        <v/>
      </c>
      <c r="AE69" s="125" t="str">
        <f t="shared" si="80"/>
        <v/>
      </c>
      <c r="AF69" s="125" t="str">
        <f t="shared" si="81"/>
        <v/>
      </c>
      <c r="AG69" s="125" t="str">
        <f t="shared" si="82"/>
        <v/>
      </c>
      <c r="AH69" s="125" t="str">
        <f t="shared" si="83"/>
        <v/>
      </c>
      <c r="AI69" s="125" t="str">
        <f t="shared" si="84"/>
        <v/>
      </c>
      <c r="AJ69" s="125" t="str">
        <f t="shared" si="85"/>
        <v/>
      </c>
      <c r="AK69" s="125" t="str">
        <f t="shared" si="86"/>
        <v/>
      </c>
      <c r="AL69" s="125" t="str">
        <f t="shared" si="87"/>
        <v/>
      </c>
      <c r="AM69" s="125" t="str">
        <f t="shared" si="88"/>
        <v/>
      </c>
      <c r="AN69" s="125" t="str">
        <f t="shared" si="89"/>
        <v/>
      </c>
      <c r="AO69" s="125" t="str">
        <f t="shared" si="90"/>
        <v/>
      </c>
      <c r="AP69" s="122">
        <v>0.94</v>
      </c>
      <c r="AQ69" s="130">
        <f t="shared" si="91"/>
        <v>3384</v>
      </c>
      <c r="AR69" s="130">
        <f t="shared" si="92"/>
        <v>26226</v>
      </c>
    </row>
    <row r="70" s="320" customFormat="1" customHeight="1" spans="1:44">
      <c r="A70" s="119">
        <v>45988</v>
      </c>
      <c r="B70" s="127">
        <v>46049</v>
      </c>
      <c r="C70" s="116" t="s">
        <v>246</v>
      </c>
      <c r="D70" s="114"/>
      <c r="E70" s="114" t="s">
        <v>297</v>
      </c>
      <c r="F70" s="125" t="s">
        <v>123</v>
      </c>
      <c r="G70" s="118">
        <v>3126</v>
      </c>
      <c r="H70" s="114" t="s">
        <v>258</v>
      </c>
      <c r="I70" s="125" t="str">
        <f>IFERROR(VLOOKUP(F70,名称!A:C,3,0),"")</f>
        <v>FNT</v>
      </c>
      <c r="J70" s="125" t="str">
        <f t="shared" ref="J70:AC70" si="95">IF(AND($F70=J$2,$G70&gt;0),$G70,"")</f>
        <v/>
      </c>
      <c r="K70" s="125" t="str">
        <f t="shared" si="95"/>
        <v/>
      </c>
      <c r="L70" s="125" t="str">
        <f t="shared" si="95"/>
        <v/>
      </c>
      <c r="M70" s="125" t="str">
        <f t="shared" si="95"/>
        <v/>
      </c>
      <c r="N70" s="125" t="str">
        <f t="shared" si="95"/>
        <v/>
      </c>
      <c r="O70" s="125" t="str">
        <f t="shared" si="95"/>
        <v/>
      </c>
      <c r="P70" s="125" t="str">
        <f t="shared" si="95"/>
        <v/>
      </c>
      <c r="Q70" s="125" t="str">
        <f t="shared" si="95"/>
        <v/>
      </c>
      <c r="R70" s="125" t="str">
        <f t="shared" si="95"/>
        <v/>
      </c>
      <c r="S70" s="125" t="str">
        <f t="shared" si="95"/>
        <v/>
      </c>
      <c r="T70" s="125" t="str">
        <f t="shared" si="95"/>
        <v/>
      </c>
      <c r="U70" s="125" t="str">
        <f t="shared" si="95"/>
        <v/>
      </c>
      <c r="V70" s="125" t="str">
        <f t="shared" si="95"/>
        <v/>
      </c>
      <c r="W70" s="125" t="str">
        <f t="shared" si="95"/>
        <v/>
      </c>
      <c r="X70" s="125" t="str">
        <f t="shared" si="95"/>
        <v/>
      </c>
      <c r="Y70" s="125" t="str">
        <f t="shared" si="95"/>
        <v/>
      </c>
      <c r="Z70" s="125" t="str">
        <f t="shared" si="95"/>
        <v/>
      </c>
      <c r="AA70" s="125" t="str">
        <f t="shared" si="95"/>
        <v/>
      </c>
      <c r="AB70" s="125" t="str">
        <f t="shared" si="95"/>
        <v/>
      </c>
      <c r="AC70" s="125" t="str">
        <f t="shared" si="95"/>
        <v/>
      </c>
      <c r="AD70" s="125">
        <f t="shared" si="79"/>
        <v>1042</v>
      </c>
      <c r="AE70" s="125">
        <f t="shared" si="80"/>
        <v>1042</v>
      </c>
      <c r="AF70" s="125">
        <f t="shared" si="81"/>
        <v>1042</v>
      </c>
      <c r="AG70" s="125" t="str">
        <f t="shared" si="82"/>
        <v/>
      </c>
      <c r="AH70" s="125" t="str">
        <f t="shared" si="83"/>
        <v/>
      </c>
      <c r="AI70" s="125" t="str">
        <f t="shared" si="84"/>
        <v/>
      </c>
      <c r="AJ70" s="125" t="str">
        <f t="shared" si="85"/>
        <v/>
      </c>
      <c r="AK70" s="125" t="str">
        <f t="shared" si="86"/>
        <v/>
      </c>
      <c r="AL70" s="125" t="str">
        <f t="shared" si="87"/>
        <v/>
      </c>
      <c r="AM70" s="125" t="str">
        <f t="shared" si="88"/>
        <v/>
      </c>
      <c r="AN70" s="125" t="str">
        <f t="shared" si="89"/>
        <v/>
      </c>
      <c r="AO70" s="125" t="str">
        <f t="shared" si="90"/>
        <v/>
      </c>
      <c r="AP70" s="129">
        <v>2.06</v>
      </c>
      <c r="AQ70" s="130">
        <f t="shared" si="91"/>
        <v>6439.56</v>
      </c>
      <c r="AR70" s="130">
        <f t="shared" si="92"/>
        <v>49906.59</v>
      </c>
    </row>
    <row r="71" s="320" customFormat="1" customHeight="1" spans="1:44">
      <c r="A71" s="127">
        <v>45995</v>
      </c>
      <c r="B71" s="127">
        <v>46048</v>
      </c>
      <c r="C71" s="116" t="s">
        <v>246</v>
      </c>
      <c r="D71" s="125" t="s">
        <v>298</v>
      </c>
      <c r="E71" s="125" t="s">
        <v>299</v>
      </c>
      <c r="F71" s="125" t="s">
        <v>123</v>
      </c>
      <c r="G71" s="126">
        <v>4008</v>
      </c>
      <c r="H71" s="114" t="s">
        <v>258</v>
      </c>
      <c r="I71" s="125" t="str">
        <f>IFERROR(VLOOKUP(F71,名称!A:C,3,0),"")</f>
        <v>FNT</v>
      </c>
      <c r="J71" s="125" t="str">
        <f t="shared" ref="J71:AC71" si="96">IF(AND($F71=J$2,$G71&gt;0),$G71,"")</f>
        <v/>
      </c>
      <c r="K71" s="125" t="str">
        <f t="shared" si="96"/>
        <v/>
      </c>
      <c r="L71" s="125" t="str">
        <f t="shared" si="96"/>
        <v/>
      </c>
      <c r="M71" s="125" t="str">
        <f t="shared" si="96"/>
        <v/>
      </c>
      <c r="N71" s="125" t="str">
        <f t="shared" si="96"/>
        <v/>
      </c>
      <c r="O71" s="125" t="str">
        <f t="shared" si="96"/>
        <v/>
      </c>
      <c r="P71" s="125" t="str">
        <f t="shared" si="96"/>
        <v/>
      </c>
      <c r="Q71" s="125" t="str">
        <f t="shared" si="96"/>
        <v/>
      </c>
      <c r="R71" s="125" t="str">
        <f t="shared" si="96"/>
        <v/>
      </c>
      <c r="S71" s="125" t="str">
        <f t="shared" si="96"/>
        <v/>
      </c>
      <c r="T71" s="125" t="str">
        <f t="shared" si="96"/>
        <v/>
      </c>
      <c r="U71" s="125" t="str">
        <f t="shared" si="96"/>
        <v/>
      </c>
      <c r="V71" s="125" t="str">
        <f t="shared" si="96"/>
        <v/>
      </c>
      <c r="W71" s="125" t="str">
        <f t="shared" si="96"/>
        <v/>
      </c>
      <c r="X71" s="125" t="str">
        <f t="shared" si="96"/>
        <v/>
      </c>
      <c r="Y71" s="125" t="str">
        <f t="shared" si="96"/>
        <v/>
      </c>
      <c r="Z71" s="125" t="str">
        <f t="shared" si="96"/>
        <v/>
      </c>
      <c r="AA71" s="125" t="str">
        <f t="shared" si="96"/>
        <v/>
      </c>
      <c r="AB71" s="125" t="str">
        <f t="shared" si="96"/>
        <v/>
      </c>
      <c r="AC71" s="125" t="str">
        <f t="shared" si="96"/>
        <v/>
      </c>
      <c r="AD71" s="125">
        <f t="shared" si="79"/>
        <v>1336</v>
      </c>
      <c r="AE71" s="125">
        <f t="shared" si="80"/>
        <v>1336</v>
      </c>
      <c r="AF71" s="125">
        <f t="shared" si="81"/>
        <v>1336</v>
      </c>
      <c r="AG71" s="125" t="str">
        <f t="shared" si="82"/>
        <v/>
      </c>
      <c r="AH71" s="125" t="str">
        <f t="shared" si="83"/>
        <v/>
      </c>
      <c r="AI71" s="125" t="str">
        <f t="shared" si="84"/>
        <v/>
      </c>
      <c r="AJ71" s="125" t="str">
        <f t="shared" si="85"/>
        <v/>
      </c>
      <c r="AK71" s="125" t="str">
        <f t="shared" si="86"/>
        <v/>
      </c>
      <c r="AL71" s="125" t="str">
        <f t="shared" si="87"/>
        <v/>
      </c>
      <c r="AM71" s="125" t="str">
        <f t="shared" si="88"/>
        <v/>
      </c>
      <c r="AN71" s="125" t="str">
        <f t="shared" si="89"/>
        <v/>
      </c>
      <c r="AO71" s="125" t="str">
        <f t="shared" si="90"/>
        <v/>
      </c>
      <c r="AP71" s="129">
        <v>2.06</v>
      </c>
      <c r="AQ71" s="130">
        <f t="shared" si="91"/>
        <v>8256.48</v>
      </c>
      <c r="AR71" s="130">
        <f t="shared" si="92"/>
        <v>63987.72</v>
      </c>
    </row>
    <row r="72" s="320" customFormat="1" customHeight="1" spans="1:44">
      <c r="A72" s="119">
        <v>45996</v>
      </c>
      <c r="B72" s="112">
        <v>46143</v>
      </c>
      <c r="C72" s="116" t="s">
        <v>246</v>
      </c>
      <c r="D72" s="114"/>
      <c r="E72" s="114" t="s">
        <v>300</v>
      </c>
      <c r="F72" s="114" t="s">
        <v>127</v>
      </c>
      <c r="G72" s="118">
        <v>12600</v>
      </c>
      <c r="H72" s="114" t="s">
        <v>258</v>
      </c>
      <c r="I72" s="125" t="str">
        <f>IFERROR(VLOOKUP(F72,名称!A:C,3,0),"")</f>
        <v>FNT</v>
      </c>
      <c r="J72" s="125" t="str">
        <f t="shared" ref="J72:AC72" si="97">IF(AND($F72=J$2,$G72&gt;0),$G72,"")</f>
        <v/>
      </c>
      <c r="K72" s="125" t="str">
        <f t="shared" si="97"/>
        <v/>
      </c>
      <c r="L72" s="125" t="str">
        <f t="shared" si="97"/>
        <v/>
      </c>
      <c r="M72" s="125" t="str">
        <f t="shared" si="97"/>
        <v/>
      </c>
      <c r="N72" s="125" t="str">
        <f t="shared" si="97"/>
        <v/>
      </c>
      <c r="O72" s="125" t="str">
        <f t="shared" si="97"/>
        <v/>
      </c>
      <c r="P72" s="125" t="str">
        <f t="shared" si="97"/>
        <v/>
      </c>
      <c r="Q72" s="125" t="str">
        <f t="shared" si="97"/>
        <v/>
      </c>
      <c r="R72" s="125" t="str">
        <f t="shared" si="97"/>
        <v/>
      </c>
      <c r="S72" s="125" t="str">
        <f t="shared" si="97"/>
        <v/>
      </c>
      <c r="T72" s="125" t="str">
        <f t="shared" si="97"/>
        <v/>
      </c>
      <c r="U72" s="125" t="str">
        <f t="shared" si="97"/>
        <v/>
      </c>
      <c r="V72" s="125" t="str">
        <f t="shared" si="97"/>
        <v/>
      </c>
      <c r="W72" s="125" t="str">
        <f t="shared" si="97"/>
        <v/>
      </c>
      <c r="X72" s="125" t="str">
        <f t="shared" si="97"/>
        <v/>
      </c>
      <c r="Y72" s="125" t="str">
        <f t="shared" si="97"/>
        <v/>
      </c>
      <c r="Z72" s="125" t="str">
        <f t="shared" si="97"/>
        <v/>
      </c>
      <c r="AA72" s="125" t="str">
        <f t="shared" si="97"/>
        <v/>
      </c>
      <c r="AB72" s="125" t="str">
        <f t="shared" si="97"/>
        <v/>
      </c>
      <c r="AC72" s="125" t="str">
        <f t="shared" si="97"/>
        <v/>
      </c>
      <c r="AD72" s="125" t="str">
        <f t="shared" si="79"/>
        <v/>
      </c>
      <c r="AE72" s="125" t="str">
        <f t="shared" si="80"/>
        <v/>
      </c>
      <c r="AF72" s="125" t="str">
        <f t="shared" si="81"/>
        <v/>
      </c>
      <c r="AG72" s="125" t="str">
        <f t="shared" si="82"/>
        <v/>
      </c>
      <c r="AH72" s="125" t="str">
        <f t="shared" si="83"/>
        <v/>
      </c>
      <c r="AI72" s="125" t="str">
        <f t="shared" si="84"/>
        <v/>
      </c>
      <c r="AJ72" s="125">
        <f t="shared" si="85"/>
        <v>4200</v>
      </c>
      <c r="AK72" s="125">
        <f t="shared" si="86"/>
        <v>2100</v>
      </c>
      <c r="AL72" s="125">
        <f t="shared" si="87"/>
        <v>2100</v>
      </c>
      <c r="AM72" s="125">
        <f t="shared" si="88"/>
        <v>4200</v>
      </c>
      <c r="AN72" s="125" t="str">
        <f t="shared" si="89"/>
        <v/>
      </c>
      <c r="AO72" s="125" t="str">
        <f t="shared" si="90"/>
        <v/>
      </c>
      <c r="AP72" s="122">
        <v>2.315</v>
      </c>
      <c r="AQ72" s="130">
        <f t="shared" si="91"/>
        <v>29169</v>
      </c>
      <c r="AR72" s="130">
        <f t="shared" si="92"/>
        <v>226059.75</v>
      </c>
    </row>
    <row r="73" s="320" customFormat="1" customHeight="1" spans="1:44">
      <c r="A73" s="119">
        <v>45996</v>
      </c>
      <c r="B73" s="112">
        <v>46143</v>
      </c>
      <c r="C73" s="116" t="s">
        <v>246</v>
      </c>
      <c r="D73" s="114"/>
      <c r="E73" s="114" t="s">
        <v>300</v>
      </c>
      <c r="F73" s="114" t="s">
        <v>127</v>
      </c>
      <c r="G73" s="118">
        <v>2400</v>
      </c>
      <c r="H73" s="114" t="s">
        <v>258</v>
      </c>
      <c r="I73" s="125" t="str">
        <f>IFERROR(VLOOKUP(F73,名称!A:C,3,0),"")</f>
        <v>FNT</v>
      </c>
      <c r="J73" s="125" t="str">
        <f t="shared" ref="J73:AC73" si="98">IF(AND($F73=J$2,$G73&gt;0),$G73,"")</f>
        <v/>
      </c>
      <c r="K73" s="125" t="str">
        <f t="shared" si="98"/>
        <v/>
      </c>
      <c r="L73" s="125" t="str">
        <f t="shared" si="98"/>
        <v/>
      </c>
      <c r="M73" s="125" t="str">
        <f t="shared" si="98"/>
        <v/>
      </c>
      <c r="N73" s="125" t="str">
        <f t="shared" si="98"/>
        <v/>
      </c>
      <c r="O73" s="125" t="str">
        <f t="shared" si="98"/>
        <v/>
      </c>
      <c r="P73" s="125" t="str">
        <f t="shared" si="98"/>
        <v/>
      </c>
      <c r="Q73" s="125" t="str">
        <f t="shared" si="98"/>
        <v/>
      </c>
      <c r="R73" s="125" t="str">
        <f t="shared" si="98"/>
        <v/>
      </c>
      <c r="S73" s="125" t="str">
        <f t="shared" si="98"/>
        <v/>
      </c>
      <c r="T73" s="125" t="str">
        <f t="shared" si="98"/>
        <v/>
      </c>
      <c r="U73" s="125" t="str">
        <f t="shared" si="98"/>
        <v/>
      </c>
      <c r="V73" s="125" t="str">
        <f t="shared" si="98"/>
        <v/>
      </c>
      <c r="W73" s="125" t="str">
        <f t="shared" si="98"/>
        <v/>
      </c>
      <c r="X73" s="125" t="str">
        <f t="shared" si="98"/>
        <v/>
      </c>
      <c r="Y73" s="125" t="str">
        <f t="shared" si="98"/>
        <v/>
      </c>
      <c r="Z73" s="125" t="str">
        <f t="shared" si="98"/>
        <v/>
      </c>
      <c r="AA73" s="125" t="str">
        <f t="shared" si="98"/>
        <v/>
      </c>
      <c r="AB73" s="125" t="str">
        <f t="shared" si="98"/>
        <v/>
      </c>
      <c r="AC73" s="125" t="str">
        <f t="shared" si="98"/>
        <v/>
      </c>
      <c r="AD73" s="125" t="str">
        <f t="shared" si="79"/>
        <v/>
      </c>
      <c r="AE73" s="125" t="str">
        <f t="shared" si="80"/>
        <v/>
      </c>
      <c r="AF73" s="125" t="str">
        <f t="shared" si="81"/>
        <v/>
      </c>
      <c r="AG73" s="125" t="str">
        <f t="shared" si="82"/>
        <v/>
      </c>
      <c r="AH73" s="125" t="str">
        <f t="shared" si="83"/>
        <v/>
      </c>
      <c r="AI73" s="125" t="str">
        <f t="shared" si="84"/>
        <v/>
      </c>
      <c r="AJ73" s="125">
        <f t="shared" si="85"/>
        <v>800</v>
      </c>
      <c r="AK73" s="125">
        <f t="shared" si="86"/>
        <v>400</v>
      </c>
      <c r="AL73" s="125">
        <f t="shared" si="87"/>
        <v>400</v>
      </c>
      <c r="AM73" s="125">
        <f t="shared" si="88"/>
        <v>800</v>
      </c>
      <c r="AN73" s="125" t="str">
        <f t="shared" si="89"/>
        <v/>
      </c>
      <c r="AO73" s="125" t="str">
        <f t="shared" si="90"/>
        <v/>
      </c>
      <c r="AP73" s="122">
        <v>2.315</v>
      </c>
      <c r="AQ73" s="130">
        <f t="shared" si="91"/>
        <v>5556</v>
      </c>
      <c r="AR73" s="130">
        <f t="shared" si="92"/>
        <v>43059</v>
      </c>
    </row>
    <row r="74" s="320" customFormat="1" customHeight="1" spans="1:44">
      <c r="A74" s="119">
        <v>45996</v>
      </c>
      <c r="B74" s="112">
        <v>46113</v>
      </c>
      <c r="C74" s="116" t="s">
        <v>246</v>
      </c>
      <c r="D74" s="114"/>
      <c r="E74" s="114" t="s">
        <v>301</v>
      </c>
      <c r="F74" s="114" t="s">
        <v>127</v>
      </c>
      <c r="G74" s="118">
        <v>2304</v>
      </c>
      <c r="H74" s="114" t="s">
        <v>258</v>
      </c>
      <c r="I74" s="125" t="str">
        <f>IFERROR(VLOOKUP(F74,名称!A:C,3,0),"")</f>
        <v>FNT</v>
      </c>
      <c r="J74" s="125" t="str">
        <f t="shared" ref="J74:AC74" si="99">IF(AND($F74=J$2,$G74&gt;0),$G74,"")</f>
        <v/>
      </c>
      <c r="K74" s="125" t="str">
        <f t="shared" si="99"/>
        <v/>
      </c>
      <c r="L74" s="125" t="str">
        <f t="shared" si="99"/>
        <v/>
      </c>
      <c r="M74" s="125" t="str">
        <f t="shared" si="99"/>
        <v/>
      </c>
      <c r="N74" s="125" t="str">
        <f t="shared" si="99"/>
        <v/>
      </c>
      <c r="O74" s="125" t="str">
        <f t="shared" si="99"/>
        <v/>
      </c>
      <c r="P74" s="125" t="str">
        <f t="shared" si="99"/>
        <v/>
      </c>
      <c r="Q74" s="125" t="str">
        <f t="shared" si="99"/>
        <v/>
      </c>
      <c r="R74" s="125" t="str">
        <f t="shared" si="99"/>
        <v/>
      </c>
      <c r="S74" s="125" t="str">
        <f t="shared" si="99"/>
        <v/>
      </c>
      <c r="T74" s="125" t="str">
        <f t="shared" si="99"/>
        <v/>
      </c>
      <c r="U74" s="125" t="str">
        <f t="shared" si="99"/>
        <v/>
      </c>
      <c r="V74" s="125" t="str">
        <f t="shared" si="99"/>
        <v/>
      </c>
      <c r="W74" s="125" t="str">
        <f t="shared" si="99"/>
        <v/>
      </c>
      <c r="X74" s="125" t="str">
        <f t="shared" si="99"/>
        <v/>
      </c>
      <c r="Y74" s="125" t="str">
        <f t="shared" si="99"/>
        <v/>
      </c>
      <c r="Z74" s="125" t="str">
        <f t="shared" si="99"/>
        <v/>
      </c>
      <c r="AA74" s="125" t="str">
        <f t="shared" si="99"/>
        <v/>
      </c>
      <c r="AB74" s="125" t="str">
        <f t="shared" si="99"/>
        <v/>
      </c>
      <c r="AC74" s="125" t="str">
        <f t="shared" si="99"/>
        <v/>
      </c>
      <c r="AD74" s="125" t="str">
        <f t="shared" si="79"/>
        <v/>
      </c>
      <c r="AE74" s="125" t="str">
        <f t="shared" si="80"/>
        <v/>
      </c>
      <c r="AF74" s="125" t="str">
        <f t="shared" si="81"/>
        <v/>
      </c>
      <c r="AG74" s="125" t="str">
        <f t="shared" si="82"/>
        <v/>
      </c>
      <c r="AH74" s="125" t="str">
        <f t="shared" si="83"/>
        <v/>
      </c>
      <c r="AI74" s="125" t="str">
        <f t="shared" si="84"/>
        <v/>
      </c>
      <c r="AJ74" s="125">
        <f t="shared" si="85"/>
        <v>768</v>
      </c>
      <c r="AK74" s="125">
        <f t="shared" si="86"/>
        <v>384</v>
      </c>
      <c r="AL74" s="125">
        <f t="shared" si="87"/>
        <v>384</v>
      </c>
      <c r="AM74" s="125">
        <f t="shared" si="88"/>
        <v>768</v>
      </c>
      <c r="AN74" s="125" t="str">
        <f t="shared" si="89"/>
        <v/>
      </c>
      <c r="AO74" s="125" t="str">
        <f t="shared" si="90"/>
        <v/>
      </c>
      <c r="AP74" s="122">
        <v>2.315</v>
      </c>
      <c r="AQ74" s="130">
        <f t="shared" si="91"/>
        <v>5333.76</v>
      </c>
      <c r="AR74" s="130">
        <f t="shared" si="92"/>
        <v>41336.64</v>
      </c>
    </row>
    <row r="75" s="45" customFormat="1" customHeight="1" spans="1:44">
      <c r="A75" s="74">
        <v>45996</v>
      </c>
      <c r="B75" s="183">
        <v>46113</v>
      </c>
      <c r="C75" s="182" t="s">
        <v>246</v>
      </c>
      <c r="D75" s="172"/>
      <c r="E75" s="172" t="s">
        <v>302</v>
      </c>
      <c r="F75" s="172" t="s">
        <v>127</v>
      </c>
      <c r="G75" s="175">
        <v>3804</v>
      </c>
      <c r="H75" s="172" t="s">
        <v>258</v>
      </c>
      <c r="I75" s="14" t="str">
        <f>IFERROR(VLOOKUP(F75,名称!A:C,3,0),"")</f>
        <v>FNT</v>
      </c>
      <c r="J75" s="14" t="str">
        <f t="shared" ref="J75:AC75" si="100">IF(AND($F75=J$2,$G75&gt;0),$G75,"")</f>
        <v/>
      </c>
      <c r="K75" s="14" t="str">
        <f t="shared" si="100"/>
        <v/>
      </c>
      <c r="L75" s="14" t="str">
        <f t="shared" si="100"/>
        <v/>
      </c>
      <c r="M75" s="14" t="str">
        <f t="shared" si="100"/>
        <v/>
      </c>
      <c r="N75" s="14" t="str">
        <f t="shared" si="100"/>
        <v/>
      </c>
      <c r="O75" s="14" t="str">
        <f t="shared" si="100"/>
        <v/>
      </c>
      <c r="P75" s="14" t="str">
        <f t="shared" si="100"/>
        <v/>
      </c>
      <c r="Q75" s="14" t="str">
        <f t="shared" si="100"/>
        <v/>
      </c>
      <c r="R75" s="14" t="str">
        <f t="shared" si="100"/>
        <v/>
      </c>
      <c r="S75" s="14" t="str">
        <f t="shared" si="100"/>
        <v/>
      </c>
      <c r="T75" s="14" t="str">
        <f t="shared" si="100"/>
        <v/>
      </c>
      <c r="U75" s="14" t="str">
        <f t="shared" si="100"/>
        <v/>
      </c>
      <c r="V75" s="14" t="str">
        <f t="shared" si="100"/>
        <v/>
      </c>
      <c r="W75" s="14" t="str">
        <f t="shared" si="100"/>
        <v/>
      </c>
      <c r="X75" s="14" t="str">
        <f t="shared" si="100"/>
        <v/>
      </c>
      <c r="Y75" s="14" t="str">
        <f t="shared" si="100"/>
        <v/>
      </c>
      <c r="Z75" s="14" t="str">
        <f t="shared" si="100"/>
        <v/>
      </c>
      <c r="AA75" s="14" t="str">
        <f t="shared" si="100"/>
        <v/>
      </c>
      <c r="AB75" s="14" t="str">
        <f t="shared" si="100"/>
        <v/>
      </c>
      <c r="AC75" s="14" t="str">
        <f t="shared" si="100"/>
        <v/>
      </c>
      <c r="AD75" s="14" t="str">
        <f t="shared" si="79"/>
        <v/>
      </c>
      <c r="AE75" s="14" t="str">
        <f t="shared" si="80"/>
        <v/>
      </c>
      <c r="AF75" s="14" t="str">
        <f t="shared" si="81"/>
        <v/>
      </c>
      <c r="AG75" s="14" t="str">
        <f t="shared" si="82"/>
        <v/>
      </c>
      <c r="AH75" s="14" t="str">
        <f t="shared" si="83"/>
        <v/>
      </c>
      <c r="AI75" s="14" t="str">
        <f t="shared" si="84"/>
        <v/>
      </c>
      <c r="AJ75" s="14">
        <f t="shared" si="85"/>
        <v>1268</v>
      </c>
      <c r="AK75" s="14">
        <f t="shared" si="86"/>
        <v>634</v>
      </c>
      <c r="AL75" s="14">
        <f t="shared" si="87"/>
        <v>634</v>
      </c>
      <c r="AM75" s="14">
        <f t="shared" si="88"/>
        <v>1268</v>
      </c>
      <c r="AN75" s="14" t="str">
        <f t="shared" si="89"/>
        <v/>
      </c>
      <c r="AO75" s="14" t="str">
        <f t="shared" si="90"/>
        <v/>
      </c>
      <c r="AP75" s="186">
        <v>2.315</v>
      </c>
      <c r="AQ75" s="72">
        <f t="shared" si="91"/>
        <v>8806.26</v>
      </c>
      <c r="AR75" s="72">
        <f t="shared" si="92"/>
        <v>68248.52</v>
      </c>
    </row>
    <row r="76" s="320" customFormat="1" customHeight="1" spans="1:44">
      <c r="A76" s="119">
        <v>45996</v>
      </c>
      <c r="B76" s="112">
        <v>46115</v>
      </c>
      <c r="C76" s="116" t="s">
        <v>246</v>
      </c>
      <c r="D76" s="114"/>
      <c r="E76" s="114" t="s">
        <v>303</v>
      </c>
      <c r="F76" s="114" t="s">
        <v>127</v>
      </c>
      <c r="G76" s="118">
        <v>1800</v>
      </c>
      <c r="H76" s="114" t="s">
        <v>258</v>
      </c>
      <c r="I76" s="125" t="str">
        <f>IFERROR(VLOOKUP(F76,名称!A:C,3,0),"")</f>
        <v>FNT</v>
      </c>
      <c r="J76" s="125" t="str">
        <f t="shared" ref="J76:AC76" si="101">IF(AND($F76=J$2,$G76&gt;0),$G76,"")</f>
        <v/>
      </c>
      <c r="K76" s="125" t="str">
        <f t="shared" si="101"/>
        <v/>
      </c>
      <c r="L76" s="125" t="str">
        <f t="shared" si="101"/>
        <v/>
      </c>
      <c r="M76" s="125" t="str">
        <f t="shared" si="101"/>
        <v/>
      </c>
      <c r="N76" s="125" t="str">
        <f t="shared" si="101"/>
        <v/>
      </c>
      <c r="O76" s="125" t="str">
        <f t="shared" si="101"/>
        <v/>
      </c>
      <c r="P76" s="125" t="str">
        <f t="shared" si="101"/>
        <v/>
      </c>
      <c r="Q76" s="125" t="str">
        <f t="shared" si="101"/>
        <v/>
      </c>
      <c r="R76" s="125" t="str">
        <f t="shared" si="101"/>
        <v/>
      </c>
      <c r="S76" s="125" t="str">
        <f t="shared" si="101"/>
        <v/>
      </c>
      <c r="T76" s="125" t="str">
        <f t="shared" si="101"/>
        <v/>
      </c>
      <c r="U76" s="125" t="str">
        <f t="shared" si="101"/>
        <v/>
      </c>
      <c r="V76" s="125" t="str">
        <f t="shared" si="101"/>
        <v/>
      </c>
      <c r="W76" s="125" t="str">
        <f t="shared" si="101"/>
        <v/>
      </c>
      <c r="X76" s="125" t="str">
        <f t="shared" si="101"/>
        <v/>
      </c>
      <c r="Y76" s="125" t="str">
        <f t="shared" si="101"/>
        <v/>
      </c>
      <c r="Z76" s="125" t="str">
        <f t="shared" si="101"/>
        <v/>
      </c>
      <c r="AA76" s="125" t="str">
        <f t="shared" si="101"/>
        <v/>
      </c>
      <c r="AB76" s="125" t="str">
        <f t="shared" si="101"/>
        <v/>
      </c>
      <c r="AC76" s="125" t="str">
        <f t="shared" si="101"/>
        <v/>
      </c>
      <c r="AD76" s="125" t="str">
        <f t="shared" si="79"/>
        <v/>
      </c>
      <c r="AE76" s="125" t="str">
        <f t="shared" si="80"/>
        <v/>
      </c>
      <c r="AF76" s="125" t="str">
        <f t="shared" si="81"/>
        <v/>
      </c>
      <c r="AG76" s="125" t="str">
        <f t="shared" si="82"/>
        <v/>
      </c>
      <c r="AH76" s="125" t="str">
        <f t="shared" si="83"/>
        <v/>
      </c>
      <c r="AI76" s="125" t="str">
        <f t="shared" si="84"/>
        <v/>
      </c>
      <c r="AJ76" s="125">
        <f t="shared" si="85"/>
        <v>600</v>
      </c>
      <c r="AK76" s="125">
        <f t="shared" si="86"/>
        <v>300</v>
      </c>
      <c r="AL76" s="125">
        <f t="shared" si="87"/>
        <v>300</v>
      </c>
      <c r="AM76" s="125">
        <f t="shared" si="88"/>
        <v>600</v>
      </c>
      <c r="AN76" s="125" t="str">
        <f t="shared" si="89"/>
        <v/>
      </c>
      <c r="AO76" s="125" t="str">
        <f t="shared" si="90"/>
        <v/>
      </c>
      <c r="AP76" s="122">
        <v>2.315</v>
      </c>
      <c r="AQ76" s="130">
        <f t="shared" si="91"/>
        <v>4167</v>
      </c>
      <c r="AR76" s="130">
        <f t="shared" si="92"/>
        <v>32294.25</v>
      </c>
    </row>
    <row r="77" s="320" customFormat="1" customHeight="1" spans="1:44">
      <c r="A77" s="119">
        <v>45996</v>
      </c>
      <c r="B77" s="112">
        <v>46143</v>
      </c>
      <c r="C77" s="116" t="s">
        <v>246</v>
      </c>
      <c r="D77" s="114"/>
      <c r="E77" s="114" t="s">
        <v>304</v>
      </c>
      <c r="F77" s="114" t="s">
        <v>127</v>
      </c>
      <c r="G77" s="118">
        <v>2202</v>
      </c>
      <c r="H77" s="114" t="s">
        <v>258</v>
      </c>
      <c r="I77" s="125" t="str">
        <f>IFERROR(VLOOKUP(F77,名称!A:C,3,0),"")</f>
        <v>FNT</v>
      </c>
      <c r="J77" s="125" t="str">
        <f t="shared" ref="J77:AC77" si="102">IF(AND($F77=J$2,$G77&gt;0),$G77,"")</f>
        <v/>
      </c>
      <c r="K77" s="125" t="str">
        <f t="shared" si="102"/>
        <v/>
      </c>
      <c r="L77" s="125" t="str">
        <f t="shared" si="102"/>
        <v/>
      </c>
      <c r="M77" s="125" t="str">
        <f t="shared" si="102"/>
        <v/>
      </c>
      <c r="N77" s="125" t="str">
        <f t="shared" si="102"/>
        <v/>
      </c>
      <c r="O77" s="125" t="str">
        <f t="shared" si="102"/>
        <v/>
      </c>
      <c r="P77" s="125" t="str">
        <f t="shared" si="102"/>
        <v/>
      </c>
      <c r="Q77" s="125" t="str">
        <f t="shared" si="102"/>
        <v/>
      </c>
      <c r="R77" s="125" t="str">
        <f t="shared" si="102"/>
        <v/>
      </c>
      <c r="S77" s="125" t="str">
        <f t="shared" si="102"/>
        <v/>
      </c>
      <c r="T77" s="125" t="str">
        <f t="shared" si="102"/>
        <v/>
      </c>
      <c r="U77" s="125" t="str">
        <f t="shared" si="102"/>
        <v/>
      </c>
      <c r="V77" s="125" t="str">
        <f t="shared" si="102"/>
        <v/>
      </c>
      <c r="W77" s="125" t="str">
        <f t="shared" si="102"/>
        <v/>
      </c>
      <c r="X77" s="125" t="str">
        <f t="shared" si="102"/>
        <v/>
      </c>
      <c r="Y77" s="125" t="str">
        <f t="shared" si="102"/>
        <v/>
      </c>
      <c r="Z77" s="125" t="str">
        <f t="shared" si="102"/>
        <v/>
      </c>
      <c r="AA77" s="125" t="str">
        <f t="shared" si="102"/>
        <v/>
      </c>
      <c r="AB77" s="125" t="str">
        <f t="shared" si="102"/>
        <v/>
      </c>
      <c r="AC77" s="125" t="str">
        <f t="shared" si="102"/>
        <v/>
      </c>
      <c r="AD77" s="125" t="str">
        <f t="shared" si="79"/>
        <v/>
      </c>
      <c r="AE77" s="125" t="str">
        <f t="shared" si="80"/>
        <v/>
      </c>
      <c r="AF77" s="125" t="str">
        <f t="shared" si="81"/>
        <v/>
      </c>
      <c r="AG77" s="125" t="str">
        <f t="shared" si="82"/>
        <v/>
      </c>
      <c r="AH77" s="125" t="str">
        <f t="shared" si="83"/>
        <v/>
      </c>
      <c r="AI77" s="125" t="str">
        <f t="shared" si="84"/>
        <v/>
      </c>
      <c r="AJ77" s="125">
        <f t="shared" si="85"/>
        <v>734</v>
      </c>
      <c r="AK77" s="125">
        <f t="shared" si="86"/>
        <v>367</v>
      </c>
      <c r="AL77" s="125">
        <f t="shared" si="87"/>
        <v>367</v>
      </c>
      <c r="AM77" s="125">
        <f t="shared" si="88"/>
        <v>734</v>
      </c>
      <c r="AN77" s="125" t="str">
        <f t="shared" si="89"/>
        <v/>
      </c>
      <c r="AO77" s="125" t="str">
        <f t="shared" si="90"/>
        <v/>
      </c>
      <c r="AP77" s="122">
        <v>2.315</v>
      </c>
      <c r="AQ77" s="130">
        <f t="shared" si="91"/>
        <v>5097.63</v>
      </c>
      <c r="AR77" s="130">
        <f t="shared" si="92"/>
        <v>39506.63</v>
      </c>
    </row>
    <row r="78" s="45" customFormat="1" customHeight="1" spans="1:44">
      <c r="A78" s="74">
        <v>45999</v>
      </c>
      <c r="B78" s="183">
        <v>46143</v>
      </c>
      <c r="C78" s="182" t="s">
        <v>246</v>
      </c>
      <c r="D78" s="172"/>
      <c r="E78" s="172" t="s">
        <v>305</v>
      </c>
      <c r="F78" s="172" t="s">
        <v>127</v>
      </c>
      <c r="G78" s="175">
        <v>54</v>
      </c>
      <c r="H78" s="172" t="s">
        <v>255</v>
      </c>
      <c r="I78" s="14" t="str">
        <f>IFERROR(VLOOKUP(F78,名称!A:C,3,0),"")</f>
        <v>FNT</v>
      </c>
      <c r="J78" s="14" t="str">
        <f t="shared" ref="J78:AC78" si="103">IF(AND($F78=J$2,$G78&gt;0),$G78,"")</f>
        <v/>
      </c>
      <c r="K78" s="14" t="str">
        <f t="shared" si="103"/>
        <v/>
      </c>
      <c r="L78" s="14" t="str">
        <f t="shared" si="103"/>
        <v/>
      </c>
      <c r="M78" s="14" t="str">
        <f t="shared" si="103"/>
        <v/>
      </c>
      <c r="N78" s="14" t="str">
        <f t="shared" si="103"/>
        <v/>
      </c>
      <c r="O78" s="14" t="str">
        <f t="shared" si="103"/>
        <v/>
      </c>
      <c r="P78" s="14" t="str">
        <f t="shared" si="103"/>
        <v/>
      </c>
      <c r="Q78" s="14" t="str">
        <f t="shared" si="103"/>
        <v/>
      </c>
      <c r="R78" s="14" t="str">
        <f t="shared" si="103"/>
        <v/>
      </c>
      <c r="S78" s="14" t="str">
        <f t="shared" si="103"/>
        <v/>
      </c>
      <c r="T78" s="14" t="str">
        <f t="shared" si="103"/>
        <v/>
      </c>
      <c r="U78" s="14" t="str">
        <f t="shared" si="103"/>
        <v/>
      </c>
      <c r="V78" s="14" t="str">
        <f t="shared" si="103"/>
        <v/>
      </c>
      <c r="W78" s="14" t="str">
        <f t="shared" si="103"/>
        <v/>
      </c>
      <c r="X78" s="14" t="str">
        <f t="shared" si="103"/>
        <v/>
      </c>
      <c r="Y78" s="14" t="str">
        <f t="shared" si="103"/>
        <v/>
      </c>
      <c r="Z78" s="14" t="str">
        <f t="shared" si="103"/>
        <v/>
      </c>
      <c r="AA78" s="14" t="str">
        <f t="shared" si="103"/>
        <v/>
      </c>
      <c r="AB78" s="14" t="str">
        <f t="shared" si="103"/>
        <v/>
      </c>
      <c r="AC78" s="14" t="str">
        <f t="shared" si="103"/>
        <v/>
      </c>
      <c r="AD78" s="14" t="str">
        <f t="shared" si="79"/>
        <v/>
      </c>
      <c r="AE78" s="14" t="str">
        <f t="shared" si="80"/>
        <v/>
      </c>
      <c r="AF78" s="14" t="str">
        <f t="shared" si="81"/>
        <v/>
      </c>
      <c r="AG78" s="14" t="str">
        <f t="shared" si="82"/>
        <v/>
      </c>
      <c r="AH78" s="14" t="str">
        <f t="shared" si="83"/>
        <v/>
      </c>
      <c r="AI78" s="14" t="str">
        <f t="shared" si="84"/>
        <v/>
      </c>
      <c r="AJ78" s="14">
        <f t="shared" si="85"/>
        <v>18</v>
      </c>
      <c r="AK78" s="14">
        <f t="shared" si="86"/>
        <v>9</v>
      </c>
      <c r="AL78" s="14">
        <f t="shared" si="87"/>
        <v>9</v>
      </c>
      <c r="AM78" s="14">
        <f t="shared" si="88"/>
        <v>18</v>
      </c>
      <c r="AN78" s="14" t="str">
        <f t="shared" si="89"/>
        <v/>
      </c>
      <c r="AO78" s="14" t="str">
        <f t="shared" si="90"/>
        <v/>
      </c>
      <c r="AP78" s="186">
        <v>2.315</v>
      </c>
      <c r="AQ78" s="72">
        <f t="shared" si="91"/>
        <v>125.01</v>
      </c>
      <c r="AR78" s="72">
        <f t="shared" si="92"/>
        <v>968.83</v>
      </c>
    </row>
    <row r="79" s="45" customFormat="1" customHeight="1" spans="1:44">
      <c r="A79" s="74">
        <v>45999</v>
      </c>
      <c r="B79" s="183">
        <v>46113</v>
      </c>
      <c r="C79" s="182" t="s">
        <v>246</v>
      </c>
      <c r="D79" s="172"/>
      <c r="E79" s="172" t="s">
        <v>306</v>
      </c>
      <c r="F79" s="172" t="s">
        <v>144</v>
      </c>
      <c r="G79" s="175">
        <v>48</v>
      </c>
      <c r="H79" s="172" t="s">
        <v>255</v>
      </c>
      <c r="I79" s="14" t="str">
        <f>IFERROR(VLOOKUP(F79,名称!A:C,3,0),"")</f>
        <v>FNT</v>
      </c>
      <c r="J79" s="14" t="str">
        <f t="shared" ref="J79:AC79" si="104">IF(AND($F79=J$2,$G79&gt;0),$G79,"")</f>
        <v/>
      </c>
      <c r="K79" s="14" t="str">
        <f t="shared" si="104"/>
        <v/>
      </c>
      <c r="L79" s="14" t="str">
        <f t="shared" si="104"/>
        <v/>
      </c>
      <c r="M79" s="14" t="str">
        <f t="shared" si="104"/>
        <v/>
      </c>
      <c r="N79" s="14" t="str">
        <f t="shared" si="104"/>
        <v/>
      </c>
      <c r="O79" s="14" t="str">
        <f t="shared" si="104"/>
        <v/>
      </c>
      <c r="P79" s="14" t="str">
        <f t="shared" si="104"/>
        <v/>
      </c>
      <c r="Q79" s="14" t="str">
        <f t="shared" si="104"/>
        <v/>
      </c>
      <c r="R79" s="14" t="str">
        <f t="shared" si="104"/>
        <v/>
      </c>
      <c r="S79" s="14" t="str">
        <f t="shared" si="104"/>
        <v/>
      </c>
      <c r="T79" s="14" t="str">
        <f t="shared" si="104"/>
        <v/>
      </c>
      <c r="U79" s="14" t="str">
        <f t="shared" si="104"/>
        <v/>
      </c>
      <c r="V79" s="14" t="str">
        <f t="shared" si="104"/>
        <v/>
      </c>
      <c r="W79" s="14" t="str">
        <f t="shared" si="104"/>
        <v/>
      </c>
      <c r="X79" s="14" t="str">
        <f t="shared" si="104"/>
        <v/>
      </c>
      <c r="Y79" s="14" t="str">
        <f t="shared" si="104"/>
        <v/>
      </c>
      <c r="Z79" s="14" t="str">
        <f t="shared" si="104"/>
        <v/>
      </c>
      <c r="AA79" s="14" t="str">
        <f t="shared" si="104"/>
        <v/>
      </c>
      <c r="AB79" s="14" t="str">
        <f t="shared" si="104"/>
        <v/>
      </c>
      <c r="AC79" s="14" t="str">
        <f t="shared" si="104"/>
        <v/>
      </c>
      <c r="AD79" s="14" t="str">
        <f t="shared" si="79"/>
        <v/>
      </c>
      <c r="AE79" s="14" t="str">
        <f t="shared" si="80"/>
        <v/>
      </c>
      <c r="AF79" s="14" t="str">
        <f t="shared" si="81"/>
        <v/>
      </c>
      <c r="AG79" s="14" t="str">
        <f t="shared" si="82"/>
        <v/>
      </c>
      <c r="AH79" s="14" t="str">
        <f t="shared" si="83"/>
        <v/>
      </c>
      <c r="AI79" s="14" t="str">
        <f t="shared" si="84"/>
        <v/>
      </c>
      <c r="AJ79" s="14">
        <f t="shared" si="85"/>
        <v>48</v>
      </c>
      <c r="AK79" s="14" t="str">
        <f t="shared" si="86"/>
        <v/>
      </c>
      <c r="AL79" s="14" t="str">
        <f t="shared" si="87"/>
        <v/>
      </c>
      <c r="AM79" s="14" t="str">
        <f t="shared" si="88"/>
        <v/>
      </c>
      <c r="AN79" s="14" t="str">
        <f t="shared" si="89"/>
        <v/>
      </c>
      <c r="AO79" s="14" t="str">
        <f t="shared" si="90"/>
        <v/>
      </c>
      <c r="AP79" s="186">
        <v>2.315</v>
      </c>
      <c r="AQ79" s="72">
        <f t="shared" si="91"/>
        <v>111.12</v>
      </c>
      <c r="AR79" s="72">
        <f t="shared" si="92"/>
        <v>861.18</v>
      </c>
    </row>
    <row r="80" s="45" customFormat="1" customHeight="1" spans="1:44">
      <c r="A80" s="74">
        <v>45999</v>
      </c>
      <c r="B80" s="183">
        <v>46113</v>
      </c>
      <c r="C80" s="182" t="s">
        <v>246</v>
      </c>
      <c r="D80" s="172"/>
      <c r="E80" s="172" t="s">
        <v>306</v>
      </c>
      <c r="F80" s="172" t="s">
        <v>145</v>
      </c>
      <c r="G80" s="175">
        <v>48</v>
      </c>
      <c r="H80" s="172" t="s">
        <v>255</v>
      </c>
      <c r="I80" s="14" t="str">
        <f>IFERROR(VLOOKUP(F80,名称!A:C,3,0),"")</f>
        <v>FNT</v>
      </c>
      <c r="J80" s="14" t="str">
        <f t="shared" ref="J80:AC80" si="105">IF(AND($F80=J$2,$G80&gt;0),$G80,"")</f>
        <v/>
      </c>
      <c r="K80" s="14" t="str">
        <f t="shared" si="105"/>
        <v/>
      </c>
      <c r="L80" s="14" t="str">
        <f t="shared" si="105"/>
        <v/>
      </c>
      <c r="M80" s="14" t="str">
        <f t="shared" si="105"/>
        <v/>
      </c>
      <c r="N80" s="14" t="str">
        <f t="shared" si="105"/>
        <v/>
      </c>
      <c r="O80" s="14" t="str">
        <f t="shared" si="105"/>
        <v/>
      </c>
      <c r="P80" s="14" t="str">
        <f t="shared" si="105"/>
        <v/>
      </c>
      <c r="Q80" s="14" t="str">
        <f t="shared" si="105"/>
        <v/>
      </c>
      <c r="R80" s="14" t="str">
        <f t="shared" si="105"/>
        <v/>
      </c>
      <c r="S80" s="14" t="str">
        <f t="shared" si="105"/>
        <v/>
      </c>
      <c r="T80" s="14" t="str">
        <f t="shared" si="105"/>
        <v/>
      </c>
      <c r="U80" s="14" t="str">
        <f t="shared" si="105"/>
        <v/>
      </c>
      <c r="V80" s="14" t="str">
        <f t="shared" si="105"/>
        <v/>
      </c>
      <c r="W80" s="14" t="str">
        <f t="shared" si="105"/>
        <v/>
      </c>
      <c r="X80" s="14" t="str">
        <f t="shared" si="105"/>
        <v/>
      </c>
      <c r="Y80" s="14" t="str">
        <f t="shared" si="105"/>
        <v/>
      </c>
      <c r="Z80" s="14" t="str">
        <f t="shared" si="105"/>
        <v/>
      </c>
      <c r="AA80" s="14" t="str">
        <f t="shared" si="105"/>
        <v/>
      </c>
      <c r="AB80" s="14" t="str">
        <f t="shared" si="105"/>
        <v/>
      </c>
      <c r="AC80" s="14" t="str">
        <f t="shared" si="105"/>
        <v/>
      </c>
      <c r="AD80" s="14" t="str">
        <f t="shared" si="79"/>
        <v/>
      </c>
      <c r="AE80" s="14" t="str">
        <f t="shared" si="80"/>
        <v/>
      </c>
      <c r="AF80" s="14" t="str">
        <f t="shared" si="81"/>
        <v/>
      </c>
      <c r="AG80" s="14" t="str">
        <f t="shared" si="82"/>
        <v/>
      </c>
      <c r="AH80" s="14" t="str">
        <f t="shared" si="83"/>
        <v/>
      </c>
      <c r="AI80" s="14" t="str">
        <f t="shared" si="84"/>
        <v/>
      </c>
      <c r="AJ80" s="14" t="str">
        <f t="shared" si="85"/>
        <v/>
      </c>
      <c r="AK80" s="14">
        <f t="shared" si="86"/>
        <v>48</v>
      </c>
      <c r="AL80" s="14" t="str">
        <f t="shared" si="87"/>
        <v/>
      </c>
      <c r="AM80" s="14" t="str">
        <f t="shared" si="88"/>
        <v/>
      </c>
      <c r="AN80" s="14" t="str">
        <f t="shared" si="89"/>
        <v/>
      </c>
      <c r="AO80" s="14" t="str">
        <f t="shared" si="90"/>
        <v/>
      </c>
      <c r="AP80" s="186">
        <v>2.315</v>
      </c>
      <c r="AQ80" s="72">
        <f t="shared" si="91"/>
        <v>111.12</v>
      </c>
      <c r="AR80" s="72">
        <f t="shared" si="92"/>
        <v>861.18</v>
      </c>
    </row>
    <row r="81" s="45" customFormat="1" customHeight="1" spans="1:44">
      <c r="A81" s="74">
        <v>45999</v>
      </c>
      <c r="B81" s="183">
        <v>46113</v>
      </c>
      <c r="C81" s="182" t="s">
        <v>246</v>
      </c>
      <c r="D81" s="172"/>
      <c r="E81" s="172" t="s">
        <v>306</v>
      </c>
      <c r="F81" s="172" t="s">
        <v>146</v>
      </c>
      <c r="G81" s="175">
        <v>48</v>
      </c>
      <c r="H81" s="172" t="s">
        <v>255</v>
      </c>
      <c r="I81" s="14" t="str">
        <f>IFERROR(VLOOKUP(F81,名称!A:C,3,0),"")</f>
        <v>FNT</v>
      </c>
      <c r="J81" s="14" t="str">
        <f t="shared" ref="J81:AC81" si="106">IF(AND($F81=J$2,$G81&gt;0),$G81,"")</f>
        <v/>
      </c>
      <c r="K81" s="14" t="str">
        <f t="shared" si="106"/>
        <v/>
      </c>
      <c r="L81" s="14" t="str">
        <f t="shared" si="106"/>
        <v/>
      </c>
      <c r="M81" s="14" t="str">
        <f t="shared" si="106"/>
        <v/>
      </c>
      <c r="N81" s="14" t="str">
        <f t="shared" si="106"/>
        <v/>
      </c>
      <c r="O81" s="14" t="str">
        <f t="shared" si="106"/>
        <v/>
      </c>
      <c r="P81" s="14" t="str">
        <f t="shared" si="106"/>
        <v/>
      </c>
      <c r="Q81" s="14" t="str">
        <f t="shared" si="106"/>
        <v/>
      </c>
      <c r="R81" s="14" t="str">
        <f t="shared" si="106"/>
        <v/>
      </c>
      <c r="S81" s="14" t="str">
        <f t="shared" si="106"/>
        <v/>
      </c>
      <c r="T81" s="14" t="str">
        <f t="shared" si="106"/>
        <v/>
      </c>
      <c r="U81" s="14" t="str">
        <f t="shared" si="106"/>
        <v/>
      </c>
      <c r="V81" s="14" t="str">
        <f t="shared" si="106"/>
        <v/>
      </c>
      <c r="W81" s="14" t="str">
        <f t="shared" si="106"/>
        <v/>
      </c>
      <c r="X81" s="14" t="str">
        <f t="shared" si="106"/>
        <v/>
      </c>
      <c r="Y81" s="14" t="str">
        <f t="shared" si="106"/>
        <v/>
      </c>
      <c r="Z81" s="14" t="str">
        <f t="shared" si="106"/>
        <v/>
      </c>
      <c r="AA81" s="14" t="str">
        <f t="shared" si="106"/>
        <v/>
      </c>
      <c r="AB81" s="14" t="str">
        <f t="shared" si="106"/>
        <v/>
      </c>
      <c r="AC81" s="14" t="str">
        <f t="shared" si="106"/>
        <v/>
      </c>
      <c r="AD81" s="14" t="str">
        <f t="shared" si="79"/>
        <v/>
      </c>
      <c r="AE81" s="14" t="str">
        <f t="shared" si="80"/>
        <v/>
      </c>
      <c r="AF81" s="14" t="str">
        <f t="shared" si="81"/>
        <v/>
      </c>
      <c r="AG81" s="14" t="str">
        <f t="shared" si="82"/>
        <v/>
      </c>
      <c r="AH81" s="14" t="str">
        <f t="shared" si="83"/>
        <v/>
      </c>
      <c r="AI81" s="14" t="str">
        <f t="shared" si="84"/>
        <v/>
      </c>
      <c r="AJ81" s="14" t="str">
        <f t="shared" si="85"/>
        <v/>
      </c>
      <c r="AK81" s="14" t="str">
        <f t="shared" si="86"/>
        <v/>
      </c>
      <c r="AL81" s="14">
        <f t="shared" si="87"/>
        <v>48</v>
      </c>
      <c r="AM81" s="14" t="str">
        <f t="shared" si="88"/>
        <v/>
      </c>
      <c r="AN81" s="14" t="str">
        <f t="shared" si="89"/>
        <v/>
      </c>
      <c r="AO81" s="14" t="str">
        <f t="shared" si="90"/>
        <v/>
      </c>
      <c r="AP81" s="186">
        <v>2.315</v>
      </c>
      <c r="AQ81" s="72">
        <f t="shared" si="91"/>
        <v>111.12</v>
      </c>
      <c r="AR81" s="72">
        <f t="shared" si="92"/>
        <v>861.18</v>
      </c>
    </row>
    <row r="82" s="45" customFormat="1" customHeight="1" spans="1:44">
      <c r="A82" s="74">
        <v>45999</v>
      </c>
      <c r="B82" s="183">
        <v>46113</v>
      </c>
      <c r="C82" s="182" t="s">
        <v>246</v>
      </c>
      <c r="D82" s="172"/>
      <c r="E82" s="172" t="s">
        <v>306</v>
      </c>
      <c r="F82" s="172" t="s">
        <v>147</v>
      </c>
      <c r="G82" s="175">
        <v>48</v>
      </c>
      <c r="H82" s="172" t="s">
        <v>255</v>
      </c>
      <c r="I82" s="14" t="str">
        <f>IFERROR(VLOOKUP(F82,名称!A:C,3,0),"")</f>
        <v>FNT</v>
      </c>
      <c r="J82" s="14" t="str">
        <f t="shared" ref="J82:AC82" si="107">IF(AND($F82=J$2,$G82&gt;0),$G82,"")</f>
        <v/>
      </c>
      <c r="K82" s="14" t="str">
        <f t="shared" si="107"/>
        <v/>
      </c>
      <c r="L82" s="14" t="str">
        <f t="shared" si="107"/>
        <v/>
      </c>
      <c r="M82" s="14" t="str">
        <f t="shared" si="107"/>
        <v/>
      </c>
      <c r="N82" s="14" t="str">
        <f t="shared" si="107"/>
        <v/>
      </c>
      <c r="O82" s="14" t="str">
        <f t="shared" si="107"/>
        <v/>
      </c>
      <c r="P82" s="14" t="str">
        <f t="shared" si="107"/>
        <v/>
      </c>
      <c r="Q82" s="14" t="str">
        <f t="shared" si="107"/>
        <v/>
      </c>
      <c r="R82" s="14" t="str">
        <f t="shared" si="107"/>
        <v/>
      </c>
      <c r="S82" s="14" t="str">
        <f t="shared" si="107"/>
        <v/>
      </c>
      <c r="T82" s="14" t="str">
        <f t="shared" si="107"/>
        <v/>
      </c>
      <c r="U82" s="14" t="str">
        <f t="shared" si="107"/>
        <v/>
      </c>
      <c r="V82" s="14" t="str">
        <f t="shared" si="107"/>
        <v/>
      </c>
      <c r="W82" s="14" t="str">
        <f t="shared" si="107"/>
        <v/>
      </c>
      <c r="X82" s="14" t="str">
        <f t="shared" si="107"/>
        <v/>
      </c>
      <c r="Y82" s="14" t="str">
        <f t="shared" si="107"/>
        <v/>
      </c>
      <c r="Z82" s="14" t="str">
        <f t="shared" si="107"/>
        <v/>
      </c>
      <c r="AA82" s="14" t="str">
        <f t="shared" si="107"/>
        <v/>
      </c>
      <c r="AB82" s="14" t="str">
        <f t="shared" si="107"/>
        <v/>
      </c>
      <c r="AC82" s="14" t="str">
        <f t="shared" si="107"/>
        <v/>
      </c>
      <c r="AD82" s="14" t="str">
        <f t="shared" si="79"/>
        <v/>
      </c>
      <c r="AE82" s="14" t="str">
        <f t="shared" si="80"/>
        <v/>
      </c>
      <c r="AF82" s="14" t="str">
        <f t="shared" si="81"/>
        <v/>
      </c>
      <c r="AG82" s="14" t="str">
        <f t="shared" si="82"/>
        <v/>
      </c>
      <c r="AH82" s="14" t="str">
        <f t="shared" si="83"/>
        <v/>
      </c>
      <c r="AI82" s="14" t="str">
        <f t="shared" si="84"/>
        <v/>
      </c>
      <c r="AJ82" s="14" t="str">
        <f t="shared" si="85"/>
        <v/>
      </c>
      <c r="AK82" s="14" t="str">
        <f t="shared" si="86"/>
        <v/>
      </c>
      <c r="AL82" s="14" t="str">
        <f t="shared" si="87"/>
        <v/>
      </c>
      <c r="AM82" s="14">
        <f t="shared" si="88"/>
        <v>48</v>
      </c>
      <c r="AN82" s="14" t="str">
        <f t="shared" si="89"/>
        <v/>
      </c>
      <c r="AO82" s="14" t="str">
        <f t="shared" si="90"/>
        <v/>
      </c>
      <c r="AP82" s="186">
        <v>2.315</v>
      </c>
      <c r="AQ82" s="72">
        <f t="shared" si="91"/>
        <v>111.12</v>
      </c>
      <c r="AR82" s="72">
        <f t="shared" si="92"/>
        <v>861.18</v>
      </c>
    </row>
    <row r="83" s="45" customFormat="1" customHeight="1" spans="1:44">
      <c r="A83" s="74">
        <v>46009</v>
      </c>
      <c r="B83" s="183">
        <v>46125</v>
      </c>
      <c r="C83" s="172" t="s">
        <v>246</v>
      </c>
      <c r="D83" s="14">
        <v>10001431532</v>
      </c>
      <c r="E83" s="14" t="s">
        <v>274</v>
      </c>
      <c r="F83" s="14" t="s">
        <v>205</v>
      </c>
      <c r="G83" s="171">
        <v>1200</v>
      </c>
      <c r="H83" s="172" t="s">
        <v>258</v>
      </c>
      <c r="I83" s="14" t="str">
        <f>IFERROR(VLOOKUP(F83,名称!A:C,3,0),"")</f>
        <v>SNF</v>
      </c>
      <c r="J83" s="14" t="str">
        <f t="shared" ref="J83:AC83" si="108">IF(AND($F83=J$2,$G83&gt;0),$G83,"")</f>
        <v/>
      </c>
      <c r="K83" s="14" t="str">
        <f t="shared" si="108"/>
        <v/>
      </c>
      <c r="L83" s="14" t="str">
        <f t="shared" si="108"/>
        <v/>
      </c>
      <c r="M83" s="14" t="str">
        <f t="shared" si="108"/>
        <v/>
      </c>
      <c r="N83" s="14" t="str">
        <f t="shared" si="108"/>
        <v/>
      </c>
      <c r="O83" s="14" t="str">
        <f t="shared" si="108"/>
        <v/>
      </c>
      <c r="P83" s="14" t="str">
        <f t="shared" si="108"/>
        <v/>
      </c>
      <c r="Q83" s="14" t="str">
        <f t="shared" si="108"/>
        <v/>
      </c>
      <c r="R83" s="14" t="str">
        <f t="shared" si="108"/>
        <v/>
      </c>
      <c r="S83" s="14" t="str">
        <f t="shared" si="108"/>
        <v/>
      </c>
      <c r="T83" s="14" t="str">
        <f t="shared" si="108"/>
        <v/>
      </c>
      <c r="U83" s="14" t="str">
        <f t="shared" si="108"/>
        <v/>
      </c>
      <c r="V83" s="14" t="str">
        <f t="shared" si="108"/>
        <v/>
      </c>
      <c r="W83" s="14" t="str">
        <f t="shared" si="108"/>
        <v/>
      </c>
      <c r="X83" s="14" t="str">
        <f t="shared" si="108"/>
        <v/>
      </c>
      <c r="Y83" s="14" t="str">
        <f t="shared" si="108"/>
        <v/>
      </c>
      <c r="Z83" s="14" t="str">
        <f t="shared" si="108"/>
        <v/>
      </c>
      <c r="AA83" s="14">
        <f t="shared" si="108"/>
        <v>1200</v>
      </c>
      <c r="AB83" s="14" t="str">
        <f t="shared" si="108"/>
        <v/>
      </c>
      <c r="AC83" s="14" t="str">
        <f t="shared" si="108"/>
        <v/>
      </c>
      <c r="AD83" s="14" t="str">
        <f t="shared" si="79"/>
        <v/>
      </c>
      <c r="AE83" s="14" t="str">
        <f t="shared" si="80"/>
        <v/>
      </c>
      <c r="AF83" s="14" t="str">
        <f t="shared" si="81"/>
        <v/>
      </c>
      <c r="AG83" s="14" t="str">
        <f t="shared" si="82"/>
        <v/>
      </c>
      <c r="AH83" s="14" t="str">
        <f t="shared" si="83"/>
        <v/>
      </c>
      <c r="AI83" s="14" t="str">
        <f t="shared" si="84"/>
        <v/>
      </c>
      <c r="AJ83" s="14" t="str">
        <f t="shared" si="85"/>
        <v/>
      </c>
      <c r="AK83" s="14" t="str">
        <f t="shared" si="86"/>
        <v/>
      </c>
      <c r="AL83" s="14" t="str">
        <f t="shared" si="87"/>
        <v/>
      </c>
      <c r="AM83" s="14" t="str">
        <f t="shared" si="88"/>
        <v/>
      </c>
      <c r="AN83" s="14" t="str">
        <f t="shared" si="89"/>
        <v/>
      </c>
      <c r="AO83" s="14" t="str">
        <f t="shared" si="90"/>
        <v/>
      </c>
      <c r="AP83" s="71">
        <v>3.64</v>
      </c>
      <c r="AQ83" s="72">
        <f t="shared" si="91"/>
        <v>4368</v>
      </c>
      <c r="AR83" s="72">
        <f t="shared" si="92"/>
        <v>33852</v>
      </c>
    </row>
    <row r="84" s="321" customFormat="1" customHeight="1" spans="1:44">
      <c r="A84" s="331">
        <v>46013</v>
      </c>
      <c r="B84" s="295">
        <v>46288</v>
      </c>
      <c r="C84" s="332" t="s">
        <v>259</v>
      </c>
      <c r="D84" s="291" t="s">
        <v>249</v>
      </c>
      <c r="E84" s="317" t="s">
        <v>307</v>
      </c>
      <c r="F84" s="317" t="s">
        <v>222</v>
      </c>
      <c r="G84" s="333">
        <v>1752</v>
      </c>
      <c r="H84" s="317" t="s">
        <v>276</v>
      </c>
      <c r="I84" s="334" t="str">
        <f>IFERROR(VLOOKUP(F84,名称!A:C,3,0),"")</f>
        <v>SNF</v>
      </c>
      <c r="J84" s="334" t="str">
        <f t="shared" ref="J84:AC84" si="109">IF(AND($F84=J$2,$G84&gt;0),$G84,"")</f>
        <v/>
      </c>
      <c r="K84" s="334" t="str">
        <f t="shared" si="109"/>
        <v/>
      </c>
      <c r="L84" s="334" t="str">
        <f t="shared" si="109"/>
        <v/>
      </c>
      <c r="M84" s="334" t="str">
        <f t="shared" si="109"/>
        <v/>
      </c>
      <c r="N84" s="334" t="str">
        <f t="shared" si="109"/>
        <v/>
      </c>
      <c r="O84" s="334" t="str">
        <f t="shared" si="109"/>
        <v/>
      </c>
      <c r="P84" s="334" t="str">
        <f t="shared" si="109"/>
        <v/>
      </c>
      <c r="Q84" s="334" t="str">
        <f t="shared" si="109"/>
        <v/>
      </c>
      <c r="R84" s="334" t="str">
        <f t="shared" si="109"/>
        <v/>
      </c>
      <c r="S84" s="334" t="str">
        <f t="shared" si="109"/>
        <v/>
      </c>
      <c r="T84" s="334" t="str">
        <f t="shared" si="109"/>
        <v/>
      </c>
      <c r="U84" s="334" t="str">
        <f t="shared" si="109"/>
        <v/>
      </c>
      <c r="V84" s="334" t="str">
        <f t="shared" si="109"/>
        <v/>
      </c>
      <c r="W84" s="334" t="str">
        <f t="shared" si="109"/>
        <v/>
      </c>
      <c r="X84" s="334" t="str">
        <f t="shared" si="109"/>
        <v/>
      </c>
      <c r="Y84" s="334" t="str">
        <f t="shared" si="109"/>
        <v/>
      </c>
      <c r="Z84" s="334" t="str">
        <f t="shared" si="109"/>
        <v/>
      </c>
      <c r="AA84" s="334" t="str">
        <f t="shared" si="109"/>
        <v/>
      </c>
      <c r="AB84" s="334" t="str">
        <f t="shared" si="109"/>
        <v/>
      </c>
      <c r="AC84" s="334">
        <f t="shared" si="109"/>
        <v>1752</v>
      </c>
      <c r="AD84" s="334" t="str">
        <f t="shared" si="79"/>
        <v/>
      </c>
      <c r="AE84" s="334" t="str">
        <f t="shared" si="80"/>
        <v/>
      </c>
      <c r="AF84" s="334" t="str">
        <f t="shared" si="81"/>
        <v/>
      </c>
      <c r="AG84" s="334" t="str">
        <f t="shared" si="82"/>
        <v/>
      </c>
      <c r="AH84" s="334" t="str">
        <f t="shared" si="83"/>
        <v/>
      </c>
      <c r="AI84" s="334" t="str">
        <f t="shared" si="84"/>
        <v/>
      </c>
      <c r="AJ84" s="334" t="str">
        <f t="shared" si="85"/>
        <v/>
      </c>
      <c r="AK84" s="334" t="str">
        <f t="shared" si="86"/>
        <v/>
      </c>
      <c r="AL84" s="334" t="str">
        <f t="shared" si="87"/>
        <v/>
      </c>
      <c r="AM84" s="334" t="str">
        <f t="shared" si="88"/>
        <v/>
      </c>
      <c r="AN84" s="334" t="str">
        <f t="shared" si="89"/>
        <v/>
      </c>
      <c r="AO84" s="334" t="str">
        <f t="shared" si="90"/>
        <v/>
      </c>
      <c r="AP84" s="335">
        <v>4.28</v>
      </c>
      <c r="AQ84" s="336">
        <f t="shared" si="91"/>
        <v>7498.56</v>
      </c>
      <c r="AR84" s="336">
        <f t="shared" si="92"/>
        <v>58113.84</v>
      </c>
    </row>
    <row r="85" s="320" customFormat="1" customHeight="1" spans="1:44">
      <c r="A85" s="127">
        <v>46016</v>
      </c>
      <c r="B85" s="112">
        <v>46113</v>
      </c>
      <c r="C85" s="116" t="s">
        <v>246</v>
      </c>
      <c r="D85" s="125" t="s">
        <v>298</v>
      </c>
      <c r="E85" s="125" t="s">
        <v>308</v>
      </c>
      <c r="F85" s="125" t="s">
        <v>123</v>
      </c>
      <c r="G85" s="126">
        <v>1200</v>
      </c>
      <c r="H85" s="114" t="s">
        <v>258</v>
      </c>
      <c r="I85" s="125" t="str">
        <f>IFERROR(VLOOKUP(F85,名称!A:C,3,0),"")</f>
        <v>FNT</v>
      </c>
      <c r="J85" s="125" t="str">
        <f t="shared" ref="J85:AC85" si="110">IF(AND($F85=J$2,$G85&gt;0),$G85,"")</f>
        <v/>
      </c>
      <c r="K85" s="125" t="str">
        <f t="shared" si="110"/>
        <v/>
      </c>
      <c r="L85" s="125" t="str">
        <f t="shared" si="110"/>
        <v/>
      </c>
      <c r="M85" s="125" t="str">
        <f t="shared" si="110"/>
        <v/>
      </c>
      <c r="N85" s="125" t="str">
        <f t="shared" si="110"/>
        <v/>
      </c>
      <c r="O85" s="125" t="str">
        <f t="shared" si="110"/>
        <v/>
      </c>
      <c r="P85" s="125" t="str">
        <f t="shared" si="110"/>
        <v/>
      </c>
      <c r="Q85" s="125" t="str">
        <f t="shared" si="110"/>
        <v/>
      </c>
      <c r="R85" s="125" t="str">
        <f t="shared" si="110"/>
        <v/>
      </c>
      <c r="S85" s="125" t="str">
        <f t="shared" si="110"/>
        <v/>
      </c>
      <c r="T85" s="125" t="str">
        <f t="shared" si="110"/>
        <v/>
      </c>
      <c r="U85" s="125" t="str">
        <f t="shared" si="110"/>
        <v/>
      </c>
      <c r="V85" s="125" t="str">
        <f t="shared" si="110"/>
        <v/>
      </c>
      <c r="W85" s="125" t="str">
        <f t="shared" si="110"/>
        <v/>
      </c>
      <c r="X85" s="125" t="str">
        <f t="shared" si="110"/>
        <v/>
      </c>
      <c r="Y85" s="125" t="str">
        <f t="shared" si="110"/>
        <v/>
      </c>
      <c r="Z85" s="125" t="str">
        <f t="shared" si="110"/>
        <v/>
      </c>
      <c r="AA85" s="125" t="str">
        <f t="shared" si="110"/>
        <v/>
      </c>
      <c r="AB85" s="125" t="str">
        <f t="shared" si="110"/>
        <v/>
      </c>
      <c r="AC85" s="125" t="str">
        <f t="shared" si="110"/>
        <v/>
      </c>
      <c r="AD85" s="125">
        <f t="shared" si="79"/>
        <v>400</v>
      </c>
      <c r="AE85" s="125">
        <f t="shared" si="80"/>
        <v>400</v>
      </c>
      <c r="AF85" s="125">
        <f t="shared" si="81"/>
        <v>400</v>
      </c>
      <c r="AG85" s="125" t="str">
        <f t="shared" si="82"/>
        <v/>
      </c>
      <c r="AH85" s="125" t="str">
        <f t="shared" si="83"/>
        <v/>
      </c>
      <c r="AI85" s="125" t="str">
        <f t="shared" si="84"/>
        <v/>
      </c>
      <c r="AJ85" s="125" t="str">
        <f t="shared" si="85"/>
        <v/>
      </c>
      <c r="AK85" s="125" t="str">
        <f t="shared" si="86"/>
        <v/>
      </c>
      <c r="AL85" s="125" t="str">
        <f t="shared" si="87"/>
        <v/>
      </c>
      <c r="AM85" s="125" t="str">
        <f t="shared" si="88"/>
        <v/>
      </c>
      <c r="AN85" s="125" t="str">
        <f t="shared" si="89"/>
        <v/>
      </c>
      <c r="AO85" s="125" t="str">
        <f t="shared" si="90"/>
        <v/>
      </c>
      <c r="AP85" s="129">
        <v>2.06</v>
      </c>
      <c r="AQ85" s="130">
        <f t="shared" si="91"/>
        <v>2472</v>
      </c>
      <c r="AR85" s="130">
        <f t="shared" si="92"/>
        <v>19158</v>
      </c>
    </row>
    <row r="86" s="320" customFormat="1" customHeight="1" spans="1:44">
      <c r="A86" s="119">
        <v>46021</v>
      </c>
      <c r="B86" s="112">
        <v>46143</v>
      </c>
      <c r="C86" s="116" t="s">
        <v>246</v>
      </c>
      <c r="D86" s="114"/>
      <c r="E86" s="114" t="s">
        <v>309</v>
      </c>
      <c r="F86" s="114" t="s">
        <v>127</v>
      </c>
      <c r="G86" s="118">
        <v>6000</v>
      </c>
      <c r="H86" s="114" t="s">
        <v>258</v>
      </c>
      <c r="I86" s="125" t="str">
        <f>IFERROR(VLOOKUP(F86,名称!A:C,3,0),"")</f>
        <v>FNT</v>
      </c>
      <c r="J86" s="125" t="str">
        <f t="shared" ref="J86:AC86" si="111">IF(AND($F86=J$2,$G86&gt;0),$G86,"")</f>
        <v/>
      </c>
      <c r="K86" s="125" t="str">
        <f t="shared" si="111"/>
        <v/>
      </c>
      <c r="L86" s="125" t="str">
        <f t="shared" si="111"/>
        <v/>
      </c>
      <c r="M86" s="125" t="str">
        <f t="shared" si="111"/>
        <v/>
      </c>
      <c r="N86" s="125" t="str">
        <f t="shared" si="111"/>
        <v/>
      </c>
      <c r="O86" s="125" t="str">
        <f t="shared" si="111"/>
        <v/>
      </c>
      <c r="P86" s="125" t="str">
        <f t="shared" si="111"/>
        <v/>
      </c>
      <c r="Q86" s="125" t="str">
        <f t="shared" si="111"/>
        <v/>
      </c>
      <c r="R86" s="125" t="str">
        <f t="shared" si="111"/>
        <v/>
      </c>
      <c r="S86" s="125" t="str">
        <f t="shared" si="111"/>
        <v/>
      </c>
      <c r="T86" s="125" t="str">
        <f t="shared" si="111"/>
        <v/>
      </c>
      <c r="U86" s="125" t="str">
        <f t="shared" si="111"/>
        <v/>
      </c>
      <c r="V86" s="125" t="str">
        <f t="shared" si="111"/>
        <v/>
      </c>
      <c r="W86" s="125" t="str">
        <f t="shared" si="111"/>
        <v/>
      </c>
      <c r="X86" s="125" t="str">
        <f t="shared" si="111"/>
        <v/>
      </c>
      <c r="Y86" s="125" t="str">
        <f t="shared" si="111"/>
        <v/>
      </c>
      <c r="Z86" s="125" t="str">
        <f t="shared" si="111"/>
        <v/>
      </c>
      <c r="AA86" s="125" t="str">
        <f t="shared" si="111"/>
        <v/>
      </c>
      <c r="AB86" s="125" t="str">
        <f t="shared" si="111"/>
        <v/>
      </c>
      <c r="AC86" s="125" t="str">
        <f t="shared" si="111"/>
        <v/>
      </c>
      <c r="AD86" s="125" t="str">
        <f t="shared" si="79"/>
        <v/>
      </c>
      <c r="AE86" s="125" t="str">
        <f t="shared" si="80"/>
        <v/>
      </c>
      <c r="AF86" s="125" t="str">
        <f t="shared" si="81"/>
        <v/>
      </c>
      <c r="AG86" s="125" t="str">
        <f t="shared" si="82"/>
        <v/>
      </c>
      <c r="AH86" s="125" t="str">
        <f t="shared" si="83"/>
        <v/>
      </c>
      <c r="AI86" s="125" t="str">
        <f t="shared" si="84"/>
        <v/>
      </c>
      <c r="AJ86" s="125">
        <f t="shared" si="85"/>
        <v>2000</v>
      </c>
      <c r="AK86" s="125">
        <f t="shared" si="86"/>
        <v>1000</v>
      </c>
      <c r="AL86" s="125">
        <f t="shared" si="87"/>
        <v>1000</v>
      </c>
      <c r="AM86" s="125">
        <f t="shared" si="88"/>
        <v>2000</v>
      </c>
      <c r="AN86" s="125" t="str">
        <f t="shared" si="89"/>
        <v/>
      </c>
      <c r="AO86" s="125" t="str">
        <f t="shared" si="90"/>
        <v/>
      </c>
      <c r="AP86" s="122">
        <v>2.315</v>
      </c>
      <c r="AQ86" s="130">
        <f t="shared" si="91"/>
        <v>13890</v>
      </c>
      <c r="AR86" s="130">
        <f t="shared" si="92"/>
        <v>107647.5</v>
      </c>
    </row>
    <row r="87" s="320" customFormat="1" customHeight="1" spans="1:44">
      <c r="A87" s="119">
        <v>46021</v>
      </c>
      <c r="B87" s="112">
        <v>46174</v>
      </c>
      <c r="C87" s="116" t="s">
        <v>246</v>
      </c>
      <c r="D87" s="114"/>
      <c r="E87" s="114" t="s">
        <v>310</v>
      </c>
      <c r="F87" s="114" t="s">
        <v>127</v>
      </c>
      <c r="G87" s="118">
        <v>6000</v>
      </c>
      <c r="H87" s="114" t="s">
        <v>258</v>
      </c>
      <c r="I87" s="125" t="str">
        <f>IFERROR(VLOOKUP(F87,名称!A:C,3,0),"")</f>
        <v>FNT</v>
      </c>
      <c r="J87" s="125" t="str">
        <f t="shared" ref="J87:AC87" si="112">IF(AND($F87=J$2,$G87&gt;0),$G87,"")</f>
        <v/>
      </c>
      <c r="K87" s="125" t="str">
        <f t="shared" si="112"/>
        <v/>
      </c>
      <c r="L87" s="125" t="str">
        <f t="shared" si="112"/>
        <v/>
      </c>
      <c r="M87" s="125" t="str">
        <f t="shared" si="112"/>
        <v/>
      </c>
      <c r="N87" s="125" t="str">
        <f t="shared" si="112"/>
        <v/>
      </c>
      <c r="O87" s="125" t="str">
        <f t="shared" si="112"/>
        <v/>
      </c>
      <c r="P87" s="125" t="str">
        <f t="shared" si="112"/>
        <v/>
      </c>
      <c r="Q87" s="125" t="str">
        <f t="shared" si="112"/>
        <v/>
      </c>
      <c r="R87" s="125" t="str">
        <f t="shared" si="112"/>
        <v/>
      </c>
      <c r="S87" s="125" t="str">
        <f t="shared" si="112"/>
        <v/>
      </c>
      <c r="T87" s="125" t="str">
        <f t="shared" si="112"/>
        <v/>
      </c>
      <c r="U87" s="125" t="str">
        <f t="shared" si="112"/>
        <v/>
      </c>
      <c r="V87" s="125" t="str">
        <f t="shared" si="112"/>
        <v/>
      </c>
      <c r="W87" s="125" t="str">
        <f t="shared" si="112"/>
        <v/>
      </c>
      <c r="X87" s="125" t="str">
        <f t="shared" si="112"/>
        <v/>
      </c>
      <c r="Y87" s="125" t="str">
        <f t="shared" si="112"/>
        <v/>
      </c>
      <c r="Z87" s="125" t="str">
        <f t="shared" si="112"/>
        <v/>
      </c>
      <c r="AA87" s="125" t="str">
        <f t="shared" si="112"/>
        <v/>
      </c>
      <c r="AB87" s="125" t="str">
        <f t="shared" si="112"/>
        <v/>
      </c>
      <c r="AC87" s="125" t="str">
        <f t="shared" si="112"/>
        <v/>
      </c>
      <c r="AD87" s="125" t="str">
        <f t="shared" si="79"/>
        <v/>
      </c>
      <c r="AE87" s="125" t="str">
        <f t="shared" si="80"/>
        <v/>
      </c>
      <c r="AF87" s="125" t="str">
        <f t="shared" si="81"/>
        <v/>
      </c>
      <c r="AG87" s="125" t="str">
        <f t="shared" si="82"/>
        <v/>
      </c>
      <c r="AH87" s="125" t="str">
        <f t="shared" si="83"/>
        <v/>
      </c>
      <c r="AI87" s="125" t="str">
        <f t="shared" si="84"/>
        <v/>
      </c>
      <c r="AJ87" s="125">
        <f t="shared" si="85"/>
        <v>2000</v>
      </c>
      <c r="AK87" s="125">
        <f t="shared" si="86"/>
        <v>1000</v>
      </c>
      <c r="AL87" s="125">
        <f t="shared" si="87"/>
        <v>1000</v>
      </c>
      <c r="AM87" s="125">
        <f t="shared" si="88"/>
        <v>2000</v>
      </c>
      <c r="AN87" s="125" t="str">
        <f t="shared" si="89"/>
        <v/>
      </c>
      <c r="AO87" s="125" t="str">
        <f t="shared" si="90"/>
        <v/>
      </c>
      <c r="AP87" s="122">
        <v>2.315</v>
      </c>
      <c r="AQ87" s="130">
        <f t="shared" si="91"/>
        <v>13890</v>
      </c>
      <c r="AR87" s="130">
        <f t="shared" si="92"/>
        <v>107647.5</v>
      </c>
    </row>
    <row r="88" s="320" customFormat="1" customHeight="1" spans="1:44">
      <c r="A88" s="119">
        <v>46021</v>
      </c>
      <c r="B88" s="112">
        <v>46157</v>
      </c>
      <c r="C88" s="116" t="s">
        <v>246</v>
      </c>
      <c r="D88" s="114"/>
      <c r="E88" s="114" t="s">
        <v>311</v>
      </c>
      <c r="F88" s="114" t="s">
        <v>144</v>
      </c>
      <c r="G88" s="118">
        <v>354</v>
      </c>
      <c r="H88" s="114" t="s">
        <v>258</v>
      </c>
      <c r="I88" s="125" t="str">
        <f>IFERROR(VLOOKUP(F88,名称!A:C,3,0),"")</f>
        <v>FNT</v>
      </c>
      <c r="J88" s="125" t="str">
        <f t="shared" ref="J88:AC88" si="113">IF(AND($F88=J$2,$G88&gt;0),$G88,"")</f>
        <v/>
      </c>
      <c r="K88" s="125" t="str">
        <f t="shared" si="113"/>
        <v/>
      </c>
      <c r="L88" s="125" t="str">
        <f t="shared" si="113"/>
        <v/>
      </c>
      <c r="M88" s="125" t="str">
        <f t="shared" si="113"/>
        <v/>
      </c>
      <c r="N88" s="125" t="str">
        <f t="shared" si="113"/>
        <v/>
      </c>
      <c r="O88" s="125" t="str">
        <f t="shared" si="113"/>
        <v/>
      </c>
      <c r="P88" s="125" t="str">
        <f t="shared" si="113"/>
        <v/>
      </c>
      <c r="Q88" s="125" t="str">
        <f t="shared" si="113"/>
        <v/>
      </c>
      <c r="R88" s="125" t="str">
        <f t="shared" si="113"/>
        <v/>
      </c>
      <c r="S88" s="125" t="str">
        <f t="shared" si="113"/>
        <v/>
      </c>
      <c r="T88" s="125" t="str">
        <f t="shared" si="113"/>
        <v/>
      </c>
      <c r="U88" s="125" t="str">
        <f t="shared" si="113"/>
        <v/>
      </c>
      <c r="V88" s="125" t="str">
        <f t="shared" si="113"/>
        <v/>
      </c>
      <c r="W88" s="125" t="str">
        <f t="shared" si="113"/>
        <v/>
      </c>
      <c r="X88" s="125" t="str">
        <f t="shared" si="113"/>
        <v/>
      </c>
      <c r="Y88" s="125" t="str">
        <f t="shared" si="113"/>
        <v/>
      </c>
      <c r="Z88" s="125" t="str">
        <f t="shared" si="113"/>
        <v/>
      </c>
      <c r="AA88" s="125" t="str">
        <f t="shared" si="113"/>
        <v/>
      </c>
      <c r="AB88" s="125" t="str">
        <f t="shared" si="113"/>
        <v/>
      </c>
      <c r="AC88" s="125" t="str">
        <f t="shared" si="113"/>
        <v/>
      </c>
      <c r="AD88" s="125" t="str">
        <f t="shared" si="79"/>
        <v/>
      </c>
      <c r="AE88" s="125" t="str">
        <f t="shared" si="80"/>
        <v/>
      </c>
      <c r="AF88" s="125" t="str">
        <f t="shared" si="81"/>
        <v/>
      </c>
      <c r="AG88" s="125" t="str">
        <f t="shared" si="82"/>
        <v/>
      </c>
      <c r="AH88" s="125" t="str">
        <f t="shared" si="83"/>
        <v/>
      </c>
      <c r="AI88" s="125" t="str">
        <f t="shared" si="84"/>
        <v/>
      </c>
      <c r="AJ88" s="125">
        <f t="shared" si="85"/>
        <v>354</v>
      </c>
      <c r="AK88" s="125" t="str">
        <f t="shared" si="86"/>
        <v/>
      </c>
      <c r="AL88" s="125" t="str">
        <f t="shared" si="87"/>
        <v/>
      </c>
      <c r="AM88" s="125" t="str">
        <f t="shared" si="88"/>
        <v/>
      </c>
      <c r="AN88" s="125" t="str">
        <f t="shared" si="89"/>
        <v/>
      </c>
      <c r="AO88" s="125" t="str">
        <f t="shared" si="90"/>
        <v/>
      </c>
      <c r="AP88" s="122">
        <v>2.17</v>
      </c>
      <c r="AQ88" s="130">
        <f t="shared" si="91"/>
        <v>768.18</v>
      </c>
      <c r="AR88" s="130">
        <f t="shared" si="92"/>
        <v>5953.4</v>
      </c>
    </row>
    <row r="89" s="45" customFormat="1" customHeight="1" spans="1:44">
      <c r="A89" s="56">
        <v>46030</v>
      </c>
      <c r="B89" s="56">
        <v>46111</v>
      </c>
      <c r="C89" s="182" t="s">
        <v>246</v>
      </c>
      <c r="D89" s="57"/>
      <c r="E89" s="14" t="s">
        <v>312</v>
      </c>
      <c r="F89" s="14" t="s">
        <v>222</v>
      </c>
      <c r="G89" s="171">
        <v>1824</v>
      </c>
      <c r="H89" s="172" t="s">
        <v>276</v>
      </c>
      <c r="I89" s="14" t="str">
        <f>IFERROR(VLOOKUP(F89,名称!A:C,3,0),"")</f>
        <v>SNF</v>
      </c>
      <c r="J89" s="14" t="str">
        <f t="shared" ref="J89:AC89" si="114">IF(AND($F89=J$2,$G89&gt;0),$G89,"")</f>
        <v/>
      </c>
      <c r="K89" s="14" t="str">
        <f t="shared" si="114"/>
        <v/>
      </c>
      <c r="L89" s="14" t="str">
        <f t="shared" si="114"/>
        <v/>
      </c>
      <c r="M89" s="14" t="str">
        <f t="shared" si="114"/>
        <v/>
      </c>
      <c r="N89" s="14" t="str">
        <f t="shared" si="114"/>
        <v/>
      </c>
      <c r="O89" s="14" t="str">
        <f t="shared" si="114"/>
        <v/>
      </c>
      <c r="P89" s="14" t="str">
        <f t="shared" si="114"/>
        <v/>
      </c>
      <c r="Q89" s="14" t="str">
        <f t="shared" si="114"/>
        <v/>
      </c>
      <c r="R89" s="14" t="str">
        <f t="shared" si="114"/>
        <v/>
      </c>
      <c r="S89" s="14" t="str">
        <f t="shared" si="114"/>
        <v/>
      </c>
      <c r="T89" s="14" t="str">
        <f t="shared" si="114"/>
        <v/>
      </c>
      <c r="U89" s="14" t="str">
        <f t="shared" si="114"/>
        <v/>
      </c>
      <c r="V89" s="14" t="str">
        <f t="shared" si="114"/>
        <v/>
      </c>
      <c r="W89" s="14" t="str">
        <f t="shared" si="114"/>
        <v/>
      </c>
      <c r="X89" s="14" t="str">
        <f t="shared" si="114"/>
        <v/>
      </c>
      <c r="Y89" s="14" t="str">
        <f t="shared" si="114"/>
        <v/>
      </c>
      <c r="Z89" s="14" t="str">
        <f t="shared" si="114"/>
        <v/>
      </c>
      <c r="AA89" s="14" t="str">
        <f t="shared" si="114"/>
        <v/>
      </c>
      <c r="AB89" s="14" t="str">
        <f t="shared" si="114"/>
        <v/>
      </c>
      <c r="AC89" s="14">
        <f t="shared" si="114"/>
        <v>1824</v>
      </c>
      <c r="AD89" s="14" t="str">
        <f t="shared" si="79"/>
        <v/>
      </c>
      <c r="AE89" s="14" t="str">
        <f t="shared" si="80"/>
        <v/>
      </c>
      <c r="AF89" s="14" t="str">
        <f t="shared" si="81"/>
        <v/>
      </c>
      <c r="AG89" s="14" t="str">
        <f t="shared" si="82"/>
        <v/>
      </c>
      <c r="AH89" s="14" t="str">
        <f t="shared" si="83"/>
        <v/>
      </c>
      <c r="AI89" s="14" t="str">
        <f t="shared" si="84"/>
        <v/>
      </c>
      <c r="AJ89" s="14" t="str">
        <f t="shared" si="85"/>
        <v/>
      </c>
      <c r="AK89" s="14" t="str">
        <f t="shared" si="86"/>
        <v/>
      </c>
      <c r="AL89" s="14" t="str">
        <f t="shared" si="87"/>
        <v/>
      </c>
      <c r="AM89" s="14" t="str">
        <f t="shared" si="88"/>
        <v/>
      </c>
      <c r="AN89" s="14" t="str">
        <f t="shared" si="89"/>
        <v/>
      </c>
      <c r="AO89" s="14" t="str">
        <f t="shared" si="90"/>
        <v/>
      </c>
      <c r="AP89" s="186">
        <v>4.28</v>
      </c>
      <c r="AQ89" s="72">
        <f t="shared" si="91"/>
        <v>7806.72</v>
      </c>
      <c r="AR89" s="72">
        <f t="shared" si="92"/>
        <v>60502.08</v>
      </c>
    </row>
    <row r="90" s="320" customFormat="1" customHeight="1" spans="1:44">
      <c r="A90" s="119">
        <v>46030</v>
      </c>
      <c r="B90" s="112">
        <v>46111</v>
      </c>
      <c r="C90" s="116" t="s">
        <v>246</v>
      </c>
      <c r="D90" s="125"/>
      <c r="E90" s="114" t="s">
        <v>313</v>
      </c>
      <c r="F90" s="114" t="s">
        <v>222</v>
      </c>
      <c r="G90" s="118">
        <v>510</v>
      </c>
      <c r="H90" s="114" t="s">
        <v>276</v>
      </c>
      <c r="I90" s="125" t="str">
        <f>IFERROR(VLOOKUP(F90,名称!A:C,3,0),"")</f>
        <v>SNF</v>
      </c>
      <c r="J90" s="125" t="str">
        <f t="shared" ref="J90:AC90" si="115">IF(AND($F90=J$2,$G90&gt;0),$G90,"")</f>
        <v/>
      </c>
      <c r="K90" s="125" t="str">
        <f t="shared" si="115"/>
        <v/>
      </c>
      <c r="L90" s="125" t="str">
        <f t="shared" si="115"/>
        <v/>
      </c>
      <c r="M90" s="125" t="str">
        <f t="shared" si="115"/>
        <v/>
      </c>
      <c r="N90" s="125" t="str">
        <f t="shared" si="115"/>
        <v/>
      </c>
      <c r="O90" s="125" t="str">
        <f t="shared" si="115"/>
        <v/>
      </c>
      <c r="P90" s="125" t="str">
        <f t="shared" si="115"/>
        <v/>
      </c>
      <c r="Q90" s="125" t="str">
        <f t="shared" si="115"/>
        <v/>
      </c>
      <c r="R90" s="125" t="str">
        <f t="shared" si="115"/>
        <v/>
      </c>
      <c r="S90" s="125" t="str">
        <f t="shared" si="115"/>
        <v/>
      </c>
      <c r="T90" s="125" t="str">
        <f t="shared" si="115"/>
        <v/>
      </c>
      <c r="U90" s="125" t="str">
        <f t="shared" si="115"/>
        <v/>
      </c>
      <c r="V90" s="125" t="str">
        <f t="shared" si="115"/>
        <v/>
      </c>
      <c r="W90" s="125" t="str">
        <f t="shared" si="115"/>
        <v/>
      </c>
      <c r="X90" s="125" t="str">
        <f t="shared" si="115"/>
        <v/>
      </c>
      <c r="Y90" s="125" t="str">
        <f t="shared" si="115"/>
        <v/>
      </c>
      <c r="Z90" s="125" t="str">
        <f t="shared" si="115"/>
        <v/>
      </c>
      <c r="AA90" s="125" t="str">
        <f t="shared" si="115"/>
        <v/>
      </c>
      <c r="AB90" s="125" t="str">
        <f t="shared" si="115"/>
        <v/>
      </c>
      <c r="AC90" s="125">
        <f t="shared" si="115"/>
        <v>510</v>
      </c>
      <c r="AD90" s="125" t="str">
        <f t="shared" si="79"/>
        <v/>
      </c>
      <c r="AE90" s="125" t="str">
        <f t="shared" si="80"/>
        <v/>
      </c>
      <c r="AF90" s="125" t="str">
        <f t="shared" si="81"/>
        <v/>
      </c>
      <c r="AG90" s="125" t="str">
        <f t="shared" si="82"/>
        <v/>
      </c>
      <c r="AH90" s="125" t="str">
        <f t="shared" si="83"/>
        <v/>
      </c>
      <c r="AI90" s="125" t="str">
        <f t="shared" si="84"/>
        <v/>
      </c>
      <c r="AJ90" s="125" t="str">
        <f t="shared" si="85"/>
        <v/>
      </c>
      <c r="AK90" s="125" t="str">
        <f t="shared" si="86"/>
        <v/>
      </c>
      <c r="AL90" s="125" t="str">
        <f t="shared" si="87"/>
        <v/>
      </c>
      <c r="AM90" s="125" t="str">
        <f t="shared" si="88"/>
        <v/>
      </c>
      <c r="AN90" s="125" t="str">
        <f t="shared" si="89"/>
        <v/>
      </c>
      <c r="AO90" s="125" t="str">
        <f t="shared" si="90"/>
        <v/>
      </c>
      <c r="AP90" s="122">
        <v>4.28</v>
      </c>
      <c r="AQ90" s="130">
        <f t="shared" si="91"/>
        <v>2182.8</v>
      </c>
      <c r="AR90" s="130">
        <f t="shared" si="92"/>
        <v>16916.7</v>
      </c>
    </row>
    <row r="91" s="320" customFormat="1" customHeight="1" spans="1:44">
      <c r="A91" s="119">
        <v>46030</v>
      </c>
      <c r="B91" s="112">
        <v>46105</v>
      </c>
      <c r="C91" s="116" t="s">
        <v>246</v>
      </c>
      <c r="D91" s="125"/>
      <c r="E91" s="114" t="s">
        <v>314</v>
      </c>
      <c r="F91" s="114" t="s">
        <v>222</v>
      </c>
      <c r="G91" s="118">
        <v>666</v>
      </c>
      <c r="H91" s="114" t="s">
        <v>276</v>
      </c>
      <c r="I91" s="125" t="str">
        <f>IFERROR(VLOOKUP(F91,名称!A:C,3,0),"")</f>
        <v>SNF</v>
      </c>
      <c r="J91" s="125" t="str">
        <f t="shared" ref="J91:AC91" si="116">IF(AND($F91=J$2,$G91&gt;0),$G91,"")</f>
        <v/>
      </c>
      <c r="K91" s="125" t="str">
        <f t="shared" si="116"/>
        <v/>
      </c>
      <c r="L91" s="125" t="str">
        <f t="shared" si="116"/>
        <v/>
      </c>
      <c r="M91" s="125" t="str">
        <f t="shared" si="116"/>
        <v/>
      </c>
      <c r="N91" s="125" t="str">
        <f t="shared" si="116"/>
        <v/>
      </c>
      <c r="O91" s="125" t="str">
        <f t="shared" si="116"/>
        <v/>
      </c>
      <c r="P91" s="125" t="str">
        <f t="shared" si="116"/>
        <v/>
      </c>
      <c r="Q91" s="125" t="str">
        <f t="shared" si="116"/>
        <v/>
      </c>
      <c r="R91" s="125" t="str">
        <f t="shared" si="116"/>
        <v/>
      </c>
      <c r="S91" s="125" t="str">
        <f t="shared" si="116"/>
        <v/>
      </c>
      <c r="T91" s="125" t="str">
        <f t="shared" si="116"/>
        <v/>
      </c>
      <c r="U91" s="125" t="str">
        <f t="shared" si="116"/>
        <v/>
      </c>
      <c r="V91" s="125" t="str">
        <f t="shared" si="116"/>
        <v/>
      </c>
      <c r="W91" s="125" t="str">
        <f t="shared" si="116"/>
        <v/>
      </c>
      <c r="X91" s="125" t="str">
        <f t="shared" si="116"/>
        <v/>
      </c>
      <c r="Y91" s="125" t="str">
        <f t="shared" si="116"/>
        <v/>
      </c>
      <c r="Z91" s="125" t="str">
        <f t="shared" si="116"/>
        <v/>
      </c>
      <c r="AA91" s="125" t="str">
        <f t="shared" si="116"/>
        <v/>
      </c>
      <c r="AB91" s="125" t="str">
        <f t="shared" si="116"/>
        <v/>
      </c>
      <c r="AC91" s="125">
        <f t="shared" si="116"/>
        <v>666</v>
      </c>
      <c r="AD91" s="125" t="str">
        <f t="shared" si="79"/>
        <v/>
      </c>
      <c r="AE91" s="125" t="str">
        <f t="shared" si="80"/>
        <v/>
      </c>
      <c r="AF91" s="125" t="str">
        <f t="shared" si="81"/>
        <v/>
      </c>
      <c r="AG91" s="125" t="str">
        <f t="shared" si="82"/>
        <v/>
      </c>
      <c r="AH91" s="125" t="str">
        <f t="shared" si="83"/>
        <v/>
      </c>
      <c r="AI91" s="125" t="str">
        <f t="shared" si="84"/>
        <v/>
      </c>
      <c r="AJ91" s="125" t="str">
        <f t="shared" si="85"/>
        <v/>
      </c>
      <c r="AK91" s="125" t="str">
        <f t="shared" si="86"/>
        <v/>
      </c>
      <c r="AL91" s="125" t="str">
        <f t="shared" si="87"/>
        <v/>
      </c>
      <c r="AM91" s="125" t="str">
        <f t="shared" si="88"/>
        <v/>
      </c>
      <c r="AN91" s="125" t="str">
        <f t="shared" si="89"/>
        <v/>
      </c>
      <c r="AO91" s="125" t="str">
        <f t="shared" si="90"/>
        <v/>
      </c>
      <c r="AP91" s="122">
        <v>4.28</v>
      </c>
      <c r="AQ91" s="130">
        <f t="shared" si="91"/>
        <v>2850.48</v>
      </c>
      <c r="AR91" s="130">
        <f t="shared" si="92"/>
        <v>22091.22</v>
      </c>
    </row>
    <row r="92" s="45" customFormat="1" customHeight="1" spans="1:44">
      <c r="A92" s="56">
        <v>46038</v>
      </c>
      <c r="B92" s="56">
        <v>46107</v>
      </c>
      <c r="C92" s="182" t="s">
        <v>246</v>
      </c>
      <c r="D92" s="14" t="s">
        <v>315</v>
      </c>
      <c r="E92" s="14" t="s">
        <v>298</v>
      </c>
      <c r="F92" s="14" t="s">
        <v>123</v>
      </c>
      <c r="G92" s="171">
        <f>2796-1200-600+600-1200</f>
        <v>396</v>
      </c>
      <c r="H92" s="172" t="s">
        <v>258</v>
      </c>
      <c r="I92" s="14" t="str">
        <f>IFERROR(VLOOKUP(F92,名称!A:C,3,0),"")</f>
        <v>FNT</v>
      </c>
      <c r="J92" s="14" t="str">
        <f t="shared" ref="J92:AC92" si="117">IF(AND($F92=J$2,$G92&gt;0),$G92,"")</f>
        <v/>
      </c>
      <c r="K92" s="14" t="str">
        <f t="shared" si="117"/>
        <v/>
      </c>
      <c r="L92" s="14" t="str">
        <f t="shared" si="117"/>
        <v/>
      </c>
      <c r="M92" s="14" t="str">
        <f t="shared" si="117"/>
        <v/>
      </c>
      <c r="N92" s="14" t="str">
        <f t="shared" si="117"/>
        <v/>
      </c>
      <c r="O92" s="14" t="str">
        <f t="shared" si="117"/>
        <v/>
      </c>
      <c r="P92" s="14" t="str">
        <f t="shared" si="117"/>
        <v/>
      </c>
      <c r="Q92" s="14" t="str">
        <f t="shared" si="117"/>
        <v/>
      </c>
      <c r="R92" s="14" t="str">
        <f t="shared" si="117"/>
        <v/>
      </c>
      <c r="S92" s="14" t="str">
        <f t="shared" si="117"/>
        <v/>
      </c>
      <c r="T92" s="14" t="str">
        <f t="shared" si="117"/>
        <v/>
      </c>
      <c r="U92" s="14" t="str">
        <f t="shared" si="117"/>
        <v/>
      </c>
      <c r="V92" s="14" t="str">
        <f t="shared" si="117"/>
        <v/>
      </c>
      <c r="W92" s="14" t="str">
        <f t="shared" si="117"/>
        <v/>
      </c>
      <c r="X92" s="14" t="str">
        <f t="shared" si="117"/>
        <v/>
      </c>
      <c r="Y92" s="14" t="str">
        <f t="shared" si="117"/>
        <v/>
      </c>
      <c r="Z92" s="14" t="str">
        <f t="shared" si="117"/>
        <v/>
      </c>
      <c r="AA92" s="14" t="str">
        <f t="shared" si="117"/>
        <v/>
      </c>
      <c r="AB92" s="14" t="str">
        <f t="shared" si="117"/>
        <v/>
      </c>
      <c r="AC92" s="14" t="str">
        <f t="shared" si="117"/>
        <v/>
      </c>
      <c r="AD92" s="14">
        <f t="shared" si="79"/>
        <v>132</v>
      </c>
      <c r="AE92" s="14">
        <f t="shared" si="80"/>
        <v>132</v>
      </c>
      <c r="AF92" s="14">
        <f t="shared" si="81"/>
        <v>132</v>
      </c>
      <c r="AG92" s="14" t="str">
        <f t="shared" si="82"/>
        <v/>
      </c>
      <c r="AH92" s="14" t="str">
        <f t="shared" si="83"/>
        <v/>
      </c>
      <c r="AI92" s="14" t="str">
        <f t="shared" si="84"/>
        <v/>
      </c>
      <c r="AJ92" s="14" t="str">
        <f t="shared" si="85"/>
        <v/>
      </c>
      <c r="AK92" s="14" t="str">
        <f t="shared" si="86"/>
        <v/>
      </c>
      <c r="AL92" s="14" t="str">
        <f t="shared" si="87"/>
        <v/>
      </c>
      <c r="AM92" s="14" t="str">
        <f t="shared" si="88"/>
        <v/>
      </c>
      <c r="AN92" s="14" t="str">
        <f t="shared" si="89"/>
        <v/>
      </c>
      <c r="AO92" s="14" t="str">
        <f t="shared" si="90"/>
        <v/>
      </c>
      <c r="AP92" s="71">
        <v>2.06</v>
      </c>
      <c r="AQ92" s="72">
        <f t="shared" si="91"/>
        <v>815.76</v>
      </c>
      <c r="AR92" s="72">
        <f t="shared" si="92"/>
        <v>6322.14</v>
      </c>
    </row>
    <row r="93" s="320" customFormat="1" customHeight="1" spans="1:44">
      <c r="A93" s="119">
        <v>46043</v>
      </c>
      <c r="B93" s="112">
        <v>46113</v>
      </c>
      <c r="C93" s="116" t="s">
        <v>259</v>
      </c>
      <c r="D93" s="114"/>
      <c r="E93" s="114" t="s">
        <v>316</v>
      </c>
      <c r="F93" s="114" t="s">
        <v>139</v>
      </c>
      <c r="G93" s="118">
        <v>1200</v>
      </c>
      <c r="H93" s="114" t="s">
        <v>258</v>
      </c>
      <c r="I93" s="125" t="str">
        <f>IFERROR(VLOOKUP(F93,名称!A:C,3,0),"")</f>
        <v>FNT</v>
      </c>
      <c r="J93" s="125" t="str">
        <f t="shared" ref="J93:AC93" si="118">IF(AND($F93=J$2,$G93&gt;0),$G93,"")</f>
        <v/>
      </c>
      <c r="K93" s="125" t="str">
        <f t="shared" si="118"/>
        <v/>
      </c>
      <c r="L93" s="125" t="str">
        <f t="shared" si="118"/>
        <v/>
      </c>
      <c r="M93" s="125" t="str">
        <f t="shared" si="118"/>
        <v/>
      </c>
      <c r="N93" s="125" t="str">
        <f t="shared" si="118"/>
        <v/>
      </c>
      <c r="O93" s="125" t="str">
        <f t="shared" si="118"/>
        <v/>
      </c>
      <c r="P93" s="125" t="str">
        <f t="shared" si="118"/>
        <v/>
      </c>
      <c r="Q93" s="125" t="str">
        <f t="shared" si="118"/>
        <v/>
      </c>
      <c r="R93" s="125" t="str">
        <f t="shared" si="118"/>
        <v/>
      </c>
      <c r="S93" s="125" t="str">
        <f t="shared" si="118"/>
        <v/>
      </c>
      <c r="T93" s="125" t="str">
        <f t="shared" si="118"/>
        <v/>
      </c>
      <c r="U93" s="125" t="str">
        <f t="shared" si="118"/>
        <v/>
      </c>
      <c r="V93" s="125" t="str">
        <f t="shared" si="118"/>
        <v/>
      </c>
      <c r="W93" s="125" t="str">
        <f t="shared" si="118"/>
        <v/>
      </c>
      <c r="X93" s="125" t="str">
        <f t="shared" si="118"/>
        <v/>
      </c>
      <c r="Y93" s="125" t="str">
        <f t="shared" si="118"/>
        <v/>
      </c>
      <c r="Z93" s="125" t="str">
        <f t="shared" si="118"/>
        <v/>
      </c>
      <c r="AA93" s="125" t="str">
        <f t="shared" si="118"/>
        <v/>
      </c>
      <c r="AB93" s="125" t="str">
        <f t="shared" si="118"/>
        <v/>
      </c>
      <c r="AC93" s="125" t="str">
        <f t="shared" si="118"/>
        <v/>
      </c>
      <c r="AD93" s="125">
        <f t="shared" si="79"/>
        <v>1200</v>
      </c>
      <c r="AE93" s="125" t="str">
        <f t="shared" si="80"/>
        <v/>
      </c>
      <c r="AF93" s="125" t="str">
        <f t="shared" si="81"/>
        <v/>
      </c>
      <c r="AG93" s="125" t="str">
        <f t="shared" si="82"/>
        <v/>
      </c>
      <c r="AH93" s="125" t="str">
        <f t="shared" si="83"/>
        <v/>
      </c>
      <c r="AI93" s="125" t="str">
        <f t="shared" si="84"/>
        <v/>
      </c>
      <c r="AJ93" s="125" t="str">
        <f t="shared" si="85"/>
        <v/>
      </c>
      <c r="AK93" s="125" t="str">
        <f t="shared" si="86"/>
        <v/>
      </c>
      <c r="AL93" s="125" t="str">
        <f t="shared" si="87"/>
        <v/>
      </c>
      <c r="AM93" s="125" t="str">
        <f t="shared" si="88"/>
        <v/>
      </c>
      <c r="AN93" s="125" t="str">
        <f t="shared" si="89"/>
        <v/>
      </c>
      <c r="AO93" s="125" t="str">
        <f t="shared" si="90"/>
        <v/>
      </c>
      <c r="AP93" s="122">
        <v>1.88</v>
      </c>
      <c r="AQ93" s="130">
        <f t="shared" si="91"/>
        <v>2256</v>
      </c>
      <c r="AR93" s="130">
        <f t="shared" si="92"/>
        <v>17484</v>
      </c>
    </row>
    <row r="94" s="45" customFormat="1" customHeight="1" spans="1:44">
      <c r="A94" s="74">
        <v>46043</v>
      </c>
      <c r="B94" s="183">
        <v>46113</v>
      </c>
      <c r="C94" s="182" t="s">
        <v>259</v>
      </c>
      <c r="D94" s="172"/>
      <c r="E94" s="172" t="s">
        <v>317</v>
      </c>
      <c r="F94" s="172" t="s">
        <v>139</v>
      </c>
      <c r="G94" s="175">
        <v>1800</v>
      </c>
      <c r="H94" s="172" t="s">
        <v>258</v>
      </c>
      <c r="I94" s="14" t="str">
        <f>IFERROR(VLOOKUP(F94,名称!A:C,3,0),"")</f>
        <v>FNT</v>
      </c>
      <c r="J94" s="14" t="str">
        <f t="shared" ref="J94:AC94" si="119">IF(AND($F94=J$2,$G94&gt;0),$G94,"")</f>
        <v/>
      </c>
      <c r="K94" s="14" t="str">
        <f t="shared" si="119"/>
        <v/>
      </c>
      <c r="L94" s="14" t="str">
        <f t="shared" si="119"/>
        <v/>
      </c>
      <c r="M94" s="14" t="str">
        <f t="shared" si="119"/>
        <v/>
      </c>
      <c r="N94" s="14" t="str">
        <f t="shared" si="119"/>
        <v/>
      </c>
      <c r="O94" s="14" t="str">
        <f t="shared" si="119"/>
        <v/>
      </c>
      <c r="P94" s="14" t="str">
        <f t="shared" si="119"/>
        <v/>
      </c>
      <c r="Q94" s="14" t="str">
        <f t="shared" si="119"/>
        <v/>
      </c>
      <c r="R94" s="14" t="str">
        <f t="shared" si="119"/>
        <v/>
      </c>
      <c r="S94" s="14" t="str">
        <f t="shared" si="119"/>
        <v/>
      </c>
      <c r="T94" s="14" t="str">
        <f t="shared" si="119"/>
        <v/>
      </c>
      <c r="U94" s="14" t="str">
        <f t="shared" si="119"/>
        <v/>
      </c>
      <c r="V94" s="14" t="str">
        <f t="shared" si="119"/>
        <v/>
      </c>
      <c r="W94" s="14" t="str">
        <f t="shared" si="119"/>
        <v/>
      </c>
      <c r="X94" s="14" t="str">
        <f t="shared" si="119"/>
        <v/>
      </c>
      <c r="Y94" s="14" t="str">
        <f t="shared" si="119"/>
        <v/>
      </c>
      <c r="Z94" s="14" t="str">
        <f t="shared" si="119"/>
        <v/>
      </c>
      <c r="AA94" s="14" t="str">
        <f t="shared" si="119"/>
        <v/>
      </c>
      <c r="AB94" s="14" t="str">
        <f t="shared" si="119"/>
        <v/>
      </c>
      <c r="AC94" s="14" t="str">
        <f t="shared" si="119"/>
        <v/>
      </c>
      <c r="AD94" s="14">
        <f t="shared" si="79"/>
        <v>1800</v>
      </c>
      <c r="AE94" s="14" t="str">
        <f t="shared" si="80"/>
        <v/>
      </c>
      <c r="AF94" s="14" t="str">
        <f t="shared" si="81"/>
        <v/>
      </c>
      <c r="AG94" s="14" t="str">
        <f t="shared" si="82"/>
        <v/>
      </c>
      <c r="AH94" s="14" t="str">
        <f t="shared" si="83"/>
        <v/>
      </c>
      <c r="AI94" s="14" t="str">
        <f t="shared" si="84"/>
        <v/>
      </c>
      <c r="AJ94" s="14" t="str">
        <f t="shared" si="85"/>
        <v/>
      </c>
      <c r="AK94" s="14" t="str">
        <f t="shared" si="86"/>
        <v/>
      </c>
      <c r="AL94" s="14" t="str">
        <f t="shared" si="87"/>
        <v/>
      </c>
      <c r="AM94" s="14" t="str">
        <f t="shared" si="88"/>
        <v/>
      </c>
      <c r="AN94" s="14" t="str">
        <f t="shared" si="89"/>
        <v/>
      </c>
      <c r="AO94" s="14" t="str">
        <f t="shared" si="90"/>
        <v/>
      </c>
      <c r="AP94" s="186">
        <v>1.88</v>
      </c>
      <c r="AQ94" s="72">
        <f t="shared" si="91"/>
        <v>3384</v>
      </c>
      <c r="AR94" s="72">
        <f t="shared" si="92"/>
        <v>26226</v>
      </c>
    </row>
    <row r="95" s="320" customFormat="1" customHeight="1" spans="1:44">
      <c r="A95" s="127">
        <v>46055</v>
      </c>
      <c r="B95" s="127">
        <v>46133</v>
      </c>
      <c r="C95" s="114" t="s">
        <v>246</v>
      </c>
      <c r="D95" s="125" t="s">
        <v>318</v>
      </c>
      <c r="E95" s="125" t="s">
        <v>319</v>
      </c>
      <c r="F95" s="114" t="s">
        <v>139</v>
      </c>
      <c r="G95" s="126">
        <v>930</v>
      </c>
      <c r="H95" s="114" t="s">
        <v>258</v>
      </c>
      <c r="I95" s="125" t="str">
        <f>IFERROR(VLOOKUP(F95,名称!A:C,3,0),"")</f>
        <v>FNT</v>
      </c>
      <c r="J95" s="125" t="str">
        <f t="shared" ref="J95:AC95" si="120">IF(AND($F95=J$2,$G95&gt;0),$G95,"")</f>
        <v/>
      </c>
      <c r="K95" s="125" t="str">
        <f t="shared" si="120"/>
        <v/>
      </c>
      <c r="L95" s="125" t="str">
        <f t="shared" si="120"/>
        <v/>
      </c>
      <c r="M95" s="125" t="str">
        <f t="shared" si="120"/>
        <v/>
      </c>
      <c r="N95" s="125" t="str">
        <f t="shared" si="120"/>
        <v/>
      </c>
      <c r="O95" s="125" t="str">
        <f t="shared" si="120"/>
        <v/>
      </c>
      <c r="P95" s="125" t="str">
        <f t="shared" si="120"/>
        <v/>
      </c>
      <c r="Q95" s="125" t="str">
        <f t="shared" si="120"/>
        <v/>
      </c>
      <c r="R95" s="125" t="str">
        <f t="shared" si="120"/>
        <v/>
      </c>
      <c r="S95" s="125" t="str">
        <f t="shared" si="120"/>
        <v/>
      </c>
      <c r="T95" s="125" t="str">
        <f t="shared" si="120"/>
        <v/>
      </c>
      <c r="U95" s="125" t="str">
        <f t="shared" si="120"/>
        <v/>
      </c>
      <c r="V95" s="125" t="str">
        <f t="shared" si="120"/>
        <v/>
      </c>
      <c r="W95" s="125" t="str">
        <f t="shared" si="120"/>
        <v/>
      </c>
      <c r="X95" s="125" t="str">
        <f t="shared" si="120"/>
        <v/>
      </c>
      <c r="Y95" s="125" t="str">
        <f t="shared" si="120"/>
        <v/>
      </c>
      <c r="Z95" s="125" t="str">
        <f t="shared" si="120"/>
        <v/>
      </c>
      <c r="AA95" s="125" t="str">
        <f t="shared" si="120"/>
        <v/>
      </c>
      <c r="AB95" s="125" t="str">
        <f t="shared" si="120"/>
        <v/>
      </c>
      <c r="AC95" s="125" t="str">
        <f t="shared" si="120"/>
        <v/>
      </c>
      <c r="AD95" s="125">
        <f t="shared" si="79"/>
        <v>930</v>
      </c>
      <c r="AE95" s="125" t="str">
        <f t="shared" si="80"/>
        <v/>
      </c>
      <c r="AF95" s="125" t="str">
        <f t="shared" si="81"/>
        <v/>
      </c>
      <c r="AG95" s="125" t="str">
        <f t="shared" si="82"/>
        <v/>
      </c>
      <c r="AH95" s="125" t="str">
        <f t="shared" si="83"/>
        <v/>
      </c>
      <c r="AI95" s="125" t="str">
        <f t="shared" si="84"/>
        <v/>
      </c>
      <c r="AJ95" s="125" t="str">
        <f t="shared" si="85"/>
        <v/>
      </c>
      <c r="AK95" s="125" t="str">
        <f t="shared" si="86"/>
        <v/>
      </c>
      <c r="AL95" s="125" t="str">
        <f t="shared" si="87"/>
        <v/>
      </c>
      <c r="AM95" s="125" t="str">
        <f t="shared" si="88"/>
        <v/>
      </c>
      <c r="AN95" s="125" t="str">
        <f t="shared" si="89"/>
        <v/>
      </c>
      <c r="AO95" s="125" t="str">
        <f t="shared" si="90"/>
        <v/>
      </c>
      <c r="AP95" s="129">
        <v>2.06</v>
      </c>
      <c r="AQ95" s="130">
        <f t="shared" si="91"/>
        <v>1915.8</v>
      </c>
      <c r="AR95" s="130">
        <f t="shared" si="92"/>
        <v>14847.45</v>
      </c>
    </row>
    <row r="96" s="45" customFormat="1" customHeight="1" spans="1:44">
      <c r="A96" s="56">
        <v>46056</v>
      </c>
      <c r="B96" s="56">
        <v>46132</v>
      </c>
      <c r="C96" s="182" t="s">
        <v>277</v>
      </c>
      <c r="D96" s="14"/>
      <c r="E96" s="14">
        <v>2500251210</v>
      </c>
      <c r="F96" s="14" t="s">
        <v>127</v>
      </c>
      <c r="G96" s="171">
        <v>3600</v>
      </c>
      <c r="H96" s="172" t="s">
        <v>258</v>
      </c>
      <c r="I96" s="14" t="str">
        <f>IFERROR(VLOOKUP(F96,名称!A:C,3,0),"")</f>
        <v>FNT</v>
      </c>
      <c r="J96" s="14" t="str">
        <f t="shared" ref="J96:AC96" si="121">IF(AND($F96=J$2,$G96&gt;0),$G96,"")</f>
        <v/>
      </c>
      <c r="K96" s="14" t="str">
        <f t="shared" si="121"/>
        <v/>
      </c>
      <c r="L96" s="14" t="str">
        <f t="shared" si="121"/>
        <v/>
      </c>
      <c r="M96" s="14" t="str">
        <f t="shared" si="121"/>
        <v/>
      </c>
      <c r="N96" s="14" t="str">
        <f t="shared" si="121"/>
        <v/>
      </c>
      <c r="O96" s="14" t="str">
        <f t="shared" si="121"/>
        <v/>
      </c>
      <c r="P96" s="14" t="str">
        <f t="shared" si="121"/>
        <v/>
      </c>
      <c r="Q96" s="14" t="str">
        <f t="shared" si="121"/>
        <v/>
      </c>
      <c r="R96" s="14" t="str">
        <f t="shared" si="121"/>
        <v/>
      </c>
      <c r="S96" s="14" t="str">
        <f t="shared" si="121"/>
        <v/>
      </c>
      <c r="T96" s="14" t="str">
        <f t="shared" si="121"/>
        <v/>
      </c>
      <c r="U96" s="14" t="str">
        <f t="shared" si="121"/>
        <v/>
      </c>
      <c r="V96" s="14" t="str">
        <f t="shared" si="121"/>
        <v/>
      </c>
      <c r="W96" s="14" t="str">
        <f t="shared" si="121"/>
        <v/>
      </c>
      <c r="X96" s="14" t="str">
        <f t="shared" si="121"/>
        <v/>
      </c>
      <c r="Y96" s="14" t="str">
        <f t="shared" si="121"/>
        <v/>
      </c>
      <c r="Z96" s="14" t="str">
        <f t="shared" si="121"/>
        <v/>
      </c>
      <c r="AA96" s="14" t="str">
        <f t="shared" si="121"/>
        <v/>
      </c>
      <c r="AB96" s="14" t="str">
        <f t="shared" si="121"/>
        <v/>
      </c>
      <c r="AC96" s="14" t="str">
        <f t="shared" si="121"/>
        <v/>
      </c>
      <c r="AD96" s="14" t="str">
        <f t="shared" si="79"/>
        <v/>
      </c>
      <c r="AE96" s="14" t="str">
        <f t="shared" si="80"/>
        <v/>
      </c>
      <c r="AF96" s="14" t="str">
        <f t="shared" si="81"/>
        <v/>
      </c>
      <c r="AG96" s="14" t="str">
        <f t="shared" si="82"/>
        <v/>
      </c>
      <c r="AH96" s="14" t="str">
        <f t="shared" si="83"/>
        <v/>
      </c>
      <c r="AI96" s="14" t="str">
        <f t="shared" si="84"/>
        <v/>
      </c>
      <c r="AJ96" s="14">
        <f t="shared" si="85"/>
        <v>1200</v>
      </c>
      <c r="AK96" s="14">
        <f t="shared" si="86"/>
        <v>600</v>
      </c>
      <c r="AL96" s="14">
        <f t="shared" si="87"/>
        <v>600</v>
      </c>
      <c r="AM96" s="14">
        <f t="shared" si="88"/>
        <v>1200</v>
      </c>
      <c r="AN96" s="14" t="str">
        <f t="shared" si="89"/>
        <v/>
      </c>
      <c r="AO96" s="14" t="str">
        <f t="shared" si="90"/>
        <v/>
      </c>
      <c r="AP96" s="71">
        <v>2.315</v>
      </c>
      <c r="AQ96" s="72">
        <f t="shared" si="91"/>
        <v>8334</v>
      </c>
      <c r="AR96" s="72">
        <f t="shared" si="92"/>
        <v>64588.5</v>
      </c>
    </row>
    <row r="97" s="45" customFormat="1" customHeight="1" spans="1:44">
      <c r="A97" s="56">
        <v>46059</v>
      </c>
      <c r="B97" s="56">
        <v>46204</v>
      </c>
      <c r="C97" s="172" t="s">
        <v>246</v>
      </c>
      <c r="D97" s="57"/>
      <c r="E97" s="14" t="s">
        <v>320</v>
      </c>
      <c r="F97" s="14" t="s">
        <v>222</v>
      </c>
      <c r="G97" s="171">
        <v>1500</v>
      </c>
      <c r="H97" s="172" t="s">
        <v>255</v>
      </c>
      <c r="I97" s="14" t="str">
        <f>IFERROR(VLOOKUP(F97,名称!A:C,3,0),"")</f>
        <v>SNF</v>
      </c>
      <c r="J97" s="14" t="str">
        <f t="shared" ref="J97:AC97" si="122">IF(AND($F97=J$2,$G97&gt;0),$G97,"")</f>
        <v/>
      </c>
      <c r="K97" s="14" t="str">
        <f t="shared" si="122"/>
        <v/>
      </c>
      <c r="L97" s="14" t="str">
        <f t="shared" si="122"/>
        <v/>
      </c>
      <c r="M97" s="14" t="str">
        <f t="shared" si="122"/>
        <v/>
      </c>
      <c r="N97" s="14" t="str">
        <f t="shared" si="122"/>
        <v/>
      </c>
      <c r="O97" s="14" t="str">
        <f t="shared" si="122"/>
        <v/>
      </c>
      <c r="P97" s="14" t="str">
        <f t="shared" si="122"/>
        <v/>
      </c>
      <c r="Q97" s="14" t="str">
        <f t="shared" si="122"/>
        <v/>
      </c>
      <c r="R97" s="14" t="str">
        <f t="shared" si="122"/>
        <v/>
      </c>
      <c r="S97" s="14" t="str">
        <f t="shared" si="122"/>
        <v/>
      </c>
      <c r="T97" s="14" t="str">
        <f t="shared" si="122"/>
        <v/>
      </c>
      <c r="U97" s="14" t="str">
        <f t="shared" si="122"/>
        <v/>
      </c>
      <c r="V97" s="14" t="str">
        <f t="shared" si="122"/>
        <v/>
      </c>
      <c r="W97" s="14" t="str">
        <f t="shared" si="122"/>
        <v/>
      </c>
      <c r="X97" s="14" t="str">
        <f t="shared" si="122"/>
        <v/>
      </c>
      <c r="Y97" s="14" t="str">
        <f t="shared" si="122"/>
        <v/>
      </c>
      <c r="Z97" s="14" t="str">
        <f t="shared" si="122"/>
        <v/>
      </c>
      <c r="AA97" s="14" t="str">
        <f t="shared" si="122"/>
        <v/>
      </c>
      <c r="AB97" s="14" t="str">
        <f t="shared" si="122"/>
        <v/>
      </c>
      <c r="AC97" s="14">
        <f t="shared" si="122"/>
        <v>1500</v>
      </c>
      <c r="AD97" s="14" t="str">
        <f t="shared" si="79"/>
        <v/>
      </c>
      <c r="AE97" s="14" t="str">
        <f t="shared" si="80"/>
        <v/>
      </c>
      <c r="AF97" s="14" t="str">
        <f t="shared" si="81"/>
        <v/>
      </c>
      <c r="AG97" s="14" t="str">
        <f t="shared" si="82"/>
        <v/>
      </c>
      <c r="AH97" s="14" t="str">
        <f t="shared" si="83"/>
        <v/>
      </c>
      <c r="AI97" s="14" t="str">
        <f t="shared" si="84"/>
        <v/>
      </c>
      <c r="AJ97" s="14" t="str">
        <f t="shared" si="85"/>
        <v/>
      </c>
      <c r="AK97" s="14" t="str">
        <f t="shared" si="86"/>
        <v/>
      </c>
      <c r="AL97" s="14" t="str">
        <f t="shared" si="87"/>
        <v/>
      </c>
      <c r="AM97" s="14" t="str">
        <f t="shared" si="88"/>
        <v/>
      </c>
      <c r="AN97" s="14" t="str">
        <f t="shared" si="89"/>
        <v/>
      </c>
      <c r="AO97" s="14" t="str">
        <f t="shared" si="90"/>
        <v/>
      </c>
      <c r="AP97" s="71">
        <v>4.28</v>
      </c>
      <c r="AQ97" s="72">
        <f t="shared" si="91"/>
        <v>6420</v>
      </c>
      <c r="AR97" s="72">
        <f t="shared" si="92"/>
        <v>49755</v>
      </c>
    </row>
    <row r="98" s="45" customFormat="1" customHeight="1" spans="1:44">
      <c r="A98" s="56">
        <v>46080</v>
      </c>
      <c r="B98" s="56">
        <v>46113</v>
      </c>
      <c r="C98" s="172" t="s">
        <v>246</v>
      </c>
      <c r="D98" s="14"/>
      <c r="E98" s="14" t="s">
        <v>321</v>
      </c>
      <c r="F98" s="14" t="s">
        <v>127</v>
      </c>
      <c r="G98" s="171">
        <f>3600-1146-1200</f>
        <v>1254</v>
      </c>
      <c r="H98" s="172" t="s">
        <v>258</v>
      </c>
      <c r="I98" s="14" t="str">
        <f>IFERROR(VLOOKUP(F98,名称!A:C,3,0),"")</f>
        <v>FNT</v>
      </c>
      <c r="J98" s="14" t="str">
        <f t="shared" ref="J98:AC98" si="123">IF(AND($F98=J$2,$G98&gt;0),$G98,"")</f>
        <v/>
      </c>
      <c r="K98" s="14" t="str">
        <f t="shared" si="123"/>
        <v/>
      </c>
      <c r="L98" s="14" t="str">
        <f t="shared" si="123"/>
        <v/>
      </c>
      <c r="M98" s="14" t="str">
        <f t="shared" si="123"/>
        <v/>
      </c>
      <c r="N98" s="14" t="str">
        <f t="shared" si="123"/>
        <v/>
      </c>
      <c r="O98" s="14" t="str">
        <f t="shared" si="123"/>
        <v/>
      </c>
      <c r="P98" s="14" t="str">
        <f t="shared" si="123"/>
        <v/>
      </c>
      <c r="Q98" s="14" t="str">
        <f t="shared" si="123"/>
        <v/>
      </c>
      <c r="R98" s="14" t="str">
        <f t="shared" si="123"/>
        <v/>
      </c>
      <c r="S98" s="14" t="str">
        <f t="shared" si="123"/>
        <v/>
      </c>
      <c r="T98" s="14" t="str">
        <f t="shared" si="123"/>
        <v/>
      </c>
      <c r="U98" s="14" t="str">
        <f t="shared" si="123"/>
        <v/>
      </c>
      <c r="V98" s="14" t="str">
        <f t="shared" si="123"/>
        <v/>
      </c>
      <c r="W98" s="14" t="str">
        <f t="shared" si="123"/>
        <v/>
      </c>
      <c r="X98" s="14" t="str">
        <f t="shared" si="123"/>
        <v/>
      </c>
      <c r="Y98" s="14" t="str">
        <f t="shared" si="123"/>
        <v/>
      </c>
      <c r="Z98" s="14" t="str">
        <f t="shared" si="123"/>
        <v/>
      </c>
      <c r="AA98" s="14" t="str">
        <f t="shared" si="123"/>
        <v/>
      </c>
      <c r="AB98" s="14" t="str">
        <f t="shared" si="123"/>
        <v/>
      </c>
      <c r="AC98" s="14" t="str">
        <f t="shared" si="123"/>
        <v/>
      </c>
      <c r="AD98" s="14" t="str">
        <f t="shared" si="79"/>
        <v/>
      </c>
      <c r="AE98" s="14" t="str">
        <f t="shared" si="80"/>
        <v/>
      </c>
      <c r="AF98" s="14" t="str">
        <f t="shared" si="81"/>
        <v/>
      </c>
      <c r="AG98" s="14" t="str">
        <f t="shared" si="82"/>
        <v/>
      </c>
      <c r="AH98" s="14" t="str">
        <f t="shared" si="83"/>
        <v/>
      </c>
      <c r="AI98" s="14" t="str">
        <f t="shared" si="84"/>
        <v/>
      </c>
      <c r="AJ98" s="14">
        <f t="shared" si="85"/>
        <v>418</v>
      </c>
      <c r="AK98" s="14">
        <f t="shared" si="86"/>
        <v>209</v>
      </c>
      <c r="AL98" s="14">
        <f t="shared" si="87"/>
        <v>209</v>
      </c>
      <c r="AM98" s="14">
        <f t="shared" si="88"/>
        <v>418</v>
      </c>
      <c r="AN98" s="14" t="str">
        <f t="shared" si="89"/>
        <v/>
      </c>
      <c r="AO98" s="14" t="str">
        <f t="shared" si="90"/>
        <v/>
      </c>
      <c r="AP98" s="71">
        <v>2.315</v>
      </c>
      <c r="AQ98" s="72">
        <f t="shared" si="91"/>
        <v>2903.01</v>
      </c>
      <c r="AR98" s="72">
        <f t="shared" si="92"/>
        <v>22498.33</v>
      </c>
    </row>
    <row r="99" s="45" customFormat="1" customHeight="1" spans="1:44">
      <c r="A99" s="74">
        <v>46085</v>
      </c>
      <c r="B99" s="183">
        <v>46280</v>
      </c>
      <c r="C99" s="172" t="s">
        <v>246</v>
      </c>
      <c r="D99" s="172"/>
      <c r="E99" s="172" t="s">
        <v>322</v>
      </c>
      <c r="F99" s="172" t="s">
        <v>70</v>
      </c>
      <c r="G99" s="175">
        <v>1400</v>
      </c>
      <c r="H99" s="172" t="s">
        <v>323</v>
      </c>
      <c r="I99" s="14" t="str">
        <f>IFERROR(VLOOKUP(F99,名称!A:C,3,0),"")</f>
        <v>CMW</v>
      </c>
      <c r="J99" s="14" t="str">
        <f t="shared" ref="J99:AC99" si="124">IF(AND($F99=J$2,$G99&gt;0),$G99,"")</f>
        <v/>
      </c>
      <c r="K99" s="14" t="str">
        <f t="shared" si="124"/>
        <v/>
      </c>
      <c r="L99" s="14" t="str">
        <f t="shared" si="124"/>
        <v/>
      </c>
      <c r="M99" s="14">
        <f t="shared" si="124"/>
        <v>1400</v>
      </c>
      <c r="N99" s="14" t="str">
        <f t="shared" si="124"/>
        <v/>
      </c>
      <c r="O99" s="14" t="str">
        <f t="shared" si="124"/>
        <v/>
      </c>
      <c r="P99" s="14" t="str">
        <f t="shared" si="124"/>
        <v/>
      </c>
      <c r="Q99" s="14" t="str">
        <f t="shared" si="124"/>
        <v/>
      </c>
      <c r="R99" s="14" t="str">
        <f t="shared" si="124"/>
        <v/>
      </c>
      <c r="S99" s="14" t="str">
        <f t="shared" si="124"/>
        <v/>
      </c>
      <c r="T99" s="14" t="str">
        <f t="shared" si="124"/>
        <v/>
      </c>
      <c r="U99" s="14" t="str">
        <f t="shared" si="124"/>
        <v/>
      </c>
      <c r="V99" s="14" t="str">
        <f t="shared" si="124"/>
        <v/>
      </c>
      <c r="W99" s="14" t="str">
        <f t="shared" si="124"/>
        <v/>
      </c>
      <c r="X99" s="14" t="str">
        <f t="shared" si="124"/>
        <v/>
      </c>
      <c r="Y99" s="14" t="str">
        <f t="shared" si="124"/>
        <v/>
      </c>
      <c r="Z99" s="14" t="str">
        <f t="shared" si="124"/>
        <v/>
      </c>
      <c r="AA99" s="14" t="str">
        <f t="shared" si="124"/>
        <v/>
      </c>
      <c r="AB99" s="14" t="str">
        <f t="shared" si="124"/>
        <v/>
      </c>
      <c r="AC99" s="14" t="str">
        <f t="shared" si="124"/>
        <v/>
      </c>
      <c r="AD99" s="14" t="str">
        <f t="shared" si="79"/>
        <v/>
      </c>
      <c r="AE99" s="14" t="str">
        <f t="shared" si="80"/>
        <v/>
      </c>
      <c r="AF99" s="14" t="str">
        <f t="shared" si="81"/>
        <v/>
      </c>
      <c r="AG99" s="14" t="str">
        <f t="shared" si="82"/>
        <v/>
      </c>
      <c r="AH99" s="14" t="str">
        <f t="shared" si="83"/>
        <v/>
      </c>
      <c r="AI99" s="14" t="str">
        <f t="shared" si="84"/>
        <v/>
      </c>
      <c r="AJ99" s="14" t="str">
        <f t="shared" si="85"/>
        <v/>
      </c>
      <c r="AK99" s="14" t="str">
        <f t="shared" si="86"/>
        <v/>
      </c>
      <c r="AL99" s="14" t="str">
        <f t="shared" si="87"/>
        <v/>
      </c>
      <c r="AM99" s="14" t="str">
        <f t="shared" si="88"/>
        <v/>
      </c>
      <c r="AN99" s="14" t="str">
        <f t="shared" si="89"/>
        <v/>
      </c>
      <c r="AO99" s="14" t="str">
        <f t="shared" si="90"/>
        <v/>
      </c>
      <c r="AP99" s="186">
        <v>13.42</v>
      </c>
      <c r="AQ99" s="72">
        <f t="shared" si="91"/>
        <v>18788</v>
      </c>
      <c r="AR99" s="72">
        <f t="shared" si="92"/>
        <v>145607</v>
      </c>
    </row>
    <row r="100" s="45" customFormat="1" customHeight="1" spans="1:44">
      <c r="A100" s="74">
        <v>46086</v>
      </c>
      <c r="B100" s="183">
        <v>46280</v>
      </c>
      <c r="C100" s="172" t="s">
        <v>246</v>
      </c>
      <c r="D100" s="172"/>
      <c r="E100" s="172" t="s">
        <v>322</v>
      </c>
      <c r="F100" s="172" t="s">
        <v>25</v>
      </c>
      <c r="G100" s="175">
        <f>4200+1200</f>
        <v>5400</v>
      </c>
      <c r="H100" s="172" t="s">
        <v>323</v>
      </c>
      <c r="I100" s="14" t="str">
        <f>IFERROR(VLOOKUP(F100,名称!A:C,3,0),"")</f>
        <v>CMW</v>
      </c>
      <c r="J100" s="14">
        <f t="shared" ref="J100:AC100" si="125">IF(AND($F100=J$2,$G100&gt;0),$G100,"")</f>
        <v>5400</v>
      </c>
      <c r="K100" s="14" t="str">
        <f t="shared" si="125"/>
        <v/>
      </c>
      <c r="L100" s="14" t="str">
        <f t="shared" si="125"/>
        <v/>
      </c>
      <c r="M100" s="14" t="str">
        <f t="shared" si="125"/>
        <v/>
      </c>
      <c r="N100" s="14" t="str">
        <f t="shared" si="125"/>
        <v/>
      </c>
      <c r="O100" s="14" t="str">
        <f t="shared" si="125"/>
        <v/>
      </c>
      <c r="P100" s="14" t="str">
        <f t="shared" si="125"/>
        <v/>
      </c>
      <c r="Q100" s="14" t="str">
        <f t="shared" si="125"/>
        <v/>
      </c>
      <c r="R100" s="14" t="str">
        <f t="shared" si="125"/>
        <v/>
      </c>
      <c r="S100" s="14" t="str">
        <f t="shared" si="125"/>
        <v/>
      </c>
      <c r="T100" s="14" t="str">
        <f t="shared" si="125"/>
        <v/>
      </c>
      <c r="U100" s="14" t="str">
        <f t="shared" si="125"/>
        <v/>
      </c>
      <c r="V100" s="14" t="str">
        <f t="shared" si="125"/>
        <v/>
      </c>
      <c r="W100" s="14" t="str">
        <f t="shared" si="125"/>
        <v/>
      </c>
      <c r="X100" s="14" t="str">
        <f t="shared" si="125"/>
        <v/>
      </c>
      <c r="Y100" s="14" t="str">
        <f t="shared" si="125"/>
        <v/>
      </c>
      <c r="Z100" s="14" t="str">
        <f t="shared" si="125"/>
        <v/>
      </c>
      <c r="AA100" s="14" t="str">
        <f t="shared" si="125"/>
        <v/>
      </c>
      <c r="AB100" s="14" t="str">
        <f t="shared" si="125"/>
        <v/>
      </c>
      <c r="AC100" s="14" t="str">
        <f t="shared" si="125"/>
        <v/>
      </c>
      <c r="AD100" s="14" t="str">
        <f t="shared" si="79"/>
        <v/>
      </c>
      <c r="AE100" s="14" t="str">
        <f t="shared" si="80"/>
        <v/>
      </c>
      <c r="AF100" s="14" t="str">
        <f t="shared" si="81"/>
        <v/>
      </c>
      <c r="AG100" s="14" t="str">
        <f t="shared" si="82"/>
        <v/>
      </c>
      <c r="AH100" s="14" t="str">
        <f t="shared" si="83"/>
        <v/>
      </c>
      <c r="AI100" s="14" t="str">
        <f t="shared" si="84"/>
        <v/>
      </c>
      <c r="AJ100" s="14" t="str">
        <f t="shared" si="85"/>
        <v/>
      </c>
      <c r="AK100" s="14" t="str">
        <f t="shared" si="86"/>
        <v/>
      </c>
      <c r="AL100" s="14" t="str">
        <f t="shared" si="87"/>
        <v/>
      </c>
      <c r="AM100" s="14" t="str">
        <f t="shared" si="88"/>
        <v/>
      </c>
      <c r="AN100" s="14" t="str">
        <f t="shared" si="89"/>
        <v/>
      </c>
      <c r="AO100" s="14" t="str">
        <f t="shared" si="90"/>
        <v/>
      </c>
      <c r="AP100" s="186">
        <v>4.42</v>
      </c>
      <c r="AQ100" s="72">
        <f t="shared" si="91"/>
        <v>23868</v>
      </c>
      <c r="AR100" s="72">
        <f t="shared" si="92"/>
        <v>184977</v>
      </c>
    </row>
    <row r="101" s="320" customFormat="1" customHeight="1" spans="1:44">
      <c r="A101" s="119">
        <v>46085</v>
      </c>
      <c r="B101" s="112">
        <v>46193</v>
      </c>
      <c r="C101" s="114" t="s">
        <v>259</v>
      </c>
      <c r="D101" s="114"/>
      <c r="E101" s="114" t="s">
        <v>324</v>
      </c>
      <c r="F101" s="114" t="s">
        <v>70</v>
      </c>
      <c r="G101" s="118">
        <v>720</v>
      </c>
      <c r="H101" s="114" t="s">
        <v>325</v>
      </c>
      <c r="I101" s="125" t="str">
        <f>IFERROR(VLOOKUP(F101,名称!A:C,3,0),"")</f>
        <v>CMW</v>
      </c>
      <c r="J101" s="125" t="str">
        <f t="shared" ref="J101:AC101" si="126">IF(AND($F101=J$2,$G101&gt;0),$G101,"")</f>
        <v/>
      </c>
      <c r="K101" s="125" t="str">
        <f t="shared" si="126"/>
        <v/>
      </c>
      <c r="L101" s="125" t="str">
        <f t="shared" si="126"/>
        <v/>
      </c>
      <c r="M101" s="125">
        <f t="shared" si="126"/>
        <v>720</v>
      </c>
      <c r="N101" s="125" t="str">
        <f t="shared" si="126"/>
        <v/>
      </c>
      <c r="O101" s="125" t="str">
        <f t="shared" si="126"/>
        <v/>
      </c>
      <c r="P101" s="125" t="str">
        <f t="shared" si="126"/>
        <v/>
      </c>
      <c r="Q101" s="125" t="str">
        <f t="shared" si="126"/>
        <v/>
      </c>
      <c r="R101" s="125" t="str">
        <f t="shared" si="126"/>
        <v/>
      </c>
      <c r="S101" s="125" t="str">
        <f t="shared" si="126"/>
        <v/>
      </c>
      <c r="T101" s="125" t="str">
        <f t="shared" si="126"/>
        <v/>
      </c>
      <c r="U101" s="125" t="str">
        <f t="shared" si="126"/>
        <v/>
      </c>
      <c r="V101" s="125" t="str">
        <f t="shared" si="126"/>
        <v/>
      </c>
      <c r="W101" s="125" t="str">
        <f t="shared" si="126"/>
        <v/>
      </c>
      <c r="X101" s="125" t="str">
        <f t="shared" si="126"/>
        <v/>
      </c>
      <c r="Y101" s="125" t="str">
        <f t="shared" si="126"/>
        <v/>
      </c>
      <c r="Z101" s="125" t="str">
        <f t="shared" si="126"/>
        <v/>
      </c>
      <c r="AA101" s="125" t="str">
        <f t="shared" si="126"/>
        <v/>
      </c>
      <c r="AB101" s="125" t="str">
        <f t="shared" si="126"/>
        <v/>
      </c>
      <c r="AC101" s="125" t="str">
        <f t="shared" si="126"/>
        <v/>
      </c>
      <c r="AD101" s="125" t="str">
        <f t="shared" si="79"/>
        <v/>
      </c>
      <c r="AE101" s="125" t="str">
        <f t="shared" si="80"/>
        <v/>
      </c>
      <c r="AF101" s="125" t="str">
        <f t="shared" si="81"/>
        <v/>
      </c>
      <c r="AG101" s="125" t="str">
        <f t="shared" si="82"/>
        <v/>
      </c>
      <c r="AH101" s="125" t="str">
        <f t="shared" si="83"/>
        <v/>
      </c>
      <c r="AI101" s="125" t="str">
        <f t="shared" si="84"/>
        <v/>
      </c>
      <c r="AJ101" s="125" t="str">
        <f t="shared" si="85"/>
        <v/>
      </c>
      <c r="AK101" s="125" t="str">
        <f t="shared" si="86"/>
        <v/>
      </c>
      <c r="AL101" s="125" t="str">
        <f t="shared" si="87"/>
        <v/>
      </c>
      <c r="AM101" s="125" t="str">
        <f t="shared" si="88"/>
        <v/>
      </c>
      <c r="AN101" s="125" t="str">
        <f t="shared" si="89"/>
        <v/>
      </c>
      <c r="AO101" s="125" t="str">
        <f t="shared" si="90"/>
        <v/>
      </c>
      <c r="AP101" s="122">
        <v>13.42</v>
      </c>
      <c r="AQ101" s="130">
        <f t="shared" si="91"/>
        <v>9662.4</v>
      </c>
      <c r="AR101" s="130">
        <f t="shared" si="92"/>
        <v>74883.6</v>
      </c>
    </row>
    <row r="102" s="45" customFormat="1" customHeight="1" spans="1:44">
      <c r="A102" s="74">
        <v>46085</v>
      </c>
      <c r="B102" s="183">
        <v>46193</v>
      </c>
      <c r="C102" s="172" t="s">
        <v>259</v>
      </c>
      <c r="D102" s="172"/>
      <c r="E102" s="172" t="s">
        <v>324</v>
      </c>
      <c r="F102" s="172" t="s">
        <v>70</v>
      </c>
      <c r="G102" s="175">
        <f>1200-720</f>
        <v>480</v>
      </c>
      <c r="H102" s="172" t="s">
        <v>325</v>
      </c>
      <c r="I102" s="14" t="str">
        <f>IFERROR(VLOOKUP(F102,名称!A:C,3,0),"")</f>
        <v>CMW</v>
      </c>
      <c r="J102" s="14" t="str">
        <f t="shared" ref="J102:AC102" si="127">IF(AND($F102=J$2,$G102&gt;0),$G102,"")</f>
        <v/>
      </c>
      <c r="K102" s="14" t="str">
        <f t="shared" si="127"/>
        <v/>
      </c>
      <c r="L102" s="14" t="str">
        <f t="shared" si="127"/>
        <v/>
      </c>
      <c r="M102" s="14">
        <f t="shared" si="127"/>
        <v>480</v>
      </c>
      <c r="N102" s="14" t="str">
        <f t="shared" si="127"/>
        <v/>
      </c>
      <c r="O102" s="14" t="str">
        <f t="shared" si="127"/>
        <v/>
      </c>
      <c r="P102" s="14" t="str">
        <f t="shared" si="127"/>
        <v/>
      </c>
      <c r="Q102" s="14" t="str">
        <f t="shared" si="127"/>
        <v/>
      </c>
      <c r="R102" s="14" t="str">
        <f t="shared" si="127"/>
        <v/>
      </c>
      <c r="S102" s="14" t="str">
        <f t="shared" si="127"/>
        <v/>
      </c>
      <c r="T102" s="14" t="str">
        <f t="shared" si="127"/>
        <v/>
      </c>
      <c r="U102" s="14" t="str">
        <f t="shared" si="127"/>
        <v/>
      </c>
      <c r="V102" s="14" t="str">
        <f t="shared" si="127"/>
        <v/>
      </c>
      <c r="W102" s="14" t="str">
        <f t="shared" si="127"/>
        <v/>
      </c>
      <c r="X102" s="14" t="str">
        <f t="shared" si="127"/>
        <v/>
      </c>
      <c r="Y102" s="14" t="str">
        <f t="shared" si="127"/>
        <v/>
      </c>
      <c r="Z102" s="14" t="str">
        <f t="shared" si="127"/>
        <v/>
      </c>
      <c r="AA102" s="14" t="str">
        <f t="shared" si="127"/>
        <v/>
      </c>
      <c r="AB102" s="14" t="str">
        <f t="shared" si="127"/>
        <v/>
      </c>
      <c r="AC102" s="14" t="str">
        <f t="shared" si="127"/>
        <v/>
      </c>
      <c r="AD102" s="14" t="str">
        <f t="shared" si="79"/>
        <v/>
      </c>
      <c r="AE102" s="14" t="str">
        <f t="shared" si="80"/>
        <v/>
      </c>
      <c r="AF102" s="14" t="str">
        <f t="shared" si="81"/>
        <v/>
      </c>
      <c r="AG102" s="14" t="str">
        <f t="shared" si="82"/>
        <v/>
      </c>
      <c r="AH102" s="14" t="str">
        <f t="shared" si="83"/>
        <v/>
      </c>
      <c r="AI102" s="14" t="str">
        <f t="shared" si="84"/>
        <v/>
      </c>
      <c r="AJ102" s="14" t="str">
        <f t="shared" si="85"/>
        <v/>
      </c>
      <c r="AK102" s="14" t="str">
        <f t="shared" si="86"/>
        <v/>
      </c>
      <c r="AL102" s="14" t="str">
        <f t="shared" si="87"/>
        <v/>
      </c>
      <c r="AM102" s="14" t="str">
        <f t="shared" si="88"/>
        <v/>
      </c>
      <c r="AN102" s="14" t="str">
        <f t="shared" si="89"/>
        <v/>
      </c>
      <c r="AO102" s="14" t="str">
        <f t="shared" si="90"/>
        <v/>
      </c>
      <c r="AP102" s="186">
        <v>13.42</v>
      </c>
      <c r="AQ102" s="72">
        <f t="shared" si="91"/>
        <v>6441.6</v>
      </c>
      <c r="AR102" s="72">
        <f t="shared" si="92"/>
        <v>49922.4</v>
      </c>
    </row>
    <row r="103" s="45" customFormat="1" customHeight="1" spans="1:44">
      <c r="A103" s="74">
        <v>46085</v>
      </c>
      <c r="B103" s="183">
        <v>46251</v>
      </c>
      <c r="C103" s="172" t="s">
        <v>246</v>
      </c>
      <c r="D103" s="172"/>
      <c r="E103" s="172" t="s">
        <v>326</v>
      </c>
      <c r="F103" s="172" t="s">
        <v>70</v>
      </c>
      <c r="G103" s="175">
        <v>800</v>
      </c>
      <c r="H103" s="172" t="s">
        <v>323</v>
      </c>
      <c r="I103" s="14" t="str">
        <f>IFERROR(VLOOKUP(F103,名称!A:C,3,0),"")</f>
        <v>CMW</v>
      </c>
      <c r="J103" s="14" t="str">
        <f t="shared" ref="J103:AC103" si="128">IF(AND($F103=J$2,$G103&gt;0),$G103,"")</f>
        <v/>
      </c>
      <c r="K103" s="14" t="str">
        <f t="shared" si="128"/>
        <v/>
      </c>
      <c r="L103" s="14" t="str">
        <f t="shared" si="128"/>
        <v/>
      </c>
      <c r="M103" s="14">
        <f t="shared" si="128"/>
        <v>800</v>
      </c>
      <c r="N103" s="14" t="str">
        <f t="shared" si="128"/>
        <v/>
      </c>
      <c r="O103" s="14" t="str">
        <f t="shared" si="128"/>
        <v/>
      </c>
      <c r="P103" s="14" t="str">
        <f t="shared" si="128"/>
        <v/>
      </c>
      <c r="Q103" s="14" t="str">
        <f t="shared" si="128"/>
        <v/>
      </c>
      <c r="R103" s="14" t="str">
        <f t="shared" si="128"/>
        <v/>
      </c>
      <c r="S103" s="14" t="str">
        <f t="shared" si="128"/>
        <v/>
      </c>
      <c r="T103" s="14" t="str">
        <f t="shared" si="128"/>
        <v/>
      </c>
      <c r="U103" s="14" t="str">
        <f t="shared" si="128"/>
        <v/>
      </c>
      <c r="V103" s="14" t="str">
        <f t="shared" si="128"/>
        <v/>
      </c>
      <c r="W103" s="14" t="str">
        <f t="shared" si="128"/>
        <v/>
      </c>
      <c r="X103" s="14" t="str">
        <f t="shared" si="128"/>
        <v/>
      </c>
      <c r="Y103" s="14" t="str">
        <f t="shared" si="128"/>
        <v/>
      </c>
      <c r="Z103" s="14" t="str">
        <f t="shared" si="128"/>
        <v/>
      </c>
      <c r="AA103" s="14" t="str">
        <f t="shared" si="128"/>
        <v/>
      </c>
      <c r="AB103" s="14" t="str">
        <f t="shared" si="128"/>
        <v/>
      </c>
      <c r="AC103" s="14" t="str">
        <f t="shared" si="128"/>
        <v/>
      </c>
      <c r="AD103" s="14" t="str">
        <f t="shared" si="79"/>
        <v/>
      </c>
      <c r="AE103" s="14" t="str">
        <f t="shared" si="80"/>
        <v/>
      </c>
      <c r="AF103" s="14" t="str">
        <f t="shared" si="81"/>
        <v/>
      </c>
      <c r="AG103" s="14" t="str">
        <f t="shared" si="82"/>
        <v/>
      </c>
      <c r="AH103" s="14" t="str">
        <f t="shared" si="83"/>
        <v/>
      </c>
      <c r="AI103" s="14" t="str">
        <f t="shared" si="84"/>
        <v/>
      </c>
      <c r="AJ103" s="14" t="str">
        <f t="shared" si="85"/>
        <v/>
      </c>
      <c r="AK103" s="14" t="str">
        <f t="shared" si="86"/>
        <v/>
      </c>
      <c r="AL103" s="14" t="str">
        <f t="shared" si="87"/>
        <v/>
      </c>
      <c r="AM103" s="14" t="str">
        <f t="shared" si="88"/>
        <v/>
      </c>
      <c r="AN103" s="14" t="str">
        <f t="shared" si="89"/>
        <v/>
      </c>
      <c r="AO103" s="14" t="str">
        <f t="shared" si="90"/>
        <v/>
      </c>
      <c r="AP103" s="186">
        <v>13.42</v>
      </c>
      <c r="AQ103" s="72">
        <f t="shared" si="91"/>
        <v>10736</v>
      </c>
      <c r="AR103" s="72">
        <f t="shared" si="92"/>
        <v>83204</v>
      </c>
    </row>
    <row r="104" s="45" customFormat="1" customHeight="1" spans="1:44">
      <c r="A104" s="74">
        <v>46085</v>
      </c>
      <c r="B104" s="183">
        <v>46251</v>
      </c>
      <c r="C104" s="172" t="s">
        <v>246</v>
      </c>
      <c r="D104" s="172"/>
      <c r="E104" s="172" t="s">
        <v>326</v>
      </c>
      <c r="F104" s="172" t="s">
        <v>25</v>
      </c>
      <c r="G104" s="175">
        <v>900</v>
      </c>
      <c r="H104" s="172" t="s">
        <v>323</v>
      </c>
      <c r="I104" s="14" t="str">
        <f>IFERROR(VLOOKUP(F104,名称!A:C,3,0),"")</f>
        <v>CMW</v>
      </c>
      <c r="J104" s="14">
        <f t="shared" ref="J104:AC104" si="129">IF(AND($F104=J$2,$G104&gt;0),$G104,"")</f>
        <v>900</v>
      </c>
      <c r="K104" s="14" t="str">
        <f t="shared" si="129"/>
        <v/>
      </c>
      <c r="L104" s="14" t="str">
        <f t="shared" si="129"/>
        <v/>
      </c>
      <c r="M104" s="14" t="str">
        <f t="shared" si="129"/>
        <v/>
      </c>
      <c r="N104" s="14" t="str">
        <f t="shared" si="129"/>
        <v/>
      </c>
      <c r="O104" s="14" t="str">
        <f t="shared" si="129"/>
        <v/>
      </c>
      <c r="P104" s="14" t="str">
        <f t="shared" si="129"/>
        <v/>
      </c>
      <c r="Q104" s="14" t="str">
        <f t="shared" si="129"/>
        <v/>
      </c>
      <c r="R104" s="14" t="str">
        <f t="shared" si="129"/>
        <v/>
      </c>
      <c r="S104" s="14" t="str">
        <f t="shared" si="129"/>
        <v/>
      </c>
      <c r="T104" s="14" t="str">
        <f t="shared" si="129"/>
        <v/>
      </c>
      <c r="U104" s="14" t="str">
        <f t="shared" si="129"/>
        <v/>
      </c>
      <c r="V104" s="14" t="str">
        <f t="shared" si="129"/>
        <v/>
      </c>
      <c r="W104" s="14" t="str">
        <f t="shared" si="129"/>
        <v/>
      </c>
      <c r="X104" s="14" t="str">
        <f t="shared" si="129"/>
        <v/>
      </c>
      <c r="Y104" s="14" t="str">
        <f t="shared" si="129"/>
        <v/>
      </c>
      <c r="Z104" s="14" t="str">
        <f t="shared" si="129"/>
        <v/>
      </c>
      <c r="AA104" s="14" t="str">
        <f t="shared" si="129"/>
        <v/>
      </c>
      <c r="AB104" s="14" t="str">
        <f t="shared" si="129"/>
        <v/>
      </c>
      <c r="AC104" s="14" t="str">
        <f t="shared" si="129"/>
        <v/>
      </c>
      <c r="AD104" s="14" t="str">
        <f t="shared" si="79"/>
        <v/>
      </c>
      <c r="AE104" s="14" t="str">
        <f t="shared" si="80"/>
        <v/>
      </c>
      <c r="AF104" s="14" t="str">
        <f t="shared" si="81"/>
        <v/>
      </c>
      <c r="AG104" s="14" t="str">
        <f t="shared" si="82"/>
        <v/>
      </c>
      <c r="AH104" s="14" t="str">
        <f t="shared" si="83"/>
        <v/>
      </c>
      <c r="AI104" s="14" t="str">
        <f t="shared" si="84"/>
        <v/>
      </c>
      <c r="AJ104" s="14" t="str">
        <f t="shared" si="85"/>
        <v/>
      </c>
      <c r="AK104" s="14" t="str">
        <f t="shared" si="86"/>
        <v/>
      </c>
      <c r="AL104" s="14" t="str">
        <f t="shared" si="87"/>
        <v/>
      </c>
      <c r="AM104" s="14" t="str">
        <f t="shared" si="88"/>
        <v/>
      </c>
      <c r="AN104" s="14" t="str">
        <f t="shared" si="89"/>
        <v/>
      </c>
      <c r="AO104" s="14" t="str">
        <f t="shared" si="90"/>
        <v/>
      </c>
      <c r="AP104" s="186">
        <v>4.42</v>
      </c>
      <c r="AQ104" s="72">
        <f t="shared" si="91"/>
        <v>3978</v>
      </c>
      <c r="AR104" s="72">
        <f t="shared" si="92"/>
        <v>30829.5</v>
      </c>
    </row>
    <row r="105" s="45" customFormat="1" customHeight="1" spans="1:44">
      <c r="A105" s="74">
        <v>46085</v>
      </c>
      <c r="B105" s="183">
        <v>46266</v>
      </c>
      <c r="C105" s="172" t="s">
        <v>246</v>
      </c>
      <c r="D105" s="172"/>
      <c r="E105" s="172" t="s">
        <v>327</v>
      </c>
      <c r="F105" s="172" t="s">
        <v>70</v>
      </c>
      <c r="G105" s="175">
        <v>72</v>
      </c>
      <c r="H105" s="172" t="s">
        <v>255</v>
      </c>
      <c r="I105" s="14" t="str">
        <f>IFERROR(VLOOKUP(F105,名称!A:C,3,0),"")</f>
        <v>CMW</v>
      </c>
      <c r="J105" s="14" t="str">
        <f t="shared" ref="J105:AC105" si="130">IF(AND($F105=J$2,$G105&gt;0),$G105,"")</f>
        <v/>
      </c>
      <c r="K105" s="14" t="str">
        <f t="shared" si="130"/>
        <v/>
      </c>
      <c r="L105" s="14" t="str">
        <f t="shared" si="130"/>
        <v/>
      </c>
      <c r="M105" s="14">
        <f t="shared" si="130"/>
        <v>72</v>
      </c>
      <c r="N105" s="14" t="str">
        <f t="shared" si="130"/>
        <v/>
      </c>
      <c r="O105" s="14" t="str">
        <f t="shared" si="130"/>
        <v/>
      </c>
      <c r="P105" s="14" t="str">
        <f t="shared" si="130"/>
        <v/>
      </c>
      <c r="Q105" s="14" t="str">
        <f t="shared" si="130"/>
        <v/>
      </c>
      <c r="R105" s="14" t="str">
        <f t="shared" si="130"/>
        <v/>
      </c>
      <c r="S105" s="14" t="str">
        <f t="shared" si="130"/>
        <v/>
      </c>
      <c r="T105" s="14" t="str">
        <f t="shared" si="130"/>
        <v/>
      </c>
      <c r="U105" s="14" t="str">
        <f t="shared" si="130"/>
        <v/>
      </c>
      <c r="V105" s="14" t="str">
        <f t="shared" si="130"/>
        <v/>
      </c>
      <c r="W105" s="14" t="str">
        <f t="shared" si="130"/>
        <v/>
      </c>
      <c r="X105" s="14" t="str">
        <f t="shared" si="130"/>
        <v/>
      </c>
      <c r="Y105" s="14" t="str">
        <f t="shared" si="130"/>
        <v/>
      </c>
      <c r="Z105" s="14" t="str">
        <f t="shared" si="130"/>
        <v/>
      </c>
      <c r="AA105" s="14" t="str">
        <f t="shared" si="130"/>
        <v/>
      </c>
      <c r="AB105" s="14" t="str">
        <f t="shared" si="130"/>
        <v/>
      </c>
      <c r="AC105" s="14" t="str">
        <f t="shared" si="130"/>
        <v/>
      </c>
      <c r="AD105" s="14" t="str">
        <f t="shared" si="79"/>
        <v/>
      </c>
      <c r="AE105" s="14" t="str">
        <f t="shared" si="80"/>
        <v/>
      </c>
      <c r="AF105" s="14" t="str">
        <f t="shared" si="81"/>
        <v/>
      </c>
      <c r="AG105" s="14" t="str">
        <f t="shared" si="82"/>
        <v/>
      </c>
      <c r="AH105" s="14" t="str">
        <f t="shared" si="83"/>
        <v/>
      </c>
      <c r="AI105" s="14" t="str">
        <f t="shared" si="84"/>
        <v/>
      </c>
      <c r="AJ105" s="14" t="str">
        <f t="shared" si="85"/>
        <v/>
      </c>
      <c r="AK105" s="14" t="str">
        <f t="shared" si="86"/>
        <v/>
      </c>
      <c r="AL105" s="14" t="str">
        <f t="shared" si="87"/>
        <v/>
      </c>
      <c r="AM105" s="14" t="str">
        <f t="shared" si="88"/>
        <v/>
      </c>
      <c r="AN105" s="14" t="str">
        <f t="shared" si="89"/>
        <v/>
      </c>
      <c r="AO105" s="14" t="str">
        <f t="shared" si="90"/>
        <v/>
      </c>
      <c r="AP105" s="186">
        <v>13.42</v>
      </c>
      <c r="AQ105" s="72">
        <f t="shared" si="91"/>
        <v>966.24</v>
      </c>
      <c r="AR105" s="72">
        <f t="shared" si="92"/>
        <v>7488.36</v>
      </c>
    </row>
    <row r="106" s="45" customFormat="1" customHeight="1" spans="1:44">
      <c r="A106" s="74">
        <v>46085</v>
      </c>
      <c r="B106" s="183">
        <v>46193</v>
      </c>
      <c r="C106" s="172" t="s">
        <v>246</v>
      </c>
      <c r="D106" s="172"/>
      <c r="E106" s="172" t="s">
        <v>328</v>
      </c>
      <c r="F106" s="172" t="s">
        <v>70</v>
      </c>
      <c r="G106" s="175">
        <v>72</v>
      </c>
      <c r="H106" s="172" t="s">
        <v>255</v>
      </c>
      <c r="I106" s="14" t="str">
        <f>IFERROR(VLOOKUP(F106,名称!A:C,3,0),"")</f>
        <v>CMW</v>
      </c>
      <c r="J106" s="14" t="str">
        <f t="shared" ref="J106:AC106" si="131">IF(AND($F106=J$2,$G106&gt;0),$G106,"")</f>
        <v/>
      </c>
      <c r="K106" s="14" t="str">
        <f t="shared" si="131"/>
        <v/>
      </c>
      <c r="L106" s="14" t="str">
        <f t="shared" si="131"/>
        <v/>
      </c>
      <c r="M106" s="14">
        <f t="shared" si="131"/>
        <v>72</v>
      </c>
      <c r="N106" s="14" t="str">
        <f t="shared" si="131"/>
        <v/>
      </c>
      <c r="O106" s="14" t="str">
        <f t="shared" si="131"/>
        <v/>
      </c>
      <c r="P106" s="14" t="str">
        <f t="shared" si="131"/>
        <v/>
      </c>
      <c r="Q106" s="14" t="str">
        <f t="shared" si="131"/>
        <v/>
      </c>
      <c r="R106" s="14" t="str">
        <f t="shared" si="131"/>
        <v/>
      </c>
      <c r="S106" s="14" t="str">
        <f t="shared" si="131"/>
        <v/>
      </c>
      <c r="T106" s="14" t="str">
        <f t="shared" si="131"/>
        <v/>
      </c>
      <c r="U106" s="14" t="str">
        <f t="shared" si="131"/>
        <v/>
      </c>
      <c r="V106" s="14" t="str">
        <f t="shared" si="131"/>
        <v/>
      </c>
      <c r="W106" s="14" t="str">
        <f t="shared" si="131"/>
        <v/>
      </c>
      <c r="X106" s="14" t="str">
        <f t="shared" si="131"/>
        <v/>
      </c>
      <c r="Y106" s="14" t="str">
        <f t="shared" si="131"/>
        <v/>
      </c>
      <c r="Z106" s="14" t="str">
        <f t="shared" si="131"/>
        <v/>
      </c>
      <c r="AA106" s="14" t="str">
        <f t="shared" si="131"/>
        <v/>
      </c>
      <c r="AB106" s="14" t="str">
        <f t="shared" si="131"/>
        <v/>
      </c>
      <c r="AC106" s="14" t="str">
        <f t="shared" si="131"/>
        <v/>
      </c>
      <c r="AD106" s="14" t="str">
        <f t="shared" si="79"/>
        <v/>
      </c>
      <c r="AE106" s="14" t="str">
        <f t="shared" si="80"/>
        <v/>
      </c>
      <c r="AF106" s="14" t="str">
        <f t="shared" si="81"/>
        <v/>
      </c>
      <c r="AG106" s="14" t="str">
        <f t="shared" si="82"/>
        <v/>
      </c>
      <c r="AH106" s="14" t="str">
        <f t="shared" si="83"/>
        <v/>
      </c>
      <c r="AI106" s="14" t="str">
        <f t="shared" si="84"/>
        <v/>
      </c>
      <c r="AJ106" s="14" t="str">
        <f t="shared" si="85"/>
        <v/>
      </c>
      <c r="AK106" s="14" t="str">
        <f t="shared" si="86"/>
        <v/>
      </c>
      <c r="AL106" s="14" t="str">
        <f t="shared" si="87"/>
        <v/>
      </c>
      <c r="AM106" s="14" t="str">
        <f t="shared" si="88"/>
        <v/>
      </c>
      <c r="AN106" s="14" t="str">
        <f t="shared" si="89"/>
        <v/>
      </c>
      <c r="AO106" s="14" t="str">
        <f t="shared" si="90"/>
        <v/>
      </c>
      <c r="AP106" s="186">
        <v>13.42</v>
      </c>
      <c r="AQ106" s="72">
        <f t="shared" si="91"/>
        <v>966.24</v>
      </c>
      <c r="AR106" s="72">
        <f t="shared" si="92"/>
        <v>7488.36</v>
      </c>
    </row>
    <row r="107" s="320" customFormat="1" customHeight="1" spans="1:44">
      <c r="A107" s="119">
        <v>46085</v>
      </c>
      <c r="B107" s="112">
        <v>46193</v>
      </c>
      <c r="C107" s="114" t="s">
        <v>246</v>
      </c>
      <c r="D107" s="114"/>
      <c r="E107" s="114" t="s">
        <v>329</v>
      </c>
      <c r="F107" s="114" t="s">
        <v>70</v>
      </c>
      <c r="G107" s="118">
        <v>400</v>
      </c>
      <c r="H107" s="114" t="s">
        <v>323</v>
      </c>
      <c r="I107" s="125" t="str">
        <f>IFERROR(VLOOKUP(F107,名称!A:C,3,0),"")</f>
        <v>CMW</v>
      </c>
      <c r="J107" s="125" t="str">
        <f t="shared" ref="J107:AC107" si="132">IF(AND($F107=J$2,$G107&gt;0),$G107,"")</f>
        <v/>
      </c>
      <c r="K107" s="125" t="str">
        <f t="shared" si="132"/>
        <v/>
      </c>
      <c r="L107" s="125" t="str">
        <f t="shared" si="132"/>
        <v/>
      </c>
      <c r="M107" s="125">
        <f t="shared" si="132"/>
        <v>400</v>
      </c>
      <c r="N107" s="125" t="str">
        <f t="shared" si="132"/>
        <v/>
      </c>
      <c r="O107" s="125" t="str">
        <f t="shared" si="132"/>
        <v/>
      </c>
      <c r="P107" s="125" t="str">
        <f t="shared" si="132"/>
        <v/>
      </c>
      <c r="Q107" s="125" t="str">
        <f t="shared" si="132"/>
        <v/>
      </c>
      <c r="R107" s="125" t="str">
        <f t="shared" si="132"/>
        <v/>
      </c>
      <c r="S107" s="125" t="str">
        <f t="shared" si="132"/>
        <v/>
      </c>
      <c r="T107" s="125" t="str">
        <f t="shared" si="132"/>
        <v/>
      </c>
      <c r="U107" s="125" t="str">
        <f t="shared" si="132"/>
        <v/>
      </c>
      <c r="V107" s="125" t="str">
        <f t="shared" si="132"/>
        <v/>
      </c>
      <c r="W107" s="125" t="str">
        <f t="shared" si="132"/>
        <v/>
      </c>
      <c r="X107" s="125" t="str">
        <f t="shared" si="132"/>
        <v/>
      </c>
      <c r="Y107" s="125" t="str">
        <f t="shared" si="132"/>
        <v/>
      </c>
      <c r="Z107" s="125" t="str">
        <f t="shared" si="132"/>
        <v/>
      </c>
      <c r="AA107" s="125" t="str">
        <f t="shared" si="132"/>
        <v/>
      </c>
      <c r="AB107" s="125" t="str">
        <f t="shared" si="132"/>
        <v/>
      </c>
      <c r="AC107" s="125" t="str">
        <f t="shared" si="132"/>
        <v/>
      </c>
      <c r="AD107" s="125" t="str">
        <f t="shared" si="79"/>
        <v/>
      </c>
      <c r="AE107" s="125" t="str">
        <f t="shared" si="80"/>
        <v/>
      </c>
      <c r="AF107" s="125" t="str">
        <f t="shared" si="81"/>
        <v/>
      </c>
      <c r="AG107" s="125" t="str">
        <f t="shared" si="82"/>
        <v/>
      </c>
      <c r="AH107" s="125" t="str">
        <f t="shared" si="83"/>
        <v/>
      </c>
      <c r="AI107" s="125" t="str">
        <f t="shared" si="84"/>
        <v/>
      </c>
      <c r="AJ107" s="125" t="str">
        <f t="shared" si="85"/>
        <v/>
      </c>
      <c r="AK107" s="125" t="str">
        <f t="shared" si="86"/>
        <v/>
      </c>
      <c r="AL107" s="125" t="str">
        <f t="shared" si="87"/>
        <v/>
      </c>
      <c r="AM107" s="125" t="str">
        <f t="shared" si="88"/>
        <v/>
      </c>
      <c r="AN107" s="125" t="str">
        <f t="shared" si="89"/>
        <v/>
      </c>
      <c r="AO107" s="125" t="str">
        <f t="shared" si="90"/>
        <v/>
      </c>
      <c r="AP107" s="122">
        <v>13.42</v>
      </c>
      <c r="AQ107" s="130">
        <f t="shared" si="91"/>
        <v>5368</v>
      </c>
      <c r="AR107" s="130">
        <f t="shared" si="92"/>
        <v>41602</v>
      </c>
    </row>
    <row r="108" s="320" customFormat="1" customHeight="1" spans="1:44">
      <c r="A108" s="119">
        <v>46086</v>
      </c>
      <c r="B108" s="112">
        <v>46174</v>
      </c>
      <c r="C108" s="114" t="s">
        <v>246</v>
      </c>
      <c r="D108" s="114" t="s">
        <v>330</v>
      </c>
      <c r="E108" s="114" t="s">
        <v>329</v>
      </c>
      <c r="F108" s="114" t="s">
        <v>25</v>
      </c>
      <c r="G108" s="118">
        <f>900-560</f>
        <v>340</v>
      </c>
      <c r="H108" s="114" t="s">
        <v>323</v>
      </c>
      <c r="I108" s="125" t="str">
        <f>IFERROR(VLOOKUP(F108,名称!A:C,3,0),"")</f>
        <v>CMW</v>
      </c>
      <c r="J108" s="125">
        <f t="shared" ref="J108:AC108" si="133">IF(AND($F108=J$2,$G108&gt;0),$G108,"")</f>
        <v>340</v>
      </c>
      <c r="K108" s="125" t="str">
        <f t="shared" si="133"/>
        <v/>
      </c>
      <c r="L108" s="125" t="str">
        <f t="shared" si="133"/>
        <v/>
      </c>
      <c r="M108" s="125" t="str">
        <f t="shared" si="133"/>
        <v/>
      </c>
      <c r="N108" s="125" t="str">
        <f t="shared" si="133"/>
        <v/>
      </c>
      <c r="O108" s="125" t="str">
        <f t="shared" si="133"/>
        <v/>
      </c>
      <c r="P108" s="125" t="str">
        <f t="shared" si="133"/>
        <v/>
      </c>
      <c r="Q108" s="125" t="str">
        <f t="shared" si="133"/>
        <v/>
      </c>
      <c r="R108" s="125" t="str">
        <f t="shared" si="133"/>
        <v/>
      </c>
      <c r="S108" s="125" t="str">
        <f t="shared" si="133"/>
        <v/>
      </c>
      <c r="T108" s="125" t="str">
        <f t="shared" si="133"/>
        <v/>
      </c>
      <c r="U108" s="125" t="str">
        <f t="shared" si="133"/>
        <v/>
      </c>
      <c r="V108" s="125" t="str">
        <f t="shared" si="133"/>
        <v/>
      </c>
      <c r="W108" s="125" t="str">
        <f t="shared" si="133"/>
        <v/>
      </c>
      <c r="X108" s="125" t="str">
        <f t="shared" si="133"/>
        <v/>
      </c>
      <c r="Y108" s="125" t="str">
        <f t="shared" si="133"/>
        <v/>
      </c>
      <c r="Z108" s="125" t="str">
        <f t="shared" si="133"/>
        <v/>
      </c>
      <c r="AA108" s="125" t="str">
        <f t="shared" si="133"/>
        <v/>
      </c>
      <c r="AB108" s="125" t="str">
        <f t="shared" si="133"/>
        <v/>
      </c>
      <c r="AC108" s="125" t="str">
        <f t="shared" si="133"/>
        <v/>
      </c>
      <c r="AD108" s="125" t="str">
        <f t="shared" si="79"/>
        <v/>
      </c>
      <c r="AE108" s="125" t="str">
        <f t="shared" si="80"/>
        <v/>
      </c>
      <c r="AF108" s="125" t="str">
        <f t="shared" si="81"/>
        <v/>
      </c>
      <c r="AG108" s="125" t="str">
        <f t="shared" si="82"/>
        <v/>
      </c>
      <c r="AH108" s="125" t="str">
        <f t="shared" si="83"/>
        <v/>
      </c>
      <c r="AI108" s="125" t="str">
        <f t="shared" si="84"/>
        <v/>
      </c>
      <c r="AJ108" s="125" t="str">
        <f t="shared" si="85"/>
        <v/>
      </c>
      <c r="AK108" s="125" t="str">
        <f t="shared" si="86"/>
        <v/>
      </c>
      <c r="AL108" s="125" t="str">
        <f t="shared" si="87"/>
        <v/>
      </c>
      <c r="AM108" s="125" t="str">
        <f t="shared" si="88"/>
        <v/>
      </c>
      <c r="AN108" s="125" t="str">
        <f t="shared" si="89"/>
        <v/>
      </c>
      <c r="AO108" s="125" t="str">
        <f t="shared" si="90"/>
        <v/>
      </c>
      <c r="AP108" s="122">
        <v>4.42</v>
      </c>
      <c r="AQ108" s="130">
        <f t="shared" si="91"/>
        <v>1502.8</v>
      </c>
      <c r="AR108" s="130">
        <f t="shared" si="92"/>
        <v>11646.7</v>
      </c>
    </row>
    <row r="109" s="320" customFormat="1" customHeight="1" spans="1:44">
      <c r="A109" s="119">
        <v>46086</v>
      </c>
      <c r="B109" s="112">
        <v>46174</v>
      </c>
      <c r="C109" s="114" t="s">
        <v>246</v>
      </c>
      <c r="D109" s="114"/>
      <c r="E109" s="114" t="s">
        <v>329</v>
      </c>
      <c r="F109" s="114" t="s">
        <v>25</v>
      </c>
      <c r="G109" s="118">
        <v>560</v>
      </c>
      <c r="H109" s="114" t="s">
        <v>323</v>
      </c>
      <c r="I109" s="125" t="str">
        <f>IFERROR(VLOOKUP(F109,名称!A:C,3,0),"")</f>
        <v>CMW</v>
      </c>
      <c r="J109" s="125">
        <f t="shared" ref="J109:AC109" si="134">IF(AND($F109=J$2,$G109&gt;0),$G109,"")</f>
        <v>560</v>
      </c>
      <c r="K109" s="125" t="str">
        <f t="shared" si="134"/>
        <v/>
      </c>
      <c r="L109" s="125" t="str">
        <f t="shared" si="134"/>
        <v/>
      </c>
      <c r="M109" s="125" t="str">
        <f t="shared" si="134"/>
        <v/>
      </c>
      <c r="N109" s="125" t="str">
        <f t="shared" si="134"/>
        <v/>
      </c>
      <c r="O109" s="125" t="str">
        <f t="shared" si="134"/>
        <v/>
      </c>
      <c r="P109" s="125" t="str">
        <f t="shared" si="134"/>
        <v/>
      </c>
      <c r="Q109" s="125" t="str">
        <f t="shared" si="134"/>
        <v/>
      </c>
      <c r="R109" s="125" t="str">
        <f t="shared" si="134"/>
        <v/>
      </c>
      <c r="S109" s="125" t="str">
        <f t="shared" si="134"/>
        <v/>
      </c>
      <c r="T109" s="125" t="str">
        <f t="shared" si="134"/>
        <v/>
      </c>
      <c r="U109" s="125" t="str">
        <f t="shared" si="134"/>
        <v/>
      </c>
      <c r="V109" s="125" t="str">
        <f t="shared" si="134"/>
        <v/>
      </c>
      <c r="W109" s="125" t="str">
        <f t="shared" si="134"/>
        <v/>
      </c>
      <c r="X109" s="125" t="str">
        <f t="shared" si="134"/>
        <v/>
      </c>
      <c r="Y109" s="125" t="str">
        <f t="shared" si="134"/>
        <v/>
      </c>
      <c r="Z109" s="125" t="str">
        <f t="shared" si="134"/>
        <v/>
      </c>
      <c r="AA109" s="125" t="str">
        <f t="shared" si="134"/>
        <v/>
      </c>
      <c r="AB109" s="125" t="str">
        <f t="shared" si="134"/>
        <v/>
      </c>
      <c r="AC109" s="125" t="str">
        <f t="shared" si="134"/>
        <v/>
      </c>
      <c r="AD109" s="125" t="str">
        <f t="shared" si="79"/>
        <v/>
      </c>
      <c r="AE109" s="125" t="str">
        <f t="shared" si="80"/>
        <v/>
      </c>
      <c r="AF109" s="125" t="str">
        <f t="shared" si="81"/>
        <v/>
      </c>
      <c r="AG109" s="125" t="str">
        <f t="shared" si="82"/>
        <v/>
      </c>
      <c r="AH109" s="125" t="str">
        <f t="shared" si="83"/>
        <v/>
      </c>
      <c r="AI109" s="125" t="str">
        <f t="shared" si="84"/>
        <v/>
      </c>
      <c r="AJ109" s="125" t="str">
        <f t="shared" si="85"/>
        <v/>
      </c>
      <c r="AK109" s="125" t="str">
        <f t="shared" si="86"/>
        <v/>
      </c>
      <c r="AL109" s="125" t="str">
        <f t="shared" si="87"/>
        <v/>
      </c>
      <c r="AM109" s="125" t="str">
        <f t="shared" si="88"/>
        <v/>
      </c>
      <c r="AN109" s="125" t="str">
        <f t="shared" si="89"/>
        <v/>
      </c>
      <c r="AO109" s="125" t="str">
        <f t="shared" si="90"/>
        <v/>
      </c>
      <c r="AP109" s="122">
        <v>4.42</v>
      </c>
      <c r="AQ109" s="130">
        <f t="shared" si="91"/>
        <v>2475.2</v>
      </c>
      <c r="AR109" s="130">
        <f t="shared" si="92"/>
        <v>19182.8</v>
      </c>
    </row>
    <row r="110" s="45" customFormat="1" customHeight="1" spans="1:44">
      <c r="A110" s="74">
        <v>46086</v>
      </c>
      <c r="B110" s="183">
        <v>46280</v>
      </c>
      <c r="C110" s="172" t="s">
        <v>246</v>
      </c>
      <c r="D110" s="172"/>
      <c r="E110" s="172" t="s">
        <v>331</v>
      </c>
      <c r="F110" s="172" t="s">
        <v>25</v>
      </c>
      <c r="G110" s="175">
        <v>1600</v>
      </c>
      <c r="H110" s="172" t="s">
        <v>323</v>
      </c>
      <c r="I110" s="14" t="str">
        <f>IFERROR(VLOOKUP(F110,名称!A:C,3,0),"")</f>
        <v>CMW</v>
      </c>
      <c r="J110" s="14">
        <f t="shared" ref="J110:AC110" si="135">IF(AND($F110=J$2,$G110&gt;0),$G110,"")</f>
        <v>1600</v>
      </c>
      <c r="K110" s="14" t="str">
        <f t="shared" si="135"/>
        <v/>
      </c>
      <c r="L110" s="14" t="str">
        <f t="shared" si="135"/>
        <v/>
      </c>
      <c r="M110" s="14" t="str">
        <f t="shared" si="135"/>
        <v/>
      </c>
      <c r="N110" s="14" t="str">
        <f t="shared" si="135"/>
        <v/>
      </c>
      <c r="O110" s="14" t="str">
        <f t="shared" si="135"/>
        <v/>
      </c>
      <c r="P110" s="14" t="str">
        <f t="shared" si="135"/>
        <v/>
      </c>
      <c r="Q110" s="14" t="str">
        <f t="shared" si="135"/>
        <v/>
      </c>
      <c r="R110" s="14" t="str">
        <f t="shared" si="135"/>
        <v/>
      </c>
      <c r="S110" s="14" t="str">
        <f t="shared" si="135"/>
        <v/>
      </c>
      <c r="T110" s="14" t="str">
        <f t="shared" si="135"/>
        <v/>
      </c>
      <c r="U110" s="14" t="str">
        <f t="shared" si="135"/>
        <v/>
      </c>
      <c r="V110" s="14" t="str">
        <f t="shared" si="135"/>
        <v/>
      </c>
      <c r="W110" s="14" t="str">
        <f t="shared" si="135"/>
        <v/>
      </c>
      <c r="X110" s="14" t="str">
        <f t="shared" si="135"/>
        <v/>
      </c>
      <c r="Y110" s="14" t="str">
        <f t="shared" si="135"/>
        <v/>
      </c>
      <c r="Z110" s="14" t="str">
        <f t="shared" si="135"/>
        <v/>
      </c>
      <c r="AA110" s="14" t="str">
        <f t="shared" si="135"/>
        <v/>
      </c>
      <c r="AB110" s="14" t="str">
        <f t="shared" si="135"/>
        <v/>
      </c>
      <c r="AC110" s="14" t="str">
        <f t="shared" si="135"/>
        <v/>
      </c>
      <c r="AD110" s="14" t="str">
        <f t="shared" si="79"/>
        <v/>
      </c>
      <c r="AE110" s="14" t="str">
        <f t="shared" si="80"/>
        <v/>
      </c>
      <c r="AF110" s="14" t="str">
        <f t="shared" si="81"/>
        <v/>
      </c>
      <c r="AG110" s="14" t="str">
        <f t="shared" si="82"/>
        <v/>
      </c>
      <c r="AH110" s="14" t="str">
        <f t="shared" si="83"/>
        <v/>
      </c>
      <c r="AI110" s="14" t="str">
        <f t="shared" si="84"/>
        <v/>
      </c>
      <c r="AJ110" s="14" t="str">
        <f t="shared" si="85"/>
        <v/>
      </c>
      <c r="AK110" s="14" t="str">
        <f t="shared" si="86"/>
        <v/>
      </c>
      <c r="AL110" s="14" t="str">
        <f t="shared" si="87"/>
        <v/>
      </c>
      <c r="AM110" s="14" t="str">
        <f t="shared" si="88"/>
        <v/>
      </c>
      <c r="AN110" s="14" t="str">
        <f t="shared" si="89"/>
        <v/>
      </c>
      <c r="AO110" s="14" t="str">
        <f t="shared" si="90"/>
        <v/>
      </c>
      <c r="AP110" s="186">
        <v>4.42</v>
      </c>
      <c r="AQ110" s="72">
        <f t="shared" si="91"/>
        <v>7072</v>
      </c>
      <c r="AR110" s="72">
        <f t="shared" si="92"/>
        <v>54808</v>
      </c>
    </row>
    <row r="111" s="320" customFormat="1" customHeight="1" spans="1:44">
      <c r="A111" s="119">
        <v>46086</v>
      </c>
      <c r="B111" s="112">
        <v>46174</v>
      </c>
      <c r="C111" s="114" t="s">
        <v>246</v>
      </c>
      <c r="D111" s="114"/>
      <c r="E111" s="114" t="s">
        <v>332</v>
      </c>
      <c r="F111" s="114" t="s">
        <v>25</v>
      </c>
      <c r="G111" s="118">
        <v>1300</v>
      </c>
      <c r="H111" s="114" t="s">
        <v>323</v>
      </c>
      <c r="I111" s="125" t="str">
        <f>IFERROR(VLOOKUP(F111,名称!A:C,3,0),"")</f>
        <v>CMW</v>
      </c>
      <c r="J111" s="125">
        <f t="shared" ref="J111:AC111" si="136">IF(AND($F111=J$2,$G111&gt;0),$G111,"")</f>
        <v>1300</v>
      </c>
      <c r="K111" s="125" t="str">
        <f t="shared" si="136"/>
        <v/>
      </c>
      <c r="L111" s="125" t="str">
        <f t="shared" si="136"/>
        <v/>
      </c>
      <c r="M111" s="125" t="str">
        <f t="shared" si="136"/>
        <v/>
      </c>
      <c r="N111" s="125" t="str">
        <f t="shared" si="136"/>
        <v/>
      </c>
      <c r="O111" s="125" t="str">
        <f t="shared" si="136"/>
        <v/>
      </c>
      <c r="P111" s="125" t="str">
        <f t="shared" si="136"/>
        <v/>
      </c>
      <c r="Q111" s="125" t="str">
        <f t="shared" si="136"/>
        <v/>
      </c>
      <c r="R111" s="125" t="str">
        <f t="shared" si="136"/>
        <v/>
      </c>
      <c r="S111" s="125" t="str">
        <f t="shared" si="136"/>
        <v/>
      </c>
      <c r="T111" s="125" t="str">
        <f t="shared" si="136"/>
        <v/>
      </c>
      <c r="U111" s="125" t="str">
        <f t="shared" si="136"/>
        <v/>
      </c>
      <c r="V111" s="125" t="str">
        <f t="shared" si="136"/>
        <v/>
      </c>
      <c r="W111" s="125" t="str">
        <f t="shared" si="136"/>
        <v/>
      </c>
      <c r="X111" s="125" t="str">
        <f t="shared" si="136"/>
        <v/>
      </c>
      <c r="Y111" s="125" t="str">
        <f t="shared" si="136"/>
        <v/>
      </c>
      <c r="Z111" s="125" t="str">
        <f t="shared" si="136"/>
        <v/>
      </c>
      <c r="AA111" s="125" t="str">
        <f t="shared" si="136"/>
        <v/>
      </c>
      <c r="AB111" s="125" t="str">
        <f t="shared" si="136"/>
        <v/>
      </c>
      <c r="AC111" s="125" t="str">
        <f t="shared" si="136"/>
        <v/>
      </c>
      <c r="AD111" s="125" t="str">
        <f t="shared" si="79"/>
        <v/>
      </c>
      <c r="AE111" s="125" t="str">
        <f t="shared" si="80"/>
        <v/>
      </c>
      <c r="AF111" s="125" t="str">
        <f t="shared" si="81"/>
        <v/>
      </c>
      <c r="AG111" s="125" t="str">
        <f t="shared" si="82"/>
        <v/>
      </c>
      <c r="AH111" s="125" t="str">
        <f t="shared" si="83"/>
        <v/>
      </c>
      <c r="AI111" s="125" t="str">
        <f t="shared" si="84"/>
        <v/>
      </c>
      <c r="AJ111" s="125" t="str">
        <f t="shared" si="85"/>
        <v/>
      </c>
      <c r="AK111" s="125" t="str">
        <f t="shared" si="86"/>
        <v/>
      </c>
      <c r="AL111" s="125" t="str">
        <f t="shared" si="87"/>
        <v/>
      </c>
      <c r="AM111" s="125" t="str">
        <f t="shared" si="88"/>
        <v/>
      </c>
      <c r="AN111" s="125" t="str">
        <f t="shared" si="89"/>
        <v/>
      </c>
      <c r="AO111" s="125" t="str">
        <f t="shared" si="90"/>
        <v/>
      </c>
      <c r="AP111" s="122">
        <v>4.42</v>
      </c>
      <c r="AQ111" s="130">
        <f t="shared" si="91"/>
        <v>5746</v>
      </c>
      <c r="AR111" s="130">
        <f t="shared" si="92"/>
        <v>44531.5</v>
      </c>
    </row>
    <row r="112" s="320" customFormat="1" customHeight="1" spans="1:44">
      <c r="A112" s="119">
        <v>46087</v>
      </c>
      <c r="B112" s="112">
        <v>46193</v>
      </c>
      <c r="C112" s="114" t="s">
        <v>246</v>
      </c>
      <c r="D112" s="330"/>
      <c r="E112" s="114" t="s">
        <v>333</v>
      </c>
      <c r="F112" s="114" t="s">
        <v>25</v>
      </c>
      <c r="G112" s="118">
        <v>480</v>
      </c>
      <c r="H112" s="114" t="s">
        <v>323</v>
      </c>
      <c r="I112" s="125" t="str">
        <f>IFERROR(VLOOKUP(F112,名称!A:C,3,0),"")</f>
        <v>CMW</v>
      </c>
      <c r="J112" s="125">
        <f t="shared" ref="J112:AC112" si="137">IF(AND($F112=J$2,$G112&gt;0),$G112,"")</f>
        <v>480</v>
      </c>
      <c r="K112" s="125" t="str">
        <f t="shared" si="137"/>
        <v/>
      </c>
      <c r="L112" s="125" t="str">
        <f t="shared" si="137"/>
        <v/>
      </c>
      <c r="M112" s="125" t="str">
        <f t="shared" si="137"/>
        <v/>
      </c>
      <c r="N112" s="125" t="str">
        <f t="shared" si="137"/>
        <v/>
      </c>
      <c r="O112" s="125" t="str">
        <f t="shared" si="137"/>
        <v/>
      </c>
      <c r="P112" s="125" t="str">
        <f t="shared" si="137"/>
        <v/>
      </c>
      <c r="Q112" s="125" t="str">
        <f t="shared" si="137"/>
        <v/>
      </c>
      <c r="R112" s="125" t="str">
        <f t="shared" si="137"/>
        <v/>
      </c>
      <c r="S112" s="125" t="str">
        <f t="shared" si="137"/>
        <v/>
      </c>
      <c r="T112" s="125" t="str">
        <f t="shared" si="137"/>
        <v/>
      </c>
      <c r="U112" s="125" t="str">
        <f t="shared" si="137"/>
        <v/>
      </c>
      <c r="V112" s="125" t="str">
        <f t="shared" si="137"/>
        <v/>
      </c>
      <c r="W112" s="125" t="str">
        <f t="shared" si="137"/>
        <v/>
      </c>
      <c r="X112" s="125" t="str">
        <f t="shared" si="137"/>
        <v/>
      </c>
      <c r="Y112" s="125" t="str">
        <f t="shared" si="137"/>
        <v/>
      </c>
      <c r="Z112" s="125" t="str">
        <f t="shared" si="137"/>
        <v/>
      </c>
      <c r="AA112" s="125" t="str">
        <f t="shared" si="137"/>
        <v/>
      </c>
      <c r="AB112" s="125" t="str">
        <f t="shared" si="137"/>
        <v/>
      </c>
      <c r="AC112" s="125" t="str">
        <f t="shared" si="137"/>
        <v/>
      </c>
      <c r="AD112" s="125" t="str">
        <f t="shared" si="79"/>
        <v/>
      </c>
      <c r="AE112" s="125" t="str">
        <f t="shared" si="80"/>
        <v/>
      </c>
      <c r="AF112" s="125" t="str">
        <f t="shared" si="81"/>
        <v/>
      </c>
      <c r="AG112" s="125" t="str">
        <f t="shared" si="82"/>
        <v/>
      </c>
      <c r="AH112" s="125" t="str">
        <f t="shared" si="83"/>
        <v/>
      </c>
      <c r="AI112" s="125" t="str">
        <f t="shared" si="84"/>
        <v/>
      </c>
      <c r="AJ112" s="125" t="str">
        <f t="shared" si="85"/>
        <v/>
      </c>
      <c r="AK112" s="125" t="str">
        <f t="shared" si="86"/>
        <v/>
      </c>
      <c r="AL112" s="125" t="str">
        <f t="shared" si="87"/>
        <v/>
      </c>
      <c r="AM112" s="125" t="str">
        <f t="shared" si="88"/>
        <v/>
      </c>
      <c r="AN112" s="125" t="str">
        <f t="shared" si="89"/>
        <v/>
      </c>
      <c r="AO112" s="125" t="str">
        <f t="shared" si="90"/>
        <v/>
      </c>
      <c r="AP112" s="122">
        <v>4.42</v>
      </c>
      <c r="AQ112" s="130">
        <f t="shared" si="91"/>
        <v>2121.6</v>
      </c>
      <c r="AR112" s="130">
        <f t="shared" si="92"/>
        <v>16442.4</v>
      </c>
    </row>
    <row r="113" s="320" customFormat="1" customHeight="1" spans="1:44">
      <c r="A113" s="119">
        <v>46090</v>
      </c>
      <c r="B113" s="112">
        <v>46190</v>
      </c>
      <c r="C113" s="114" t="s">
        <v>246</v>
      </c>
      <c r="D113" s="330"/>
      <c r="E113" s="114">
        <v>60285216</v>
      </c>
      <c r="F113" s="114" t="s">
        <v>197</v>
      </c>
      <c r="G113" s="118">
        <v>1998</v>
      </c>
      <c r="H113" s="114" t="s">
        <v>255</v>
      </c>
      <c r="I113" s="125" t="str">
        <f>IFERROR(VLOOKUP(F113,名称!A:C,3,0),"")</f>
        <v>SNF</v>
      </c>
      <c r="J113" s="125" t="str">
        <f t="shared" ref="J113:AC113" si="138">IF(AND($F113=J$2,$G113&gt;0),$G113,"")</f>
        <v/>
      </c>
      <c r="K113" s="125" t="str">
        <f t="shared" si="138"/>
        <v/>
      </c>
      <c r="L113" s="125" t="str">
        <f t="shared" si="138"/>
        <v/>
      </c>
      <c r="M113" s="125" t="str">
        <f t="shared" si="138"/>
        <v/>
      </c>
      <c r="N113" s="125" t="str">
        <f t="shared" si="138"/>
        <v/>
      </c>
      <c r="O113" s="125" t="str">
        <f t="shared" si="138"/>
        <v/>
      </c>
      <c r="P113" s="125" t="str">
        <f t="shared" si="138"/>
        <v/>
      </c>
      <c r="Q113" s="125" t="str">
        <f t="shared" si="138"/>
        <v/>
      </c>
      <c r="R113" s="125" t="str">
        <f t="shared" si="138"/>
        <v/>
      </c>
      <c r="S113" s="125" t="str">
        <f t="shared" si="138"/>
        <v/>
      </c>
      <c r="T113" s="125" t="str">
        <f t="shared" si="138"/>
        <v/>
      </c>
      <c r="U113" s="125" t="str">
        <f t="shared" si="138"/>
        <v/>
      </c>
      <c r="V113" s="125" t="str">
        <f t="shared" si="138"/>
        <v/>
      </c>
      <c r="W113" s="125" t="str">
        <f t="shared" si="138"/>
        <v/>
      </c>
      <c r="X113" s="125" t="str">
        <f t="shared" si="138"/>
        <v/>
      </c>
      <c r="Y113" s="125">
        <f t="shared" si="138"/>
        <v>1998</v>
      </c>
      <c r="Z113" s="125" t="str">
        <f t="shared" si="138"/>
        <v/>
      </c>
      <c r="AA113" s="125" t="str">
        <f t="shared" si="138"/>
        <v/>
      </c>
      <c r="AB113" s="125" t="str">
        <f t="shared" si="138"/>
        <v/>
      </c>
      <c r="AC113" s="125" t="str">
        <f t="shared" si="138"/>
        <v/>
      </c>
      <c r="AD113" s="125" t="str">
        <f t="shared" si="79"/>
        <v/>
      </c>
      <c r="AE113" s="125" t="str">
        <f t="shared" si="80"/>
        <v/>
      </c>
      <c r="AF113" s="125" t="str">
        <f t="shared" si="81"/>
        <v/>
      </c>
      <c r="AG113" s="125" t="str">
        <f t="shared" si="82"/>
        <v/>
      </c>
      <c r="AH113" s="125" t="str">
        <f t="shared" si="83"/>
        <v/>
      </c>
      <c r="AI113" s="125" t="str">
        <f t="shared" si="84"/>
        <v/>
      </c>
      <c r="AJ113" s="125" t="str">
        <f t="shared" si="85"/>
        <v/>
      </c>
      <c r="AK113" s="125" t="str">
        <f t="shared" si="86"/>
        <v/>
      </c>
      <c r="AL113" s="125" t="str">
        <f t="shared" si="87"/>
        <v/>
      </c>
      <c r="AM113" s="125" t="str">
        <f t="shared" si="88"/>
        <v/>
      </c>
      <c r="AN113" s="125" t="str">
        <f t="shared" si="89"/>
        <v/>
      </c>
      <c r="AO113" s="125" t="str">
        <f t="shared" si="90"/>
        <v/>
      </c>
      <c r="AP113" s="122">
        <v>2.25</v>
      </c>
      <c r="AQ113" s="130">
        <f t="shared" si="91"/>
        <v>4495.5</v>
      </c>
      <c r="AR113" s="130">
        <f t="shared" si="92"/>
        <v>34840.13</v>
      </c>
    </row>
    <row r="114" s="320" customFormat="1" customHeight="1" spans="1:44">
      <c r="A114" s="119">
        <v>46090</v>
      </c>
      <c r="B114" s="112">
        <v>46190</v>
      </c>
      <c r="C114" s="114" t="s">
        <v>246</v>
      </c>
      <c r="D114" s="330"/>
      <c r="E114" s="114">
        <v>60285102</v>
      </c>
      <c r="F114" s="114" t="s">
        <v>197</v>
      </c>
      <c r="G114" s="118">
        <v>11790</v>
      </c>
      <c r="H114" s="114" t="s">
        <v>255</v>
      </c>
      <c r="I114" s="125" t="str">
        <f>IFERROR(VLOOKUP(F114,名称!A:C,3,0),"")</f>
        <v>SNF</v>
      </c>
      <c r="J114" s="125" t="str">
        <f t="shared" ref="J114:AC114" si="139">IF(AND($F114=J$2,$G114&gt;0),$G114,"")</f>
        <v/>
      </c>
      <c r="K114" s="125" t="str">
        <f t="shared" si="139"/>
        <v/>
      </c>
      <c r="L114" s="125" t="str">
        <f t="shared" si="139"/>
        <v/>
      </c>
      <c r="M114" s="125" t="str">
        <f t="shared" si="139"/>
        <v/>
      </c>
      <c r="N114" s="125" t="str">
        <f t="shared" si="139"/>
        <v/>
      </c>
      <c r="O114" s="125" t="str">
        <f t="shared" si="139"/>
        <v/>
      </c>
      <c r="P114" s="125" t="str">
        <f t="shared" si="139"/>
        <v/>
      </c>
      <c r="Q114" s="125" t="str">
        <f t="shared" si="139"/>
        <v/>
      </c>
      <c r="R114" s="125" t="str">
        <f t="shared" si="139"/>
        <v/>
      </c>
      <c r="S114" s="125" t="str">
        <f t="shared" si="139"/>
        <v/>
      </c>
      <c r="T114" s="125" t="str">
        <f t="shared" si="139"/>
        <v/>
      </c>
      <c r="U114" s="125" t="str">
        <f t="shared" si="139"/>
        <v/>
      </c>
      <c r="V114" s="125" t="str">
        <f t="shared" si="139"/>
        <v/>
      </c>
      <c r="W114" s="125" t="str">
        <f t="shared" si="139"/>
        <v/>
      </c>
      <c r="X114" s="125" t="str">
        <f t="shared" si="139"/>
        <v/>
      </c>
      <c r="Y114" s="125">
        <f t="shared" si="139"/>
        <v>11790</v>
      </c>
      <c r="Z114" s="125" t="str">
        <f t="shared" si="139"/>
        <v/>
      </c>
      <c r="AA114" s="125" t="str">
        <f t="shared" si="139"/>
        <v/>
      </c>
      <c r="AB114" s="125" t="str">
        <f t="shared" si="139"/>
        <v/>
      </c>
      <c r="AC114" s="125" t="str">
        <f t="shared" si="139"/>
        <v/>
      </c>
      <c r="AD114" s="125" t="str">
        <f t="shared" si="79"/>
        <v/>
      </c>
      <c r="AE114" s="125" t="str">
        <f t="shared" si="80"/>
        <v/>
      </c>
      <c r="AF114" s="125" t="str">
        <f t="shared" si="81"/>
        <v/>
      </c>
      <c r="AG114" s="125" t="str">
        <f t="shared" si="82"/>
        <v/>
      </c>
      <c r="AH114" s="125" t="str">
        <f t="shared" si="83"/>
        <v/>
      </c>
      <c r="AI114" s="125" t="str">
        <f t="shared" si="84"/>
        <v/>
      </c>
      <c r="AJ114" s="125" t="str">
        <f t="shared" si="85"/>
        <v/>
      </c>
      <c r="AK114" s="125" t="str">
        <f t="shared" si="86"/>
        <v/>
      </c>
      <c r="AL114" s="125" t="str">
        <f t="shared" si="87"/>
        <v/>
      </c>
      <c r="AM114" s="125" t="str">
        <f t="shared" si="88"/>
        <v/>
      </c>
      <c r="AN114" s="125" t="str">
        <f t="shared" si="89"/>
        <v/>
      </c>
      <c r="AO114" s="125" t="str">
        <f t="shared" si="90"/>
        <v/>
      </c>
      <c r="AP114" s="122">
        <v>2.25</v>
      </c>
      <c r="AQ114" s="130">
        <f t="shared" si="91"/>
        <v>26527.5</v>
      </c>
      <c r="AR114" s="130">
        <f t="shared" si="92"/>
        <v>205588.13</v>
      </c>
    </row>
    <row r="115" s="320" customFormat="1" customHeight="1" spans="1:44">
      <c r="A115" s="119">
        <v>46090</v>
      </c>
      <c r="B115" s="112">
        <v>46190</v>
      </c>
      <c r="C115" s="114" t="s">
        <v>246</v>
      </c>
      <c r="D115" s="330"/>
      <c r="E115" s="114">
        <v>60285211</v>
      </c>
      <c r="F115" s="114" t="s">
        <v>197</v>
      </c>
      <c r="G115" s="118">
        <v>11190</v>
      </c>
      <c r="H115" s="114" t="s">
        <v>255</v>
      </c>
      <c r="I115" s="125" t="str">
        <f>IFERROR(VLOOKUP(F115,名称!A:C,3,0),"")</f>
        <v>SNF</v>
      </c>
      <c r="J115" s="125" t="str">
        <f t="shared" ref="J115:AC115" si="140">IF(AND($F115=J$2,$G115&gt;0),$G115,"")</f>
        <v/>
      </c>
      <c r="K115" s="125" t="str">
        <f t="shared" si="140"/>
        <v/>
      </c>
      <c r="L115" s="125" t="str">
        <f t="shared" si="140"/>
        <v/>
      </c>
      <c r="M115" s="125" t="str">
        <f t="shared" si="140"/>
        <v/>
      </c>
      <c r="N115" s="125" t="str">
        <f t="shared" si="140"/>
        <v/>
      </c>
      <c r="O115" s="125" t="str">
        <f t="shared" si="140"/>
        <v/>
      </c>
      <c r="P115" s="125" t="str">
        <f t="shared" si="140"/>
        <v/>
      </c>
      <c r="Q115" s="125" t="str">
        <f t="shared" si="140"/>
        <v/>
      </c>
      <c r="R115" s="125" t="str">
        <f t="shared" si="140"/>
        <v/>
      </c>
      <c r="S115" s="125" t="str">
        <f t="shared" si="140"/>
        <v/>
      </c>
      <c r="T115" s="125" t="str">
        <f t="shared" si="140"/>
        <v/>
      </c>
      <c r="U115" s="125" t="str">
        <f t="shared" si="140"/>
        <v/>
      </c>
      <c r="V115" s="125" t="str">
        <f t="shared" si="140"/>
        <v/>
      </c>
      <c r="W115" s="125" t="str">
        <f t="shared" si="140"/>
        <v/>
      </c>
      <c r="X115" s="125" t="str">
        <f t="shared" si="140"/>
        <v/>
      </c>
      <c r="Y115" s="125">
        <f t="shared" si="140"/>
        <v>11190</v>
      </c>
      <c r="Z115" s="125" t="str">
        <f t="shared" si="140"/>
        <v/>
      </c>
      <c r="AA115" s="125" t="str">
        <f t="shared" si="140"/>
        <v/>
      </c>
      <c r="AB115" s="125" t="str">
        <f t="shared" si="140"/>
        <v/>
      </c>
      <c r="AC115" s="125" t="str">
        <f t="shared" si="140"/>
        <v/>
      </c>
      <c r="AD115" s="125" t="str">
        <f t="shared" si="79"/>
        <v/>
      </c>
      <c r="AE115" s="125" t="str">
        <f t="shared" si="80"/>
        <v/>
      </c>
      <c r="AF115" s="125" t="str">
        <f t="shared" si="81"/>
        <v/>
      </c>
      <c r="AG115" s="125" t="str">
        <f t="shared" si="82"/>
        <v/>
      </c>
      <c r="AH115" s="125" t="str">
        <f t="shared" si="83"/>
        <v/>
      </c>
      <c r="AI115" s="125" t="str">
        <f t="shared" si="84"/>
        <v/>
      </c>
      <c r="AJ115" s="125" t="str">
        <f t="shared" si="85"/>
        <v/>
      </c>
      <c r="AK115" s="125" t="str">
        <f t="shared" si="86"/>
        <v/>
      </c>
      <c r="AL115" s="125" t="str">
        <f t="shared" si="87"/>
        <v/>
      </c>
      <c r="AM115" s="125" t="str">
        <f t="shared" si="88"/>
        <v/>
      </c>
      <c r="AN115" s="125" t="str">
        <f t="shared" si="89"/>
        <v/>
      </c>
      <c r="AO115" s="125" t="str">
        <f t="shared" si="90"/>
        <v/>
      </c>
      <c r="AP115" s="122">
        <v>2.25</v>
      </c>
      <c r="AQ115" s="130">
        <f t="shared" si="91"/>
        <v>25177.5</v>
      </c>
      <c r="AR115" s="130">
        <f t="shared" si="92"/>
        <v>195125.63</v>
      </c>
    </row>
    <row r="116" s="320" customFormat="1" customHeight="1" spans="1:44">
      <c r="A116" s="119">
        <v>46091</v>
      </c>
      <c r="B116" s="112">
        <v>46174</v>
      </c>
      <c r="C116" s="114" t="s">
        <v>246</v>
      </c>
      <c r="D116" s="330"/>
      <c r="E116" s="114" t="s">
        <v>334</v>
      </c>
      <c r="F116" s="114" t="s">
        <v>25</v>
      </c>
      <c r="G116" s="118">
        <v>1200</v>
      </c>
      <c r="H116" s="114" t="s">
        <v>323</v>
      </c>
      <c r="I116" s="125" t="str">
        <f>IFERROR(VLOOKUP(F116,名称!A:C,3,0),"")</f>
        <v>CMW</v>
      </c>
      <c r="J116" s="125">
        <f t="shared" ref="J116:AC116" si="141">IF(AND($F116=J$2,$G116&gt;0),$G116,"")</f>
        <v>1200</v>
      </c>
      <c r="K116" s="125" t="str">
        <f t="shared" si="141"/>
        <v/>
      </c>
      <c r="L116" s="125" t="str">
        <f t="shared" si="141"/>
        <v/>
      </c>
      <c r="M116" s="125" t="str">
        <f t="shared" si="141"/>
        <v/>
      </c>
      <c r="N116" s="125" t="str">
        <f t="shared" si="141"/>
        <v/>
      </c>
      <c r="O116" s="125" t="str">
        <f t="shared" si="141"/>
        <v/>
      </c>
      <c r="P116" s="125" t="str">
        <f t="shared" si="141"/>
        <v/>
      </c>
      <c r="Q116" s="125" t="str">
        <f t="shared" si="141"/>
        <v/>
      </c>
      <c r="R116" s="125" t="str">
        <f t="shared" si="141"/>
        <v/>
      </c>
      <c r="S116" s="125" t="str">
        <f t="shared" si="141"/>
        <v/>
      </c>
      <c r="T116" s="125" t="str">
        <f t="shared" si="141"/>
        <v/>
      </c>
      <c r="U116" s="125" t="str">
        <f t="shared" si="141"/>
        <v/>
      </c>
      <c r="V116" s="125" t="str">
        <f t="shared" si="141"/>
        <v/>
      </c>
      <c r="W116" s="125" t="str">
        <f t="shared" si="141"/>
        <v/>
      </c>
      <c r="X116" s="125" t="str">
        <f t="shared" si="141"/>
        <v/>
      </c>
      <c r="Y116" s="125" t="str">
        <f t="shared" si="141"/>
        <v/>
      </c>
      <c r="Z116" s="125" t="str">
        <f t="shared" si="141"/>
        <v/>
      </c>
      <c r="AA116" s="125" t="str">
        <f t="shared" si="141"/>
        <v/>
      </c>
      <c r="AB116" s="125" t="str">
        <f t="shared" si="141"/>
        <v/>
      </c>
      <c r="AC116" s="125" t="str">
        <f t="shared" si="141"/>
        <v/>
      </c>
      <c r="AD116" s="125" t="str">
        <f t="shared" si="79"/>
        <v/>
      </c>
      <c r="AE116" s="125" t="str">
        <f t="shared" si="80"/>
        <v/>
      </c>
      <c r="AF116" s="125" t="str">
        <f t="shared" si="81"/>
        <v/>
      </c>
      <c r="AG116" s="125" t="str">
        <f t="shared" si="82"/>
        <v/>
      </c>
      <c r="AH116" s="125" t="str">
        <f t="shared" si="83"/>
        <v/>
      </c>
      <c r="AI116" s="125" t="str">
        <f t="shared" si="84"/>
        <v/>
      </c>
      <c r="AJ116" s="125" t="str">
        <f t="shared" si="85"/>
        <v/>
      </c>
      <c r="AK116" s="125" t="str">
        <f t="shared" si="86"/>
        <v/>
      </c>
      <c r="AL116" s="125" t="str">
        <f t="shared" si="87"/>
        <v/>
      </c>
      <c r="AM116" s="125" t="str">
        <f t="shared" si="88"/>
        <v/>
      </c>
      <c r="AN116" s="125" t="str">
        <f t="shared" si="89"/>
        <v/>
      </c>
      <c r="AO116" s="125" t="str">
        <f t="shared" si="90"/>
        <v/>
      </c>
      <c r="AP116" s="122">
        <v>4.42</v>
      </c>
      <c r="AQ116" s="130">
        <f t="shared" si="91"/>
        <v>5304</v>
      </c>
      <c r="AR116" s="130">
        <f t="shared" si="92"/>
        <v>41106</v>
      </c>
    </row>
    <row r="117" s="320" customFormat="1" customHeight="1" spans="1:44">
      <c r="A117" s="119">
        <v>46091</v>
      </c>
      <c r="B117" s="112">
        <v>46213</v>
      </c>
      <c r="C117" s="114" t="s">
        <v>246</v>
      </c>
      <c r="D117" s="330"/>
      <c r="E117" s="114" t="s">
        <v>335</v>
      </c>
      <c r="F117" s="114" t="s">
        <v>143</v>
      </c>
      <c r="G117" s="118">
        <v>260</v>
      </c>
      <c r="H117" s="114" t="s">
        <v>258</v>
      </c>
      <c r="I117" s="125" t="str">
        <f>IFERROR(VLOOKUP(F117,名称!A:C,3,0),"")</f>
        <v>FNT</v>
      </c>
      <c r="J117" s="125" t="str">
        <f t="shared" ref="J117:AC117" si="142">IF(AND($F117=J$2,$G117&gt;0),$G117,"")</f>
        <v/>
      </c>
      <c r="K117" s="125" t="str">
        <f t="shared" si="142"/>
        <v/>
      </c>
      <c r="L117" s="125" t="str">
        <f t="shared" si="142"/>
        <v/>
      </c>
      <c r="M117" s="125" t="str">
        <f t="shared" si="142"/>
        <v/>
      </c>
      <c r="N117" s="125" t="str">
        <f t="shared" si="142"/>
        <v/>
      </c>
      <c r="O117" s="125" t="str">
        <f t="shared" si="142"/>
        <v/>
      </c>
      <c r="P117" s="125" t="str">
        <f t="shared" si="142"/>
        <v/>
      </c>
      <c r="Q117" s="125">
        <f t="shared" si="142"/>
        <v>260</v>
      </c>
      <c r="R117" s="125" t="str">
        <f t="shared" si="142"/>
        <v/>
      </c>
      <c r="S117" s="125" t="str">
        <f t="shared" si="142"/>
        <v/>
      </c>
      <c r="T117" s="125" t="str">
        <f t="shared" si="142"/>
        <v/>
      </c>
      <c r="U117" s="125" t="str">
        <f t="shared" si="142"/>
        <v/>
      </c>
      <c r="V117" s="125" t="str">
        <f t="shared" si="142"/>
        <v/>
      </c>
      <c r="W117" s="125" t="str">
        <f t="shared" si="142"/>
        <v/>
      </c>
      <c r="X117" s="125" t="str">
        <f t="shared" si="142"/>
        <v/>
      </c>
      <c r="Y117" s="125" t="str">
        <f t="shared" si="142"/>
        <v/>
      </c>
      <c r="Z117" s="125" t="str">
        <f t="shared" si="142"/>
        <v/>
      </c>
      <c r="AA117" s="125" t="str">
        <f t="shared" si="142"/>
        <v/>
      </c>
      <c r="AB117" s="125" t="str">
        <f t="shared" si="142"/>
        <v/>
      </c>
      <c r="AC117" s="125" t="str">
        <f t="shared" si="142"/>
        <v/>
      </c>
      <c r="AD117" s="125" t="str">
        <f t="shared" si="79"/>
        <v/>
      </c>
      <c r="AE117" s="125" t="str">
        <f t="shared" si="80"/>
        <v/>
      </c>
      <c r="AF117" s="125" t="str">
        <f t="shared" si="81"/>
        <v/>
      </c>
      <c r="AG117" s="125" t="str">
        <f t="shared" si="82"/>
        <v/>
      </c>
      <c r="AH117" s="125" t="str">
        <f t="shared" si="83"/>
        <v/>
      </c>
      <c r="AI117" s="125" t="str">
        <f t="shared" si="84"/>
        <v/>
      </c>
      <c r="AJ117" s="125" t="str">
        <f t="shared" si="85"/>
        <v/>
      </c>
      <c r="AK117" s="125" t="str">
        <f t="shared" si="86"/>
        <v/>
      </c>
      <c r="AL117" s="125" t="str">
        <f t="shared" si="87"/>
        <v/>
      </c>
      <c r="AM117" s="125" t="str">
        <f t="shared" si="88"/>
        <v/>
      </c>
      <c r="AN117" s="125" t="str">
        <f t="shared" si="89"/>
        <v/>
      </c>
      <c r="AO117" s="125" t="str">
        <f t="shared" si="90"/>
        <v/>
      </c>
      <c r="AP117" s="122">
        <v>7.86</v>
      </c>
      <c r="AQ117" s="130">
        <f t="shared" si="91"/>
        <v>2043.6</v>
      </c>
      <c r="AR117" s="130">
        <f t="shared" si="92"/>
        <v>15837.9</v>
      </c>
    </row>
    <row r="118" s="320" customFormat="1" customHeight="1" spans="1:44">
      <c r="A118" s="119">
        <v>46091</v>
      </c>
      <c r="B118" s="112">
        <v>46213</v>
      </c>
      <c r="C118" s="114" t="s">
        <v>246</v>
      </c>
      <c r="D118" s="330"/>
      <c r="E118" s="114" t="s">
        <v>335</v>
      </c>
      <c r="F118" s="114" t="s">
        <v>143</v>
      </c>
      <c r="G118" s="118">
        <f>6112-260</f>
        <v>5852</v>
      </c>
      <c r="H118" s="114" t="s">
        <v>258</v>
      </c>
      <c r="I118" s="125" t="str">
        <f>IFERROR(VLOOKUP(F118,名称!A:C,3,0),"")</f>
        <v>FNT</v>
      </c>
      <c r="J118" s="125" t="str">
        <f t="shared" ref="J118:AC118" si="143">IF(AND($F118=J$2,$G118&gt;0),$G118,"")</f>
        <v/>
      </c>
      <c r="K118" s="125" t="str">
        <f t="shared" si="143"/>
        <v/>
      </c>
      <c r="L118" s="125" t="str">
        <f t="shared" si="143"/>
        <v/>
      </c>
      <c r="M118" s="125" t="str">
        <f t="shared" si="143"/>
        <v/>
      </c>
      <c r="N118" s="125" t="str">
        <f t="shared" si="143"/>
        <v/>
      </c>
      <c r="O118" s="125" t="str">
        <f t="shared" si="143"/>
        <v/>
      </c>
      <c r="P118" s="125" t="str">
        <f t="shared" si="143"/>
        <v/>
      </c>
      <c r="Q118" s="125">
        <f t="shared" si="143"/>
        <v>5852</v>
      </c>
      <c r="R118" s="125" t="str">
        <f t="shared" si="143"/>
        <v/>
      </c>
      <c r="S118" s="125" t="str">
        <f t="shared" si="143"/>
        <v/>
      </c>
      <c r="T118" s="125" t="str">
        <f t="shared" si="143"/>
        <v/>
      </c>
      <c r="U118" s="125" t="str">
        <f t="shared" si="143"/>
        <v/>
      </c>
      <c r="V118" s="125" t="str">
        <f t="shared" si="143"/>
        <v/>
      </c>
      <c r="W118" s="125" t="str">
        <f t="shared" si="143"/>
        <v/>
      </c>
      <c r="X118" s="125" t="str">
        <f t="shared" si="143"/>
        <v/>
      </c>
      <c r="Y118" s="125" t="str">
        <f t="shared" si="143"/>
        <v/>
      </c>
      <c r="Z118" s="125" t="str">
        <f t="shared" si="143"/>
        <v/>
      </c>
      <c r="AA118" s="125" t="str">
        <f t="shared" si="143"/>
        <v/>
      </c>
      <c r="AB118" s="125" t="str">
        <f t="shared" si="143"/>
        <v/>
      </c>
      <c r="AC118" s="125" t="str">
        <f t="shared" si="143"/>
        <v/>
      </c>
      <c r="AD118" s="125" t="str">
        <f t="shared" si="79"/>
        <v/>
      </c>
      <c r="AE118" s="125" t="str">
        <f t="shared" si="80"/>
        <v/>
      </c>
      <c r="AF118" s="125" t="str">
        <f t="shared" si="81"/>
        <v/>
      </c>
      <c r="AG118" s="125" t="str">
        <f t="shared" si="82"/>
        <v/>
      </c>
      <c r="AH118" s="125" t="str">
        <f t="shared" si="83"/>
        <v/>
      </c>
      <c r="AI118" s="125" t="str">
        <f t="shared" si="84"/>
        <v/>
      </c>
      <c r="AJ118" s="125" t="str">
        <f t="shared" si="85"/>
        <v/>
      </c>
      <c r="AK118" s="125" t="str">
        <f t="shared" si="86"/>
        <v/>
      </c>
      <c r="AL118" s="125" t="str">
        <f t="shared" si="87"/>
        <v/>
      </c>
      <c r="AM118" s="125" t="str">
        <f t="shared" si="88"/>
        <v/>
      </c>
      <c r="AN118" s="125" t="str">
        <f t="shared" si="89"/>
        <v/>
      </c>
      <c r="AO118" s="125" t="str">
        <f t="shared" si="90"/>
        <v/>
      </c>
      <c r="AP118" s="122">
        <v>7.86</v>
      </c>
      <c r="AQ118" s="130">
        <f t="shared" si="91"/>
        <v>45996.72</v>
      </c>
      <c r="AR118" s="130">
        <f t="shared" si="92"/>
        <v>356474.58</v>
      </c>
    </row>
    <row r="119" s="320" customFormat="1" customHeight="1" spans="1:44">
      <c r="A119" s="119">
        <v>46091</v>
      </c>
      <c r="B119" s="112">
        <v>46222</v>
      </c>
      <c r="C119" s="114" t="s">
        <v>246</v>
      </c>
      <c r="D119" s="330"/>
      <c r="E119" s="114" t="s">
        <v>336</v>
      </c>
      <c r="F119" s="114" t="s">
        <v>143</v>
      </c>
      <c r="G119" s="118">
        <v>1888</v>
      </c>
      <c r="H119" s="114" t="s">
        <v>258</v>
      </c>
      <c r="I119" s="125" t="str">
        <f>IFERROR(VLOOKUP(F119,名称!A:C,3,0),"")</f>
        <v>FNT</v>
      </c>
      <c r="J119" s="125" t="str">
        <f t="shared" ref="J119:AC119" si="144">IF(AND($F119=J$2,$G119&gt;0),$G119,"")</f>
        <v/>
      </c>
      <c r="K119" s="125" t="str">
        <f t="shared" si="144"/>
        <v/>
      </c>
      <c r="L119" s="125" t="str">
        <f t="shared" si="144"/>
        <v/>
      </c>
      <c r="M119" s="125" t="str">
        <f t="shared" si="144"/>
        <v/>
      </c>
      <c r="N119" s="125" t="str">
        <f t="shared" si="144"/>
        <v/>
      </c>
      <c r="O119" s="125" t="str">
        <f t="shared" si="144"/>
        <v/>
      </c>
      <c r="P119" s="125" t="str">
        <f t="shared" si="144"/>
        <v/>
      </c>
      <c r="Q119" s="125">
        <f t="shared" si="144"/>
        <v>1888</v>
      </c>
      <c r="R119" s="125" t="str">
        <f t="shared" si="144"/>
        <v/>
      </c>
      <c r="S119" s="125" t="str">
        <f t="shared" si="144"/>
        <v/>
      </c>
      <c r="T119" s="125" t="str">
        <f t="shared" si="144"/>
        <v/>
      </c>
      <c r="U119" s="125" t="str">
        <f t="shared" si="144"/>
        <v/>
      </c>
      <c r="V119" s="125" t="str">
        <f t="shared" si="144"/>
        <v/>
      </c>
      <c r="W119" s="125" t="str">
        <f t="shared" si="144"/>
        <v/>
      </c>
      <c r="X119" s="125" t="str">
        <f t="shared" si="144"/>
        <v/>
      </c>
      <c r="Y119" s="125" t="str">
        <f t="shared" si="144"/>
        <v/>
      </c>
      <c r="Z119" s="125" t="str">
        <f t="shared" si="144"/>
        <v/>
      </c>
      <c r="AA119" s="125" t="str">
        <f t="shared" si="144"/>
        <v/>
      </c>
      <c r="AB119" s="125" t="str">
        <f t="shared" si="144"/>
        <v/>
      </c>
      <c r="AC119" s="125" t="str">
        <f t="shared" si="144"/>
        <v/>
      </c>
      <c r="AD119" s="125" t="str">
        <f t="shared" si="79"/>
        <v/>
      </c>
      <c r="AE119" s="125" t="str">
        <f t="shared" si="80"/>
        <v/>
      </c>
      <c r="AF119" s="125" t="str">
        <f t="shared" si="81"/>
        <v/>
      </c>
      <c r="AG119" s="125" t="str">
        <f t="shared" si="82"/>
        <v/>
      </c>
      <c r="AH119" s="125" t="str">
        <f t="shared" si="83"/>
        <v/>
      </c>
      <c r="AI119" s="125" t="str">
        <f t="shared" si="84"/>
        <v/>
      </c>
      <c r="AJ119" s="125" t="str">
        <f t="shared" si="85"/>
        <v/>
      </c>
      <c r="AK119" s="125" t="str">
        <f t="shared" si="86"/>
        <v/>
      </c>
      <c r="AL119" s="125" t="str">
        <f t="shared" si="87"/>
        <v/>
      </c>
      <c r="AM119" s="125" t="str">
        <f t="shared" si="88"/>
        <v/>
      </c>
      <c r="AN119" s="125" t="str">
        <f t="shared" si="89"/>
        <v/>
      </c>
      <c r="AO119" s="125" t="str">
        <f t="shared" si="90"/>
        <v/>
      </c>
      <c r="AP119" s="122">
        <v>7.86</v>
      </c>
      <c r="AQ119" s="130">
        <f t="shared" si="91"/>
        <v>14839.68</v>
      </c>
      <c r="AR119" s="130">
        <f t="shared" si="92"/>
        <v>115007.52</v>
      </c>
    </row>
    <row r="120" s="320" customFormat="1" customHeight="1" spans="1:44">
      <c r="A120" s="119">
        <v>46098</v>
      </c>
      <c r="B120" s="112">
        <v>46190</v>
      </c>
      <c r="C120" s="114" t="s">
        <v>246</v>
      </c>
      <c r="D120" s="114"/>
      <c r="E120" s="114">
        <v>70086157</v>
      </c>
      <c r="F120" s="114" t="s">
        <v>197</v>
      </c>
      <c r="G120" s="118">
        <v>600</v>
      </c>
      <c r="H120" s="114" t="s">
        <v>255</v>
      </c>
      <c r="I120" s="125" t="str">
        <f>IFERROR(VLOOKUP(F120,名称!A:C,3,0),"")</f>
        <v>SNF</v>
      </c>
      <c r="J120" s="125" t="str">
        <f t="shared" ref="J120:AC120" si="145">IF(AND($F120=J$2,$G120&gt;0),$G120,"")</f>
        <v/>
      </c>
      <c r="K120" s="125" t="str">
        <f t="shared" si="145"/>
        <v/>
      </c>
      <c r="L120" s="125" t="str">
        <f t="shared" si="145"/>
        <v/>
      </c>
      <c r="M120" s="125" t="str">
        <f t="shared" si="145"/>
        <v/>
      </c>
      <c r="N120" s="125" t="str">
        <f t="shared" si="145"/>
        <v/>
      </c>
      <c r="O120" s="125" t="str">
        <f t="shared" si="145"/>
        <v/>
      </c>
      <c r="P120" s="125" t="str">
        <f t="shared" si="145"/>
        <v/>
      </c>
      <c r="Q120" s="125" t="str">
        <f t="shared" si="145"/>
        <v/>
      </c>
      <c r="R120" s="125" t="str">
        <f t="shared" si="145"/>
        <v/>
      </c>
      <c r="S120" s="125" t="str">
        <f t="shared" si="145"/>
        <v/>
      </c>
      <c r="T120" s="125" t="str">
        <f t="shared" si="145"/>
        <v/>
      </c>
      <c r="U120" s="125" t="str">
        <f t="shared" si="145"/>
        <v/>
      </c>
      <c r="V120" s="125" t="str">
        <f t="shared" si="145"/>
        <v/>
      </c>
      <c r="W120" s="125" t="str">
        <f t="shared" si="145"/>
        <v/>
      </c>
      <c r="X120" s="125" t="str">
        <f t="shared" si="145"/>
        <v/>
      </c>
      <c r="Y120" s="125">
        <f t="shared" si="145"/>
        <v>600</v>
      </c>
      <c r="Z120" s="125" t="str">
        <f t="shared" si="145"/>
        <v/>
      </c>
      <c r="AA120" s="125" t="str">
        <f t="shared" si="145"/>
        <v/>
      </c>
      <c r="AB120" s="125" t="str">
        <f t="shared" si="145"/>
        <v/>
      </c>
      <c r="AC120" s="125" t="str">
        <f t="shared" si="145"/>
        <v/>
      </c>
      <c r="AD120" s="125" t="str">
        <f t="shared" si="79"/>
        <v/>
      </c>
      <c r="AE120" s="125" t="str">
        <f t="shared" si="80"/>
        <v/>
      </c>
      <c r="AF120" s="125" t="str">
        <f t="shared" si="81"/>
        <v/>
      </c>
      <c r="AG120" s="125" t="str">
        <f t="shared" si="82"/>
        <v/>
      </c>
      <c r="AH120" s="125" t="str">
        <f t="shared" si="83"/>
        <v/>
      </c>
      <c r="AI120" s="125" t="str">
        <f t="shared" si="84"/>
        <v/>
      </c>
      <c r="AJ120" s="125" t="str">
        <f t="shared" si="85"/>
        <v/>
      </c>
      <c r="AK120" s="125" t="str">
        <f t="shared" si="86"/>
        <v/>
      </c>
      <c r="AL120" s="125" t="str">
        <f t="shared" si="87"/>
        <v/>
      </c>
      <c r="AM120" s="125" t="str">
        <f t="shared" si="88"/>
        <v/>
      </c>
      <c r="AN120" s="125" t="str">
        <f t="shared" si="89"/>
        <v/>
      </c>
      <c r="AO120" s="125" t="str">
        <f t="shared" si="90"/>
        <v/>
      </c>
      <c r="AP120" s="122">
        <v>2.25</v>
      </c>
      <c r="AQ120" s="130">
        <f t="shared" si="91"/>
        <v>1350</v>
      </c>
      <c r="AR120" s="130">
        <f t="shared" si="92"/>
        <v>10462.5</v>
      </c>
    </row>
    <row r="121" s="320" customFormat="1" customHeight="1" spans="1:44">
      <c r="A121" s="119">
        <v>46098</v>
      </c>
      <c r="B121" s="112">
        <v>46190</v>
      </c>
      <c r="C121" s="114" t="s">
        <v>246</v>
      </c>
      <c r="D121" s="114"/>
      <c r="E121" s="114">
        <v>70086147</v>
      </c>
      <c r="F121" s="114" t="s">
        <v>197</v>
      </c>
      <c r="G121" s="118">
        <v>600</v>
      </c>
      <c r="H121" s="114" t="s">
        <v>255</v>
      </c>
      <c r="I121" s="125" t="str">
        <f>IFERROR(VLOOKUP(F121,名称!A:C,3,0),"")</f>
        <v>SNF</v>
      </c>
      <c r="J121" s="125" t="str">
        <f t="shared" ref="J121:AC121" si="146">IF(AND($F121=J$2,$G121&gt;0),$G121,"")</f>
        <v/>
      </c>
      <c r="K121" s="125" t="str">
        <f t="shared" si="146"/>
        <v/>
      </c>
      <c r="L121" s="125" t="str">
        <f t="shared" si="146"/>
        <v/>
      </c>
      <c r="M121" s="125" t="str">
        <f t="shared" si="146"/>
        <v/>
      </c>
      <c r="N121" s="125" t="str">
        <f t="shared" si="146"/>
        <v/>
      </c>
      <c r="O121" s="125" t="str">
        <f t="shared" si="146"/>
        <v/>
      </c>
      <c r="P121" s="125" t="str">
        <f t="shared" si="146"/>
        <v/>
      </c>
      <c r="Q121" s="125" t="str">
        <f t="shared" si="146"/>
        <v/>
      </c>
      <c r="R121" s="125" t="str">
        <f t="shared" si="146"/>
        <v/>
      </c>
      <c r="S121" s="125" t="str">
        <f t="shared" si="146"/>
        <v/>
      </c>
      <c r="T121" s="125" t="str">
        <f t="shared" si="146"/>
        <v/>
      </c>
      <c r="U121" s="125" t="str">
        <f t="shared" si="146"/>
        <v/>
      </c>
      <c r="V121" s="125" t="str">
        <f t="shared" si="146"/>
        <v/>
      </c>
      <c r="W121" s="125" t="str">
        <f t="shared" si="146"/>
        <v/>
      </c>
      <c r="X121" s="125" t="str">
        <f t="shared" si="146"/>
        <v/>
      </c>
      <c r="Y121" s="125">
        <f t="shared" si="146"/>
        <v>600</v>
      </c>
      <c r="Z121" s="125" t="str">
        <f t="shared" si="146"/>
        <v/>
      </c>
      <c r="AA121" s="125" t="str">
        <f t="shared" si="146"/>
        <v/>
      </c>
      <c r="AB121" s="125" t="str">
        <f t="shared" si="146"/>
        <v/>
      </c>
      <c r="AC121" s="125" t="str">
        <f t="shared" si="146"/>
        <v/>
      </c>
      <c r="AD121" s="125" t="str">
        <f t="shared" si="79"/>
        <v/>
      </c>
      <c r="AE121" s="125" t="str">
        <f t="shared" si="80"/>
        <v/>
      </c>
      <c r="AF121" s="125" t="str">
        <f t="shared" si="81"/>
        <v/>
      </c>
      <c r="AG121" s="125" t="str">
        <f t="shared" si="82"/>
        <v/>
      </c>
      <c r="AH121" s="125" t="str">
        <f t="shared" si="83"/>
        <v/>
      </c>
      <c r="AI121" s="125" t="str">
        <f t="shared" si="84"/>
        <v/>
      </c>
      <c r="AJ121" s="125" t="str">
        <f t="shared" si="85"/>
        <v/>
      </c>
      <c r="AK121" s="125" t="str">
        <f t="shared" si="86"/>
        <v/>
      </c>
      <c r="AL121" s="125" t="str">
        <f t="shared" si="87"/>
        <v/>
      </c>
      <c r="AM121" s="125" t="str">
        <f t="shared" si="88"/>
        <v/>
      </c>
      <c r="AN121" s="125" t="str">
        <f t="shared" si="89"/>
        <v/>
      </c>
      <c r="AO121" s="125" t="str">
        <f t="shared" si="90"/>
        <v/>
      </c>
      <c r="AP121" s="122">
        <v>2.25</v>
      </c>
      <c r="AQ121" s="130">
        <f t="shared" si="91"/>
        <v>1350</v>
      </c>
      <c r="AR121" s="130">
        <f t="shared" si="92"/>
        <v>10462.5</v>
      </c>
    </row>
    <row r="122" s="320" customFormat="1" customHeight="1" spans="1:44">
      <c r="A122" s="119">
        <v>46098</v>
      </c>
      <c r="B122" s="112">
        <v>46190</v>
      </c>
      <c r="C122" s="114" t="s">
        <v>246</v>
      </c>
      <c r="D122" s="114"/>
      <c r="E122" s="114">
        <v>70086139</v>
      </c>
      <c r="F122" s="114" t="s">
        <v>197</v>
      </c>
      <c r="G122" s="118">
        <v>1200</v>
      </c>
      <c r="H122" s="114" t="s">
        <v>255</v>
      </c>
      <c r="I122" s="125" t="str">
        <f>IFERROR(VLOOKUP(F122,名称!A:C,3,0),"")</f>
        <v>SNF</v>
      </c>
      <c r="J122" s="125" t="str">
        <f t="shared" ref="J122:AC122" si="147">IF(AND($F122=J$2,$G122&gt;0),$G122,"")</f>
        <v/>
      </c>
      <c r="K122" s="125" t="str">
        <f t="shared" si="147"/>
        <v/>
      </c>
      <c r="L122" s="125" t="str">
        <f t="shared" si="147"/>
        <v/>
      </c>
      <c r="M122" s="125" t="str">
        <f t="shared" si="147"/>
        <v/>
      </c>
      <c r="N122" s="125" t="str">
        <f t="shared" si="147"/>
        <v/>
      </c>
      <c r="O122" s="125" t="str">
        <f t="shared" si="147"/>
        <v/>
      </c>
      <c r="P122" s="125" t="str">
        <f t="shared" si="147"/>
        <v/>
      </c>
      <c r="Q122" s="125" t="str">
        <f t="shared" si="147"/>
        <v/>
      </c>
      <c r="R122" s="125" t="str">
        <f t="shared" si="147"/>
        <v/>
      </c>
      <c r="S122" s="125" t="str">
        <f t="shared" si="147"/>
        <v/>
      </c>
      <c r="T122" s="125" t="str">
        <f t="shared" si="147"/>
        <v/>
      </c>
      <c r="U122" s="125" t="str">
        <f t="shared" si="147"/>
        <v/>
      </c>
      <c r="V122" s="125" t="str">
        <f t="shared" si="147"/>
        <v/>
      </c>
      <c r="W122" s="125" t="str">
        <f t="shared" si="147"/>
        <v/>
      </c>
      <c r="X122" s="125" t="str">
        <f t="shared" si="147"/>
        <v/>
      </c>
      <c r="Y122" s="125">
        <f t="shared" si="147"/>
        <v>1200</v>
      </c>
      <c r="Z122" s="125" t="str">
        <f t="shared" si="147"/>
        <v/>
      </c>
      <c r="AA122" s="125" t="str">
        <f t="shared" si="147"/>
        <v/>
      </c>
      <c r="AB122" s="125" t="str">
        <f t="shared" si="147"/>
        <v/>
      </c>
      <c r="AC122" s="125" t="str">
        <f t="shared" si="147"/>
        <v/>
      </c>
      <c r="AD122" s="125" t="str">
        <f t="shared" si="79"/>
        <v/>
      </c>
      <c r="AE122" s="125" t="str">
        <f t="shared" si="80"/>
        <v/>
      </c>
      <c r="AF122" s="125" t="str">
        <f t="shared" si="81"/>
        <v/>
      </c>
      <c r="AG122" s="125" t="str">
        <f t="shared" si="82"/>
        <v/>
      </c>
      <c r="AH122" s="125" t="str">
        <f t="shared" si="83"/>
        <v/>
      </c>
      <c r="AI122" s="125" t="str">
        <f t="shared" si="84"/>
        <v/>
      </c>
      <c r="AJ122" s="125" t="str">
        <f t="shared" si="85"/>
        <v/>
      </c>
      <c r="AK122" s="125" t="str">
        <f t="shared" si="86"/>
        <v/>
      </c>
      <c r="AL122" s="125" t="str">
        <f t="shared" si="87"/>
        <v/>
      </c>
      <c r="AM122" s="125" t="str">
        <f t="shared" si="88"/>
        <v/>
      </c>
      <c r="AN122" s="125" t="str">
        <f t="shared" si="89"/>
        <v/>
      </c>
      <c r="AO122" s="125" t="str">
        <f t="shared" si="90"/>
        <v/>
      </c>
      <c r="AP122" s="122">
        <v>2.25</v>
      </c>
      <c r="AQ122" s="130">
        <f t="shared" si="91"/>
        <v>2700</v>
      </c>
      <c r="AR122" s="130">
        <f t="shared" si="92"/>
        <v>20925</v>
      </c>
    </row>
    <row r="123" s="320" customFormat="1" customHeight="1" spans="1:44">
      <c r="A123" s="119">
        <v>46098</v>
      </c>
      <c r="B123" s="112">
        <v>46190</v>
      </c>
      <c r="C123" s="114" t="s">
        <v>246</v>
      </c>
      <c r="D123" s="114"/>
      <c r="E123" s="114">
        <v>70086128</v>
      </c>
      <c r="F123" s="114" t="s">
        <v>197</v>
      </c>
      <c r="G123" s="118">
        <v>996</v>
      </c>
      <c r="H123" s="114" t="s">
        <v>255</v>
      </c>
      <c r="I123" s="125" t="str">
        <f>IFERROR(VLOOKUP(F123,名称!A:C,3,0),"")</f>
        <v>SNF</v>
      </c>
      <c r="J123" s="125" t="str">
        <f t="shared" ref="J123:AC123" si="148">IF(AND($F123=J$2,$G123&gt;0),$G123,"")</f>
        <v/>
      </c>
      <c r="K123" s="125" t="str">
        <f t="shared" si="148"/>
        <v/>
      </c>
      <c r="L123" s="125" t="str">
        <f t="shared" si="148"/>
        <v/>
      </c>
      <c r="M123" s="125" t="str">
        <f t="shared" si="148"/>
        <v/>
      </c>
      <c r="N123" s="125" t="str">
        <f t="shared" si="148"/>
        <v/>
      </c>
      <c r="O123" s="125" t="str">
        <f t="shared" si="148"/>
        <v/>
      </c>
      <c r="P123" s="125" t="str">
        <f t="shared" si="148"/>
        <v/>
      </c>
      <c r="Q123" s="125" t="str">
        <f t="shared" si="148"/>
        <v/>
      </c>
      <c r="R123" s="125" t="str">
        <f t="shared" si="148"/>
        <v/>
      </c>
      <c r="S123" s="125" t="str">
        <f t="shared" si="148"/>
        <v/>
      </c>
      <c r="T123" s="125" t="str">
        <f t="shared" si="148"/>
        <v/>
      </c>
      <c r="U123" s="125" t="str">
        <f t="shared" si="148"/>
        <v/>
      </c>
      <c r="V123" s="125" t="str">
        <f t="shared" si="148"/>
        <v/>
      </c>
      <c r="W123" s="125" t="str">
        <f t="shared" si="148"/>
        <v/>
      </c>
      <c r="X123" s="125" t="str">
        <f t="shared" si="148"/>
        <v/>
      </c>
      <c r="Y123" s="125">
        <f t="shared" si="148"/>
        <v>996</v>
      </c>
      <c r="Z123" s="125" t="str">
        <f t="shared" si="148"/>
        <v/>
      </c>
      <c r="AA123" s="125" t="str">
        <f t="shared" si="148"/>
        <v/>
      </c>
      <c r="AB123" s="125" t="str">
        <f t="shared" si="148"/>
        <v/>
      </c>
      <c r="AC123" s="125" t="str">
        <f t="shared" si="148"/>
        <v/>
      </c>
      <c r="AD123" s="125" t="str">
        <f t="shared" si="79"/>
        <v/>
      </c>
      <c r="AE123" s="125" t="str">
        <f t="shared" si="80"/>
        <v/>
      </c>
      <c r="AF123" s="125" t="str">
        <f t="shared" si="81"/>
        <v/>
      </c>
      <c r="AG123" s="125" t="str">
        <f t="shared" si="82"/>
        <v/>
      </c>
      <c r="AH123" s="125" t="str">
        <f t="shared" si="83"/>
        <v/>
      </c>
      <c r="AI123" s="125" t="str">
        <f t="shared" si="84"/>
        <v/>
      </c>
      <c r="AJ123" s="125" t="str">
        <f t="shared" si="85"/>
        <v/>
      </c>
      <c r="AK123" s="125" t="str">
        <f t="shared" si="86"/>
        <v/>
      </c>
      <c r="AL123" s="125" t="str">
        <f t="shared" si="87"/>
        <v/>
      </c>
      <c r="AM123" s="125" t="str">
        <f t="shared" si="88"/>
        <v/>
      </c>
      <c r="AN123" s="125" t="str">
        <f t="shared" si="89"/>
        <v/>
      </c>
      <c r="AO123" s="125" t="str">
        <f t="shared" si="90"/>
        <v/>
      </c>
      <c r="AP123" s="122">
        <v>2.25</v>
      </c>
      <c r="AQ123" s="130">
        <f t="shared" si="91"/>
        <v>2241</v>
      </c>
      <c r="AR123" s="130">
        <f t="shared" si="92"/>
        <v>17367.75</v>
      </c>
    </row>
    <row r="124" s="320" customFormat="1" customHeight="1" spans="1:44">
      <c r="A124" s="119">
        <v>46098</v>
      </c>
      <c r="B124" s="112">
        <v>46190</v>
      </c>
      <c r="C124" s="114" t="s">
        <v>246</v>
      </c>
      <c r="D124" s="114"/>
      <c r="E124" s="114">
        <v>70086115</v>
      </c>
      <c r="F124" s="114" t="s">
        <v>197</v>
      </c>
      <c r="G124" s="118">
        <v>1596</v>
      </c>
      <c r="H124" s="114" t="s">
        <v>255</v>
      </c>
      <c r="I124" s="125" t="str">
        <f>IFERROR(VLOOKUP(F124,名称!A:C,3,0),"")</f>
        <v>SNF</v>
      </c>
      <c r="J124" s="125" t="str">
        <f t="shared" ref="J124:AC124" si="149">IF(AND($F124=J$2,$G124&gt;0),$G124,"")</f>
        <v/>
      </c>
      <c r="K124" s="125" t="str">
        <f t="shared" si="149"/>
        <v/>
      </c>
      <c r="L124" s="125" t="str">
        <f t="shared" si="149"/>
        <v/>
      </c>
      <c r="M124" s="125" t="str">
        <f t="shared" si="149"/>
        <v/>
      </c>
      <c r="N124" s="125" t="str">
        <f t="shared" si="149"/>
        <v/>
      </c>
      <c r="O124" s="125" t="str">
        <f t="shared" si="149"/>
        <v/>
      </c>
      <c r="P124" s="125" t="str">
        <f t="shared" si="149"/>
        <v/>
      </c>
      <c r="Q124" s="125" t="str">
        <f t="shared" si="149"/>
        <v/>
      </c>
      <c r="R124" s="125" t="str">
        <f t="shared" si="149"/>
        <v/>
      </c>
      <c r="S124" s="125" t="str">
        <f t="shared" si="149"/>
        <v/>
      </c>
      <c r="T124" s="125" t="str">
        <f t="shared" si="149"/>
        <v/>
      </c>
      <c r="U124" s="125" t="str">
        <f t="shared" si="149"/>
        <v/>
      </c>
      <c r="V124" s="125" t="str">
        <f t="shared" si="149"/>
        <v/>
      </c>
      <c r="W124" s="125" t="str">
        <f t="shared" si="149"/>
        <v/>
      </c>
      <c r="X124" s="125" t="str">
        <f t="shared" si="149"/>
        <v/>
      </c>
      <c r="Y124" s="125">
        <f t="shared" si="149"/>
        <v>1596</v>
      </c>
      <c r="Z124" s="125" t="str">
        <f t="shared" si="149"/>
        <v/>
      </c>
      <c r="AA124" s="125" t="str">
        <f t="shared" si="149"/>
        <v/>
      </c>
      <c r="AB124" s="125" t="str">
        <f t="shared" si="149"/>
        <v/>
      </c>
      <c r="AC124" s="125" t="str">
        <f t="shared" si="149"/>
        <v/>
      </c>
      <c r="AD124" s="125" t="str">
        <f t="shared" si="79"/>
        <v/>
      </c>
      <c r="AE124" s="125" t="str">
        <f t="shared" si="80"/>
        <v/>
      </c>
      <c r="AF124" s="125" t="str">
        <f t="shared" si="81"/>
        <v/>
      </c>
      <c r="AG124" s="125" t="str">
        <f t="shared" si="82"/>
        <v/>
      </c>
      <c r="AH124" s="125" t="str">
        <f t="shared" si="83"/>
        <v/>
      </c>
      <c r="AI124" s="125" t="str">
        <f t="shared" si="84"/>
        <v/>
      </c>
      <c r="AJ124" s="125" t="str">
        <f t="shared" si="85"/>
        <v/>
      </c>
      <c r="AK124" s="125" t="str">
        <f t="shared" si="86"/>
        <v/>
      </c>
      <c r="AL124" s="125" t="str">
        <f t="shared" si="87"/>
        <v/>
      </c>
      <c r="AM124" s="125" t="str">
        <f t="shared" si="88"/>
        <v/>
      </c>
      <c r="AN124" s="125" t="str">
        <f t="shared" si="89"/>
        <v/>
      </c>
      <c r="AO124" s="125" t="str">
        <f t="shared" si="90"/>
        <v/>
      </c>
      <c r="AP124" s="122">
        <v>2.25</v>
      </c>
      <c r="AQ124" s="130">
        <f t="shared" si="91"/>
        <v>3591</v>
      </c>
      <c r="AR124" s="130">
        <f t="shared" si="92"/>
        <v>27830.25</v>
      </c>
    </row>
    <row r="125" s="320" customFormat="1" customHeight="1" spans="1:44">
      <c r="A125" s="119">
        <v>46105</v>
      </c>
      <c r="B125" s="112">
        <v>46181</v>
      </c>
      <c r="C125" s="114" t="s">
        <v>246</v>
      </c>
      <c r="D125" s="330"/>
      <c r="E125" s="114" t="s">
        <v>337</v>
      </c>
      <c r="F125" s="114" t="s">
        <v>143</v>
      </c>
      <c r="G125" s="118">
        <v>360</v>
      </c>
      <c r="H125" s="114" t="s">
        <v>258</v>
      </c>
      <c r="I125" s="125" t="str">
        <f>IFERROR(VLOOKUP(F125,名称!A:C,3,0),"")</f>
        <v>FNT</v>
      </c>
      <c r="J125" s="125" t="str">
        <f t="shared" ref="J125:AC125" si="150">IF(AND($F125=J$2,$G125&gt;0),$G125,"")</f>
        <v/>
      </c>
      <c r="K125" s="125" t="str">
        <f t="shared" si="150"/>
        <v/>
      </c>
      <c r="L125" s="125" t="str">
        <f t="shared" si="150"/>
        <v/>
      </c>
      <c r="M125" s="125" t="str">
        <f t="shared" si="150"/>
        <v/>
      </c>
      <c r="N125" s="125" t="str">
        <f t="shared" si="150"/>
        <v/>
      </c>
      <c r="O125" s="125" t="str">
        <f t="shared" si="150"/>
        <v/>
      </c>
      <c r="P125" s="125" t="str">
        <f t="shared" si="150"/>
        <v/>
      </c>
      <c r="Q125" s="125">
        <f t="shared" si="150"/>
        <v>360</v>
      </c>
      <c r="R125" s="125" t="str">
        <f t="shared" si="150"/>
        <v/>
      </c>
      <c r="S125" s="125" t="str">
        <f t="shared" si="150"/>
        <v/>
      </c>
      <c r="T125" s="125" t="str">
        <f t="shared" si="150"/>
        <v/>
      </c>
      <c r="U125" s="125" t="str">
        <f t="shared" si="150"/>
        <v/>
      </c>
      <c r="V125" s="125" t="str">
        <f t="shared" si="150"/>
        <v/>
      </c>
      <c r="W125" s="125" t="str">
        <f t="shared" si="150"/>
        <v/>
      </c>
      <c r="X125" s="125" t="str">
        <f t="shared" si="150"/>
        <v/>
      </c>
      <c r="Y125" s="125" t="str">
        <f t="shared" si="150"/>
        <v/>
      </c>
      <c r="Z125" s="125" t="str">
        <f t="shared" si="150"/>
        <v/>
      </c>
      <c r="AA125" s="125" t="str">
        <f t="shared" si="150"/>
        <v/>
      </c>
      <c r="AB125" s="125" t="str">
        <f t="shared" si="150"/>
        <v/>
      </c>
      <c r="AC125" s="125" t="str">
        <f t="shared" si="150"/>
        <v/>
      </c>
      <c r="AD125" s="125" t="str">
        <f t="shared" si="79"/>
        <v/>
      </c>
      <c r="AE125" s="125" t="str">
        <f t="shared" si="80"/>
        <v/>
      </c>
      <c r="AF125" s="125" t="str">
        <f t="shared" si="81"/>
        <v/>
      </c>
      <c r="AG125" s="125" t="str">
        <f t="shared" si="82"/>
        <v/>
      </c>
      <c r="AH125" s="125" t="str">
        <f t="shared" si="83"/>
        <v/>
      </c>
      <c r="AI125" s="125" t="str">
        <f t="shared" si="84"/>
        <v/>
      </c>
      <c r="AJ125" s="125" t="str">
        <f t="shared" si="85"/>
        <v/>
      </c>
      <c r="AK125" s="125" t="str">
        <f t="shared" si="86"/>
        <v/>
      </c>
      <c r="AL125" s="125" t="str">
        <f t="shared" si="87"/>
        <v/>
      </c>
      <c r="AM125" s="125" t="str">
        <f t="shared" si="88"/>
        <v/>
      </c>
      <c r="AN125" s="125" t="str">
        <f t="shared" si="89"/>
        <v/>
      </c>
      <c r="AO125" s="125" t="str">
        <f t="shared" si="90"/>
        <v/>
      </c>
      <c r="AP125" s="122">
        <v>7.86</v>
      </c>
      <c r="AQ125" s="130">
        <f t="shared" si="91"/>
        <v>2829.6</v>
      </c>
      <c r="AR125" s="130">
        <f t="shared" si="92"/>
        <v>21929.4</v>
      </c>
    </row>
    <row r="126" s="320" customFormat="1" customHeight="1" spans="1:44">
      <c r="A126" s="119">
        <v>46105</v>
      </c>
      <c r="B126" s="112">
        <v>46181</v>
      </c>
      <c r="C126" s="114" t="s">
        <v>246</v>
      </c>
      <c r="D126" s="330"/>
      <c r="E126" s="114" t="s">
        <v>337</v>
      </c>
      <c r="F126" s="114" t="s">
        <v>143</v>
      </c>
      <c r="G126" s="118">
        <f>4000-360</f>
        <v>3640</v>
      </c>
      <c r="H126" s="114" t="s">
        <v>258</v>
      </c>
      <c r="I126" s="125" t="str">
        <f>IFERROR(VLOOKUP(F126,名称!A:C,3,0),"")</f>
        <v>FNT</v>
      </c>
      <c r="J126" s="125" t="str">
        <f t="shared" ref="J126:AC126" si="151">IF(AND($F126=J$2,$G126&gt;0),$G126,"")</f>
        <v/>
      </c>
      <c r="K126" s="125" t="str">
        <f t="shared" si="151"/>
        <v/>
      </c>
      <c r="L126" s="125" t="str">
        <f t="shared" si="151"/>
        <v/>
      </c>
      <c r="M126" s="125" t="str">
        <f t="shared" si="151"/>
        <v/>
      </c>
      <c r="N126" s="125" t="str">
        <f t="shared" si="151"/>
        <v/>
      </c>
      <c r="O126" s="125" t="str">
        <f t="shared" si="151"/>
        <v/>
      </c>
      <c r="P126" s="125" t="str">
        <f t="shared" si="151"/>
        <v/>
      </c>
      <c r="Q126" s="125">
        <f t="shared" si="151"/>
        <v>3640</v>
      </c>
      <c r="R126" s="125" t="str">
        <f t="shared" si="151"/>
        <v/>
      </c>
      <c r="S126" s="125" t="str">
        <f t="shared" si="151"/>
        <v/>
      </c>
      <c r="T126" s="125" t="str">
        <f t="shared" si="151"/>
        <v/>
      </c>
      <c r="U126" s="125" t="str">
        <f t="shared" si="151"/>
        <v/>
      </c>
      <c r="V126" s="125" t="str">
        <f t="shared" si="151"/>
        <v/>
      </c>
      <c r="W126" s="125" t="str">
        <f t="shared" si="151"/>
        <v/>
      </c>
      <c r="X126" s="125" t="str">
        <f t="shared" si="151"/>
        <v/>
      </c>
      <c r="Y126" s="125" t="str">
        <f t="shared" si="151"/>
        <v/>
      </c>
      <c r="Z126" s="125" t="str">
        <f t="shared" si="151"/>
        <v/>
      </c>
      <c r="AA126" s="125" t="str">
        <f t="shared" si="151"/>
        <v/>
      </c>
      <c r="AB126" s="125" t="str">
        <f t="shared" si="151"/>
        <v/>
      </c>
      <c r="AC126" s="125" t="str">
        <f t="shared" si="151"/>
        <v/>
      </c>
      <c r="AD126" s="125" t="str">
        <f t="shared" si="79"/>
        <v/>
      </c>
      <c r="AE126" s="125" t="str">
        <f t="shared" si="80"/>
        <v/>
      </c>
      <c r="AF126" s="125" t="str">
        <f t="shared" si="81"/>
        <v/>
      </c>
      <c r="AG126" s="125" t="str">
        <f t="shared" si="82"/>
        <v/>
      </c>
      <c r="AH126" s="125" t="str">
        <f t="shared" si="83"/>
        <v/>
      </c>
      <c r="AI126" s="125" t="str">
        <f t="shared" si="84"/>
        <v/>
      </c>
      <c r="AJ126" s="125" t="str">
        <f t="shared" si="85"/>
        <v/>
      </c>
      <c r="AK126" s="125" t="str">
        <f t="shared" si="86"/>
        <v/>
      </c>
      <c r="AL126" s="125" t="str">
        <f t="shared" si="87"/>
        <v/>
      </c>
      <c r="AM126" s="125" t="str">
        <f t="shared" si="88"/>
        <v/>
      </c>
      <c r="AN126" s="125" t="str">
        <f t="shared" si="89"/>
        <v/>
      </c>
      <c r="AO126" s="125" t="str">
        <f t="shared" si="90"/>
        <v/>
      </c>
      <c r="AP126" s="122">
        <v>7.86</v>
      </c>
      <c r="AQ126" s="130">
        <f t="shared" si="91"/>
        <v>28610.4</v>
      </c>
      <c r="AR126" s="130">
        <f t="shared" si="92"/>
        <v>221730.6</v>
      </c>
    </row>
    <row r="127" s="45" customFormat="1" customHeight="1" spans="1:44">
      <c r="A127" s="74">
        <v>46105</v>
      </c>
      <c r="B127" s="183">
        <v>46225</v>
      </c>
      <c r="C127" s="172" t="s">
        <v>246</v>
      </c>
      <c r="D127" s="57"/>
      <c r="E127" s="172" t="s">
        <v>338</v>
      </c>
      <c r="F127" s="172" t="s">
        <v>153</v>
      </c>
      <c r="G127" s="175">
        <v>3084</v>
      </c>
      <c r="H127" s="172" t="s">
        <v>258</v>
      </c>
      <c r="I127" s="14" t="str">
        <f>IFERROR(VLOOKUP(F127,名称!A:C,3,0),"")</f>
        <v>FNT</v>
      </c>
      <c r="J127" s="14" t="str">
        <f t="shared" ref="J127:AC127" si="152">IF(AND($F127=J$2,$G127&gt;0),$G127,"")</f>
        <v/>
      </c>
      <c r="K127" s="14" t="str">
        <f t="shared" si="152"/>
        <v/>
      </c>
      <c r="L127" s="14" t="str">
        <f t="shared" si="152"/>
        <v/>
      </c>
      <c r="M127" s="14" t="str">
        <f t="shared" si="152"/>
        <v/>
      </c>
      <c r="N127" s="14" t="str">
        <f t="shared" si="152"/>
        <v/>
      </c>
      <c r="O127" s="14" t="str">
        <f t="shared" si="152"/>
        <v/>
      </c>
      <c r="P127" s="14" t="str">
        <f t="shared" si="152"/>
        <v/>
      </c>
      <c r="Q127" s="14" t="str">
        <f t="shared" si="152"/>
        <v/>
      </c>
      <c r="R127" s="14" t="str">
        <f t="shared" si="152"/>
        <v/>
      </c>
      <c r="S127" s="14" t="str">
        <f t="shared" si="152"/>
        <v/>
      </c>
      <c r="T127" s="14" t="str">
        <f t="shared" si="152"/>
        <v/>
      </c>
      <c r="U127" s="14" t="str">
        <f t="shared" si="152"/>
        <v/>
      </c>
      <c r="V127" s="14">
        <f t="shared" si="152"/>
        <v>3084</v>
      </c>
      <c r="W127" s="14" t="str">
        <f t="shared" si="152"/>
        <v/>
      </c>
      <c r="X127" s="14" t="str">
        <f t="shared" si="152"/>
        <v/>
      </c>
      <c r="Y127" s="14" t="str">
        <f t="shared" si="152"/>
        <v/>
      </c>
      <c r="Z127" s="14" t="str">
        <f t="shared" si="152"/>
        <v/>
      </c>
      <c r="AA127" s="14" t="str">
        <f t="shared" si="152"/>
        <v/>
      </c>
      <c r="AB127" s="14" t="str">
        <f t="shared" si="152"/>
        <v/>
      </c>
      <c r="AC127" s="14" t="str">
        <f t="shared" si="152"/>
        <v/>
      </c>
      <c r="AD127" s="14" t="str">
        <f t="shared" si="79"/>
        <v/>
      </c>
      <c r="AE127" s="14" t="str">
        <f t="shared" si="80"/>
        <v/>
      </c>
      <c r="AF127" s="14" t="str">
        <f t="shared" si="81"/>
        <v/>
      </c>
      <c r="AG127" s="14" t="str">
        <f t="shared" si="82"/>
        <v/>
      </c>
      <c r="AH127" s="14" t="str">
        <f t="shared" si="83"/>
        <v/>
      </c>
      <c r="AI127" s="14" t="str">
        <f t="shared" si="84"/>
        <v/>
      </c>
      <c r="AJ127" s="14" t="str">
        <f t="shared" si="85"/>
        <v/>
      </c>
      <c r="AK127" s="14" t="str">
        <f t="shared" si="86"/>
        <v/>
      </c>
      <c r="AL127" s="14" t="str">
        <f t="shared" si="87"/>
        <v/>
      </c>
      <c r="AM127" s="14" t="str">
        <f t="shared" si="88"/>
        <v/>
      </c>
      <c r="AN127" s="14" t="str">
        <f t="shared" si="89"/>
        <v/>
      </c>
      <c r="AO127" s="14" t="str">
        <f t="shared" si="90"/>
        <v/>
      </c>
      <c r="AP127" s="186">
        <v>9.79</v>
      </c>
      <c r="AQ127" s="72">
        <f t="shared" si="91"/>
        <v>30192.36</v>
      </c>
      <c r="AR127" s="72">
        <f t="shared" si="92"/>
        <v>233990.79</v>
      </c>
    </row>
    <row r="128" s="320" customFormat="1" customHeight="1" spans="1:44">
      <c r="A128" s="119">
        <v>46105</v>
      </c>
      <c r="B128" s="112">
        <v>46213</v>
      </c>
      <c r="C128" s="114" t="s">
        <v>246</v>
      </c>
      <c r="D128" s="330"/>
      <c r="E128" s="114" t="s">
        <v>339</v>
      </c>
      <c r="F128" s="114" t="s">
        <v>155</v>
      </c>
      <c r="G128" s="118">
        <v>280</v>
      </c>
      <c r="H128" s="114" t="s">
        <v>258</v>
      </c>
      <c r="I128" s="125" t="str">
        <f>IFERROR(VLOOKUP(F128,名称!A:C,3,0),"")</f>
        <v>FNT</v>
      </c>
      <c r="J128" s="125" t="str">
        <f t="shared" ref="J128:AC128" si="153">IF(AND($F128=J$2,$G128&gt;0),$G128,"")</f>
        <v/>
      </c>
      <c r="K128" s="125" t="str">
        <f t="shared" si="153"/>
        <v/>
      </c>
      <c r="L128" s="125" t="str">
        <f t="shared" si="153"/>
        <v/>
      </c>
      <c r="M128" s="125" t="str">
        <f t="shared" si="153"/>
        <v/>
      </c>
      <c r="N128" s="125" t="str">
        <f t="shared" si="153"/>
        <v/>
      </c>
      <c r="O128" s="125" t="str">
        <f t="shared" si="153"/>
        <v/>
      </c>
      <c r="P128" s="125" t="str">
        <f t="shared" si="153"/>
        <v/>
      </c>
      <c r="Q128" s="125" t="str">
        <f t="shared" si="153"/>
        <v/>
      </c>
      <c r="R128" s="125" t="str">
        <f t="shared" si="153"/>
        <v/>
      </c>
      <c r="S128" s="125" t="str">
        <f t="shared" si="153"/>
        <v/>
      </c>
      <c r="T128" s="125" t="str">
        <f t="shared" si="153"/>
        <v/>
      </c>
      <c r="U128" s="125" t="str">
        <f t="shared" si="153"/>
        <v/>
      </c>
      <c r="V128" s="125" t="str">
        <f t="shared" si="153"/>
        <v/>
      </c>
      <c r="W128" s="125">
        <f t="shared" si="153"/>
        <v>280</v>
      </c>
      <c r="X128" s="125" t="str">
        <f t="shared" si="153"/>
        <v/>
      </c>
      <c r="Y128" s="125" t="str">
        <f t="shared" si="153"/>
        <v/>
      </c>
      <c r="Z128" s="125" t="str">
        <f t="shared" si="153"/>
        <v/>
      </c>
      <c r="AA128" s="125" t="str">
        <f t="shared" si="153"/>
        <v/>
      </c>
      <c r="AB128" s="125" t="str">
        <f t="shared" si="153"/>
        <v/>
      </c>
      <c r="AC128" s="125" t="str">
        <f t="shared" si="153"/>
        <v/>
      </c>
      <c r="AD128" s="125" t="str">
        <f t="shared" si="79"/>
        <v/>
      </c>
      <c r="AE128" s="125" t="str">
        <f t="shared" si="80"/>
        <v/>
      </c>
      <c r="AF128" s="125" t="str">
        <f t="shared" si="81"/>
        <v/>
      </c>
      <c r="AG128" s="125" t="str">
        <f t="shared" si="82"/>
        <v/>
      </c>
      <c r="AH128" s="125" t="str">
        <f t="shared" si="83"/>
        <v/>
      </c>
      <c r="AI128" s="125" t="str">
        <f t="shared" si="84"/>
        <v/>
      </c>
      <c r="AJ128" s="125" t="str">
        <f t="shared" si="85"/>
        <v/>
      </c>
      <c r="AK128" s="125" t="str">
        <f t="shared" si="86"/>
        <v/>
      </c>
      <c r="AL128" s="125" t="str">
        <f t="shared" si="87"/>
        <v/>
      </c>
      <c r="AM128" s="125" t="str">
        <f t="shared" si="88"/>
        <v/>
      </c>
      <c r="AN128" s="125" t="str">
        <f t="shared" si="89"/>
        <v/>
      </c>
      <c r="AO128" s="125" t="str">
        <f t="shared" si="90"/>
        <v/>
      </c>
      <c r="AP128" s="122">
        <v>13.8</v>
      </c>
      <c r="AQ128" s="130">
        <f t="shared" si="91"/>
        <v>3864</v>
      </c>
      <c r="AR128" s="130">
        <f t="shared" si="92"/>
        <v>29946</v>
      </c>
    </row>
    <row r="129" s="320" customFormat="1" customHeight="1" spans="1:44">
      <c r="A129" s="119">
        <v>46105</v>
      </c>
      <c r="B129" s="112">
        <v>46213</v>
      </c>
      <c r="C129" s="114" t="s">
        <v>246</v>
      </c>
      <c r="D129" s="330"/>
      <c r="E129" s="114" t="s">
        <v>339</v>
      </c>
      <c r="F129" s="114" t="s">
        <v>155</v>
      </c>
      <c r="G129" s="118">
        <v>2344</v>
      </c>
      <c r="H129" s="114" t="s">
        <v>258</v>
      </c>
      <c r="I129" s="125" t="str">
        <f>IFERROR(VLOOKUP(F129,名称!A:C,3,0),"")</f>
        <v>FNT</v>
      </c>
      <c r="J129" s="125" t="str">
        <f t="shared" ref="J129:AC129" si="154">IF(AND($F129=J$2,$G129&gt;0),$G129,"")</f>
        <v/>
      </c>
      <c r="K129" s="125" t="str">
        <f t="shared" si="154"/>
        <v/>
      </c>
      <c r="L129" s="125" t="str">
        <f t="shared" si="154"/>
        <v/>
      </c>
      <c r="M129" s="125" t="str">
        <f t="shared" si="154"/>
        <v/>
      </c>
      <c r="N129" s="125" t="str">
        <f t="shared" si="154"/>
        <v/>
      </c>
      <c r="O129" s="125" t="str">
        <f t="shared" si="154"/>
        <v/>
      </c>
      <c r="P129" s="125" t="str">
        <f t="shared" si="154"/>
        <v/>
      </c>
      <c r="Q129" s="125" t="str">
        <f t="shared" si="154"/>
        <v/>
      </c>
      <c r="R129" s="125" t="str">
        <f t="shared" si="154"/>
        <v/>
      </c>
      <c r="S129" s="125" t="str">
        <f t="shared" si="154"/>
        <v/>
      </c>
      <c r="T129" s="125" t="str">
        <f t="shared" si="154"/>
        <v/>
      </c>
      <c r="U129" s="125" t="str">
        <f t="shared" si="154"/>
        <v/>
      </c>
      <c r="V129" s="125" t="str">
        <f t="shared" si="154"/>
        <v/>
      </c>
      <c r="W129" s="125">
        <f t="shared" si="154"/>
        <v>2344</v>
      </c>
      <c r="X129" s="125" t="str">
        <f t="shared" si="154"/>
        <v/>
      </c>
      <c r="Y129" s="125" t="str">
        <f t="shared" si="154"/>
        <v/>
      </c>
      <c r="Z129" s="125" t="str">
        <f t="shared" si="154"/>
        <v/>
      </c>
      <c r="AA129" s="125" t="str">
        <f t="shared" si="154"/>
        <v/>
      </c>
      <c r="AB129" s="125" t="str">
        <f t="shared" si="154"/>
        <v/>
      </c>
      <c r="AC129" s="125" t="str">
        <f t="shared" si="154"/>
        <v/>
      </c>
      <c r="AD129" s="125" t="str">
        <f t="shared" si="79"/>
        <v/>
      </c>
      <c r="AE129" s="125" t="str">
        <f t="shared" si="80"/>
        <v/>
      </c>
      <c r="AF129" s="125" t="str">
        <f t="shared" si="81"/>
        <v/>
      </c>
      <c r="AG129" s="125" t="str">
        <f t="shared" si="82"/>
        <v/>
      </c>
      <c r="AH129" s="125" t="str">
        <f t="shared" si="83"/>
        <v/>
      </c>
      <c r="AI129" s="125" t="str">
        <f t="shared" si="84"/>
        <v/>
      </c>
      <c r="AJ129" s="125" t="str">
        <f t="shared" si="85"/>
        <v/>
      </c>
      <c r="AK129" s="125" t="str">
        <f t="shared" si="86"/>
        <v/>
      </c>
      <c r="AL129" s="125" t="str">
        <f t="shared" si="87"/>
        <v/>
      </c>
      <c r="AM129" s="125" t="str">
        <f t="shared" si="88"/>
        <v/>
      </c>
      <c r="AN129" s="125" t="str">
        <f t="shared" si="89"/>
        <v/>
      </c>
      <c r="AO129" s="125" t="str">
        <f t="shared" si="90"/>
        <v/>
      </c>
      <c r="AP129" s="122">
        <v>13.8</v>
      </c>
      <c r="AQ129" s="130">
        <f t="shared" si="91"/>
        <v>32347.2</v>
      </c>
      <c r="AR129" s="130">
        <f t="shared" si="92"/>
        <v>250690.8</v>
      </c>
    </row>
    <row r="130" s="320" customFormat="1" customHeight="1" spans="1:44">
      <c r="A130" s="119">
        <v>46105</v>
      </c>
      <c r="B130" s="112">
        <v>46213</v>
      </c>
      <c r="C130" s="114" t="s">
        <v>246</v>
      </c>
      <c r="D130" s="330"/>
      <c r="E130" s="114" t="s">
        <v>339</v>
      </c>
      <c r="F130" s="114" t="s">
        <v>155</v>
      </c>
      <c r="G130" s="118">
        <f>5624-280-2344</f>
        <v>3000</v>
      </c>
      <c r="H130" s="114" t="s">
        <v>258</v>
      </c>
      <c r="I130" s="125" t="str">
        <f>IFERROR(VLOOKUP(F130,名称!A:C,3,0),"")</f>
        <v>FNT</v>
      </c>
      <c r="J130" s="125" t="str">
        <f t="shared" ref="J130:AC130" si="155">IF(AND($F130=J$2,$G130&gt;0),$G130,"")</f>
        <v/>
      </c>
      <c r="K130" s="125" t="str">
        <f t="shared" si="155"/>
        <v/>
      </c>
      <c r="L130" s="125" t="str">
        <f t="shared" si="155"/>
        <v/>
      </c>
      <c r="M130" s="125" t="str">
        <f t="shared" si="155"/>
        <v/>
      </c>
      <c r="N130" s="125" t="str">
        <f t="shared" si="155"/>
        <v/>
      </c>
      <c r="O130" s="125" t="str">
        <f t="shared" si="155"/>
        <v/>
      </c>
      <c r="P130" s="125" t="str">
        <f t="shared" si="155"/>
        <v/>
      </c>
      <c r="Q130" s="125" t="str">
        <f t="shared" si="155"/>
        <v/>
      </c>
      <c r="R130" s="125" t="str">
        <f t="shared" si="155"/>
        <v/>
      </c>
      <c r="S130" s="125" t="str">
        <f t="shared" si="155"/>
        <v/>
      </c>
      <c r="T130" s="125" t="str">
        <f t="shared" si="155"/>
        <v/>
      </c>
      <c r="U130" s="125" t="str">
        <f t="shared" si="155"/>
        <v/>
      </c>
      <c r="V130" s="125" t="str">
        <f t="shared" si="155"/>
        <v/>
      </c>
      <c r="W130" s="125">
        <f t="shared" si="155"/>
        <v>3000</v>
      </c>
      <c r="X130" s="125" t="str">
        <f t="shared" si="155"/>
        <v/>
      </c>
      <c r="Y130" s="125" t="str">
        <f t="shared" si="155"/>
        <v/>
      </c>
      <c r="Z130" s="125" t="str">
        <f t="shared" si="155"/>
        <v/>
      </c>
      <c r="AA130" s="125" t="str">
        <f t="shared" si="155"/>
        <v/>
      </c>
      <c r="AB130" s="125" t="str">
        <f t="shared" si="155"/>
        <v/>
      </c>
      <c r="AC130" s="125" t="str">
        <f t="shared" si="155"/>
        <v/>
      </c>
      <c r="AD130" s="125" t="str">
        <f t="shared" si="79"/>
        <v/>
      </c>
      <c r="AE130" s="125" t="str">
        <f t="shared" si="80"/>
        <v/>
      </c>
      <c r="AF130" s="125" t="str">
        <f t="shared" si="81"/>
        <v/>
      </c>
      <c r="AG130" s="125" t="str">
        <f t="shared" si="82"/>
        <v/>
      </c>
      <c r="AH130" s="125" t="str">
        <f t="shared" si="83"/>
        <v/>
      </c>
      <c r="AI130" s="125" t="str">
        <f t="shared" si="84"/>
        <v/>
      </c>
      <c r="AJ130" s="125" t="str">
        <f t="shared" si="85"/>
        <v/>
      </c>
      <c r="AK130" s="125" t="str">
        <f t="shared" si="86"/>
        <v/>
      </c>
      <c r="AL130" s="125" t="str">
        <f t="shared" si="87"/>
        <v/>
      </c>
      <c r="AM130" s="125" t="str">
        <f t="shared" si="88"/>
        <v/>
      </c>
      <c r="AN130" s="125" t="str">
        <f t="shared" si="89"/>
        <v/>
      </c>
      <c r="AO130" s="125" t="str">
        <f t="shared" si="90"/>
        <v/>
      </c>
      <c r="AP130" s="122">
        <v>13.8</v>
      </c>
      <c r="AQ130" s="130">
        <f t="shared" si="91"/>
        <v>41400</v>
      </c>
      <c r="AR130" s="130">
        <f t="shared" si="92"/>
        <v>320850</v>
      </c>
    </row>
    <row r="131" s="45" customFormat="1" customHeight="1" spans="1:44">
      <c r="A131" s="74">
        <v>46105</v>
      </c>
      <c r="B131" s="183">
        <v>46213</v>
      </c>
      <c r="C131" s="172" t="s">
        <v>246</v>
      </c>
      <c r="D131" s="57"/>
      <c r="E131" s="172" t="s">
        <v>340</v>
      </c>
      <c r="F131" s="172" t="s">
        <v>155</v>
      </c>
      <c r="G131" s="175">
        <v>1000</v>
      </c>
      <c r="H131" s="172" t="s">
        <v>258</v>
      </c>
      <c r="I131" s="14" t="str">
        <f>IFERROR(VLOOKUP(F131,名称!A:C,3,0),"")</f>
        <v>FNT</v>
      </c>
      <c r="J131" s="14" t="str">
        <f t="shared" ref="J131:AC131" si="156">IF(AND($F131=J$2,$G131&gt;0),$G131,"")</f>
        <v/>
      </c>
      <c r="K131" s="14" t="str">
        <f t="shared" si="156"/>
        <v/>
      </c>
      <c r="L131" s="14" t="str">
        <f t="shared" si="156"/>
        <v/>
      </c>
      <c r="M131" s="14" t="str">
        <f t="shared" si="156"/>
        <v/>
      </c>
      <c r="N131" s="14" t="str">
        <f t="shared" si="156"/>
        <v/>
      </c>
      <c r="O131" s="14" t="str">
        <f t="shared" si="156"/>
        <v/>
      </c>
      <c r="P131" s="14" t="str">
        <f t="shared" si="156"/>
        <v/>
      </c>
      <c r="Q131" s="14" t="str">
        <f t="shared" si="156"/>
        <v/>
      </c>
      <c r="R131" s="14" t="str">
        <f t="shared" si="156"/>
        <v/>
      </c>
      <c r="S131" s="14" t="str">
        <f t="shared" si="156"/>
        <v/>
      </c>
      <c r="T131" s="14" t="str">
        <f t="shared" si="156"/>
        <v/>
      </c>
      <c r="U131" s="14" t="str">
        <f t="shared" si="156"/>
        <v/>
      </c>
      <c r="V131" s="14" t="str">
        <f t="shared" si="156"/>
        <v/>
      </c>
      <c r="W131" s="14">
        <f t="shared" si="156"/>
        <v>1000</v>
      </c>
      <c r="X131" s="14" t="str">
        <f t="shared" si="156"/>
        <v/>
      </c>
      <c r="Y131" s="14" t="str">
        <f t="shared" si="156"/>
        <v/>
      </c>
      <c r="Z131" s="14" t="str">
        <f t="shared" si="156"/>
        <v/>
      </c>
      <c r="AA131" s="14" t="str">
        <f t="shared" si="156"/>
        <v/>
      </c>
      <c r="AB131" s="14" t="str">
        <f t="shared" si="156"/>
        <v/>
      </c>
      <c r="AC131" s="14" t="str">
        <f t="shared" si="156"/>
        <v/>
      </c>
      <c r="AD131" s="14" t="str">
        <f>IF(AND($G131&gt;0,$F131&lt;&gt;""),IF(OR($F131="FNT1608-G",$F131="FNT1675-G"),IF(OR(AD$2="FNT1611",AD$2="FNT1610",AD$2="FNT1609"),$G131/3,""),IF($F131=AD$2,$G131,"")),"")</f>
        <v/>
      </c>
      <c r="AE131" s="14" t="str">
        <f>IF(AND($G131&gt;0,$F131&lt;&gt;""),IF(OR($F131="FNT1608-G",$F131="FNT1675-G"),IF(OR(AE$2="FNT1611",AE$2="FNT1610",AE$2="FNT1609"),$G131/3,""),IF($F131=AE$2,$G131,"")),"")</f>
        <v/>
      </c>
      <c r="AF131" s="14" t="str">
        <f>IF(AND($G131&gt;0,$F131&lt;&gt;""),IF(OR($F131="FNT1608-G",$F131="FNT1675-G"),IF(OR(AF$2="FNT1611",AF$2="FNT1610",AF$2="FNT1609"),$G131/3,""),IF($F131=AF$2,$G131,"")),"")</f>
        <v/>
      </c>
      <c r="AG131" s="14" t="str">
        <f>IF(AND($G131&gt;0,$F131&lt;&gt;""),IF($F131="FNT1608-H",IF(OR(AG$2="FNT1618",AG$2="FNT1619",AG$2="FNT1620"),$G131/3,""),IF($F131=AG$2,$G131,"")),"")</f>
        <v/>
      </c>
      <c r="AH131" s="14" t="str">
        <f>IF(AND($G131&gt;0,$F131&lt;&gt;""),IF($F131="FNT1608-H",IF(OR(AH$2="FNT1618",AH$2="FNT1619",AH$2="FNT1620"),$G131/3,""),IF($F131=AH$2,$G131,"")),"")</f>
        <v/>
      </c>
      <c r="AI131" s="14" t="str">
        <f>IF(AND($G131&gt;0,$F131&lt;&gt;""),IF($F131="FNT1608-H",IF(OR(AI$2="FNT1618",AI$2="FNT1619",AI$2="FNT1620"),$G131/3,""),IF($F131=AI$2,$G131,"")),"")</f>
        <v/>
      </c>
      <c r="AJ131" s="14" t="str">
        <f>IF(AND($G131&gt;0,$F131&lt;&gt;""),IF($F131="FNT1608-I",IF(AJ$2="FNT1653",$G131*2/6,IF(AJ$2="FNT1654",$G131*1/6,IF(AJ$2="FNT1655",$G131*1/6,IF(AJ$2="FNT1657",$G131*2/6,"")))),IF($F131="FNT1608-K",IF(AJ$2="FNT1653",$G131*1/6,IF(AJ$2="FNT1654",$G131*2/6,IF(AJ$2="FNT1655",$G131*1/6,IF(AJ$2="FNT1657",$G131*2/6,"")))),IF($F131=AJ$2,$G131,""))),"")</f>
        <v/>
      </c>
      <c r="AK131" s="14" t="str">
        <f>IF(AND($G131&gt;0,$F131&lt;&gt;""),IF($F131="FNT1608-I",IF(AK$2="FNT1653",$G131*2/6,IF(AK$2="FNT1654",$G131*1/6,IF(AK$2="FNT1655",$G131*1/6,IF(AK$2="FNT1657",$G131*2/6,"")))),IF($F131="FNT1608-K",IF(AK$2="FNT1653",$G131*1/6,IF(AK$2="FNT1654",$G131*2/6,IF(AK$2="FNT1655",$G131*1/6,IF(AK$2="FNT1657",$G131*2/6,"")))),IF($F131=AK$2,$G131,""))),"")</f>
        <v/>
      </c>
      <c r="AL131" s="14" t="str">
        <f>IF(AND($G131&gt;0,$F131&lt;&gt;""),IF($F131="FNT1608-I",IF(AL$2="FNT1653",$G131*2/6,IF(AL$2="FNT1654",$G131*1/6,IF(AL$2="FNT1655",$G131*1/6,IF(AL$2="FNT1657",$G131*2/6,"")))),IF($F131="FNT1608-K",IF(AL$2="FNT1653",$G131*1/6,IF(AL$2="FNT1654",$G131*2/6,IF(AL$2="FNT1655",$G131*1/6,IF(AL$2="FNT1657",$G131*2/6,"")))),IF($F131=AL$2,$G131,""))),"")</f>
        <v/>
      </c>
      <c r="AM131" s="14" t="str">
        <f>IF(AND($G131&gt;0,$F131&lt;&gt;""),IF($F131="FNT1608-I",IF(AM$2="FNT1653",$G131*2/6,IF(AM$2="FNT1654",$G131*1/6,IF(AM$2="FNT1655",$G131*1/6,IF(AM$2="FNT1657",$G131*2/6,"")))),IF($F131="FNT1608-K",IF(AM$2="FNT1653",$G131*1/6,IF(AM$2="FNT1654",$G131*2/6,IF(AM$2="FNT1655",$G131*1/6,IF(AM$2="FNT1657",$G131*2/6,"")))),IF($F131=AM$2,$G131,""))),"")</f>
        <v/>
      </c>
      <c r="AN131" s="14" t="str">
        <f>IF(AND($G131&gt;0,$F131&lt;&gt;""),IF(OR($F131="FNT1608-G",$F131="FNT1675-G"),IF(OR(AN$2="FNT1611",AN$2="FNT1610",AN$2="FNT1609"),$G131/3,""),IF($F131="FNT1608-H",IF(OR(AN$2="FNT1618",AN$2="FNT1619",AN$2="FNT1620"),$G131/3,""),IF($F131="FNT1608-I",IF(AN$2="FNT1653",$G131*2/6,IF(AN$2="FNT1654",$G131*1/6,IF(AN$2="FNT1655",$G131*1/6,IF(AN$2="FNT1657",$G131*2/6,"")))),IF($F131="FNT1608-K",IF(AN$2="FNT1653",$G131*1/6,IF(AN$2="FNT1654",$G131*2/6,IF(AN$2="FNT1655",$G131*1/6,IF(AN$2="FNT1657",$G131*2/6,"")))),IF($F131=AN$2,$G131,""))))),"")</f>
        <v/>
      </c>
      <c r="AO131" s="14" t="str">
        <f>IF(AND($G131&gt;0,$F131&lt;&gt;""),IF(OR($F131="FNT1608-G",$F131="FNT1675-G"),IF(OR(AO$2="FNT1611",AO$2="FNT1610",AO$2="FNT1609"),$G131/3,""),IF($F131="FNT1608-H",IF(OR(AO$2="FNT1618",AO$2="FNT1619",AO$2="FNT1620"),$G131/3,""),IF($F131="FNT1608-I",IF(AO$2="FNT1653",$G131*2/6,IF(AO$2="FNT1654",$G131*1/6,IF(AO$2="FNT1655",$G131*1/6,IF(AO$2="FNT1657",$G131*2/6,"")))),IF($F131="FNT1608-K",IF(AO$2="FNT1653",$G131*1/6,IF(AO$2="FNT1654",$G131*2/6,IF(AO$2="FNT1655",$G131*1/6,IF(AO$2="FNT1657",$G131*2/6,"")))),IF($F131=AO$2,$G131,""))))),"")</f>
        <v/>
      </c>
      <c r="AP131" s="186">
        <v>13.8</v>
      </c>
      <c r="AQ131" s="72">
        <f>SUM(J131:AO131)*AP131</f>
        <v>13800</v>
      </c>
      <c r="AR131" s="72">
        <f>AQ131*7.75</f>
        <v>106950</v>
      </c>
    </row>
    <row r="132" s="45" customFormat="1" customHeight="1" spans="1:44">
      <c r="A132" s="74">
        <v>46105</v>
      </c>
      <c r="B132" s="183">
        <v>46213</v>
      </c>
      <c r="C132" s="172" t="s">
        <v>246</v>
      </c>
      <c r="D132" s="57"/>
      <c r="E132" s="172" t="s">
        <v>341</v>
      </c>
      <c r="F132" s="172" t="s">
        <v>155</v>
      </c>
      <c r="G132" s="175">
        <v>2004</v>
      </c>
      <c r="H132" s="172" t="s">
        <v>258</v>
      </c>
      <c r="I132" s="14" t="str">
        <f>IFERROR(VLOOKUP(F132,名称!A:C,3,0),"")</f>
        <v>FNT</v>
      </c>
      <c r="J132" s="14" t="str">
        <f t="shared" ref="J132:AC132" si="157">IF(AND($F132=J$2,$G132&gt;0),$G132,"")</f>
        <v/>
      </c>
      <c r="K132" s="14" t="str">
        <f t="shared" si="157"/>
        <v/>
      </c>
      <c r="L132" s="14" t="str">
        <f t="shared" si="157"/>
        <v/>
      </c>
      <c r="M132" s="14" t="str">
        <f t="shared" si="157"/>
        <v/>
      </c>
      <c r="N132" s="14" t="str">
        <f t="shared" si="157"/>
        <v/>
      </c>
      <c r="O132" s="14" t="str">
        <f t="shared" si="157"/>
        <v/>
      </c>
      <c r="P132" s="14" t="str">
        <f t="shared" si="157"/>
        <v/>
      </c>
      <c r="Q132" s="14" t="str">
        <f t="shared" si="157"/>
        <v/>
      </c>
      <c r="R132" s="14" t="str">
        <f t="shared" si="157"/>
        <v/>
      </c>
      <c r="S132" s="14" t="str">
        <f t="shared" si="157"/>
        <v/>
      </c>
      <c r="T132" s="14" t="str">
        <f t="shared" si="157"/>
        <v/>
      </c>
      <c r="U132" s="14" t="str">
        <f t="shared" si="157"/>
        <v/>
      </c>
      <c r="V132" s="14" t="str">
        <f t="shared" si="157"/>
        <v/>
      </c>
      <c r="W132" s="14">
        <f t="shared" si="157"/>
        <v>2004</v>
      </c>
      <c r="X132" s="14" t="str">
        <f t="shared" si="157"/>
        <v/>
      </c>
      <c r="Y132" s="14" t="str">
        <f t="shared" si="157"/>
        <v/>
      </c>
      <c r="Z132" s="14" t="str">
        <f t="shared" si="157"/>
        <v/>
      </c>
      <c r="AA132" s="14" t="str">
        <f t="shared" si="157"/>
        <v/>
      </c>
      <c r="AB132" s="14" t="str">
        <f t="shared" si="157"/>
        <v/>
      </c>
      <c r="AC132" s="14" t="str">
        <f t="shared" si="157"/>
        <v/>
      </c>
      <c r="AD132" s="14" t="str">
        <f>IF(AND($G132&gt;0,$F132&lt;&gt;""),IF(OR($F132="FNT1608-G",$F132="FNT1675-G"),IF(OR(AD$2="FNT1611",AD$2="FNT1610",AD$2="FNT1609"),$G132/3,""),IF($F132=AD$2,$G132,"")),"")</f>
        <v/>
      </c>
      <c r="AE132" s="14" t="str">
        <f>IF(AND($G132&gt;0,$F132&lt;&gt;""),IF(OR($F132="FNT1608-G",$F132="FNT1675-G"),IF(OR(AE$2="FNT1611",AE$2="FNT1610",AE$2="FNT1609"),$G132/3,""),IF($F132=AE$2,$G132,"")),"")</f>
        <v/>
      </c>
      <c r="AF132" s="14" t="str">
        <f>IF(AND($G132&gt;0,$F132&lt;&gt;""),IF(OR($F132="FNT1608-G",$F132="FNT1675-G"),IF(OR(AF$2="FNT1611",AF$2="FNT1610",AF$2="FNT1609"),$G132/3,""),IF($F132=AF$2,$G132,"")),"")</f>
        <v/>
      </c>
      <c r="AG132" s="14" t="str">
        <f>IF(AND($G132&gt;0,$F132&lt;&gt;""),IF($F132="FNT1608-H",IF(OR(AG$2="FNT1618",AG$2="FNT1619",AG$2="FNT1620"),$G132/3,""),IF($F132=AG$2,$G132,"")),"")</f>
        <v/>
      </c>
      <c r="AH132" s="14" t="str">
        <f>IF(AND($G132&gt;0,$F132&lt;&gt;""),IF($F132="FNT1608-H",IF(OR(AH$2="FNT1618",AH$2="FNT1619",AH$2="FNT1620"),$G132/3,""),IF($F132=AH$2,$G132,"")),"")</f>
        <v/>
      </c>
      <c r="AI132" s="14" t="str">
        <f>IF(AND($G132&gt;0,$F132&lt;&gt;""),IF($F132="FNT1608-H",IF(OR(AI$2="FNT1618",AI$2="FNT1619",AI$2="FNT1620"),$G132/3,""),IF($F132=AI$2,$G132,"")),"")</f>
        <v/>
      </c>
      <c r="AJ132" s="14" t="str">
        <f>IF(AND($G132&gt;0,$F132&lt;&gt;""),IF($F132="FNT1608-I",IF(AJ$2="FNT1653",$G132*2/6,IF(AJ$2="FNT1654",$G132*1/6,IF(AJ$2="FNT1655",$G132*1/6,IF(AJ$2="FNT1657",$G132*2/6,"")))),IF($F132="FNT1608-K",IF(AJ$2="FNT1653",$G132*1/6,IF(AJ$2="FNT1654",$G132*2/6,IF(AJ$2="FNT1655",$G132*1/6,IF(AJ$2="FNT1657",$G132*2/6,"")))),IF($F132=AJ$2,$G132,""))),"")</f>
        <v/>
      </c>
      <c r="AK132" s="14" t="str">
        <f>IF(AND($G132&gt;0,$F132&lt;&gt;""),IF($F132="FNT1608-I",IF(AK$2="FNT1653",$G132*2/6,IF(AK$2="FNT1654",$G132*1/6,IF(AK$2="FNT1655",$G132*1/6,IF(AK$2="FNT1657",$G132*2/6,"")))),IF($F132="FNT1608-K",IF(AK$2="FNT1653",$G132*1/6,IF(AK$2="FNT1654",$G132*2/6,IF(AK$2="FNT1655",$G132*1/6,IF(AK$2="FNT1657",$G132*2/6,"")))),IF($F132=AK$2,$G132,""))),"")</f>
        <v/>
      </c>
      <c r="AL132" s="14" t="str">
        <f>IF(AND($G132&gt;0,$F132&lt;&gt;""),IF($F132="FNT1608-I",IF(AL$2="FNT1653",$G132*2/6,IF(AL$2="FNT1654",$G132*1/6,IF(AL$2="FNT1655",$G132*1/6,IF(AL$2="FNT1657",$G132*2/6,"")))),IF($F132="FNT1608-K",IF(AL$2="FNT1653",$G132*1/6,IF(AL$2="FNT1654",$G132*2/6,IF(AL$2="FNT1655",$G132*1/6,IF(AL$2="FNT1657",$G132*2/6,"")))),IF($F132=AL$2,$G132,""))),"")</f>
        <v/>
      </c>
      <c r="AM132" s="14" t="str">
        <f>IF(AND($G132&gt;0,$F132&lt;&gt;""),IF($F132="FNT1608-I",IF(AM$2="FNT1653",$G132*2/6,IF(AM$2="FNT1654",$G132*1/6,IF(AM$2="FNT1655",$G132*1/6,IF(AM$2="FNT1657",$G132*2/6,"")))),IF($F132="FNT1608-K",IF(AM$2="FNT1653",$G132*1/6,IF(AM$2="FNT1654",$G132*2/6,IF(AM$2="FNT1655",$G132*1/6,IF(AM$2="FNT1657",$G132*2/6,"")))),IF($F132=AM$2,$G132,""))),"")</f>
        <v/>
      </c>
      <c r="AN132" s="14" t="str">
        <f>IF(AND($G132&gt;0,$F132&lt;&gt;""),IF(OR($F132="FNT1608-G",$F132="FNT1675-G"),IF(OR(AN$2="FNT1611",AN$2="FNT1610",AN$2="FNT1609"),$G132/3,""),IF($F132="FNT1608-H",IF(OR(AN$2="FNT1618",AN$2="FNT1619",AN$2="FNT1620"),$G132/3,""),IF($F132="FNT1608-I",IF(AN$2="FNT1653",$G132*2/6,IF(AN$2="FNT1654",$G132*1/6,IF(AN$2="FNT1655",$G132*1/6,IF(AN$2="FNT1657",$G132*2/6,"")))),IF($F132="FNT1608-K",IF(AN$2="FNT1653",$G132*1/6,IF(AN$2="FNT1654",$G132*2/6,IF(AN$2="FNT1655",$G132*1/6,IF(AN$2="FNT1657",$G132*2/6,"")))),IF($F132=AN$2,$G132,""))))),"")</f>
        <v/>
      </c>
      <c r="AO132" s="14" t="str">
        <f>IF(AND($G132&gt;0,$F132&lt;&gt;""),IF(OR($F132="FNT1608-G",$F132="FNT1675-G"),IF(OR(AO$2="FNT1611",AO$2="FNT1610",AO$2="FNT1609"),$G132/3,""),IF($F132="FNT1608-H",IF(OR(AO$2="FNT1618",AO$2="FNT1619",AO$2="FNT1620"),$G132/3,""),IF($F132="FNT1608-I",IF(AO$2="FNT1653",$G132*2/6,IF(AO$2="FNT1654",$G132*1/6,IF(AO$2="FNT1655",$G132*1/6,IF(AO$2="FNT1657",$G132*2/6,"")))),IF($F132="FNT1608-K",IF(AO$2="FNT1653",$G132*1/6,IF(AO$2="FNT1654",$G132*2/6,IF(AO$2="FNT1655",$G132*1/6,IF(AO$2="FNT1657",$G132*2/6,"")))),IF($F132=AO$2,$G132,""))))),"")</f>
        <v/>
      </c>
      <c r="AP132" s="186">
        <v>13.8</v>
      </c>
      <c r="AQ132" s="72">
        <f>SUM(J132:AO132)*AP132</f>
        <v>27655.2</v>
      </c>
      <c r="AR132" s="72">
        <f>AQ132*7.75</f>
        <v>214327.8</v>
      </c>
    </row>
    <row r="133" s="45" customFormat="1" customHeight="1" spans="1:44">
      <c r="A133" s="74">
        <v>46105</v>
      </c>
      <c r="B133" s="183">
        <v>46214</v>
      </c>
      <c r="C133" s="172" t="s">
        <v>246</v>
      </c>
      <c r="D133" s="57"/>
      <c r="E133" s="172" t="s">
        <v>342</v>
      </c>
      <c r="F133" s="172" t="s">
        <v>155</v>
      </c>
      <c r="G133" s="175">
        <v>2000</v>
      </c>
      <c r="H133" s="172" t="s">
        <v>258</v>
      </c>
      <c r="I133" s="14" t="str">
        <f>IFERROR(VLOOKUP(F133,名称!A:C,3,0),"")</f>
        <v>FNT</v>
      </c>
      <c r="J133" s="14" t="str">
        <f t="shared" ref="J133:AC133" si="158">IF(AND($F133=J$2,$G133&gt;0),$G133,"")</f>
        <v/>
      </c>
      <c r="K133" s="14" t="str">
        <f t="shared" si="158"/>
        <v/>
      </c>
      <c r="L133" s="14" t="str">
        <f t="shared" si="158"/>
        <v/>
      </c>
      <c r="M133" s="14" t="str">
        <f t="shared" si="158"/>
        <v/>
      </c>
      <c r="N133" s="14" t="str">
        <f t="shared" si="158"/>
        <v/>
      </c>
      <c r="O133" s="14" t="str">
        <f t="shared" si="158"/>
        <v/>
      </c>
      <c r="P133" s="14" t="str">
        <f t="shared" si="158"/>
        <v/>
      </c>
      <c r="Q133" s="14" t="str">
        <f t="shared" si="158"/>
        <v/>
      </c>
      <c r="R133" s="14" t="str">
        <f t="shared" si="158"/>
        <v/>
      </c>
      <c r="S133" s="14" t="str">
        <f t="shared" si="158"/>
        <v/>
      </c>
      <c r="T133" s="14" t="str">
        <f t="shared" si="158"/>
        <v/>
      </c>
      <c r="U133" s="14" t="str">
        <f t="shared" si="158"/>
        <v/>
      </c>
      <c r="V133" s="14" t="str">
        <f t="shared" si="158"/>
        <v/>
      </c>
      <c r="W133" s="14">
        <f t="shared" si="158"/>
        <v>2000</v>
      </c>
      <c r="X133" s="14" t="str">
        <f t="shared" si="158"/>
        <v/>
      </c>
      <c r="Y133" s="14" t="str">
        <f t="shared" si="158"/>
        <v/>
      </c>
      <c r="Z133" s="14" t="str">
        <f t="shared" si="158"/>
        <v/>
      </c>
      <c r="AA133" s="14" t="str">
        <f t="shared" si="158"/>
        <v/>
      </c>
      <c r="AB133" s="14" t="str">
        <f t="shared" si="158"/>
        <v/>
      </c>
      <c r="AC133" s="14" t="str">
        <f t="shared" si="158"/>
        <v/>
      </c>
      <c r="AD133" s="14" t="str">
        <f t="shared" ref="AD133:AD196" si="159">IF(AND($G133&gt;0,$F133&lt;&gt;""),IF(OR($F133="FNT1608-G",$F133="FNT1675-G"),IF(OR(AD$2="FNT1611",AD$2="FNT1610",AD$2="FNT1609"),$G133/3,""),IF($F133=AD$2,$G133,"")),"")</f>
        <v/>
      </c>
      <c r="AE133" s="14" t="str">
        <f t="shared" ref="AE133:AE196" si="160">IF(AND($G133&gt;0,$F133&lt;&gt;""),IF(OR($F133="FNT1608-G",$F133="FNT1675-G"),IF(OR(AE$2="FNT1611",AE$2="FNT1610",AE$2="FNT1609"),$G133/3,""),IF($F133=AE$2,$G133,"")),"")</f>
        <v/>
      </c>
      <c r="AF133" s="14" t="str">
        <f t="shared" ref="AF133:AF196" si="161">IF(AND($G133&gt;0,$F133&lt;&gt;""),IF(OR($F133="FNT1608-G",$F133="FNT1675-G"),IF(OR(AF$2="FNT1611",AF$2="FNT1610",AF$2="FNT1609"),$G133/3,""),IF($F133=AF$2,$G133,"")),"")</f>
        <v/>
      </c>
      <c r="AG133" s="14" t="str">
        <f t="shared" ref="AG133:AG196" si="162">IF(AND($G133&gt;0,$F133&lt;&gt;""),IF($F133="FNT1608-H",IF(OR(AG$2="FNT1618",AG$2="FNT1619",AG$2="FNT1620"),$G133/3,""),IF($F133=AG$2,$G133,"")),"")</f>
        <v/>
      </c>
      <c r="AH133" s="14" t="str">
        <f t="shared" ref="AH133:AH196" si="163">IF(AND($G133&gt;0,$F133&lt;&gt;""),IF($F133="FNT1608-H",IF(OR(AH$2="FNT1618",AH$2="FNT1619",AH$2="FNT1620"),$G133/3,""),IF($F133=AH$2,$G133,"")),"")</f>
        <v/>
      </c>
      <c r="AI133" s="14" t="str">
        <f t="shared" ref="AI133:AI196" si="164">IF(AND($G133&gt;0,$F133&lt;&gt;""),IF($F133="FNT1608-H",IF(OR(AI$2="FNT1618",AI$2="FNT1619",AI$2="FNT1620"),$G133/3,""),IF($F133=AI$2,$G133,"")),"")</f>
        <v/>
      </c>
      <c r="AJ133" s="14" t="str">
        <f t="shared" ref="AJ133:AJ171" si="165">IF(AND($G133&gt;0,$F133&lt;&gt;""),IF($F133="FNT1608-I",IF(AJ$2="FNT1653",$G133*2/6,IF(AJ$2="FNT1654",$G133*1/6,IF(AJ$2="FNT1655",$G133*1/6,IF(AJ$2="FNT1657",$G133*2/6,"")))),IF($F133="FNT1608-K",IF(AJ$2="FNT1653",$G133*1/6,IF(AJ$2="FNT1654",$G133*2/6,IF(AJ$2="FNT1655",$G133*1/6,IF(AJ$2="FNT1657",$G133*2/6,"")))),IF($F133=AJ$2,$G133,""))),"")</f>
        <v/>
      </c>
      <c r="AK133" s="14" t="str">
        <f t="shared" ref="AK133:AK196" si="166">IF(AND($G133&gt;0,$F133&lt;&gt;""),IF($F133="FNT1608-I",IF(AK$2="FNT1653",$G133*2/6,IF(AK$2="FNT1654",$G133*1/6,IF(AK$2="FNT1655",$G133*1/6,IF(AK$2="FNT1657",$G133*2/6,"")))),IF($F133="FNT1608-K",IF(AK$2="FNT1653",$G133*1/6,IF(AK$2="FNT1654",$G133*2/6,IF(AK$2="FNT1655",$G133*1/6,IF(AK$2="FNT1657",$G133*2/6,"")))),IF($F133=AK$2,$G133,""))),"")</f>
        <v/>
      </c>
      <c r="AL133" s="14" t="str">
        <f t="shared" ref="AL133:AL196" si="167">IF(AND($G133&gt;0,$F133&lt;&gt;""),IF($F133="FNT1608-I",IF(AL$2="FNT1653",$G133*2/6,IF(AL$2="FNT1654",$G133*1/6,IF(AL$2="FNT1655",$G133*1/6,IF(AL$2="FNT1657",$G133*2/6,"")))),IF($F133="FNT1608-K",IF(AL$2="FNT1653",$G133*1/6,IF(AL$2="FNT1654",$G133*2/6,IF(AL$2="FNT1655",$G133*1/6,IF(AL$2="FNT1657",$G133*2/6,"")))),IF($F133=AL$2,$G133,""))),"")</f>
        <v/>
      </c>
      <c r="AM133" s="14" t="str">
        <f t="shared" ref="AM133:AM196" si="168">IF(AND($G133&gt;0,$F133&lt;&gt;""),IF($F133="FNT1608-I",IF(AM$2="FNT1653",$G133*2/6,IF(AM$2="FNT1654",$G133*1/6,IF(AM$2="FNT1655",$G133*1/6,IF(AM$2="FNT1657",$G133*2/6,"")))),IF($F133="FNT1608-K",IF(AM$2="FNT1653",$G133*1/6,IF(AM$2="FNT1654",$G133*2/6,IF(AM$2="FNT1655",$G133*1/6,IF(AM$2="FNT1657",$G133*2/6,"")))),IF($F133=AM$2,$G133,""))),"")</f>
        <v/>
      </c>
      <c r="AN133" s="14" t="str">
        <f t="shared" ref="AN133:AN196" si="169">IF(AND($G133&gt;0,$F133&lt;&gt;""),IF(OR($F133="FNT1608-G",$F133="FNT1675-G"),IF(OR(AN$2="FNT1611",AN$2="FNT1610",AN$2="FNT1609"),$G133/3,""),IF($F133="FNT1608-H",IF(OR(AN$2="FNT1618",AN$2="FNT1619",AN$2="FNT1620"),$G133/3,""),IF($F133="FNT1608-I",IF(AN$2="FNT1653",$G133*2/6,IF(AN$2="FNT1654",$G133*1/6,IF(AN$2="FNT1655",$G133*1/6,IF(AN$2="FNT1657",$G133*2/6,"")))),IF($F133="FNT1608-K",IF(AN$2="FNT1653",$G133*1/6,IF(AN$2="FNT1654",$G133*2/6,IF(AN$2="FNT1655",$G133*1/6,IF(AN$2="FNT1657",$G133*2/6,"")))),IF($F133=AN$2,$G133,""))))),"")</f>
        <v/>
      </c>
      <c r="AO133" s="14" t="str">
        <f t="shared" ref="AO133:AO196" si="170">IF(AND($G133&gt;0,$F133&lt;&gt;""),IF(OR($F133="FNT1608-G",$F133="FNT1675-G"),IF(OR(AO$2="FNT1611",AO$2="FNT1610",AO$2="FNT1609"),$G133/3,""),IF($F133="FNT1608-H",IF(OR(AO$2="FNT1618",AO$2="FNT1619",AO$2="FNT1620"),$G133/3,""),IF($F133="FNT1608-I",IF(AO$2="FNT1653",$G133*2/6,IF(AO$2="FNT1654",$G133*1/6,IF(AO$2="FNT1655",$G133*1/6,IF(AO$2="FNT1657",$G133*2/6,"")))),IF($F133="FNT1608-K",IF(AO$2="FNT1653",$G133*1/6,IF(AO$2="FNT1654",$G133*2/6,IF(AO$2="FNT1655",$G133*1/6,IF(AO$2="FNT1657",$G133*2/6,"")))),IF($F133=AO$2,$G133,""))))),"")</f>
        <v/>
      </c>
      <c r="AP133" s="186">
        <v>13.8</v>
      </c>
      <c r="AQ133" s="72">
        <f t="shared" ref="AQ133:AQ196" si="171">SUM(J133:AO133)*AP133</f>
        <v>27600</v>
      </c>
      <c r="AR133" s="72">
        <f t="shared" ref="AR133:AR196" si="172">AQ133*7.75</f>
        <v>213900</v>
      </c>
    </row>
    <row r="134" s="45" customFormat="1" customHeight="1" spans="1:44">
      <c r="A134" s="74">
        <v>46107</v>
      </c>
      <c r="B134" s="183">
        <v>46190</v>
      </c>
      <c r="C134" s="172" t="s">
        <v>246</v>
      </c>
      <c r="D134" s="57"/>
      <c r="E134" s="172" t="s">
        <v>343</v>
      </c>
      <c r="F134" s="172" t="s">
        <v>153</v>
      </c>
      <c r="G134" s="175">
        <v>14</v>
      </c>
      <c r="H134" s="172" t="s">
        <v>255</v>
      </c>
      <c r="I134" s="14" t="str">
        <f>IFERROR(VLOOKUP(F134,名称!A:C,3,0),"")</f>
        <v>FNT</v>
      </c>
      <c r="J134" s="14" t="str">
        <f t="shared" ref="J134:AC134" si="173">IF(AND($F134=J$2,$G134&gt;0),$G134,"")</f>
        <v/>
      </c>
      <c r="K134" s="14" t="str">
        <f t="shared" si="173"/>
        <v/>
      </c>
      <c r="L134" s="14" t="str">
        <f t="shared" si="173"/>
        <v/>
      </c>
      <c r="M134" s="14" t="str">
        <f t="shared" si="173"/>
        <v/>
      </c>
      <c r="N134" s="14" t="str">
        <f t="shared" si="173"/>
        <v/>
      </c>
      <c r="O134" s="14" t="str">
        <f t="shared" si="173"/>
        <v/>
      </c>
      <c r="P134" s="14" t="str">
        <f t="shared" si="173"/>
        <v/>
      </c>
      <c r="Q134" s="14" t="str">
        <f t="shared" si="173"/>
        <v/>
      </c>
      <c r="R134" s="14" t="str">
        <f t="shared" si="173"/>
        <v/>
      </c>
      <c r="S134" s="14" t="str">
        <f t="shared" si="173"/>
        <v/>
      </c>
      <c r="T134" s="14" t="str">
        <f t="shared" si="173"/>
        <v/>
      </c>
      <c r="U134" s="14" t="str">
        <f t="shared" si="173"/>
        <v/>
      </c>
      <c r="V134" s="14">
        <f t="shared" si="173"/>
        <v>14</v>
      </c>
      <c r="W134" s="14" t="str">
        <f t="shared" si="173"/>
        <v/>
      </c>
      <c r="X134" s="14" t="str">
        <f t="shared" si="173"/>
        <v/>
      </c>
      <c r="Y134" s="14" t="str">
        <f t="shared" si="173"/>
        <v/>
      </c>
      <c r="Z134" s="14" t="str">
        <f t="shared" si="173"/>
        <v/>
      </c>
      <c r="AA134" s="14" t="str">
        <f t="shared" si="173"/>
        <v/>
      </c>
      <c r="AB134" s="14" t="str">
        <f t="shared" si="173"/>
        <v/>
      </c>
      <c r="AC134" s="14" t="str">
        <f t="shared" si="173"/>
        <v/>
      </c>
      <c r="AD134" s="14" t="str">
        <f t="shared" si="159"/>
        <v/>
      </c>
      <c r="AE134" s="14" t="str">
        <f t="shared" si="160"/>
        <v/>
      </c>
      <c r="AF134" s="14" t="str">
        <f t="shared" si="161"/>
        <v/>
      </c>
      <c r="AG134" s="14" t="str">
        <f t="shared" si="162"/>
        <v/>
      </c>
      <c r="AH134" s="14" t="str">
        <f t="shared" si="163"/>
        <v/>
      </c>
      <c r="AI134" s="14" t="str">
        <f t="shared" si="164"/>
        <v/>
      </c>
      <c r="AJ134" s="14" t="str">
        <f t="shared" si="165"/>
        <v/>
      </c>
      <c r="AK134" s="14" t="str">
        <f t="shared" si="166"/>
        <v/>
      </c>
      <c r="AL134" s="14" t="str">
        <f t="shared" si="167"/>
        <v/>
      </c>
      <c r="AM134" s="14" t="str">
        <f t="shared" si="168"/>
        <v/>
      </c>
      <c r="AN134" s="14" t="str">
        <f t="shared" si="169"/>
        <v/>
      </c>
      <c r="AO134" s="14" t="str">
        <f t="shared" si="170"/>
        <v/>
      </c>
      <c r="AP134" s="186">
        <v>9.79</v>
      </c>
      <c r="AQ134" s="72">
        <f t="shared" si="171"/>
        <v>137.06</v>
      </c>
      <c r="AR134" s="72">
        <f t="shared" si="172"/>
        <v>1062.22</v>
      </c>
    </row>
    <row r="135" s="45" customFormat="1" customHeight="1" spans="1:44">
      <c r="A135" s="74">
        <v>46107</v>
      </c>
      <c r="B135" s="183">
        <v>46188</v>
      </c>
      <c r="C135" s="172" t="s">
        <v>246</v>
      </c>
      <c r="D135" s="57"/>
      <c r="E135" s="172" t="s">
        <v>344</v>
      </c>
      <c r="F135" s="172" t="s">
        <v>129</v>
      </c>
      <c r="G135" s="175">
        <f>18000-3000-900-4854-912-1200+1200-3600-864</f>
        <v>3870</v>
      </c>
      <c r="H135" s="172" t="s">
        <v>258</v>
      </c>
      <c r="I135" s="14" t="str">
        <f>IFERROR(VLOOKUP(F135,名称!A:C,3,0),"")</f>
        <v>FNT</v>
      </c>
      <c r="J135" s="14" t="str">
        <f t="shared" ref="J135:AC135" si="174">IF(AND($F135=J$2,$G135&gt;0),$G135,"")</f>
        <v/>
      </c>
      <c r="K135" s="14" t="str">
        <f t="shared" si="174"/>
        <v/>
      </c>
      <c r="L135" s="14" t="str">
        <f t="shared" si="174"/>
        <v/>
      </c>
      <c r="M135" s="14" t="str">
        <f t="shared" si="174"/>
        <v/>
      </c>
      <c r="N135" s="14" t="str">
        <f t="shared" si="174"/>
        <v/>
      </c>
      <c r="O135" s="14" t="str">
        <f t="shared" si="174"/>
        <v/>
      </c>
      <c r="P135" s="14" t="str">
        <f t="shared" si="174"/>
        <v/>
      </c>
      <c r="Q135" s="14" t="str">
        <f t="shared" si="174"/>
        <v/>
      </c>
      <c r="R135" s="14" t="str">
        <f t="shared" si="174"/>
        <v/>
      </c>
      <c r="S135" s="14" t="str">
        <f t="shared" si="174"/>
        <v/>
      </c>
      <c r="T135" s="14" t="str">
        <f t="shared" si="174"/>
        <v/>
      </c>
      <c r="U135" s="14" t="str">
        <f t="shared" si="174"/>
        <v/>
      </c>
      <c r="V135" s="14" t="str">
        <f t="shared" si="174"/>
        <v/>
      </c>
      <c r="W135" s="14" t="str">
        <f t="shared" si="174"/>
        <v/>
      </c>
      <c r="X135" s="14" t="str">
        <f t="shared" si="174"/>
        <v/>
      </c>
      <c r="Y135" s="14" t="str">
        <f t="shared" si="174"/>
        <v/>
      </c>
      <c r="Z135" s="14" t="str">
        <f t="shared" si="174"/>
        <v/>
      </c>
      <c r="AA135" s="14" t="str">
        <f t="shared" si="174"/>
        <v/>
      </c>
      <c r="AB135" s="14" t="str">
        <f t="shared" si="174"/>
        <v/>
      </c>
      <c r="AC135" s="14" t="str">
        <f t="shared" si="174"/>
        <v/>
      </c>
      <c r="AD135" s="14" t="str">
        <f t="shared" si="159"/>
        <v/>
      </c>
      <c r="AE135" s="14" t="str">
        <f t="shared" si="160"/>
        <v/>
      </c>
      <c r="AF135" s="14" t="str">
        <f t="shared" si="161"/>
        <v/>
      </c>
      <c r="AG135" s="14" t="str">
        <f t="shared" si="162"/>
        <v/>
      </c>
      <c r="AH135" s="14" t="str">
        <f t="shared" si="163"/>
        <v/>
      </c>
      <c r="AI135" s="14" t="str">
        <f t="shared" si="164"/>
        <v/>
      </c>
      <c r="AJ135" s="14">
        <f t="shared" si="165"/>
        <v>645</v>
      </c>
      <c r="AK135" s="14">
        <f t="shared" si="166"/>
        <v>1290</v>
      </c>
      <c r="AL135" s="14">
        <f t="shared" si="167"/>
        <v>645</v>
      </c>
      <c r="AM135" s="14">
        <f t="shared" si="168"/>
        <v>1290</v>
      </c>
      <c r="AN135" s="14" t="str">
        <f t="shared" si="169"/>
        <v/>
      </c>
      <c r="AO135" s="14" t="str">
        <f t="shared" si="170"/>
        <v/>
      </c>
      <c r="AP135" s="186">
        <v>2.283</v>
      </c>
      <c r="AQ135" s="72">
        <f t="shared" si="171"/>
        <v>8835.21</v>
      </c>
      <c r="AR135" s="72">
        <f t="shared" si="172"/>
        <v>68472.88</v>
      </c>
    </row>
    <row r="136" s="320" customFormat="1" customHeight="1" spans="1:44">
      <c r="A136" s="119">
        <v>46107</v>
      </c>
      <c r="B136" s="112">
        <v>46113</v>
      </c>
      <c r="C136" s="114" t="s">
        <v>246</v>
      </c>
      <c r="D136" s="330"/>
      <c r="E136" s="114" t="s">
        <v>345</v>
      </c>
      <c r="F136" s="114" t="s">
        <v>144</v>
      </c>
      <c r="G136" s="118">
        <v>240</v>
      </c>
      <c r="H136" s="114" t="s">
        <v>258</v>
      </c>
      <c r="I136" s="125" t="str">
        <f>IFERROR(VLOOKUP(F136,名称!A:C,3,0),"")</f>
        <v>FNT</v>
      </c>
      <c r="J136" s="125" t="str">
        <f t="shared" ref="J136:AC136" si="175">IF(AND($F136=J$2,$G136&gt;0),$G136,"")</f>
        <v/>
      </c>
      <c r="K136" s="125" t="str">
        <f t="shared" si="175"/>
        <v/>
      </c>
      <c r="L136" s="125" t="str">
        <f t="shared" si="175"/>
        <v/>
      </c>
      <c r="M136" s="125" t="str">
        <f t="shared" si="175"/>
        <v/>
      </c>
      <c r="N136" s="125" t="str">
        <f t="shared" si="175"/>
        <v/>
      </c>
      <c r="O136" s="125" t="str">
        <f t="shared" si="175"/>
        <v/>
      </c>
      <c r="P136" s="125" t="str">
        <f t="shared" si="175"/>
        <v/>
      </c>
      <c r="Q136" s="125" t="str">
        <f t="shared" si="175"/>
        <v/>
      </c>
      <c r="R136" s="125" t="str">
        <f t="shared" si="175"/>
        <v/>
      </c>
      <c r="S136" s="125" t="str">
        <f t="shared" si="175"/>
        <v/>
      </c>
      <c r="T136" s="125" t="str">
        <f t="shared" si="175"/>
        <v/>
      </c>
      <c r="U136" s="125" t="str">
        <f t="shared" si="175"/>
        <v/>
      </c>
      <c r="V136" s="125" t="str">
        <f t="shared" si="175"/>
        <v/>
      </c>
      <c r="W136" s="125" t="str">
        <f t="shared" si="175"/>
        <v/>
      </c>
      <c r="X136" s="125" t="str">
        <f t="shared" si="175"/>
        <v/>
      </c>
      <c r="Y136" s="125" t="str">
        <f t="shared" si="175"/>
        <v/>
      </c>
      <c r="Z136" s="125" t="str">
        <f t="shared" si="175"/>
        <v/>
      </c>
      <c r="AA136" s="125" t="str">
        <f t="shared" si="175"/>
        <v/>
      </c>
      <c r="AB136" s="125" t="str">
        <f t="shared" si="175"/>
        <v/>
      </c>
      <c r="AC136" s="125" t="str">
        <f t="shared" si="175"/>
        <v/>
      </c>
      <c r="AD136" s="125" t="str">
        <f t="shared" si="159"/>
        <v/>
      </c>
      <c r="AE136" s="125" t="str">
        <f t="shared" si="160"/>
        <v/>
      </c>
      <c r="AF136" s="125" t="str">
        <f t="shared" si="161"/>
        <v/>
      </c>
      <c r="AG136" s="125" t="str">
        <f t="shared" si="162"/>
        <v/>
      </c>
      <c r="AH136" s="125" t="str">
        <f t="shared" si="163"/>
        <v/>
      </c>
      <c r="AI136" s="125" t="str">
        <f t="shared" si="164"/>
        <v/>
      </c>
      <c r="AJ136" s="125">
        <f t="shared" si="165"/>
        <v>240</v>
      </c>
      <c r="AK136" s="125" t="str">
        <f t="shared" si="166"/>
        <v/>
      </c>
      <c r="AL136" s="125" t="str">
        <f t="shared" si="167"/>
        <v/>
      </c>
      <c r="AM136" s="125" t="str">
        <f t="shared" si="168"/>
        <v/>
      </c>
      <c r="AN136" s="125" t="str">
        <f t="shared" si="169"/>
        <v/>
      </c>
      <c r="AO136" s="125" t="str">
        <f t="shared" si="170"/>
        <v/>
      </c>
      <c r="AP136" s="122">
        <v>2.17</v>
      </c>
      <c r="AQ136" s="130">
        <f t="shared" si="171"/>
        <v>520.8</v>
      </c>
      <c r="AR136" s="130">
        <f t="shared" si="172"/>
        <v>4036.2</v>
      </c>
    </row>
    <row r="137" s="320" customFormat="1" customHeight="1" spans="1:44">
      <c r="A137" s="119">
        <v>46107</v>
      </c>
      <c r="B137" s="112">
        <v>46143</v>
      </c>
      <c r="C137" s="114" t="s">
        <v>246</v>
      </c>
      <c r="D137" s="330"/>
      <c r="E137" s="114" t="s">
        <v>346</v>
      </c>
      <c r="F137" s="114" t="s">
        <v>144</v>
      </c>
      <c r="G137" s="118">
        <v>264</v>
      </c>
      <c r="H137" s="114" t="s">
        <v>258</v>
      </c>
      <c r="I137" s="125" t="str">
        <f>IFERROR(VLOOKUP(F137,名称!A:C,3,0),"")</f>
        <v>FNT</v>
      </c>
      <c r="J137" s="125" t="str">
        <f t="shared" ref="J137:AC137" si="176">IF(AND($F137=J$2,$G137&gt;0),$G137,"")</f>
        <v/>
      </c>
      <c r="K137" s="125" t="str">
        <f t="shared" si="176"/>
        <v/>
      </c>
      <c r="L137" s="125" t="str">
        <f t="shared" si="176"/>
        <v/>
      </c>
      <c r="M137" s="125" t="str">
        <f t="shared" si="176"/>
        <v/>
      </c>
      <c r="N137" s="125" t="str">
        <f t="shared" si="176"/>
        <v/>
      </c>
      <c r="O137" s="125" t="str">
        <f t="shared" si="176"/>
        <v/>
      </c>
      <c r="P137" s="125" t="str">
        <f t="shared" si="176"/>
        <v/>
      </c>
      <c r="Q137" s="125" t="str">
        <f t="shared" si="176"/>
        <v/>
      </c>
      <c r="R137" s="125" t="str">
        <f t="shared" si="176"/>
        <v/>
      </c>
      <c r="S137" s="125" t="str">
        <f t="shared" si="176"/>
        <v/>
      </c>
      <c r="T137" s="125" t="str">
        <f t="shared" si="176"/>
        <v/>
      </c>
      <c r="U137" s="125" t="str">
        <f t="shared" si="176"/>
        <v/>
      </c>
      <c r="V137" s="125" t="str">
        <f t="shared" si="176"/>
        <v/>
      </c>
      <c r="W137" s="125" t="str">
        <f t="shared" si="176"/>
        <v/>
      </c>
      <c r="X137" s="125" t="str">
        <f t="shared" si="176"/>
        <v/>
      </c>
      <c r="Y137" s="125" t="str">
        <f t="shared" si="176"/>
        <v/>
      </c>
      <c r="Z137" s="125" t="str">
        <f t="shared" si="176"/>
        <v/>
      </c>
      <c r="AA137" s="125" t="str">
        <f t="shared" si="176"/>
        <v/>
      </c>
      <c r="AB137" s="125" t="str">
        <f t="shared" si="176"/>
        <v/>
      </c>
      <c r="AC137" s="125" t="str">
        <f t="shared" si="176"/>
        <v/>
      </c>
      <c r="AD137" s="125" t="str">
        <f t="shared" si="159"/>
        <v/>
      </c>
      <c r="AE137" s="125" t="str">
        <f t="shared" si="160"/>
        <v/>
      </c>
      <c r="AF137" s="125" t="str">
        <f t="shared" si="161"/>
        <v/>
      </c>
      <c r="AG137" s="125" t="str">
        <f t="shared" si="162"/>
        <v/>
      </c>
      <c r="AH137" s="125" t="str">
        <f t="shared" si="163"/>
        <v/>
      </c>
      <c r="AI137" s="125" t="str">
        <f t="shared" si="164"/>
        <v/>
      </c>
      <c r="AJ137" s="125">
        <f t="shared" si="165"/>
        <v>264</v>
      </c>
      <c r="AK137" s="125" t="str">
        <f t="shared" si="166"/>
        <v/>
      </c>
      <c r="AL137" s="125" t="str">
        <f t="shared" si="167"/>
        <v/>
      </c>
      <c r="AM137" s="125" t="str">
        <f t="shared" si="168"/>
        <v/>
      </c>
      <c r="AN137" s="125" t="str">
        <f t="shared" si="169"/>
        <v/>
      </c>
      <c r="AO137" s="125" t="str">
        <f t="shared" si="170"/>
        <v/>
      </c>
      <c r="AP137" s="122">
        <v>2.17</v>
      </c>
      <c r="AQ137" s="130">
        <f t="shared" si="171"/>
        <v>572.88</v>
      </c>
      <c r="AR137" s="130">
        <f t="shared" si="172"/>
        <v>4439.82</v>
      </c>
    </row>
    <row r="138" s="320" customFormat="1" customHeight="1" spans="1:44">
      <c r="A138" s="119">
        <v>46107</v>
      </c>
      <c r="B138" s="112">
        <v>46174</v>
      </c>
      <c r="C138" s="114" t="s">
        <v>246</v>
      </c>
      <c r="D138" s="330"/>
      <c r="E138" s="114" t="s">
        <v>347</v>
      </c>
      <c r="F138" s="114" t="s">
        <v>144</v>
      </c>
      <c r="G138" s="118">
        <v>300</v>
      </c>
      <c r="H138" s="114" t="s">
        <v>258</v>
      </c>
      <c r="I138" s="125" t="str">
        <f>IFERROR(VLOOKUP(F138,名称!A:C,3,0),"")</f>
        <v>FNT</v>
      </c>
      <c r="J138" s="125" t="str">
        <f t="shared" ref="J138:AC138" si="177">IF(AND($F138=J$2,$G138&gt;0),$G138,"")</f>
        <v/>
      </c>
      <c r="K138" s="125" t="str">
        <f t="shared" si="177"/>
        <v/>
      </c>
      <c r="L138" s="125" t="str">
        <f t="shared" si="177"/>
        <v/>
      </c>
      <c r="M138" s="125" t="str">
        <f t="shared" si="177"/>
        <v/>
      </c>
      <c r="N138" s="125" t="str">
        <f t="shared" si="177"/>
        <v/>
      </c>
      <c r="O138" s="125" t="str">
        <f t="shared" si="177"/>
        <v/>
      </c>
      <c r="P138" s="125" t="str">
        <f t="shared" si="177"/>
        <v/>
      </c>
      <c r="Q138" s="125" t="str">
        <f t="shared" si="177"/>
        <v/>
      </c>
      <c r="R138" s="125" t="str">
        <f t="shared" si="177"/>
        <v/>
      </c>
      <c r="S138" s="125" t="str">
        <f t="shared" si="177"/>
        <v/>
      </c>
      <c r="T138" s="125" t="str">
        <f t="shared" si="177"/>
        <v/>
      </c>
      <c r="U138" s="125" t="str">
        <f t="shared" si="177"/>
        <v/>
      </c>
      <c r="V138" s="125" t="str">
        <f t="shared" si="177"/>
        <v/>
      </c>
      <c r="W138" s="125" t="str">
        <f t="shared" si="177"/>
        <v/>
      </c>
      <c r="X138" s="125" t="str">
        <f t="shared" si="177"/>
        <v/>
      </c>
      <c r="Y138" s="125" t="str">
        <f t="shared" si="177"/>
        <v/>
      </c>
      <c r="Z138" s="125" t="str">
        <f t="shared" si="177"/>
        <v/>
      </c>
      <c r="AA138" s="125" t="str">
        <f t="shared" si="177"/>
        <v/>
      </c>
      <c r="AB138" s="125" t="str">
        <f t="shared" si="177"/>
        <v/>
      </c>
      <c r="AC138" s="125" t="str">
        <f t="shared" si="177"/>
        <v/>
      </c>
      <c r="AD138" s="125" t="str">
        <f t="shared" si="159"/>
        <v/>
      </c>
      <c r="AE138" s="125" t="str">
        <f t="shared" si="160"/>
        <v/>
      </c>
      <c r="AF138" s="125" t="str">
        <f t="shared" si="161"/>
        <v/>
      </c>
      <c r="AG138" s="125" t="str">
        <f t="shared" si="162"/>
        <v/>
      </c>
      <c r="AH138" s="125" t="str">
        <f t="shared" si="163"/>
        <v/>
      </c>
      <c r="AI138" s="125" t="str">
        <f t="shared" si="164"/>
        <v/>
      </c>
      <c r="AJ138" s="125">
        <f t="shared" si="165"/>
        <v>300</v>
      </c>
      <c r="AK138" s="125" t="str">
        <f t="shared" si="166"/>
        <v/>
      </c>
      <c r="AL138" s="125" t="str">
        <f t="shared" si="167"/>
        <v/>
      </c>
      <c r="AM138" s="125" t="str">
        <f t="shared" si="168"/>
        <v/>
      </c>
      <c r="AN138" s="125" t="str">
        <f t="shared" si="169"/>
        <v/>
      </c>
      <c r="AO138" s="125" t="str">
        <f t="shared" si="170"/>
        <v/>
      </c>
      <c r="AP138" s="122">
        <v>2.17</v>
      </c>
      <c r="AQ138" s="130">
        <f t="shared" si="171"/>
        <v>651</v>
      </c>
      <c r="AR138" s="130">
        <f t="shared" si="172"/>
        <v>5045.25</v>
      </c>
    </row>
    <row r="139" s="320" customFormat="1" customHeight="1" spans="1:44">
      <c r="A139" s="119">
        <v>46107</v>
      </c>
      <c r="B139" s="112">
        <v>46174</v>
      </c>
      <c r="C139" s="114" t="s">
        <v>246</v>
      </c>
      <c r="D139" s="114"/>
      <c r="E139" s="114" t="s">
        <v>348</v>
      </c>
      <c r="F139" s="114" t="s">
        <v>147</v>
      </c>
      <c r="G139" s="118">
        <v>1002</v>
      </c>
      <c r="H139" s="114" t="s">
        <v>258</v>
      </c>
      <c r="I139" s="125" t="str">
        <f>IFERROR(VLOOKUP(F139,名称!A:C,3,0),"")</f>
        <v>FNT</v>
      </c>
      <c r="J139" s="125" t="str">
        <f t="shared" ref="J139:AC139" si="178">IF(AND($F139=J$2,$G139&gt;0),$G139,"")</f>
        <v/>
      </c>
      <c r="K139" s="125" t="str">
        <f t="shared" si="178"/>
        <v/>
      </c>
      <c r="L139" s="125" t="str">
        <f t="shared" si="178"/>
        <v/>
      </c>
      <c r="M139" s="125" t="str">
        <f t="shared" si="178"/>
        <v/>
      </c>
      <c r="N139" s="125" t="str">
        <f t="shared" si="178"/>
        <v/>
      </c>
      <c r="O139" s="125" t="str">
        <f t="shared" si="178"/>
        <v/>
      </c>
      <c r="P139" s="125" t="str">
        <f t="shared" si="178"/>
        <v/>
      </c>
      <c r="Q139" s="125" t="str">
        <f t="shared" si="178"/>
        <v/>
      </c>
      <c r="R139" s="125" t="str">
        <f t="shared" si="178"/>
        <v/>
      </c>
      <c r="S139" s="125" t="str">
        <f t="shared" si="178"/>
        <v/>
      </c>
      <c r="T139" s="125" t="str">
        <f t="shared" si="178"/>
        <v/>
      </c>
      <c r="U139" s="125" t="str">
        <f t="shared" si="178"/>
        <v/>
      </c>
      <c r="V139" s="125" t="str">
        <f t="shared" si="178"/>
        <v/>
      </c>
      <c r="W139" s="125" t="str">
        <f t="shared" si="178"/>
        <v/>
      </c>
      <c r="X139" s="125" t="str">
        <f t="shared" si="178"/>
        <v/>
      </c>
      <c r="Y139" s="125" t="str">
        <f t="shared" si="178"/>
        <v/>
      </c>
      <c r="Z139" s="125" t="str">
        <f t="shared" si="178"/>
        <v/>
      </c>
      <c r="AA139" s="125" t="str">
        <f t="shared" si="178"/>
        <v/>
      </c>
      <c r="AB139" s="125" t="str">
        <f t="shared" si="178"/>
        <v/>
      </c>
      <c r="AC139" s="125" t="str">
        <f t="shared" si="178"/>
        <v/>
      </c>
      <c r="AD139" s="125" t="str">
        <f t="shared" si="159"/>
        <v/>
      </c>
      <c r="AE139" s="125" t="str">
        <f t="shared" si="160"/>
        <v/>
      </c>
      <c r="AF139" s="125" t="str">
        <f t="shared" si="161"/>
        <v/>
      </c>
      <c r="AG139" s="125" t="str">
        <f t="shared" si="162"/>
        <v/>
      </c>
      <c r="AH139" s="125" t="str">
        <f t="shared" si="163"/>
        <v/>
      </c>
      <c r="AI139" s="125" t="str">
        <f t="shared" si="164"/>
        <v/>
      </c>
      <c r="AJ139" s="125" t="str">
        <f t="shared" si="165"/>
        <v/>
      </c>
      <c r="AK139" s="125" t="str">
        <f t="shared" si="166"/>
        <v/>
      </c>
      <c r="AL139" s="125" t="str">
        <f t="shared" si="167"/>
        <v/>
      </c>
      <c r="AM139" s="125">
        <f t="shared" si="168"/>
        <v>1002</v>
      </c>
      <c r="AN139" s="125" t="str">
        <f t="shared" si="169"/>
        <v/>
      </c>
      <c r="AO139" s="125" t="str">
        <f t="shared" si="170"/>
        <v/>
      </c>
      <c r="AP139" s="122">
        <v>2.7</v>
      </c>
      <c r="AQ139" s="130">
        <f t="shared" si="171"/>
        <v>2705.4</v>
      </c>
      <c r="AR139" s="130">
        <f t="shared" si="172"/>
        <v>20966.85</v>
      </c>
    </row>
    <row r="140" s="320" customFormat="1" customHeight="1" spans="1:44">
      <c r="A140" s="119">
        <v>46107</v>
      </c>
      <c r="B140" s="112">
        <v>46157</v>
      </c>
      <c r="C140" s="114" t="s">
        <v>246</v>
      </c>
      <c r="D140" s="114"/>
      <c r="E140" s="114" t="s">
        <v>349</v>
      </c>
      <c r="F140" s="114" t="s">
        <v>147</v>
      </c>
      <c r="G140" s="118">
        <v>2004</v>
      </c>
      <c r="H140" s="114" t="s">
        <v>258</v>
      </c>
      <c r="I140" s="125" t="str">
        <f>IFERROR(VLOOKUP(F140,名称!A:C,3,0),"")</f>
        <v>FNT</v>
      </c>
      <c r="J140" s="125" t="str">
        <f t="shared" ref="J140:AC140" si="179">IF(AND($F140=J$2,$G140&gt;0),$G140,"")</f>
        <v/>
      </c>
      <c r="K140" s="125" t="str">
        <f t="shared" si="179"/>
        <v/>
      </c>
      <c r="L140" s="125" t="str">
        <f t="shared" si="179"/>
        <v/>
      </c>
      <c r="M140" s="125" t="str">
        <f t="shared" si="179"/>
        <v/>
      </c>
      <c r="N140" s="125" t="str">
        <f t="shared" si="179"/>
        <v/>
      </c>
      <c r="O140" s="125" t="str">
        <f t="shared" si="179"/>
        <v/>
      </c>
      <c r="P140" s="125" t="str">
        <f t="shared" si="179"/>
        <v/>
      </c>
      <c r="Q140" s="125" t="str">
        <f t="shared" si="179"/>
        <v/>
      </c>
      <c r="R140" s="125" t="str">
        <f t="shared" si="179"/>
        <v/>
      </c>
      <c r="S140" s="125" t="str">
        <f t="shared" si="179"/>
        <v/>
      </c>
      <c r="T140" s="125" t="str">
        <f t="shared" si="179"/>
        <v/>
      </c>
      <c r="U140" s="125" t="str">
        <f t="shared" si="179"/>
        <v/>
      </c>
      <c r="V140" s="125" t="str">
        <f t="shared" si="179"/>
        <v/>
      </c>
      <c r="W140" s="125" t="str">
        <f t="shared" si="179"/>
        <v/>
      </c>
      <c r="X140" s="125" t="str">
        <f t="shared" si="179"/>
        <v/>
      </c>
      <c r="Y140" s="125" t="str">
        <f t="shared" si="179"/>
        <v/>
      </c>
      <c r="Z140" s="125" t="str">
        <f t="shared" si="179"/>
        <v/>
      </c>
      <c r="AA140" s="125" t="str">
        <f t="shared" si="179"/>
        <v/>
      </c>
      <c r="AB140" s="125" t="str">
        <f t="shared" si="179"/>
        <v/>
      </c>
      <c r="AC140" s="125" t="str">
        <f t="shared" si="179"/>
        <v/>
      </c>
      <c r="AD140" s="125" t="str">
        <f t="shared" si="159"/>
        <v/>
      </c>
      <c r="AE140" s="125" t="str">
        <f t="shared" si="160"/>
        <v/>
      </c>
      <c r="AF140" s="125" t="str">
        <f t="shared" si="161"/>
        <v/>
      </c>
      <c r="AG140" s="125" t="str">
        <f t="shared" si="162"/>
        <v/>
      </c>
      <c r="AH140" s="125" t="str">
        <f t="shared" si="163"/>
        <v/>
      </c>
      <c r="AI140" s="125" t="str">
        <f t="shared" si="164"/>
        <v/>
      </c>
      <c r="AJ140" s="125" t="str">
        <f t="shared" si="165"/>
        <v/>
      </c>
      <c r="AK140" s="125" t="str">
        <f t="shared" si="166"/>
        <v/>
      </c>
      <c r="AL140" s="125" t="str">
        <f t="shared" si="167"/>
        <v/>
      </c>
      <c r="AM140" s="125">
        <f t="shared" si="168"/>
        <v>2004</v>
      </c>
      <c r="AN140" s="125" t="str">
        <f t="shared" si="169"/>
        <v/>
      </c>
      <c r="AO140" s="125" t="str">
        <f t="shared" si="170"/>
        <v/>
      </c>
      <c r="AP140" s="122">
        <v>2.7</v>
      </c>
      <c r="AQ140" s="130">
        <f t="shared" si="171"/>
        <v>5410.8</v>
      </c>
      <c r="AR140" s="130">
        <f t="shared" si="172"/>
        <v>41933.7</v>
      </c>
    </row>
    <row r="141" s="45" customFormat="1" customHeight="1" spans="1:44">
      <c r="A141" s="74">
        <v>46108</v>
      </c>
      <c r="B141" s="183">
        <v>46190</v>
      </c>
      <c r="C141" s="172" t="s">
        <v>246</v>
      </c>
      <c r="D141" s="172" t="s">
        <v>350</v>
      </c>
      <c r="E141" s="14" t="s">
        <v>351</v>
      </c>
      <c r="F141" s="172" t="s">
        <v>153</v>
      </c>
      <c r="G141" s="175">
        <v>24</v>
      </c>
      <c r="H141" s="172" t="s">
        <v>255</v>
      </c>
      <c r="I141" s="14" t="str">
        <f>IFERROR(VLOOKUP(F141,名称!A:C,3,0),"")</f>
        <v>FNT</v>
      </c>
      <c r="J141" s="14" t="str">
        <f t="shared" ref="J141:AC141" si="180">IF(AND($F141=J$2,$G141&gt;0),$G141,"")</f>
        <v/>
      </c>
      <c r="K141" s="14" t="str">
        <f t="shared" si="180"/>
        <v/>
      </c>
      <c r="L141" s="14" t="str">
        <f t="shared" si="180"/>
        <v/>
      </c>
      <c r="M141" s="14" t="str">
        <f t="shared" si="180"/>
        <v/>
      </c>
      <c r="N141" s="14" t="str">
        <f t="shared" si="180"/>
        <v/>
      </c>
      <c r="O141" s="14" t="str">
        <f t="shared" si="180"/>
        <v/>
      </c>
      <c r="P141" s="14" t="str">
        <f t="shared" si="180"/>
        <v/>
      </c>
      <c r="Q141" s="14" t="str">
        <f t="shared" si="180"/>
        <v/>
      </c>
      <c r="R141" s="14" t="str">
        <f t="shared" si="180"/>
        <v/>
      </c>
      <c r="S141" s="14" t="str">
        <f t="shared" si="180"/>
        <v/>
      </c>
      <c r="T141" s="14" t="str">
        <f t="shared" si="180"/>
        <v/>
      </c>
      <c r="U141" s="14" t="str">
        <f t="shared" si="180"/>
        <v/>
      </c>
      <c r="V141" s="14">
        <f t="shared" si="180"/>
        <v>24</v>
      </c>
      <c r="W141" s="14" t="str">
        <f t="shared" si="180"/>
        <v/>
      </c>
      <c r="X141" s="14" t="str">
        <f t="shared" si="180"/>
        <v/>
      </c>
      <c r="Y141" s="14" t="str">
        <f t="shared" si="180"/>
        <v/>
      </c>
      <c r="Z141" s="14" t="str">
        <f t="shared" si="180"/>
        <v/>
      </c>
      <c r="AA141" s="14" t="str">
        <f t="shared" si="180"/>
        <v/>
      </c>
      <c r="AB141" s="14" t="str">
        <f t="shared" si="180"/>
        <v/>
      </c>
      <c r="AC141" s="14" t="str">
        <f t="shared" si="180"/>
        <v/>
      </c>
      <c r="AD141" s="14" t="str">
        <f t="shared" si="159"/>
        <v/>
      </c>
      <c r="AE141" s="14" t="str">
        <f t="shared" si="160"/>
        <v/>
      </c>
      <c r="AF141" s="14" t="str">
        <f t="shared" si="161"/>
        <v/>
      </c>
      <c r="AG141" s="14" t="str">
        <f t="shared" si="162"/>
        <v/>
      </c>
      <c r="AH141" s="14" t="str">
        <f t="shared" si="163"/>
        <v/>
      </c>
      <c r="AI141" s="14" t="str">
        <f t="shared" si="164"/>
        <v/>
      </c>
      <c r="AJ141" s="14" t="str">
        <f t="shared" si="165"/>
        <v/>
      </c>
      <c r="AK141" s="14" t="str">
        <f t="shared" si="166"/>
        <v/>
      </c>
      <c r="AL141" s="14" t="str">
        <f t="shared" si="167"/>
        <v/>
      </c>
      <c r="AM141" s="14" t="str">
        <f t="shared" si="168"/>
        <v/>
      </c>
      <c r="AN141" s="14" t="str">
        <f t="shared" si="169"/>
        <v/>
      </c>
      <c r="AO141" s="14" t="str">
        <f t="shared" si="170"/>
        <v/>
      </c>
      <c r="AP141" s="186">
        <v>9.79</v>
      </c>
      <c r="AQ141" s="72">
        <f t="shared" si="171"/>
        <v>234.96</v>
      </c>
      <c r="AR141" s="72">
        <f t="shared" si="172"/>
        <v>1820.94</v>
      </c>
    </row>
    <row r="142" s="45" customFormat="1" customHeight="1" spans="1:44">
      <c r="A142" s="74">
        <v>46111</v>
      </c>
      <c r="B142" s="56">
        <v>46213</v>
      </c>
      <c r="C142" s="172" t="s">
        <v>246</v>
      </c>
      <c r="D142" s="14" t="s">
        <v>352</v>
      </c>
      <c r="E142" s="14" t="s">
        <v>353</v>
      </c>
      <c r="F142" s="14" t="s">
        <v>222</v>
      </c>
      <c r="G142" s="175">
        <f>582+588-450-450+582-606</f>
        <v>246</v>
      </c>
      <c r="H142" s="172" t="s">
        <v>276</v>
      </c>
      <c r="I142" s="14" t="str">
        <f>IFERROR(VLOOKUP(F142,名称!A:C,3,0),"")</f>
        <v>SNF</v>
      </c>
      <c r="J142" s="14" t="str">
        <f t="shared" ref="J142:AC142" si="181">IF(AND($F142=J$2,$G142&gt;0),$G142,"")</f>
        <v/>
      </c>
      <c r="K142" s="14" t="str">
        <f t="shared" si="181"/>
        <v/>
      </c>
      <c r="L142" s="14" t="str">
        <f t="shared" si="181"/>
        <v/>
      </c>
      <c r="M142" s="14" t="str">
        <f t="shared" si="181"/>
        <v/>
      </c>
      <c r="N142" s="14" t="str">
        <f t="shared" si="181"/>
        <v/>
      </c>
      <c r="O142" s="14" t="str">
        <f t="shared" si="181"/>
        <v/>
      </c>
      <c r="P142" s="14" t="str">
        <f t="shared" si="181"/>
        <v/>
      </c>
      <c r="Q142" s="14" t="str">
        <f t="shared" si="181"/>
        <v/>
      </c>
      <c r="R142" s="14" t="str">
        <f t="shared" si="181"/>
        <v/>
      </c>
      <c r="S142" s="14" t="str">
        <f t="shared" si="181"/>
        <v/>
      </c>
      <c r="T142" s="14" t="str">
        <f t="shared" si="181"/>
        <v/>
      </c>
      <c r="U142" s="14" t="str">
        <f t="shared" si="181"/>
        <v/>
      </c>
      <c r="V142" s="14" t="str">
        <f t="shared" si="181"/>
        <v/>
      </c>
      <c r="W142" s="14" t="str">
        <f t="shared" si="181"/>
        <v/>
      </c>
      <c r="X142" s="14" t="str">
        <f t="shared" si="181"/>
        <v/>
      </c>
      <c r="Y142" s="14" t="str">
        <f t="shared" si="181"/>
        <v/>
      </c>
      <c r="Z142" s="14" t="str">
        <f t="shared" si="181"/>
        <v/>
      </c>
      <c r="AA142" s="14" t="str">
        <f t="shared" si="181"/>
        <v/>
      </c>
      <c r="AB142" s="14" t="str">
        <f t="shared" si="181"/>
        <v/>
      </c>
      <c r="AC142" s="14">
        <f t="shared" si="181"/>
        <v>246</v>
      </c>
      <c r="AD142" s="14" t="str">
        <f t="shared" si="159"/>
        <v/>
      </c>
      <c r="AE142" s="14" t="str">
        <f t="shared" si="160"/>
        <v/>
      </c>
      <c r="AF142" s="14" t="str">
        <f t="shared" si="161"/>
        <v/>
      </c>
      <c r="AG142" s="14" t="str">
        <f t="shared" si="162"/>
        <v/>
      </c>
      <c r="AH142" s="14" t="str">
        <f t="shared" si="163"/>
        <v/>
      </c>
      <c r="AI142" s="14" t="str">
        <f t="shared" si="164"/>
        <v/>
      </c>
      <c r="AJ142" s="14" t="str">
        <f t="shared" si="165"/>
        <v/>
      </c>
      <c r="AK142" s="14" t="str">
        <f t="shared" si="166"/>
        <v/>
      </c>
      <c r="AL142" s="14" t="str">
        <f t="shared" si="167"/>
        <v/>
      </c>
      <c r="AM142" s="14" t="str">
        <f t="shared" si="168"/>
        <v/>
      </c>
      <c r="AN142" s="14" t="str">
        <f t="shared" si="169"/>
        <v/>
      </c>
      <c r="AO142" s="14" t="str">
        <f t="shared" si="170"/>
        <v/>
      </c>
      <c r="AP142" s="71">
        <v>4.28</v>
      </c>
      <c r="AQ142" s="72">
        <f t="shared" si="171"/>
        <v>1052.88</v>
      </c>
      <c r="AR142" s="72">
        <f t="shared" si="172"/>
        <v>8159.82</v>
      </c>
    </row>
    <row r="143" s="45" customFormat="1" customHeight="1" spans="1:44">
      <c r="A143" s="74">
        <v>46113</v>
      </c>
      <c r="B143" s="183">
        <v>46203</v>
      </c>
      <c r="C143" s="172" t="s">
        <v>262</v>
      </c>
      <c r="D143" s="172"/>
      <c r="E143" s="172" t="s">
        <v>324</v>
      </c>
      <c r="F143" s="172" t="s">
        <v>25</v>
      </c>
      <c r="G143" s="175">
        <v>4200</v>
      </c>
      <c r="H143" s="172" t="s">
        <v>255</v>
      </c>
      <c r="I143" s="14" t="str">
        <f>IFERROR(VLOOKUP(F143,名称!A:C,3,0),"")</f>
        <v>CMW</v>
      </c>
      <c r="J143" s="14">
        <f t="shared" ref="J143:AC143" si="182">IF(AND($F143=J$2,$G143&gt;0),$G143,"")</f>
        <v>4200</v>
      </c>
      <c r="K143" s="14" t="str">
        <f t="shared" si="182"/>
        <v/>
      </c>
      <c r="L143" s="14" t="str">
        <f t="shared" si="182"/>
        <v/>
      </c>
      <c r="M143" s="14" t="str">
        <f t="shared" si="182"/>
        <v/>
      </c>
      <c r="N143" s="14" t="str">
        <f t="shared" si="182"/>
        <v/>
      </c>
      <c r="O143" s="14" t="str">
        <f t="shared" si="182"/>
        <v/>
      </c>
      <c r="P143" s="14" t="str">
        <f t="shared" si="182"/>
        <v/>
      </c>
      <c r="Q143" s="14" t="str">
        <f t="shared" si="182"/>
        <v/>
      </c>
      <c r="R143" s="14" t="str">
        <f t="shared" si="182"/>
        <v/>
      </c>
      <c r="S143" s="14" t="str">
        <f t="shared" si="182"/>
        <v/>
      </c>
      <c r="T143" s="14" t="str">
        <f t="shared" si="182"/>
        <v/>
      </c>
      <c r="U143" s="14" t="str">
        <f t="shared" si="182"/>
        <v/>
      </c>
      <c r="V143" s="14" t="str">
        <f t="shared" si="182"/>
        <v/>
      </c>
      <c r="W143" s="14" t="str">
        <f t="shared" si="182"/>
        <v/>
      </c>
      <c r="X143" s="14" t="str">
        <f t="shared" si="182"/>
        <v/>
      </c>
      <c r="Y143" s="14" t="str">
        <f t="shared" si="182"/>
        <v/>
      </c>
      <c r="Z143" s="14" t="str">
        <f t="shared" si="182"/>
        <v/>
      </c>
      <c r="AA143" s="14" t="str">
        <f t="shared" si="182"/>
        <v/>
      </c>
      <c r="AB143" s="14" t="str">
        <f t="shared" si="182"/>
        <v/>
      </c>
      <c r="AC143" s="14" t="str">
        <f t="shared" si="182"/>
        <v/>
      </c>
      <c r="AD143" s="14" t="str">
        <f t="shared" si="159"/>
        <v/>
      </c>
      <c r="AE143" s="14" t="str">
        <f t="shared" si="160"/>
        <v/>
      </c>
      <c r="AF143" s="14" t="str">
        <f t="shared" si="161"/>
        <v/>
      </c>
      <c r="AG143" s="14" t="str">
        <f t="shared" si="162"/>
        <v/>
      </c>
      <c r="AH143" s="14" t="str">
        <f t="shared" si="163"/>
        <v/>
      </c>
      <c r="AI143" s="14" t="str">
        <f t="shared" si="164"/>
        <v/>
      </c>
      <c r="AJ143" s="14" t="str">
        <f t="shared" si="165"/>
        <v/>
      </c>
      <c r="AK143" s="14" t="str">
        <f t="shared" si="166"/>
        <v/>
      </c>
      <c r="AL143" s="14" t="str">
        <f t="shared" si="167"/>
        <v/>
      </c>
      <c r="AM143" s="14" t="str">
        <f t="shared" si="168"/>
        <v/>
      </c>
      <c r="AN143" s="14" t="str">
        <f t="shared" si="169"/>
        <v/>
      </c>
      <c r="AO143" s="14" t="str">
        <f t="shared" si="170"/>
        <v/>
      </c>
      <c r="AP143" s="186">
        <v>4.42</v>
      </c>
      <c r="AQ143" s="72">
        <f t="shared" si="171"/>
        <v>18564</v>
      </c>
      <c r="AR143" s="72">
        <f t="shared" si="172"/>
        <v>143871</v>
      </c>
    </row>
    <row r="144" s="45" customFormat="1" customHeight="1" spans="1:44">
      <c r="A144" s="74">
        <v>46113</v>
      </c>
      <c r="B144" s="183">
        <v>46203</v>
      </c>
      <c r="C144" s="172" t="s">
        <v>259</v>
      </c>
      <c r="D144" s="172"/>
      <c r="E144" s="172" t="s">
        <v>328</v>
      </c>
      <c r="F144" s="172" t="s">
        <v>25</v>
      </c>
      <c r="G144" s="175">
        <v>120</v>
      </c>
      <c r="H144" s="172" t="s">
        <v>255</v>
      </c>
      <c r="I144" s="14" t="str">
        <f>IFERROR(VLOOKUP(F144,名称!A:C,3,0),"")</f>
        <v>CMW</v>
      </c>
      <c r="J144" s="14">
        <f t="shared" ref="J144:AC144" si="183">IF(AND($F144=J$2,$G144&gt;0),$G144,"")</f>
        <v>120</v>
      </c>
      <c r="K144" s="14" t="str">
        <f t="shared" si="183"/>
        <v/>
      </c>
      <c r="L144" s="14" t="str">
        <f t="shared" si="183"/>
        <v/>
      </c>
      <c r="M144" s="14" t="str">
        <f t="shared" si="183"/>
        <v/>
      </c>
      <c r="N144" s="14" t="str">
        <f t="shared" si="183"/>
        <v/>
      </c>
      <c r="O144" s="14" t="str">
        <f t="shared" si="183"/>
        <v/>
      </c>
      <c r="P144" s="14" t="str">
        <f t="shared" si="183"/>
        <v/>
      </c>
      <c r="Q144" s="14" t="str">
        <f t="shared" si="183"/>
        <v/>
      </c>
      <c r="R144" s="14" t="str">
        <f t="shared" si="183"/>
        <v/>
      </c>
      <c r="S144" s="14" t="str">
        <f t="shared" si="183"/>
        <v/>
      </c>
      <c r="T144" s="14" t="str">
        <f t="shared" si="183"/>
        <v/>
      </c>
      <c r="U144" s="14" t="str">
        <f t="shared" si="183"/>
        <v/>
      </c>
      <c r="V144" s="14" t="str">
        <f t="shared" si="183"/>
        <v/>
      </c>
      <c r="W144" s="14" t="str">
        <f t="shared" si="183"/>
        <v/>
      </c>
      <c r="X144" s="14" t="str">
        <f t="shared" si="183"/>
        <v/>
      </c>
      <c r="Y144" s="14" t="str">
        <f t="shared" si="183"/>
        <v/>
      </c>
      <c r="Z144" s="14" t="str">
        <f t="shared" si="183"/>
        <v/>
      </c>
      <c r="AA144" s="14" t="str">
        <f t="shared" si="183"/>
        <v/>
      </c>
      <c r="AB144" s="14" t="str">
        <f t="shared" si="183"/>
        <v/>
      </c>
      <c r="AC144" s="14" t="str">
        <f t="shared" si="183"/>
        <v/>
      </c>
      <c r="AD144" s="14" t="str">
        <f t="shared" si="159"/>
        <v/>
      </c>
      <c r="AE144" s="14" t="str">
        <f t="shared" si="160"/>
        <v/>
      </c>
      <c r="AF144" s="14" t="str">
        <f t="shared" si="161"/>
        <v/>
      </c>
      <c r="AG144" s="14" t="str">
        <f t="shared" si="162"/>
        <v/>
      </c>
      <c r="AH144" s="14" t="str">
        <f t="shared" si="163"/>
        <v/>
      </c>
      <c r="AI144" s="14" t="str">
        <f t="shared" si="164"/>
        <v/>
      </c>
      <c r="AJ144" s="14" t="str">
        <f t="shared" si="165"/>
        <v/>
      </c>
      <c r="AK144" s="14" t="str">
        <f t="shared" si="166"/>
        <v/>
      </c>
      <c r="AL144" s="14" t="str">
        <f t="shared" si="167"/>
        <v/>
      </c>
      <c r="AM144" s="14" t="str">
        <f t="shared" si="168"/>
        <v/>
      </c>
      <c r="AN144" s="14" t="str">
        <f t="shared" si="169"/>
        <v/>
      </c>
      <c r="AO144" s="14" t="str">
        <f t="shared" si="170"/>
        <v/>
      </c>
      <c r="AP144" s="186">
        <v>4.42</v>
      </c>
      <c r="AQ144" s="72">
        <f t="shared" si="171"/>
        <v>530.4</v>
      </c>
      <c r="AR144" s="72">
        <f t="shared" si="172"/>
        <v>4110.6</v>
      </c>
    </row>
    <row r="145" s="320" customFormat="1" customHeight="1" spans="1:44">
      <c r="A145" s="127">
        <v>46114</v>
      </c>
      <c r="B145" s="127">
        <v>46203</v>
      </c>
      <c r="C145" s="114" t="s">
        <v>259</v>
      </c>
      <c r="D145" s="125" t="s">
        <v>321</v>
      </c>
      <c r="E145" s="125">
        <v>2943301</v>
      </c>
      <c r="F145" s="125" t="s">
        <v>127</v>
      </c>
      <c r="G145" s="126">
        <v>600</v>
      </c>
      <c r="H145" s="114" t="s">
        <v>258</v>
      </c>
      <c r="I145" s="125" t="str">
        <f>IFERROR(VLOOKUP(F145,名称!A:C,3,0),"")</f>
        <v>FNT</v>
      </c>
      <c r="J145" s="125" t="str">
        <f t="shared" ref="J145:AC145" si="184">IF(AND($F145=J$2,$G145&gt;0),$G145,"")</f>
        <v/>
      </c>
      <c r="K145" s="125" t="str">
        <f t="shared" si="184"/>
        <v/>
      </c>
      <c r="L145" s="125" t="str">
        <f t="shared" si="184"/>
        <v/>
      </c>
      <c r="M145" s="125" t="str">
        <f t="shared" si="184"/>
        <v/>
      </c>
      <c r="N145" s="125" t="str">
        <f t="shared" si="184"/>
        <v/>
      </c>
      <c r="O145" s="125" t="str">
        <f t="shared" si="184"/>
        <v/>
      </c>
      <c r="P145" s="125" t="str">
        <f t="shared" si="184"/>
        <v/>
      </c>
      <c r="Q145" s="125" t="str">
        <f t="shared" si="184"/>
        <v/>
      </c>
      <c r="R145" s="125" t="str">
        <f t="shared" si="184"/>
        <v/>
      </c>
      <c r="S145" s="125" t="str">
        <f t="shared" si="184"/>
        <v/>
      </c>
      <c r="T145" s="125" t="str">
        <f t="shared" si="184"/>
        <v/>
      </c>
      <c r="U145" s="125" t="str">
        <f t="shared" si="184"/>
        <v/>
      </c>
      <c r="V145" s="125" t="str">
        <f t="shared" si="184"/>
        <v/>
      </c>
      <c r="W145" s="125" t="str">
        <f t="shared" si="184"/>
        <v/>
      </c>
      <c r="X145" s="125" t="str">
        <f t="shared" si="184"/>
        <v/>
      </c>
      <c r="Y145" s="125" t="str">
        <f t="shared" si="184"/>
        <v/>
      </c>
      <c r="Z145" s="125" t="str">
        <f t="shared" si="184"/>
        <v/>
      </c>
      <c r="AA145" s="125" t="str">
        <f t="shared" si="184"/>
        <v/>
      </c>
      <c r="AB145" s="125" t="str">
        <f t="shared" si="184"/>
        <v/>
      </c>
      <c r="AC145" s="125" t="str">
        <f t="shared" si="184"/>
        <v/>
      </c>
      <c r="AD145" s="125" t="str">
        <f t="shared" si="159"/>
        <v/>
      </c>
      <c r="AE145" s="125" t="str">
        <f t="shared" si="160"/>
        <v/>
      </c>
      <c r="AF145" s="125" t="str">
        <f t="shared" si="161"/>
        <v/>
      </c>
      <c r="AG145" s="125" t="str">
        <f t="shared" si="162"/>
        <v/>
      </c>
      <c r="AH145" s="125" t="str">
        <f t="shared" si="163"/>
        <v/>
      </c>
      <c r="AI145" s="125" t="str">
        <f t="shared" si="164"/>
        <v/>
      </c>
      <c r="AJ145" s="125">
        <f t="shared" si="165"/>
        <v>200</v>
      </c>
      <c r="AK145" s="125">
        <f t="shared" si="166"/>
        <v>100</v>
      </c>
      <c r="AL145" s="125">
        <f t="shared" si="167"/>
        <v>100</v>
      </c>
      <c r="AM145" s="125">
        <f t="shared" si="168"/>
        <v>200</v>
      </c>
      <c r="AN145" s="125" t="str">
        <f t="shared" si="169"/>
        <v/>
      </c>
      <c r="AO145" s="125" t="str">
        <f t="shared" si="170"/>
        <v/>
      </c>
      <c r="AP145" s="129">
        <v>2.315</v>
      </c>
      <c r="AQ145" s="130">
        <f t="shared" si="171"/>
        <v>1389</v>
      </c>
      <c r="AR145" s="130">
        <f t="shared" si="172"/>
        <v>10764.75</v>
      </c>
    </row>
    <row r="146" s="320" customFormat="1" customHeight="1" spans="1:44">
      <c r="A146" s="127">
        <v>46114</v>
      </c>
      <c r="B146" s="127">
        <v>46203</v>
      </c>
      <c r="C146" s="114" t="s">
        <v>259</v>
      </c>
      <c r="D146" s="125" t="s">
        <v>298</v>
      </c>
      <c r="E146" s="125" t="s">
        <v>354</v>
      </c>
      <c r="F146" s="125" t="s">
        <v>123</v>
      </c>
      <c r="G146" s="126">
        <v>1200</v>
      </c>
      <c r="H146" s="114" t="s">
        <v>258</v>
      </c>
      <c r="I146" s="125" t="str">
        <f>IFERROR(VLOOKUP(F146,名称!A:C,3,0),"")</f>
        <v>FNT</v>
      </c>
      <c r="J146" s="125" t="str">
        <f t="shared" ref="J146:AC146" si="185">IF(AND($F146=J$2,$G146&gt;0),$G146,"")</f>
        <v/>
      </c>
      <c r="K146" s="125" t="str">
        <f t="shared" si="185"/>
        <v/>
      </c>
      <c r="L146" s="125" t="str">
        <f t="shared" si="185"/>
        <v/>
      </c>
      <c r="M146" s="125" t="str">
        <f t="shared" si="185"/>
        <v/>
      </c>
      <c r="N146" s="125" t="str">
        <f t="shared" si="185"/>
        <v/>
      </c>
      <c r="O146" s="125" t="str">
        <f t="shared" si="185"/>
        <v/>
      </c>
      <c r="P146" s="125" t="str">
        <f t="shared" si="185"/>
        <v/>
      </c>
      <c r="Q146" s="125" t="str">
        <f t="shared" si="185"/>
        <v/>
      </c>
      <c r="R146" s="125" t="str">
        <f t="shared" si="185"/>
        <v/>
      </c>
      <c r="S146" s="125" t="str">
        <f t="shared" si="185"/>
        <v/>
      </c>
      <c r="T146" s="125" t="str">
        <f t="shared" si="185"/>
        <v/>
      </c>
      <c r="U146" s="125" t="str">
        <f t="shared" si="185"/>
        <v/>
      </c>
      <c r="V146" s="125" t="str">
        <f t="shared" si="185"/>
        <v/>
      </c>
      <c r="W146" s="125" t="str">
        <f t="shared" si="185"/>
        <v/>
      </c>
      <c r="X146" s="125" t="str">
        <f t="shared" si="185"/>
        <v/>
      </c>
      <c r="Y146" s="125" t="str">
        <f t="shared" si="185"/>
        <v/>
      </c>
      <c r="Z146" s="125" t="str">
        <f t="shared" si="185"/>
        <v/>
      </c>
      <c r="AA146" s="125" t="str">
        <f t="shared" si="185"/>
        <v/>
      </c>
      <c r="AB146" s="125" t="str">
        <f t="shared" si="185"/>
        <v/>
      </c>
      <c r="AC146" s="125" t="str">
        <f t="shared" si="185"/>
        <v/>
      </c>
      <c r="AD146" s="125">
        <f t="shared" si="159"/>
        <v>400</v>
      </c>
      <c r="AE146" s="125">
        <f t="shared" si="160"/>
        <v>400</v>
      </c>
      <c r="AF146" s="125">
        <f t="shared" si="161"/>
        <v>400</v>
      </c>
      <c r="AG146" s="125" t="str">
        <f t="shared" si="162"/>
        <v/>
      </c>
      <c r="AH146" s="125" t="str">
        <f t="shared" si="163"/>
        <v/>
      </c>
      <c r="AI146" s="125" t="str">
        <f t="shared" si="164"/>
        <v/>
      </c>
      <c r="AJ146" s="125" t="str">
        <f t="shared" si="165"/>
        <v/>
      </c>
      <c r="AK146" s="125" t="str">
        <f t="shared" si="166"/>
        <v/>
      </c>
      <c r="AL146" s="125" t="str">
        <f t="shared" si="167"/>
        <v/>
      </c>
      <c r="AM146" s="125" t="str">
        <f t="shared" si="168"/>
        <v/>
      </c>
      <c r="AN146" s="125" t="str">
        <f t="shared" si="169"/>
        <v/>
      </c>
      <c r="AO146" s="125" t="str">
        <f t="shared" si="170"/>
        <v/>
      </c>
      <c r="AP146" s="129">
        <v>2.32</v>
      </c>
      <c r="AQ146" s="130">
        <f t="shared" si="171"/>
        <v>2784</v>
      </c>
      <c r="AR146" s="130">
        <f t="shared" si="172"/>
        <v>21576</v>
      </c>
    </row>
    <row r="147" s="45" customFormat="1" customHeight="1" spans="1:44">
      <c r="A147" s="74">
        <v>46115</v>
      </c>
      <c r="B147" s="183">
        <v>46280</v>
      </c>
      <c r="C147" s="172" t="s">
        <v>277</v>
      </c>
      <c r="D147" s="172"/>
      <c r="E147" s="172" t="s">
        <v>322</v>
      </c>
      <c r="F147" s="172" t="s">
        <v>88</v>
      </c>
      <c r="G147" s="175">
        <v>1200</v>
      </c>
      <c r="H147" s="172" t="s">
        <v>323</v>
      </c>
      <c r="I147" s="14" t="str">
        <f>IFERROR(VLOOKUP(F147,名称!A:C,3,0),"")</f>
        <v>CMW</v>
      </c>
      <c r="J147" s="14" t="str">
        <f t="shared" ref="J147:AC147" si="186">IF(AND($F147=J$2,$G147&gt;0),$G147,"")</f>
        <v/>
      </c>
      <c r="K147" s="14" t="str">
        <f t="shared" si="186"/>
        <v/>
      </c>
      <c r="L147" s="14" t="str">
        <f t="shared" si="186"/>
        <v/>
      </c>
      <c r="M147" s="14" t="str">
        <f t="shared" si="186"/>
        <v/>
      </c>
      <c r="N147" s="14">
        <f t="shared" si="186"/>
        <v>1200</v>
      </c>
      <c r="O147" s="14" t="str">
        <f t="shared" si="186"/>
        <v/>
      </c>
      <c r="P147" s="14" t="str">
        <f t="shared" si="186"/>
        <v/>
      </c>
      <c r="Q147" s="14" t="str">
        <f t="shared" si="186"/>
        <v/>
      </c>
      <c r="R147" s="14" t="str">
        <f t="shared" si="186"/>
        <v/>
      </c>
      <c r="S147" s="14" t="str">
        <f t="shared" si="186"/>
        <v/>
      </c>
      <c r="T147" s="14" t="str">
        <f t="shared" si="186"/>
        <v/>
      </c>
      <c r="U147" s="14" t="str">
        <f t="shared" si="186"/>
        <v/>
      </c>
      <c r="V147" s="14" t="str">
        <f t="shared" si="186"/>
        <v/>
      </c>
      <c r="W147" s="14" t="str">
        <f t="shared" si="186"/>
        <v/>
      </c>
      <c r="X147" s="14" t="str">
        <f t="shared" si="186"/>
        <v/>
      </c>
      <c r="Y147" s="14" t="str">
        <f t="shared" si="186"/>
        <v/>
      </c>
      <c r="Z147" s="14" t="str">
        <f t="shared" si="186"/>
        <v/>
      </c>
      <c r="AA147" s="14" t="str">
        <f t="shared" si="186"/>
        <v/>
      </c>
      <c r="AB147" s="14" t="str">
        <f t="shared" si="186"/>
        <v/>
      </c>
      <c r="AC147" s="14" t="str">
        <f t="shared" si="186"/>
        <v/>
      </c>
      <c r="AD147" s="14" t="str">
        <f t="shared" si="159"/>
        <v/>
      </c>
      <c r="AE147" s="14" t="str">
        <f t="shared" si="160"/>
        <v/>
      </c>
      <c r="AF147" s="14" t="str">
        <f t="shared" si="161"/>
        <v/>
      </c>
      <c r="AG147" s="14" t="str">
        <f t="shared" si="162"/>
        <v/>
      </c>
      <c r="AH147" s="14" t="str">
        <f t="shared" si="163"/>
        <v/>
      </c>
      <c r="AI147" s="14" t="str">
        <f t="shared" si="164"/>
        <v/>
      </c>
      <c r="AJ147" s="14" t="str">
        <f t="shared" si="165"/>
        <v/>
      </c>
      <c r="AK147" s="14" t="str">
        <f t="shared" si="166"/>
        <v/>
      </c>
      <c r="AL147" s="14" t="str">
        <f t="shared" si="167"/>
        <v/>
      </c>
      <c r="AM147" s="14" t="str">
        <f t="shared" si="168"/>
        <v/>
      </c>
      <c r="AN147" s="14" t="str">
        <f t="shared" si="169"/>
        <v/>
      </c>
      <c r="AO147" s="14" t="str">
        <f t="shared" si="170"/>
        <v/>
      </c>
      <c r="AP147" s="186">
        <v>3.27</v>
      </c>
      <c r="AQ147" s="72">
        <f t="shared" si="171"/>
        <v>3924</v>
      </c>
      <c r="AR147" s="72">
        <f t="shared" si="172"/>
        <v>30411</v>
      </c>
    </row>
    <row r="148" s="45" customFormat="1" customHeight="1" spans="1:44">
      <c r="A148" s="74">
        <v>46115</v>
      </c>
      <c r="B148" s="183">
        <v>46251</v>
      </c>
      <c r="C148" s="172" t="s">
        <v>262</v>
      </c>
      <c r="D148" s="172"/>
      <c r="E148" s="172" t="s">
        <v>326</v>
      </c>
      <c r="F148" s="172" t="s">
        <v>88</v>
      </c>
      <c r="G148" s="175">
        <v>300</v>
      </c>
      <c r="H148" s="172" t="s">
        <v>323</v>
      </c>
      <c r="I148" s="14" t="str">
        <f>IFERROR(VLOOKUP(F148,名称!A:C,3,0),"")</f>
        <v>CMW</v>
      </c>
      <c r="J148" s="14" t="str">
        <f t="shared" ref="J148:AC148" si="187">IF(AND($F148=J$2,$G148&gt;0),$G148,"")</f>
        <v/>
      </c>
      <c r="K148" s="14" t="str">
        <f t="shared" si="187"/>
        <v/>
      </c>
      <c r="L148" s="14" t="str">
        <f t="shared" si="187"/>
        <v/>
      </c>
      <c r="M148" s="14" t="str">
        <f t="shared" si="187"/>
        <v/>
      </c>
      <c r="N148" s="14">
        <f t="shared" si="187"/>
        <v>300</v>
      </c>
      <c r="O148" s="14" t="str">
        <f t="shared" si="187"/>
        <v/>
      </c>
      <c r="P148" s="14" t="str">
        <f t="shared" si="187"/>
        <v/>
      </c>
      <c r="Q148" s="14" t="str">
        <f t="shared" si="187"/>
        <v/>
      </c>
      <c r="R148" s="14" t="str">
        <f t="shared" si="187"/>
        <v/>
      </c>
      <c r="S148" s="14" t="str">
        <f t="shared" si="187"/>
        <v/>
      </c>
      <c r="T148" s="14" t="str">
        <f t="shared" si="187"/>
        <v/>
      </c>
      <c r="U148" s="14" t="str">
        <f t="shared" si="187"/>
        <v/>
      </c>
      <c r="V148" s="14" t="str">
        <f t="shared" si="187"/>
        <v/>
      </c>
      <c r="W148" s="14" t="str">
        <f t="shared" si="187"/>
        <v/>
      </c>
      <c r="X148" s="14" t="str">
        <f t="shared" si="187"/>
        <v/>
      </c>
      <c r="Y148" s="14" t="str">
        <f t="shared" si="187"/>
        <v/>
      </c>
      <c r="Z148" s="14" t="str">
        <f t="shared" si="187"/>
        <v/>
      </c>
      <c r="AA148" s="14" t="str">
        <f t="shared" si="187"/>
        <v/>
      </c>
      <c r="AB148" s="14" t="str">
        <f t="shared" si="187"/>
        <v/>
      </c>
      <c r="AC148" s="14" t="str">
        <f t="shared" si="187"/>
        <v/>
      </c>
      <c r="AD148" s="14" t="str">
        <f t="shared" si="159"/>
        <v/>
      </c>
      <c r="AE148" s="14" t="str">
        <f t="shared" si="160"/>
        <v/>
      </c>
      <c r="AF148" s="14" t="str">
        <f t="shared" si="161"/>
        <v/>
      </c>
      <c r="AG148" s="14" t="str">
        <f t="shared" si="162"/>
        <v/>
      </c>
      <c r="AH148" s="14" t="str">
        <f t="shared" si="163"/>
        <v/>
      </c>
      <c r="AI148" s="14" t="str">
        <f t="shared" si="164"/>
        <v/>
      </c>
      <c r="AJ148" s="14" t="str">
        <f t="shared" si="165"/>
        <v/>
      </c>
      <c r="AK148" s="14" t="str">
        <f t="shared" si="166"/>
        <v/>
      </c>
      <c r="AL148" s="14" t="str">
        <f t="shared" si="167"/>
        <v/>
      </c>
      <c r="AM148" s="14" t="str">
        <f t="shared" si="168"/>
        <v/>
      </c>
      <c r="AN148" s="14" t="str">
        <f t="shared" si="169"/>
        <v/>
      </c>
      <c r="AO148" s="14" t="str">
        <f t="shared" si="170"/>
        <v/>
      </c>
      <c r="AP148" s="186">
        <v>3.27</v>
      </c>
      <c r="AQ148" s="72">
        <f t="shared" si="171"/>
        <v>981</v>
      </c>
      <c r="AR148" s="72">
        <f t="shared" si="172"/>
        <v>7602.75</v>
      </c>
    </row>
    <row r="149" s="320" customFormat="1" customHeight="1" spans="1:44">
      <c r="A149" s="119">
        <v>46115</v>
      </c>
      <c r="B149" s="112">
        <v>46193</v>
      </c>
      <c r="C149" s="114" t="s">
        <v>259</v>
      </c>
      <c r="D149" s="114"/>
      <c r="E149" s="114" t="s">
        <v>329</v>
      </c>
      <c r="F149" s="114" t="s">
        <v>88</v>
      </c>
      <c r="G149" s="118">
        <v>300</v>
      </c>
      <c r="H149" s="114" t="s">
        <v>323</v>
      </c>
      <c r="I149" s="125" t="str">
        <f>IFERROR(VLOOKUP(F149,名称!A:C,3,0),"")</f>
        <v>CMW</v>
      </c>
      <c r="J149" s="125" t="str">
        <f t="shared" ref="J149:AC149" si="188">IF(AND($F149=J$2,$G149&gt;0),$G149,"")</f>
        <v/>
      </c>
      <c r="K149" s="125" t="str">
        <f t="shared" si="188"/>
        <v/>
      </c>
      <c r="L149" s="125" t="str">
        <f t="shared" si="188"/>
        <v/>
      </c>
      <c r="M149" s="125" t="str">
        <f t="shared" si="188"/>
        <v/>
      </c>
      <c r="N149" s="125">
        <f t="shared" si="188"/>
        <v>300</v>
      </c>
      <c r="O149" s="125" t="str">
        <f t="shared" si="188"/>
        <v/>
      </c>
      <c r="P149" s="125" t="str">
        <f t="shared" si="188"/>
        <v/>
      </c>
      <c r="Q149" s="125" t="str">
        <f t="shared" si="188"/>
        <v/>
      </c>
      <c r="R149" s="125" t="str">
        <f t="shared" si="188"/>
        <v/>
      </c>
      <c r="S149" s="125" t="str">
        <f t="shared" si="188"/>
        <v/>
      </c>
      <c r="T149" s="125" t="str">
        <f t="shared" si="188"/>
        <v/>
      </c>
      <c r="U149" s="125" t="str">
        <f t="shared" si="188"/>
        <v/>
      </c>
      <c r="V149" s="125" t="str">
        <f t="shared" si="188"/>
        <v/>
      </c>
      <c r="W149" s="125" t="str">
        <f t="shared" si="188"/>
        <v/>
      </c>
      <c r="X149" s="125" t="str">
        <f t="shared" si="188"/>
        <v/>
      </c>
      <c r="Y149" s="125" t="str">
        <f t="shared" si="188"/>
        <v/>
      </c>
      <c r="Z149" s="125" t="str">
        <f t="shared" si="188"/>
        <v/>
      </c>
      <c r="AA149" s="125" t="str">
        <f t="shared" si="188"/>
        <v/>
      </c>
      <c r="AB149" s="125" t="str">
        <f t="shared" si="188"/>
        <v/>
      </c>
      <c r="AC149" s="125" t="str">
        <f t="shared" si="188"/>
        <v/>
      </c>
      <c r="AD149" s="125" t="str">
        <f t="shared" si="159"/>
        <v/>
      </c>
      <c r="AE149" s="125" t="str">
        <f t="shared" si="160"/>
        <v/>
      </c>
      <c r="AF149" s="125" t="str">
        <f t="shared" si="161"/>
        <v/>
      </c>
      <c r="AG149" s="125" t="str">
        <f t="shared" si="162"/>
        <v/>
      </c>
      <c r="AH149" s="125" t="str">
        <f t="shared" si="163"/>
        <v/>
      </c>
      <c r="AI149" s="125" t="str">
        <f t="shared" si="164"/>
        <v/>
      </c>
      <c r="AJ149" s="125" t="str">
        <f t="shared" si="165"/>
        <v/>
      </c>
      <c r="AK149" s="125" t="str">
        <f t="shared" si="166"/>
        <v/>
      </c>
      <c r="AL149" s="125" t="str">
        <f t="shared" si="167"/>
        <v/>
      </c>
      <c r="AM149" s="125" t="str">
        <f t="shared" si="168"/>
        <v/>
      </c>
      <c r="AN149" s="125" t="str">
        <f t="shared" si="169"/>
        <v/>
      </c>
      <c r="AO149" s="125" t="str">
        <f t="shared" si="170"/>
        <v/>
      </c>
      <c r="AP149" s="122">
        <v>3.27</v>
      </c>
      <c r="AQ149" s="130">
        <f t="shared" si="171"/>
        <v>981</v>
      </c>
      <c r="AR149" s="130">
        <f t="shared" si="172"/>
        <v>7602.75</v>
      </c>
    </row>
    <row r="150" s="45" customFormat="1" customHeight="1" spans="1:44">
      <c r="A150" s="74">
        <v>46115</v>
      </c>
      <c r="B150" s="183">
        <v>46280</v>
      </c>
      <c r="C150" s="172" t="s">
        <v>259</v>
      </c>
      <c r="D150" s="172"/>
      <c r="E150" s="172" t="s">
        <v>331</v>
      </c>
      <c r="F150" s="172" t="s">
        <v>88</v>
      </c>
      <c r="G150" s="175">
        <v>450</v>
      </c>
      <c r="H150" s="172" t="s">
        <v>323</v>
      </c>
      <c r="I150" s="14" t="str">
        <f>IFERROR(VLOOKUP(F150,名称!A:C,3,0),"")</f>
        <v>CMW</v>
      </c>
      <c r="J150" s="14" t="str">
        <f t="shared" ref="J150:AC150" si="189">IF(AND($F150=J$2,$G150&gt;0),$G150,"")</f>
        <v/>
      </c>
      <c r="K150" s="14" t="str">
        <f t="shared" si="189"/>
        <v/>
      </c>
      <c r="L150" s="14" t="str">
        <f t="shared" si="189"/>
        <v/>
      </c>
      <c r="M150" s="14" t="str">
        <f t="shared" si="189"/>
        <v/>
      </c>
      <c r="N150" s="14">
        <f t="shared" si="189"/>
        <v>450</v>
      </c>
      <c r="O150" s="14" t="str">
        <f t="shared" si="189"/>
        <v/>
      </c>
      <c r="P150" s="14" t="str">
        <f t="shared" si="189"/>
        <v/>
      </c>
      <c r="Q150" s="14" t="str">
        <f t="shared" si="189"/>
        <v/>
      </c>
      <c r="R150" s="14" t="str">
        <f t="shared" si="189"/>
        <v/>
      </c>
      <c r="S150" s="14" t="str">
        <f t="shared" si="189"/>
        <v/>
      </c>
      <c r="T150" s="14" t="str">
        <f t="shared" si="189"/>
        <v/>
      </c>
      <c r="U150" s="14" t="str">
        <f t="shared" si="189"/>
        <v/>
      </c>
      <c r="V150" s="14" t="str">
        <f t="shared" si="189"/>
        <v/>
      </c>
      <c r="W150" s="14" t="str">
        <f t="shared" si="189"/>
        <v/>
      </c>
      <c r="X150" s="14" t="str">
        <f t="shared" si="189"/>
        <v/>
      </c>
      <c r="Y150" s="14" t="str">
        <f t="shared" si="189"/>
        <v/>
      </c>
      <c r="Z150" s="14" t="str">
        <f t="shared" si="189"/>
        <v/>
      </c>
      <c r="AA150" s="14" t="str">
        <f t="shared" si="189"/>
        <v/>
      </c>
      <c r="AB150" s="14" t="str">
        <f t="shared" si="189"/>
        <v/>
      </c>
      <c r="AC150" s="14" t="str">
        <f t="shared" si="189"/>
        <v/>
      </c>
      <c r="AD150" s="14" t="str">
        <f t="shared" si="159"/>
        <v/>
      </c>
      <c r="AE150" s="14" t="str">
        <f t="shared" si="160"/>
        <v/>
      </c>
      <c r="AF150" s="14" t="str">
        <f t="shared" si="161"/>
        <v/>
      </c>
      <c r="AG150" s="14" t="str">
        <f t="shared" si="162"/>
        <v/>
      </c>
      <c r="AH150" s="14" t="str">
        <f t="shared" si="163"/>
        <v/>
      </c>
      <c r="AI150" s="14" t="str">
        <f t="shared" si="164"/>
        <v/>
      </c>
      <c r="AJ150" s="14" t="str">
        <f t="shared" si="165"/>
        <v/>
      </c>
      <c r="AK150" s="14" t="str">
        <f t="shared" si="166"/>
        <v/>
      </c>
      <c r="AL150" s="14" t="str">
        <f t="shared" si="167"/>
        <v/>
      </c>
      <c r="AM150" s="14" t="str">
        <f t="shared" si="168"/>
        <v/>
      </c>
      <c r="AN150" s="14" t="str">
        <f t="shared" si="169"/>
        <v/>
      </c>
      <c r="AO150" s="14" t="str">
        <f t="shared" si="170"/>
        <v/>
      </c>
      <c r="AP150" s="186">
        <v>3.27</v>
      </c>
      <c r="AQ150" s="72">
        <f t="shared" si="171"/>
        <v>1471.5</v>
      </c>
      <c r="AR150" s="72">
        <f t="shared" si="172"/>
        <v>11404.13</v>
      </c>
    </row>
    <row r="151" s="320" customFormat="1" customHeight="1" spans="1:44">
      <c r="A151" s="119">
        <v>46115</v>
      </c>
      <c r="B151" s="112">
        <v>46174</v>
      </c>
      <c r="C151" s="114" t="s">
        <v>259</v>
      </c>
      <c r="D151" s="114"/>
      <c r="E151" s="114" t="s">
        <v>332</v>
      </c>
      <c r="F151" s="114" t="s">
        <v>88</v>
      </c>
      <c r="G151" s="118">
        <v>450</v>
      </c>
      <c r="H151" s="114" t="s">
        <v>323</v>
      </c>
      <c r="I151" s="125" t="str">
        <f>IFERROR(VLOOKUP(F151,名称!A:C,3,0),"")</f>
        <v>CMW</v>
      </c>
      <c r="J151" s="125" t="str">
        <f t="shared" ref="J151:AC151" si="190">IF(AND($F151=J$2,$G151&gt;0),$G151,"")</f>
        <v/>
      </c>
      <c r="K151" s="125" t="str">
        <f t="shared" si="190"/>
        <v/>
      </c>
      <c r="L151" s="125" t="str">
        <f t="shared" si="190"/>
        <v/>
      </c>
      <c r="M151" s="125" t="str">
        <f t="shared" si="190"/>
        <v/>
      </c>
      <c r="N151" s="125">
        <f t="shared" si="190"/>
        <v>450</v>
      </c>
      <c r="O151" s="125" t="str">
        <f t="shared" si="190"/>
        <v/>
      </c>
      <c r="P151" s="125" t="str">
        <f t="shared" si="190"/>
        <v/>
      </c>
      <c r="Q151" s="125" t="str">
        <f t="shared" si="190"/>
        <v/>
      </c>
      <c r="R151" s="125" t="str">
        <f t="shared" si="190"/>
        <v/>
      </c>
      <c r="S151" s="125" t="str">
        <f t="shared" si="190"/>
        <v/>
      </c>
      <c r="T151" s="125" t="str">
        <f t="shared" si="190"/>
        <v/>
      </c>
      <c r="U151" s="125" t="str">
        <f t="shared" si="190"/>
        <v/>
      </c>
      <c r="V151" s="125" t="str">
        <f t="shared" si="190"/>
        <v/>
      </c>
      <c r="W151" s="125" t="str">
        <f t="shared" si="190"/>
        <v/>
      </c>
      <c r="X151" s="125" t="str">
        <f t="shared" si="190"/>
        <v/>
      </c>
      <c r="Y151" s="125" t="str">
        <f t="shared" si="190"/>
        <v/>
      </c>
      <c r="Z151" s="125" t="str">
        <f t="shared" si="190"/>
        <v/>
      </c>
      <c r="AA151" s="125" t="str">
        <f t="shared" si="190"/>
        <v/>
      </c>
      <c r="AB151" s="125" t="str">
        <f t="shared" si="190"/>
        <v/>
      </c>
      <c r="AC151" s="125" t="str">
        <f t="shared" si="190"/>
        <v/>
      </c>
      <c r="AD151" s="125" t="str">
        <f t="shared" si="159"/>
        <v/>
      </c>
      <c r="AE151" s="125" t="str">
        <f t="shared" si="160"/>
        <v/>
      </c>
      <c r="AF151" s="125" t="str">
        <f t="shared" si="161"/>
        <v/>
      </c>
      <c r="AG151" s="125" t="str">
        <f t="shared" si="162"/>
        <v/>
      </c>
      <c r="AH151" s="125" t="str">
        <f t="shared" si="163"/>
        <v/>
      </c>
      <c r="AI151" s="125" t="str">
        <f t="shared" si="164"/>
        <v/>
      </c>
      <c r="AJ151" s="125" t="str">
        <f t="shared" si="165"/>
        <v/>
      </c>
      <c r="AK151" s="125" t="str">
        <f t="shared" si="166"/>
        <v/>
      </c>
      <c r="AL151" s="125" t="str">
        <f t="shared" si="167"/>
        <v/>
      </c>
      <c r="AM151" s="125" t="str">
        <f t="shared" si="168"/>
        <v/>
      </c>
      <c r="AN151" s="125" t="str">
        <f t="shared" si="169"/>
        <v/>
      </c>
      <c r="AO151" s="125" t="str">
        <f t="shared" si="170"/>
        <v/>
      </c>
      <c r="AP151" s="122">
        <v>3.27</v>
      </c>
      <c r="AQ151" s="130">
        <f t="shared" si="171"/>
        <v>1471.5</v>
      </c>
      <c r="AR151" s="130">
        <f t="shared" si="172"/>
        <v>11404.13</v>
      </c>
    </row>
    <row r="152" s="45" customFormat="1" customHeight="1" spans="1:44">
      <c r="A152" s="74">
        <v>46115</v>
      </c>
      <c r="B152" s="183">
        <v>46203</v>
      </c>
      <c r="C152" s="172" t="s">
        <v>259</v>
      </c>
      <c r="D152" s="172"/>
      <c r="E152" s="172" t="s">
        <v>355</v>
      </c>
      <c r="F152" s="172" t="s">
        <v>25</v>
      </c>
      <c r="G152" s="175">
        <v>2000</v>
      </c>
      <c r="H152" s="172" t="s">
        <v>323</v>
      </c>
      <c r="I152" s="14" t="str">
        <f>IFERROR(VLOOKUP(F152,名称!A:C,3,0),"")</f>
        <v>CMW</v>
      </c>
      <c r="J152" s="14">
        <f t="shared" ref="J152:AC152" si="191">IF(AND($F152=J$2,$G152&gt;0),$G152,"")</f>
        <v>2000</v>
      </c>
      <c r="K152" s="14" t="str">
        <f t="shared" si="191"/>
        <v/>
      </c>
      <c r="L152" s="14" t="str">
        <f t="shared" si="191"/>
        <v/>
      </c>
      <c r="M152" s="14" t="str">
        <f t="shared" si="191"/>
        <v/>
      </c>
      <c r="N152" s="14" t="str">
        <f t="shared" si="191"/>
        <v/>
      </c>
      <c r="O152" s="14" t="str">
        <f t="shared" si="191"/>
        <v/>
      </c>
      <c r="P152" s="14" t="str">
        <f t="shared" si="191"/>
        <v/>
      </c>
      <c r="Q152" s="14" t="str">
        <f t="shared" si="191"/>
        <v/>
      </c>
      <c r="R152" s="14" t="str">
        <f t="shared" si="191"/>
        <v/>
      </c>
      <c r="S152" s="14" t="str">
        <f t="shared" si="191"/>
        <v/>
      </c>
      <c r="T152" s="14" t="str">
        <f t="shared" si="191"/>
        <v/>
      </c>
      <c r="U152" s="14" t="str">
        <f t="shared" si="191"/>
        <v/>
      </c>
      <c r="V152" s="14" t="str">
        <f t="shared" si="191"/>
        <v/>
      </c>
      <c r="W152" s="14" t="str">
        <f t="shared" si="191"/>
        <v/>
      </c>
      <c r="X152" s="14" t="str">
        <f t="shared" si="191"/>
        <v/>
      </c>
      <c r="Y152" s="14" t="str">
        <f t="shared" si="191"/>
        <v/>
      </c>
      <c r="Z152" s="14" t="str">
        <f t="shared" si="191"/>
        <v/>
      </c>
      <c r="AA152" s="14" t="str">
        <f t="shared" si="191"/>
        <v/>
      </c>
      <c r="AB152" s="14" t="str">
        <f t="shared" si="191"/>
        <v/>
      </c>
      <c r="AC152" s="14" t="str">
        <f t="shared" si="191"/>
        <v/>
      </c>
      <c r="AD152" s="14" t="str">
        <f t="shared" si="159"/>
        <v/>
      </c>
      <c r="AE152" s="14" t="str">
        <f t="shared" si="160"/>
        <v/>
      </c>
      <c r="AF152" s="14" t="str">
        <f t="shared" si="161"/>
        <v/>
      </c>
      <c r="AG152" s="14" t="str">
        <f t="shared" si="162"/>
        <v/>
      </c>
      <c r="AH152" s="14" t="str">
        <f t="shared" si="163"/>
        <v/>
      </c>
      <c r="AI152" s="14" t="str">
        <f t="shared" si="164"/>
        <v/>
      </c>
      <c r="AJ152" s="14" t="str">
        <f t="shared" si="165"/>
        <v/>
      </c>
      <c r="AK152" s="14" t="str">
        <f t="shared" si="166"/>
        <v/>
      </c>
      <c r="AL152" s="14" t="str">
        <f t="shared" si="167"/>
        <v/>
      </c>
      <c r="AM152" s="14" t="str">
        <f t="shared" si="168"/>
        <v/>
      </c>
      <c r="AN152" s="14" t="str">
        <f t="shared" si="169"/>
        <v/>
      </c>
      <c r="AO152" s="14" t="str">
        <f t="shared" si="170"/>
        <v/>
      </c>
      <c r="AP152" s="186">
        <v>4.42</v>
      </c>
      <c r="AQ152" s="72">
        <f t="shared" si="171"/>
        <v>8840</v>
      </c>
      <c r="AR152" s="72">
        <f t="shared" si="172"/>
        <v>68510</v>
      </c>
    </row>
    <row r="153" s="45" customFormat="1" customHeight="1" spans="1:44">
      <c r="A153" s="74">
        <v>46115</v>
      </c>
      <c r="B153" s="183">
        <v>46203</v>
      </c>
      <c r="C153" s="172" t="s">
        <v>259</v>
      </c>
      <c r="D153" s="172"/>
      <c r="E153" s="172" t="s">
        <v>355</v>
      </c>
      <c r="F153" s="172" t="s">
        <v>88</v>
      </c>
      <c r="G153" s="175">
        <v>300</v>
      </c>
      <c r="H153" s="172" t="s">
        <v>323</v>
      </c>
      <c r="I153" s="14" t="str">
        <f>IFERROR(VLOOKUP(F153,名称!A:C,3,0),"")</f>
        <v>CMW</v>
      </c>
      <c r="J153" s="14" t="str">
        <f t="shared" ref="J153:AC153" si="192">IF(AND($F153=J$2,$G153&gt;0),$G153,"")</f>
        <v/>
      </c>
      <c r="K153" s="14" t="str">
        <f t="shared" si="192"/>
        <v/>
      </c>
      <c r="L153" s="14" t="str">
        <f t="shared" si="192"/>
        <v/>
      </c>
      <c r="M153" s="14" t="str">
        <f t="shared" si="192"/>
        <v/>
      </c>
      <c r="N153" s="14">
        <f t="shared" si="192"/>
        <v>300</v>
      </c>
      <c r="O153" s="14" t="str">
        <f t="shared" si="192"/>
        <v/>
      </c>
      <c r="P153" s="14" t="str">
        <f t="shared" si="192"/>
        <v/>
      </c>
      <c r="Q153" s="14" t="str">
        <f t="shared" si="192"/>
        <v/>
      </c>
      <c r="R153" s="14" t="str">
        <f t="shared" si="192"/>
        <v/>
      </c>
      <c r="S153" s="14" t="str">
        <f t="shared" si="192"/>
        <v/>
      </c>
      <c r="T153" s="14" t="str">
        <f t="shared" si="192"/>
        <v/>
      </c>
      <c r="U153" s="14" t="str">
        <f t="shared" si="192"/>
        <v/>
      </c>
      <c r="V153" s="14" t="str">
        <f t="shared" si="192"/>
        <v/>
      </c>
      <c r="W153" s="14" t="str">
        <f t="shared" si="192"/>
        <v/>
      </c>
      <c r="X153" s="14" t="str">
        <f t="shared" si="192"/>
        <v/>
      </c>
      <c r="Y153" s="14" t="str">
        <f t="shared" si="192"/>
        <v/>
      </c>
      <c r="Z153" s="14" t="str">
        <f t="shared" si="192"/>
        <v/>
      </c>
      <c r="AA153" s="14" t="str">
        <f t="shared" si="192"/>
        <v/>
      </c>
      <c r="AB153" s="14" t="str">
        <f t="shared" si="192"/>
        <v/>
      </c>
      <c r="AC153" s="14" t="str">
        <f t="shared" si="192"/>
        <v/>
      </c>
      <c r="AD153" s="14" t="str">
        <f t="shared" si="159"/>
        <v/>
      </c>
      <c r="AE153" s="14" t="str">
        <f t="shared" si="160"/>
        <v/>
      </c>
      <c r="AF153" s="14" t="str">
        <f t="shared" si="161"/>
        <v/>
      </c>
      <c r="AG153" s="14" t="str">
        <f t="shared" si="162"/>
        <v/>
      </c>
      <c r="AH153" s="14" t="str">
        <f t="shared" si="163"/>
        <v/>
      </c>
      <c r="AI153" s="14" t="str">
        <f t="shared" si="164"/>
        <v/>
      </c>
      <c r="AJ153" s="14" t="str">
        <f t="shared" si="165"/>
        <v/>
      </c>
      <c r="AK153" s="14" t="str">
        <f t="shared" si="166"/>
        <v/>
      </c>
      <c r="AL153" s="14" t="str">
        <f t="shared" si="167"/>
        <v/>
      </c>
      <c r="AM153" s="14" t="str">
        <f t="shared" si="168"/>
        <v/>
      </c>
      <c r="AN153" s="14" t="str">
        <f t="shared" si="169"/>
        <v/>
      </c>
      <c r="AO153" s="14" t="str">
        <f t="shared" si="170"/>
        <v/>
      </c>
      <c r="AP153" s="186">
        <v>3.27</v>
      </c>
      <c r="AQ153" s="72">
        <f t="shared" si="171"/>
        <v>981</v>
      </c>
      <c r="AR153" s="72">
        <f t="shared" si="172"/>
        <v>7602.75</v>
      </c>
    </row>
    <row r="154" s="45" customFormat="1" customHeight="1" spans="1:44">
      <c r="A154" s="74">
        <v>46115</v>
      </c>
      <c r="B154" s="183">
        <v>46266</v>
      </c>
      <c r="C154" s="172" t="s">
        <v>259</v>
      </c>
      <c r="D154" s="172"/>
      <c r="E154" s="172" t="s">
        <v>356</v>
      </c>
      <c r="F154" s="172" t="s">
        <v>25</v>
      </c>
      <c r="G154" s="175">
        <v>1000</v>
      </c>
      <c r="H154" s="172" t="s">
        <v>323</v>
      </c>
      <c r="I154" s="14" t="str">
        <f>IFERROR(VLOOKUP(F154,名称!A:C,3,0),"")</f>
        <v>CMW</v>
      </c>
      <c r="J154" s="14">
        <f t="shared" ref="J154:AC154" si="193">IF(AND($F154=J$2,$G154&gt;0),$G154,"")</f>
        <v>1000</v>
      </c>
      <c r="K154" s="14" t="str">
        <f t="shared" si="193"/>
        <v/>
      </c>
      <c r="L154" s="14" t="str">
        <f t="shared" si="193"/>
        <v/>
      </c>
      <c r="M154" s="14" t="str">
        <f t="shared" si="193"/>
        <v/>
      </c>
      <c r="N154" s="14" t="str">
        <f t="shared" si="193"/>
        <v/>
      </c>
      <c r="O154" s="14" t="str">
        <f t="shared" si="193"/>
        <v/>
      </c>
      <c r="P154" s="14" t="str">
        <f t="shared" si="193"/>
        <v/>
      </c>
      <c r="Q154" s="14" t="str">
        <f t="shared" si="193"/>
        <v/>
      </c>
      <c r="R154" s="14" t="str">
        <f t="shared" si="193"/>
        <v/>
      </c>
      <c r="S154" s="14" t="str">
        <f t="shared" si="193"/>
        <v/>
      </c>
      <c r="T154" s="14" t="str">
        <f t="shared" si="193"/>
        <v/>
      </c>
      <c r="U154" s="14" t="str">
        <f t="shared" si="193"/>
        <v/>
      </c>
      <c r="V154" s="14" t="str">
        <f t="shared" si="193"/>
        <v/>
      </c>
      <c r="W154" s="14" t="str">
        <f t="shared" si="193"/>
        <v/>
      </c>
      <c r="X154" s="14" t="str">
        <f t="shared" si="193"/>
        <v/>
      </c>
      <c r="Y154" s="14" t="str">
        <f t="shared" si="193"/>
        <v/>
      </c>
      <c r="Z154" s="14" t="str">
        <f t="shared" si="193"/>
        <v/>
      </c>
      <c r="AA154" s="14" t="str">
        <f t="shared" si="193"/>
        <v/>
      </c>
      <c r="AB154" s="14" t="str">
        <f t="shared" si="193"/>
        <v/>
      </c>
      <c r="AC154" s="14" t="str">
        <f t="shared" si="193"/>
        <v/>
      </c>
      <c r="AD154" s="14" t="str">
        <f t="shared" si="159"/>
        <v/>
      </c>
      <c r="AE154" s="14" t="str">
        <f t="shared" si="160"/>
        <v/>
      </c>
      <c r="AF154" s="14" t="str">
        <f t="shared" si="161"/>
        <v/>
      </c>
      <c r="AG154" s="14" t="str">
        <f t="shared" si="162"/>
        <v/>
      </c>
      <c r="AH154" s="14" t="str">
        <f t="shared" si="163"/>
        <v/>
      </c>
      <c r="AI154" s="14" t="str">
        <f t="shared" si="164"/>
        <v/>
      </c>
      <c r="AJ154" s="14" t="str">
        <f t="shared" si="165"/>
        <v/>
      </c>
      <c r="AK154" s="14" t="str">
        <f t="shared" si="166"/>
        <v/>
      </c>
      <c r="AL154" s="14" t="str">
        <f t="shared" si="167"/>
        <v/>
      </c>
      <c r="AM154" s="14" t="str">
        <f t="shared" si="168"/>
        <v/>
      </c>
      <c r="AN154" s="14" t="str">
        <f t="shared" si="169"/>
        <v/>
      </c>
      <c r="AO154" s="14" t="str">
        <f t="shared" si="170"/>
        <v/>
      </c>
      <c r="AP154" s="186">
        <v>4.42</v>
      </c>
      <c r="AQ154" s="72">
        <f t="shared" si="171"/>
        <v>4420</v>
      </c>
      <c r="AR154" s="72">
        <f t="shared" si="172"/>
        <v>34255</v>
      </c>
    </row>
    <row r="155" s="45" customFormat="1" customHeight="1" spans="1:44">
      <c r="A155" s="74">
        <v>46115</v>
      </c>
      <c r="B155" s="183">
        <v>46266</v>
      </c>
      <c r="C155" s="172" t="s">
        <v>259</v>
      </c>
      <c r="D155" s="172"/>
      <c r="E155" s="172" t="s">
        <v>356</v>
      </c>
      <c r="F155" s="172" t="s">
        <v>70</v>
      </c>
      <c r="G155" s="175">
        <v>300</v>
      </c>
      <c r="H155" s="172" t="s">
        <v>323</v>
      </c>
      <c r="I155" s="14" t="str">
        <f>IFERROR(VLOOKUP(F155,名称!A:C,3,0),"")</f>
        <v>CMW</v>
      </c>
      <c r="J155" s="14" t="str">
        <f t="shared" ref="J155:AC155" si="194">IF(AND($F155=J$2,$G155&gt;0),$G155,"")</f>
        <v/>
      </c>
      <c r="K155" s="14" t="str">
        <f t="shared" si="194"/>
        <v/>
      </c>
      <c r="L155" s="14" t="str">
        <f t="shared" si="194"/>
        <v/>
      </c>
      <c r="M155" s="14">
        <f t="shared" si="194"/>
        <v>300</v>
      </c>
      <c r="N155" s="14" t="str">
        <f t="shared" si="194"/>
        <v/>
      </c>
      <c r="O155" s="14" t="str">
        <f t="shared" si="194"/>
        <v/>
      </c>
      <c r="P155" s="14" t="str">
        <f t="shared" si="194"/>
        <v/>
      </c>
      <c r="Q155" s="14" t="str">
        <f t="shared" si="194"/>
        <v/>
      </c>
      <c r="R155" s="14" t="str">
        <f t="shared" si="194"/>
        <v/>
      </c>
      <c r="S155" s="14" t="str">
        <f t="shared" si="194"/>
        <v/>
      </c>
      <c r="T155" s="14" t="str">
        <f t="shared" si="194"/>
        <v/>
      </c>
      <c r="U155" s="14" t="str">
        <f t="shared" si="194"/>
        <v/>
      </c>
      <c r="V155" s="14" t="str">
        <f t="shared" si="194"/>
        <v/>
      </c>
      <c r="W155" s="14" t="str">
        <f t="shared" si="194"/>
        <v/>
      </c>
      <c r="X155" s="14" t="str">
        <f t="shared" si="194"/>
        <v/>
      </c>
      <c r="Y155" s="14" t="str">
        <f t="shared" si="194"/>
        <v/>
      </c>
      <c r="Z155" s="14" t="str">
        <f t="shared" si="194"/>
        <v/>
      </c>
      <c r="AA155" s="14" t="str">
        <f t="shared" si="194"/>
        <v/>
      </c>
      <c r="AB155" s="14" t="str">
        <f t="shared" si="194"/>
        <v/>
      </c>
      <c r="AC155" s="14" t="str">
        <f t="shared" si="194"/>
        <v/>
      </c>
      <c r="AD155" s="14" t="str">
        <f t="shared" si="159"/>
        <v/>
      </c>
      <c r="AE155" s="14" t="str">
        <f t="shared" si="160"/>
        <v/>
      </c>
      <c r="AF155" s="14" t="str">
        <f t="shared" si="161"/>
        <v/>
      </c>
      <c r="AG155" s="14" t="str">
        <f t="shared" si="162"/>
        <v/>
      </c>
      <c r="AH155" s="14" t="str">
        <f t="shared" si="163"/>
        <v/>
      </c>
      <c r="AI155" s="14" t="str">
        <f t="shared" si="164"/>
        <v/>
      </c>
      <c r="AJ155" s="14" t="str">
        <f t="shared" si="165"/>
        <v/>
      </c>
      <c r="AK155" s="14" t="str">
        <f t="shared" si="166"/>
        <v/>
      </c>
      <c r="AL155" s="14" t="str">
        <f t="shared" si="167"/>
        <v/>
      </c>
      <c r="AM155" s="14" t="str">
        <f t="shared" si="168"/>
        <v/>
      </c>
      <c r="AN155" s="14" t="str">
        <f t="shared" si="169"/>
        <v/>
      </c>
      <c r="AO155" s="14" t="str">
        <f t="shared" si="170"/>
        <v/>
      </c>
      <c r="AP155" s="186">
        <v>13.42</v>
      </c>
      <c r="AQ155" s="72">
        <f t="shared" si="171"/>
        <v>4026</v>
      </c>
      <c r="AR155" s="72">
        <f t="shared" si="172"/>
        <v>31201.5</v>
      </c>
    </row>
    <row r="156" s="45" customFormat="1" customHeight="1" spans="1:44">
      <c r="A156" s="74">
        <v>46115</v>
      </c>
      <c r="B156" s="183">
        <v>46266</v>
      </c>
      <c r="C156" s="172" t="s">
        <v>259</v>
      </c>
      <c r="D156" s="172"/>
      <c r="E156" s="172" t="s">
        <v>356</v>
      </c>
      <c r="F156" s="172" t="s">
        <v>88</v>
      </c>
      <c r="G156" s="175">
        <v>300</v>
      </c>
      <c r="H156" s="172" t="s">
        <v>323</v>
      </c>
      <c r="I156" s="14" t="str">
        <f>IFERROR(VLOOKUP(F156,名称!A:C,3,0),"")</f>
        <v>CMW</v>
      </c>
      <c r="J156" s="14" t="str">
        <f t="shared" ref="J156:AC156" si="195">IF(AND($F156=J$2,$G156&gt;0),$G156,"")</f>
        <v/>
      </c>
      <c r="K156" s="14" t="str">
        <f t="shared" si="195"/>
        <v/>
      </c>
      <c r="L156" s="14" t="str">
        <f t="shared" si="195"/>
        <v/>
      </c>
      <c r="M156" s="14" t="str">
        <f t="shared" si="195"/>
        <v/>
      </c>
      <c r="N156" s="14">
        <f t="shared" si="195"/>
        <v>300</v>
      </c>
      <c r="O156" s="14" t="str">
        <f t="shared" si="195"/>
        <v/>
      </c>
      <c r="P156" s="14" t="str">
        <f t="shared" si="195"/>
        <v/>
      </c>
      <c r="Q156" s="14" t="str">
        <f t="shared" si="195"/>
        <v/>
      </c>
      <c r="R156" s="14" t="str">
        <f t="shared" si="195"/>
        <v/>
      </c>
      <c r="S156" s="14" t="str">
        <f t="shared" si="195"/>
        <v/>
      </c>
      <c r="T156" s="14" t="str">
        <f t="shared" si="195"/>
        <v/>
      </c>
      <c r="U156" s="14" t="str">
        <f t="shared" si="195"/>
        <v/>
      </c>
      <c r="V156" s="14" t="str">
        <f t="shared" si="195"/>
        <v/>
      </c>
      <c r="W156" s="14" t="str">
        <f t="shared" si="195"/>
        <v/>
      </c>
      <c r="X156" s="14" t="str">
        <f t="shared" si="195"/>
        <v/>
      </c>
      <c r="Y156" s="14" t="str">
        <f t="shared" si="195"/>
        <v/>
      </c>
      <c r="Z156" s="14" t="str">
        <f t="shared" si="195"/>
        <v/>
      </c>
      <c r="AA156" s="14" t="str">
        <f t="shared" si="195"/>
        <v/>
      </c>
      <c r="AB156" s="14" t="str">
        <f t="shared" si="195"/>
        <v/>
      </c>
      <c r="AC156" s="14" t="str">
        <f t="shared" si="195"/>
        <v/>
      </c>
      <c r="AD156" s="14" t="str">
        <f t="shared" si="159"/>
        <v/>
      </c>
      <c r="AE156" s="14" t="str">
        <f t="shared" si="160"/>
        <v/>
      </c>
      <c r="AF156" s="14" t="str">
        <f t="shared" si="161"/>
        <v/>
      </c>
      <c r="AG156" s="14" t="str">
        <f t="shared" si="162"/>
        <v/>
      </c>
      <c r="AH156" s="14" t="str">
        <f t="shared" si="163"/>
        <v/>
      </c>
      <c r="AI156" s="14" t="str">
        <f t="shared" si="164"/>
        <v/>
      </c>
      <c r="AJ156" s="14" t="str">
        <f t="shared" si="165"/>
        <v/>
      </c>
      <c r="AK156" s="14" t="str">
        <f t="shared" si="166"/>
        <v/>
      </c>
      <c r="AL156" s="14" t="str">
        <f t="shared" si="167"/>
        <v/>
      </c>
      <c r="AM156" s="14" t="str">
        <f t="shared" si="168"/>
        <v/>
      </c>
      <c r="AN156" s="14" t="str">
        <f t="shared" si="169"/>
        <v/>
      </c>
      <c r="AO156" s="14" t="str">
        <f t="shared" si="170"/>
        <v/>
      </c>
      <c r="AP156" s="186">
        <v>3.27</v>
      </c>
      <c r="AQ156" s="72">
        <f t="shared" si="171"/>
        <v>981</v>
      </c>
      <c r="AR156" s="72">
        <f t="shared" si="172"/>
        <v>7602.75</v>
      </c>
    </row>
    <row r="157" s="320" customFormat="1" customHeight="1" spans="1:44">
      <c r="A157" s="119">
        <v>46115</v>
      </c>
      <c r="B157" s="127">
        <v>46203</v>
      </c>
      <c r="C157" s="116" t="s">
        <v>246</v>
      </c>
      <c r="D157" s="125" t="s">
        <v>298</v>
      </c>
      <c r="E157" s="125" t="s">
        <v>357</v>
      </c>
      <c r="F157" s="125" t="s">
        <v>123</v>
      </c>
      <c r="G157" s="126">
        <v>1200</v>
      </c>
      <c r="H157" s="114" t="s">
        <v>258</v>
      </c>
      <c r="I157" s="125" t="str">
        <f>IFERROR(VLOOKUP(F157,名称!A:C,3,0),"")</f>
        <v>FNT</v>
      </c>
      <c r="J157" s="125" t="str">
        <f t="shared" ref="J157:AC157" si="196">IF(AND($F157=J$2,$G157&gt;0),$G157,"")</f>
        <v/>
      </c>
      <c r="K157" s="125" t="str">
        <f t="shared" si="196"/>
        <v/>
      </c>
      <c r="L157" s="125" t="str">
        <f t="shared" si="196"/>
        <v/>
      </c>
      <c r="M157" s="125" t="str">
        <f t="shared" si="196"/>
        <v/>
      </c>
      <c r="N157" s="125" t="str">
        <f t="shared" si="196"/>
        <v/>
      </c>
      <c r="O157" s="125" t="str">
        <f t="shared" si="196"/>
        <v/>
      </c>
      <c r="P157" s="125" t="str">
        <f t="shared" si="196"/>
        <v/>
      </c>
      <c r="Q157" s="125" t="str">
        <f t="shared" si="196"/>
        <v/>
      </c>
      <c r="R157" s="125" t="str">
        <f t="shared" si="196"/>
        <v/>
      </c>
      <c r="S157" s="125" t="str">
        <f t="shared" si="196"/>
        <v/>
      </c>
      <c r="T157" s="125" t="str">
        <f t="shared" si="196"/>
        <v/>
      </c>
      <c r="U157" s="125" t="str">
        <f t="shared" si="196"/>
        <v/>
      </c>
      <c r="V157" s="125" t="str">
        <f t="shared" si="196"/>
        <v/>
      </c>
      <c r="W157" s="125" t="str">
        <f t="shared" si="196"/>
        <v/>
      </c>
      <c r="X157" s="125" t="str">
        <f t="shared" si="196"/>
        <v/>
      </c>
      <c r="Y157" s="125" t="str">
        <f t="shared" si="196"/>
        <v/>
      </c>
      <c r="Z157" s="125" t="str">
        <f t="shared" si="196"/>
        <v/>
      </c>
      <c r="AA157" s="125" t="str">
        <f t="shared" si="196"/>
        <v/>
      </c>
      <c r="AB157" s="125" t="str">
        <f t="shared" si="196"/>
        <v/>
      </c>
      <c r="AC157" s="125" t="str">
        <f t="shared" si="196"/>
        <v/>
      </c>
      <c r="AD157" s="125">
        <f t="shared" si="159"/>
        <v>400</v>
      </c>
      <c r="AE157" s="125">
        <f t="shared" si="160"/>
        <v>400</v>
      </c>
      <c r="AF157" s="125">
        <f t="shared" si="161"/>
        <v>400</v>
      </c>
      <c r="AG157" s="125" t="str">
        <f t="shared" si="162"/>
        <v/>
      </c>
      <c r="AH157" s="125" t="str">
        <f t="shared" si="163"/>
        <v/>
      </c>
      <c r="AI157" s="125" t="str">
        <f t="shared" si="164"/>
        <v/>
      </c>
      <c r="AJ157" s="125" t="str">
        <f t="shared" si="165"/>
        <v/>
      </c>
      <c r="AK157" s="125" t="str">
        <f t="shared" si="166"/>
        <v/>
      </c>
      <c r="AL157" s="125" t="str">
        <f t="shared" si="167"/>
        <v/>
      </c>
      <c r="AM157" s="125" t="str">
        <f t="shared" si="168"/>
        <v/>
      </c>
      <c r="AN157" s="125" t="str">
        <f t="shared" si="169"/>
        <v/>
      </c>
      <c r="AO157" s="125" t="str">
        <f t="shared" si="170"/>
        <v/>
      </c>
      <c r="AP157" s="129">
        <v>2.06</v>
      </c>
      <c r="AQ157" s="130">
        <f t="shared" si="171"/>
        <v>2472</v>
      </c>
      <c r="AR157" s="130">
        <f t="shared" si="172"/>
        <v>19158</v>
      </c>
    </row>
    <row r="158" s="320" customFormat="1" customHeight="1" spans="1:44">
      <c r="A158" s="119">
        <v>46115</v>
      </c>
      <c r="B158" s="112">
        <v>46204</v>
      </c>
      <c r="C158" s="116" t="s">
        <v>246</v>
      </c>
      <c r="D158" s="114" t="s">
        <v>316</v>
      </c>
      <c r="E158" s="114" t="s">
        <v>358</v>
      </c>
      <c r="F158" s="114" t="s">
        <v>144</v>
      </c>
      <c r="G158" s="118">
        <v>654</v>
      </c>
      <c r="H158" s="114" t="s">
        <v>258</v>
      </c>
      <c r="I158" s="125" t="str">
        <f>IFERROR(VLOOKUP(F158,名称!A:C,3,0),"")</f>
        <v>FNT</v>
      </c>
      <c r="J158" s="125" t="str">
        <f t="shared" ref="J158:AC158" si="197">IF(AND($F158=J$2,$G158&gt;0),$G158,"")</f>
        <v/>
      </c>
      <c r="K158" s="125" t="str">
        <f t="shared" si="197"/>
        <v/>
      </c>
      <c r="L158" s="125" t="str">
        <f t="shared" si="197"/>
        <v/>
      </c>
      <c r="M158" s="125" t="str">
        <f t="shared" si="197"/>
        <v/>
      </c>
      <c r="N158" s="125" t="str">
        <f t="shared" si="197"/>
        <v/>
      </c>
      <c r="O158" s="125" t="str">
        <f t="shared" si="197"/>
        <v/>
      </c>
      <c r="P158" s="125" t="str">
        <f t="shared" si="197"/>
        <v/>
      </c>
      <c r="Q158" s="125" t="str">
        <f t="shared" si="197"/>
        <v/>
      </c>
      <c r="R158" s="125" t="str">
        <f t="shared" si="197"/>
        <v/>
      </c>
      <c r="S158" s="125" t="str">
        <f t="shared" si="197"/>
        <v/>
      </c>
      <c r="T158" s="125" t="str">
        <f t="shared" si="197"/>
        <v/>
      </c>
      <c r="U158" s="125" t="str">
        <f t="shared" si="197"/>
        <v/>
      </c>
      <c r="V158" s="125" t="str">
        <f t="shared" si="197"/>
        <v/>
      </c>
      <c r="W158" s="125" t="str">
        <f t="shared" si="197"/>
        <v/>
      </c>
      <c r="X158" s="125" t="str">
        <f t="shared" si="197"/>
        <v/>
      </c>
      <c r="Y158" s="125" t="str">
        <f t="shared" si="197"/>
        <v/>
      </c>
      <c r="Z158" s="125" t="str">
        <f t="shared" si="197"/>
        <v/>
      </c>
      <c r="AA158" s="125" t="str">
        <f t="shared" si="197"/>
        <v/>
      </c>
      <c r="AB158" s="125" t="str">
        <f t="shared" si="197"/>
        <v/>
      </c>
      <c r="AC158" s="125" t="str">
        <f t="shared" si="197"/>
        <v/>
      </c>
      <c r="AD158" s="125" t="str">
        <f t="shared" si="159"/>
        <v/>
      </c>
      <c r="AE158" s="125" t="str">
        <f t="shared" si="160"/>
        <v/>
      </c>
      <c r="AF158" s="125" t="str">
        <f t="shared" si="161"/>
        <v/>
      </c>
      <c r="AG158" s="125" t="str">
        <f t="shared" si="162"/>
        <v/>
      </c>
      <c r="AH158" s="125" t="str">
        <f t="shared" si="163"/>
        <v/>
      </c>
      <c r="AI158" s="125" t="str">
        <f t="shared" si="164"/>
        <v/>
      </c>
      <c r="AJ158" s="125">
        <f t="shared" si="165"/>
        <v>654</v>
      </c>
      <c r="AK158" s="125" t="str">
        <f t="shared" si="166"/>
        <v/>
      </c>
      <c r="AL158" s="125" t="str">
        <f t="shared" si="167"/>
        <v/>
      </c>
      <c r="AM158" s="125" t="str">
        <f t="shared" si="168"/>
        <v/>
      </c>
      <c r="AN158" s="125" t="str">
        <f t="shared" si="169"/>
        <v/>
      </c>
      <c r="AO158" s="125" t="str">
        <f t="shared" si="170"/>
        <v/>
      </c>
      <c r="AP158" s="122">
        <v>2.17</v>
      </c>
      <c r="AQ158" s="130">
        <f t="shared" si="171"/>
        <v>1419.18</v>
      </c>
      <c r="AR158" s="130">
        <f t="shared" si="172"/>
        <v>10998.65</v>
      </c>
    </row>
    <row r="159" s="45" customFormat="1" customHeight="1" spans="1:44">
      <c r="A159" s="74">
        <v>46121</v>
      </c>
      <c r="B159" s="56">
        <v>46136</v>
      </c>
      <c r="C159" s="172" t="s">
        <v>246</v>
      </c>
      <c r="D159" s="14" t="s">
        <v>274</v>
      </c>
      <c r="E159" s="14" t="s">
        <v>359</v>
      </c>
      <c r="F159" s="14" t="s">
        <v>205</v>
      </c>
      <c r="G159" s="171">
        <v>501</v>
      </c>
      <c r="H159" s="172" t="s">
        <v>255</v>
      </c>
      <c r="I159" s="14" t="str">
        <f>IFERROR(VLOOKUP(F159,名称!A:C,3,0),"")</f>
        <v>SNF</v>
      </c>
      <c r="J159" s="14" t="str">
        <f t="shared" ref="J159:AC159" si="198">IF(AND($F159=J$2,$G159&gt;0),$G159,"")</f>
        <v/>
      </c>
      <c r="K159" s="14" t="str">
        <f t="shared" si="198"/>
        <v/>
      </c>
      <c r="L159" s="14" t="str">
        <f t="shared" si="198"/>
        <v/>
      </c>
      <c r="M159" s="14" t="str">
        <f t="shared" si="198"/>
        <v/>
      </c>
      <c r="N159" s="14" t="str">
        <f t="shared" si="198"/>
        <v/>
      </c>
      <c r="O159" s="14" t="str">
        <f t="shared" si="198"/>
        <v/>
      </c>
      <c r="P159" s="14" t="str">
        <f t="shared" si="198"/>
        <v/>
      </c>
      <c r="Q159" s="14" t="str">
        <f t="shared" si="198"/>
        <v/>
      </c>
      <c r="R159" s="14" t="str">
        <f t="shared" si="198"/>
        <v/>
      </c>
      <c r="S159" s="14" t="str">
        <f t="shared" si="198"/>
        <v/>
      </c>
      <c r="T159" s="14" t="str">
        <f t="shared" si="198"/>
        <v/>
      </c>
      <c r="U159" s="14" t="str">
        <f t="shared" si="198"/>
        <v/>
      </c>
      <c r="V159" s="14" t="str">
        <f t="shared" si="198"/>
        <v/>
      </c>
      <c r="W159" s="14" t="str">
        <f t="shared" si="198"/>
        <v/>
      </c>
      <c r="X159" s="14" t="str">
        <f t="shared" si="198"/>
        <v/>
      </c>
      <c r="Y159" s="14" t="str">
        <f t="shared" si="198"/>
        <v/>
      </c>
      <c r="Z159" s="14" t="str">
        <f t="shared" si="198"/>
        <v/>
      </c>
      <c r="AA159" s="14">
        <f t="shared" si="198"/>
        <v>501</v>
      </c>
      <c r="AB159" s="14" t="str">
        <f t="shared" si="198"/>
        <v/>
      </c>
      <c r="AC159" s="14" t="str">
        <f t="shared" si="198"/>
        <v/>
      </c>
      <c r="AD159" s="14" t="str">
        <f t="shared" si="159"/>
        <v/>
      </c>
      <c r="AE159" s="14" t="str">
        <f t="shared" si="160"/>
        <v/>
      </c>
      <c r="AF159" s="14" t="str">
        <f t="shared" si="161"/>
        <v/>
      </c>
      <c r="AG159" s="14" t="str">
        <f t="shared" si="162"/>
        <v/>
      </c>
      <c r="AH159" s="14" t="str">
        <f t="shared" si="163"/>
        <v/>
      </c>
      <c r="AI159" s="14" t="str">
        <f t="shared" si="164"/>
        <v/>
      </c>
      <c r="AJ159" s="14" t="str">
        <f t="shared" si="165"/>
        <v/>
      </c>
      <c r="AK159" s="14" t="str">
        <f t="shared" si="166"/>
        <v/>
      </c>
      <c r="AL159" s="14" t="str">
        <f t="shared" si="167"/>
        <v/>
      </c>
      <c r="AM159" s="14" t="str">
        <f t="shared" si="168"/>
        <v/>
      </c>
      <c r="AN159" s="14" t="str">
        <f t="shared" si="169"/>
        <v/>
      </c>
      <c r="AO159" s="14" t="str">
        <f t="shared" si="170"/>
        <v/>
      </c>
      <c r="AP159" s="71">
        <v>3.64</v>
      </c>
      <c r="AQ159" s="72">
        <f t="shared" si="171"/>
        <v>1823.64</v>
      </c>
      <c r="AR159" s="72">
        <f t="shared" si="172"/>
        <v>14133.21</v>
      </c>
    </row>
    <row r="160" s="45" customFormat="1" customHeight="1" spans="1:44">
      <c r="A160" s="74">
        <v>46121</v>
      </c>
      <c r="B160" s="56">
        <v>46357</v>
      </c>
      <c r="C160" s="172" t="s">
        <v>246</v>
      </c>
      <c r="D160" s="14" t="s">
        <v>353</v>
      </c>
      <c r="E160" s="172" t="s">
        <v>360</v>
      </c>
      <c r="F160" s="14" t="s">
        <v>222</v>
      </c>
      <c r="G160" s="175">
        <v>450</v>
      </c>
      <c r="H160" s="172" t="s">
        <v>276</v>
      </c>
      <c r="I160" s="14" t="str">
        <f>IFERROR(VLOOKUP(F160,名称!A:C,3,0),"")</f>
        <v>SNF</v>
      </c>
      <c r="J160" s="14" t="str">
        <f t="shared" ref="J160:AC160" si="199">IF(AND($F160=J$2,$G160&gt;0),$G160,"")</f>
        <v/>
      </c>
      <c r="K160" s="14" t="str">
        <f t="shared" si="199"/>
        <v/>
      </c>
      <c r="L160" s="14" t="str">
        <f t="shared" si="199"/>
        <v/>
      </c>
      <c r="M160" s="14" t="str">
        <f t="shared" si="199"/>
        <v/>
      </c>
      <c r="N160" s="14" t="str">
        <f t="shared" si="199"/>
        <v/>
      </c>
      <c r="O160" s="14" t="str">
        <f t="shared" si="199"/>
        <v/>
      </c>
      <c r="P160" s="14" t="str">
        <f t="shared" si="199"/>
        <v/>
      </c>
      <c r="Q160" s="14" t="str">
        <f t="shared" si="199"/>
        <v/>
      </c>
      <c r="R160" s="14" t="str">
        <f t="shared" si="199"/>
        <v/>
      </c>
      <c r="S160" s="14" t="str">
        <f t="shared" si="199"/>
        <v/>
      </c>
      <c r="T160" s="14" t="str">
        <f t="shared" si="199"/>
        <v/>
      </c>
      <c r="U160" s="14" t="str">
        <f t="shared" si="199"/>
        <v/>
      </c>
      <c r="V160" s="14" t="str">
        <f t="shared" si="199"/>
        <v/>
      </c>
      <c r="W160" s="14" t="str">
        <f t="shared" si="199"/>
        <v/>
      </c>
      <c r="X160" s="14" t="str">
        <f t="shared" si="199"/>
        <v/>
      </c>
      <c r="Y160" s="14" t="str">
        <f t="shared" si="199"/>
        <v/>
      </c>
      <c r="Z160" s="14" t="str">
        <f t="shared" si="199"/>
        <v/>
      </c>
      <c r="AA160" s="14" t="str">
        <f t="shared" si="199"/>
        <v/>
      </c>
      <c r="AB160" s="14" t="str">
        <f t="shared" si="199"/>
        <v/>
      </c>
      <c r="AC160" s="14">
        <f t="shared" si="199"/>
        <v>450</v>
      </c>
      <c r="AD160" s="14" t="str">
        <f t="shared" si="159"/>
        <v/>
      </c>
      <c r="AE160" s="14" t="str">
        <f t="shared" si="160"/>
        <v/>
      </c>
      <c r="AF160" s="14" t="str">
        <f t="shared" si="161"/>
        <v/>
      </c>
      <c r="AG160" s="14" t="str">
        <f t="shared" si="162"/>
        <v/>
      </c>
      <c r="AH160" s="14" t="str">
        <f t="shared" si="163"/>
        <v/>
      </c>
      <c r="AI160" s="14" t="str">
        <f t="shared" si="164"/>
        <v/>
      </c>
      <c r="AJ160" s="14" t="str">
        <f t="shared" si="165"/>
        <v/>
      </c>
      <c r="AK160" s="14" t="str">
        <f t="shared" si="166"/>
        <v/>
      </c>
      <c r="AL160" s="14" t="str">
        <f t="shared" si="167"/>
        <v/>
      </c>
      <c r="AM160" s="14" t="str">
        <f t="shared" si="168"/>
        <v/>
      </c>
      <c r="AN160" s="14" t="str">
        <f t="shared" si="169"/>
        <v/>
      </c>
      <c r="AO160" s="14" t="str">
        <f t="shared" si="170"/>
        <v/>
      </c>
      <c r="AP160" s="71">
        <v>4.28</v>
      </c>
      <c r="AQ160" s="72">
        <f t="shared" si="171"/>
        <v>1926</v>
      </c>
      <c r="AR160" s="72">
        <f t="shared" si="172"/>
        <v>14926.5</v>
      </c>
    </row>
    <row r="161" s="45" customFormat="1" customHeight="1" spans="1:44">
      <c r="A161" s="74">
        <v>46121</v>
      </c>
      <c r="B161" s="56">
        <v>46371</v>
      </c>
      <c r="C161" s="172" t="s">
        <v>246</v>
      </c>
      <c r="D161" s="14" t="s">
        <v>353</v>
      </c>
      <c r="E161" s="172" t="s">
        <v>361</v>
      </c>
      <c r="F161" s="14" t="s">
        <v>222</v>
      </c>
      <c r="G161" s="175">
        <v>450</v>
      </c>
      <c r="H161" s="172" t="s">
        <v>276</v>
      </c>
      <c r="I161" s="14" t="str">
        <f>IFERROR(VLOOKUP(F161,名称!A:C,3,0),"")</f>
        <v>SNF</v>
      </c>
      <c r="J161" s="14" t="str">
        <f t="shared" ref="J161:AC161" si="200">IF(AND($F161=J$2,$G161&gt;0),$G161,"")</f>
        <v/>
      </c>
      <c r="K161" s="14" t="str">
        <f t="shared" si="200"/>
        <v/>
      </c>
      <c r="L161" s="14" t="str">
        <f t="shared" si="200"/>
        <v/>
      </c>
      <c r="M161" s="14" t="str">
        <f t="shared" si="200"/>
        <v/>
      </c>
      <c r="N161" s="14" t="str">
        <f t="shared" si="200"/>
        <v/>
      </c>
      <c r="O161" s="14" t="str">
        <f t="shared" si="200"/>
        <v/>
      </c>
      <c r="P161" s="14" t="str">
        <f t="shared" si="200"/>
        <v/>
      </c>
      <c r="Q161" s="14" t="str">
        <f t="shared" si="200"/>
        <v/>
      </c>
      <c r="R161" s="14" t="str">
        <f t="shared" si="200"/>
        <v/>
      </c>
      <c r="S161" s="14" t="str">
        <f t="shared" si="200"/>
        <v/>
      </c>
      <c r="T161" s="14" t="str">
        <f t="shared" si="200"/>
        <v/>
      </c>
      <c r="U161" s="14" t="str">
        <f t="shared" si="200"/>
        <v/>
      </c>
      <c r="V161" s="14" t="str">
        <f t="shared" si="200"/>
        <v/>
      </c>
      <c r="W161" s="14" t="str">
        <f t="shared" si="200"/>
        <v/>
      </c>
      <c r="X161" s="14" t="str">
        <f t="shared" si="200"/>
        <v/>
      </c>
      <c r="Y161" s="14" t="str">
        <f t="shared" si="200"/>
        <v/>
      </c>
      <c r="Z161" s="14" t="str">
        <f t="shared" si="200"/>
        <v/>
      </c>
      <c r="AA161" s="14" t="str">
        <f t="shared" si="200"/>
        <v/>
      </c>
      <c r="AB161" s="14" t="str">
        <f t="shared" si="200"/>
        <v/>
      </c>
      <c r="AC161" s="14">
        <f t="shared" si="200"/>
        <v>450</v>
      </c>
      <c r="AD161" s="14" t="str">
        <f t="shared" si="159"/>
        <v/>
      </c>
      <c r="AE161" s="14" t="str">
        <f t="shared" si="160"/>
        <v/>
      </c>
      <c r="AF161" s="14" t="str">
        <f t="shared" si="161"/>
        <v/>
      </c>
      <c r="AG161" s="14" t="str">
        <f t="shared" si="162"/>
        <v/>
      </c>
      <c r="AH161" s="14" t="str">
        <f t="shared" si="163"/>
        <v/>
      </c>
      <c r="AI161" s="14" t="str">
        <f t="shared" si="164"/>
        <v/>
      </c>
      <c r="AJ161" s="14" t="str">
        <f t="shared" si="165"/>
        <v/>
      </c>
      <c r="AK161" s="14" t="str">
        <f t="shared" si="166"/>
        <v/>
      </c>
      <c r="AL161" s="14" t="str">
        <f t="shared" si="167"/>
        <v/>
      </c>
      <c r="AM161" s="14" t="str">
        <f t="shared" si="168"/>
        <v/>
      </c>
      <c r="AN161" s="14" t="str">
        <f t="shared" si="169"/>
        <v/>
      </c>
      <c r="AO161" s="14" t="str">
        <f t="shared" si="170"/>
        <v/>
      </c>
      <c r="AP161" s="71">
        <v>4.28</v>
      </c>
      <c r="AQ161" s="72">
        <f t="shared" si="171"/>
        <v>1926</v>
      </c>
      <c r="AR161" s="72">
        <f t="shared" si="172"/>
        <v>14926.5</v>
      </c>
    </row>
    <row r="162" s="320" customFormat="1" customHeight="1" spans="1:44">
      <c r="A162" s="119">
        <v>46121</v>
      </c>
      <c r="B162" s="127">
        <v>46204</v>
      </c>
      <c r="C162" s="114" t="s">
        <v>246</v>
      </c>
      <c r="D162" s="125" t="s">
        <v>362</v>
      </c>
      <c r="E162" s="125" t="s">
        <v>363</v>
      </c>
      <c r="F162" s="125" t="s">
        <v>222</v>
      </c>
      <c r="G162" s="126">
        <v>150</v>
      </c>
      <c r="H162" s="114" t="s">
        <v>276</v>
      </c>
      <c r="I162" s="125" t="str">
        <f>IFERROR(VLOOKUP(F162,名称!A:C,3,0),"")</f>
        <v>SNF</v>
      </c>
      <c r="J162" s="125" t="str">
        <f t="shared" ref="J162:AC162" si="201">IF(AND($F162=J$2,$G162&gt;0),$G162,"")</f>
        <v/>
      </c>
      <c r="K162" s="125" t="str">
        <f t="shared" si="201"/>
        <v/>
      </c>
      <c r="L162" s="125" t="str">
        <f t="shared" si="201"/>
        <v/>
      </c>
      <c r="M162" s="125" t="str">
        <f t="shared" si="201"/>
        <v/>
      </c>
      <c r="N162" s="125" t="str">
        <f t="shared" si="201"/>
        <v/>
      </c>
      <c r="O162" s="125" t="str">
        <f t="shared" si="201"/>
        <v/>
      </c>
      <c r="P162" s="125" t="str">
        <f t="shared" si="201"/>
        <v/>
      </c>
      <c r="Q162" s="125" t="str">
        <f t="shared" si="201"/>
        <v/>
      </c>
      <c r="R162" s="125" t="str">
        <f t="shared" si="201"/>
        <v/>
      </c>
      <c r="S162" s="125" t="str">
        <f t="shared" si="201"/>
        <v/>
      </c>
      <c r="T162" s="125" t="str">
        <f t="shared" si="201"/>
        <v/>
      </c>
      <c r="U162" s="125" t="str">
        <f t="shared" si="201"/>
        <v/>
      </c>
      <c r="V162" s="125" t="str">
        <f t="shared" si="201"/>
        <v/>
      </c>
      <c r="W162" s="125" t="str">
        <f t="shared" si="201"/>
        <v/>
      </c>
      <c r="X162" s="125" t="str">
        <f t="shared" si="201"/>
        <v/>
      </c>
      <c r="Y162" s="125" t="str">
        <f t="shared" si="201"/>
        <v/>
      </c>
      <c r="Z162" s="125" t="str">
        <f t="shared" si="201"/>
        <v/>
      </c>
      <c r="AA162" s="125" t="str">
        <f t="shared" si="201"/>
        <v/>
      </c>
      <c r="AB162" s="125" t="str">
        <f t="shared" si="201"/>
        <v/>
      </c>
      <c r="AC162" s="125">
        <f t="shared" si="201"/>
        <v>150</v>
      </c>
      <c r="AD162" s="125" t="str">
        <f t="shared" si="159"/>
        <v/>
      </c>
      <c r="AE162" s="125" t="str">
        <f t="shared" si="160"/>
        <v/>
      </c>
      <c r="AF162" s="125" t="str">
        <f t="shared" si="161"/>
        <v/>
      </c>
      <c r="AG162" s="125" t="str">
        <f t="shared" si="162"/>
        <v/>
      </c>
      <c r="AH162" s="125" t="str">
        <f t="shared" si="163"/>
        <v/>
      </c>
      <c r="AI162" s="125" t="str">
        <f t="shared" si="164"/>
        <v/>
      </c>
      <c r="AJ162" s="125" t="str">
        <f t="shared" si="165"/>
        <v/>
      </c>
      <c r="AK162" s="125" t="str">
        <f t="shared" si="166"/>
        <v/>
      </c>
      <c r="AL162" s="125" t="str">
        <f t="shared" si="167"/>
        <v/>
      </c>
      <c r="AM162" s="125" t="str">
        <f t="shared" si="168"/>
        <v/>
      </c>
      <c r="AN162" s="125" t="str">
        <f t="shared" si="169"/>
        <v/>
      </c>
      <c r="AO162" s="125" t="str">
        <f t="shared" si="170"/>
        <v/>
      </c>
      <c r="AP162" s="129">
        <v>4.28</v>
      </c>
      <c r="AQ162" s="130">
        <f t="shared" si="171"/>
        <v>642</v>
      </c>
      <c r="AR162" s="130">
        <f t="shared" si="172"/>
        <v>4975.5</v>
      </c>
    </row>
    <row r="163" s="45" customFormat="1" customHeight="1" spans="1:44">
      <c r="A163" s="74">
        <v>46121</v>
      </c>
      <c r="B163" s="56">
        <v>46204</v>
      </c>
      <c r="C163" s="172" t="s">
        <v>246</v>
      </c>
      <c r="D163" s="14"/>
      <c r="E163" s="14" t="s">
        <v>363</v>
      </c>
      <c r="F163" s="14" t="s">
        <v>222</v>
      </c>
      <c r="G163" s="171">
        <v>1</v>
      </c>
      <c r="H163" s="172" t="s">
        <v>276</v>
      </c>
      <c r="I163" s="14" t="str">
        <f>IFERROR(VLOOKUP(F163,名称!A:C,3,0),"")</f>
        <v>SNF</v>
      </c>
      <c r="J163" s="14" t="str">
        <f t="shared" ref="J163:AC163" si="202">IF(AND($F163=J$2,$G163&gt;0),$G163,"")</f>
        <v/>
      </c>
      <c r="K163" s="14" t="str">
        <f t="shared" si="202"/>
        <v/>
      </c>
      <c r="L163" s="14" t="str">
        <f t="shared" si="202"/>
        <v/>
      </c>
      <c r="M163" s="14" t="str">
        <f t="shared" si="202"/>
        <v/>
      </c>
      <c r="N163" s="14" t="str">
        <f t="shared" si="202"/>
        <v/>
      </c>
      <c r="O163" s="14" t="str">
        <f t="shared" si="202"/>
        <v/>
      </c>
      <c r="P163" s="14" t="str">
        <f t="shared" si="202"/>
        <v/>
      </c>
      <c r="Q163" s="14" t="str">
        <f t="shared" si="202"/>
        <v/>
      </c>
      <c r="R163" s="14" t="str">
        <f t="shared" si="202"/>
        <v/>
      </c>
      <c r="S163" s="14" t="str">
        <f t="shared" si="202"/>
        <v/>
      </c>
      <c r="T163" s="14" t="str">
        <f t="shared" si="202"/>
        <v/>
      </c>
      <c r="U163" s="14" t="str">
        <f t="shared" si="202"/>
        <v/>
      </c>
      <c r="V163" s="14" t="str">
        <f t="shared" si="202"/>
        <v/>
      </c>
      <c r="W163" s="14" t="str">
        <f t="shared" si="202"/>
        <v/>
      </c>
      <c r="X163" s="14" t="str">
        <f t="shared" si="202"/>
        <v/>
      </c>
      <c r="Y163" s="14" t="str">
        <f t="shared" si="202"/>
        <v/>
      </c>
      <c r="Z163" s="14" t="str">
        <f t="shared" si="202"/>
        <v/>
      </c>
      <c r="AA163" s="14" t="str">
        <f t="shared" si="202"/>
        <v/>
      </c>
      <c r="AB163" s="14" t="str">
        <f t="shared" si="202"/>
        <v/>
      </c>
      <c r="AC163" s="14">
        <f t="shared" si="202"/>
        <v>1</v>
      </c>
      <c r="AD163" s="14" t="str">
        <f t="shared" si="159"/>
        <v/>
      </c>
      <c r="AE163" s="14" t="str">
        <f t="shared" si="160"/>
        <v/>
      </c>
      <c r="AF163" s="14" t="str">
        <f t="shared" si="161"/>
        <v/>
      </c>
      <c r="AG163" s="14" t="str">
        <f t="shared" si="162"/>
        <v/>
      </c>
      <c r="AH163" s="14" t="str">
        <f t="shared" si="163"/>
        <v/>
      </c>
      <c r="AI163" s="14" t="str">
        <f t="shared" si="164"/>
        <v/>
      </c>
      <c r="AJ163" s="14" t="str">
        <f t="shared" si="165"/>
        <v/>
      </c>
      <c r="AK163" s="14" t="str">
        <f t="shared" si="166"/>
        <v/>
      </c>
      <c r="AL163" s="14" t="str">
        <f t="shared" si="167"/>
        <v/>
      </c>
      <c r="AM163" s="14" t="str">
        <f t="shared" si="168"/>
        <v/>
      </c>
      <c r="AN163" s="14" t="str">
        <f t="shared" si="169"/>
        <v/>
      </c>
      <c r="AO163" s="14" t="str">
        <f t="shared" si="170"/>
        <v/>
      </c>
      <c r="AP163" s="71">
        <v>4.28</v>
      </c>
      <c r="AQ163" s="72">
        <f t="shared" si="171"/>
        <v>4.28</v>
      </c>
      <c r="AR163" s="72">
        <f t="shared" si="172"/>
        <v>33.17</v>
      </c>
    </row>
    <row r="164" s="320" customFormat="1" customHeight="1" spans="1:44">
      <c r="A164" s="119">
        <v>46121</v>
      </c>
      <c r="B164" s="127">
        <v>46204</v>
      </c>
      <c r="C164" s="114" t="s">
        <v>246</v>
      </c>
      <c r="D164" s="125" t="s">
        <v>362</v>
      </c>
      <c r="E164" s="114" t="s">
        <v>364</v>
      </c>
      <c r="F164" s="125" t="s">
        <v>222</v>
      </c>
      <c r="G164" s="126">
        <v>150</v>
      </c>
      <c r="H164" s="114" t="s">
        <v>276</v>
      </c>
      <c r="I164" s="125" t="str">
        <f>IFERROR(VLOOKUP(F164,名称!A:C,3,0),"")</f>
        <v>SNF</v>
      </c>
      <c r="J164" s="125" t="str">
        <f t="shared" ref="J164:AC164" si="203">IF(AND($F164=J$2,$G164&gt;0),$G164,"")</f>
        <v/>
      </c>
      <c r="K164" s="125" t="str">
        <f t="shared" si="203"/>
        <v/>
      </c>
      <c r="L164" s="125" t="str">
        <f t="shared" si="203"/>
        <v/>
      </c>
      <c r="M164" s="125" t="str">
        <f t="shared" si="203"/>
        <v/>
      </c>
      <c r="N164" s="125" t="str">
        <f t="shared" si="203"/>
        <v/>
      </c>
      <c r="O164" s="125" t="str">
        <f t="shared" si="203"/>
        <v/>
      </c>
      <c r="P164" s="125" t="str">
        <f t="shared" si="203"/>
        <v/>
      </c>
      <c r="Q164" s="125" t="str">
        <f t="shared" si="203"/>
        <v/>
      </c>
      <c r="R164" s="125" t="str">
        <f t="shared" si="203"/>
        <v/>
      </c>
      <c r="S164" s="125" t="str">
        <f t="shared" si="203"/>
        <v/>
      </c>
      <c r="T164" s="125" t="str">
        <f t="shared" si="203"/>
        <v/>
      </c>
      <c r="U164" s="125" t="str">
        <f t="shared" si="203"/>
        <v/>
      </c>
      <c r="V164" s="125" t="str">
        <f t="shared" si="203"/>
        <v/>
      </c>
      <c r="W164" s="125" t="str">
        <f t="shared" si="203"/>
        <v/>
      </c>
      <c r="X164" s="125" t="str">
        <f t="shared" si="203"/>
        <v/>
      </c>
      <c r="Y164" s="125" t="str">
        <f t="shared" si="203"/>
        <v/>
      </c>
      <c r="Z164" s="125" t="str">
        <f t="shared" si="203"/>
        <v/>
      </c>
      <c r="AA164" s="125" t="str">
        <f t="shared" si="203"/>
        <v/>
      </c>
      <c r="AB164" s="125" t="str">
        <f t="shared" si="203"/>
        <v/>
      </c>
      <c r="AC164" s="125">
        <f t="shared" si="203"/>
        <v>150</v>
      </c>
      <c r="AD164" s="125" t="str">
        <f t="shared" si="159"/>
        <v/>
      </c>
      <c r="AE164" s="125" t="str">
        <f t="shared" si="160"/>
        <v/>
      </c>
      <c r="AF164" s="125" t="str">
        <f t="shared" si="161"/>
        <v/>
      </c>
      <c r="AG164" s="125" t="str">
        <f t="shared" si="162"/>
        <v/>
      </c>
      <c r="AH164" s="125" t="str">
        <f t="shared" si="163"/>
        <v/>
      </c>
      <c r="AI164" s="125" t="str">
        <f t="shared" si="164"/>
        <v/>
      </c>
      <c r="AJ164" s="125" t="str">
        <f t="shared" si="165"/>
        <v/>
      </c>
      <c r="AK164" s="125" t="str">
        <f t="shared" si="166"/>
        <v/>
      </c>
      <c r="AL164" s="125" t="str">
        <f t="shared" si="167"/>
        <v/>
      </c>
      <c r="AM164" s="125" t="str">
        <f t="shared" si="168"/>
        <v/>
      </c>
      <c r="AN164" s="125" t="str">
        <f t="shared" si="169"/>
        <v/>
      </c>
      <c r="AO164" s="125" t="str">
        <f t="shared" si="170"/>
        <v/>
      </c>
      <c r="AP164" s="129">
        <v>4.28</v>
      </c>
      <c r="AQ164" s="130">
        <f t="shared" si="171"/>
        <v>642</v>
      </c>
      <c r="AR164" s="130">
        <f t="shared" si="172"/>
        <v>4975.5</v>
      </c>
    </row>
    <row r="165" s="45" customFormat="1" customHeight="1" spans="1:44">
      <c r="A165" s="74">
        <v>46121</v>
      </c>
      <c r="B165" s="56">
        <v>46251</v>
      </c>
      <c r="C165" s="172" t="s">
        <v>246</v>
      </c>
      <c r="D165" s="14" t="s">
        <v>362</v>
      </c>
      <c r="E165" s="14" t="s">
        <v>365</v>
      </c>
      <c r="F165" s="14" t="s">
        <v>222</v>
      </c>
      <c r="G165" s="171">
        <v>504</v>
      </c>
      <c r="H165" s="172" t="s">
        <v>276</v>
      </c>
      <c r="I165" s="14" t="str">
        <f>IFERROR(VLOOKUP(F165,名称!A:C,3,0),"")</f>
        <v>SNF</v>
      </c>
      <c r="J165" s="14" t="str">
        <f t="shared" ref="J165:AC165" si="204">IF(AND($F165=J$2,$G165&gt;0),$G165,"")</f>
        <v/>
      </c>
      <c r="K165" s="14" t="str">
        <f t="shared" si="204"/>
        <v/>
      </c>
      <c r="L165" s="14" t="str">
        <f t="shared" si="204"/>
        <v/>
      </c>
      <c r="M165" s="14" t="str">
        <f t="shared" si="204"/>
        <v/>
      </c>
      <c r="N165" s="14" t="str">
        <f t="shared" si="204"/>
        <v/>
      </c>
      <c r="O165" s="14" t="str">
        <f t="shared" si="204"/>
        <v/>
      </c>
      <c r="P165" s="14" t="str">
        <f t="shared" si="204"/>
        <v/>
      </c>
      <c r="Q165" s="14" t="str">
        <f t="shared" si="204"/>
        <v/>
      </c>
      <c r="R165" s="14" t="str">
        <f t="shared" si="204"/>
        <v/>
      </c>
      <c r="S165" s="14" t="str">
        <f t="shared" si="204"/>
        <v/>
      </c>
      <c r="T165" s="14" t="str">
        <f t="shared" si="204"/>
        <v/>
      </c>
      <c r="U165" s="14" t="str">
        <f t="shared" si="204"/>
        <v/>
      </c>
      <c r="V165" s="14" t="str">
        <f t="shared" si="204"/>
        <v/>
      </c>
      <c r="W165" s="14" t="str">
        <f t="shared" si="204"/>
        <v/>
      </c>
      <c r="X165" s="14" t="str">
        <f t="shared" si="204"/>
        <v/>
      </c>
      <c r="Y165" s="14" t="str">
        <f t="shared" si="204"/>
        <v/>
      </c>
      <c r="Z165" s="14" t="str">
        <f t="shared" si="204"/>
        <v/>
      </c>
      <c r="AA165" s="14" t="str">
        <f t="shared" si="204"/>
        <v/>
      </c>
      <c r="AB165" s="14" t="str">
        <f t="shared" si="204"/>
        <v/>
      </c>
      <c r="AC165" s="14">
        <f t="shared" si="204"/>
        <v>504</v>
      </c>
      <c r="AD165" s="14" t="str">
        <f t="shared" si="159"/>
        <v/>
      </c>
      <c r="AE165" s="14" t="str">
        <f t="shared" si="160"/>
        <v/>
      </c>
      <c r="AF165" s="14" t="str">
        <f t="shared" si="161"/>
        <v/>
      </c>
      <c r="AG165" s="14" t="str">
        <f t="shared" si="162"/>
        <v/>
      </c>
      <c r="AH165" s="14" t="str">
        <f t="shared" si="163"/>
        <v/>
      </c>
      <c r="AI165" s="14" t="str">
        <f t="shared" si="164"/>
        <v/>
      </c>
      <c r="AJ165" s="14" t="str">
        <f t="shared" si="165"/>
        <v/>
      </c>
      <c r="AK165" s="14" t="str">
        <f t="shared" si="166"/>
        <v/>
      </c>
      <c r="AL165" s="14" t="str">
        <f t="shared" si="167"/>
        <v/>
      </c>
      <c r="AM165" s="14" t="str">
        <f t="shared" si="168"/>
        <v/>
      </c>
      <c r="AN165" s="14" t="str">
        <f t="shared" si="169"/>
        <v/>
      </c>
      <c r="AO165" s="14" t="str">
        <f t="shared" si="170"/>
        <v/>
      </c>
      <c r="AP165" s="71">
        <v>4.28</v>
      </c>
      <c r="AQ165" s="72">
        <f t="shared" si="171"/>
        <v>2157.12</v>
      </c>
      <c r="AR165" s="72">
        <f t="shared" si="172"/>
        <v>16717.68</v>
      </c>
    </row>
    <row r="166" s="45" customFormat="1" customHeight="1" spans="1:44">
      <c r="A166" s="74">
        <v>46121</v>
      </c>
      <c r="B166" s="56">
        <v>46280</v>
      </c>
      <c r="C166" s="172" t="s">
        <v>246</v>
      </c>
      <c r="D166" s="14" t="s">
        <v>362</v>
      </c>
      <c r="E166" s="14" t="s">
        <v>366</v>
      </c>
      <c r="F166" s="14" t="s">
        <v>222</v>
      </c>
      <c r="G166" s="171">
        <v>696</v>
      </c>
      <c r="H166" s="172" t="s">
        <v>276</v>
      </c>
      <c r="I166" s="14" t="str">
        <f>IFERROR(VLOOKUP(F166,名称!A:C,3,0),"")</f>
        <v>SNF</v>
      </c>
      <c r="J166" s="14" t="str">
        <f t="shared" ref="J166:AC166" si="205">IF(AND($F166=J$2,$G166&gt;0),$G166,"")</f>
        <v/>
      </c>
      <c r="K166" s="14" t="str">
        <f t="shared" si="205"/>
        <v/>
      </c>
      <c r="L166" s="14" t="str">
        <f t="shared" si="205"/>
        <v/>
      </c>
      <c r="M166" s="14" t="str">
        <f t="shared" si="205"/>
        <v/>
      </c>
      <c r="N166" s="14" t="str">
        <f t="shared" si="205"/>
        <v/>
      </c>
      <c r="O166" s="14" t="str">
        <f t="shared" si="205"/>
        <v/>
      </c>
      <c r="P166" s="14" t="str">
        <f t="shared" si="205"/>
        <v/>
      </c>
      <c r="Q166" s="14" t="str">
        <f t="shared" si="205"/>
        <v/>
      </c>
      <c r="R166" s="14" t="str">
        <f t="shared" si="205"/>
        <v/>
      </c>
      <c r="S166" s="14" t="str">
        <f t="shared" si="205"/>
        <v/>
      </c>
      <c r="T166" s="14" t="str">
        <f t="shared" si="205"/>
        <v/>
      </c>
      <c r="U166" s="14" t="str">
        <f t="shared" si="205"/>
        <v/>
      </c>
      <c r="V166" s="14" t="str">
        <f t="shared" si="205"/>
        <v/>
      </c>
      <c r="W166" s="14" t="str">
        <f t="shared" si="205"/>
        <v/>
      </c>
      <c r="X166" s="14" t="str">
        <f t="shared" si="205"/>
        <v/>
      </c>
      <c r="Y166" s="14" t="str">
        <f t="shared" si="205"/>
        <v/>
      </c>
      <c r="Z166" s="14" t="str">
        <f t="shared" si="205"/>
        <v/>
      </c>
      <c r="AA166" s="14" t="str">
        <f t="shared" si="205"/>
        <v/>
      </c>
      <c r="AB166" s="14" t="str">
        <f t="shared" si="205"/>
        <v/>
      </c>
      <c r="AC166" s="14">
        <f t="shared" si="205"/>
        <v>696</v>
      </c>
      <c r="AD166" s="14" t="str">
        <f t="shared" si="159"/>
        <v/>
      </c>
      <c r="AE166" s="14" t="str">
        <f t="shared" si="160"/>
        <v/>
      </c>
      <c r="AF166" s="14" t="str">
        <f t="shared" si="161"/>
        <v/>
      </c>
      <c r="AG166" s="14" t="str">
        <f t="shared" si="162"/>
        <v/>
      </c>
      <c r="AH166" s="14" t="str">
        <f t="shared" si="163"/>
        <v/>
      </c>
      <c r="AI166" s="14" t="str">
        <f t="shared" si="164"/>
        <v/>
      </c>
      <c r="AJ166" s="14" t="str">
        <f t="shared" si="165"/>
        <v/>
      </c>
      <c r="AK166" s="14" t="str">
        <f t="shared" si="166"/>
        <v/>
      </c>
      <c r="AL166" s="14" t="str">
        <f t="shared" si="167"/>
        <v/>
      </c>
      <c r="AM166" s="14" t="str">
        <f t="shared" si="168"/>
        <v/>
      </c>
      <c r="AN166" s="14" t="str">
        <f t="shared" si="169"/>
        <v/>
      </c>
      <c r="AO166" s="14" t="str">
        <f t="shared" si="170"/>
        <v/>
      </c>
      <c r="AP166" s="71">
        <v>4.28</v>
      </c>
      <c r="AQ166" s="72">
        <f t="shared" si="171"/>
        <v>2978.88</v>
      </c>
      <c r="AR166" s="72">
        <f t="shared" si="172"/>
        <v>23086.32</v>
      </c>
    </row>
    <row r="167" s="45" customFormat="1" customHeight="1" spans="1:44">
      <c r="A167" s="74">
        <v>46121</v>
      </c>
      <c r="B167" s="56">
        <v>46280</v>
      </c>
      <c r="C167" s="172" t="s">
        <v>246</v>
      </c>
      <c r="D167" s="14" t="s">
        <v>353</v>
      </c>
      <c r="E167" s="14" t="s">
        <v>366</v>
      </c>
      <c r="F167" s="14" t="s">
        <v>222</v>
      </c>
      <c r="G167" s="175">
        <v>606</v>
      </c>
      <c r="H167" s="172" t="s">
        <v>276</v>
      </c>
      <c r="I167" s="14" t="str">
        <f>IFERROR(VLOOKUP(F167,名称!A:C,3,0),"")</f>
        <v>SNF</v>
      </c>
      <c r="J167" s="14" t="str">
        <f t="shared" ref="J167:AC167" si="206">IF(AND($F167=J$2,$G167&gt;0),$G167,"")</f>
        <v/>
      </c>
      <c r="K167" s="14" t="str">
        <f t="shared" si="206"/>
        <v/>
      </c>
      <c r="L167" s="14" t="str">
        <f t="shared" si="206"/>
        <v/>
      </c>
      <c r="M167" s="14" t="str">
        <f t="shared" si="206"/>
        <v/>
      </c>
      <c r="N167" s="14" t="str">
        <f t="shared" si="206"/>
        <v/>
      </c>
      <c r="O167" s="14" t="str">
        <f t="shared" si="206"/>
        <v/>
      </c>
      <c r="P167" s="14" t="str">
        <f t="shared" si="206"/>
        <v/>
      </c>
      <c r="Q167" s="14" t="str">
        <f t="shared" si="206"/>
        <v/>
      </c>
      <c r="R167" s="14" t="str">
        <f t="shared" si="206"/>
        <v/>
      </c>
      <c r="S167" s="14" t="str">
        <f t="shared" si="206"/>
        <v/>
      </c>
      <c r="T167" s="14" t="str">
        <f t="shared" si="206"/>
        <v/>
      </c>
      <c r="U167" s="14" t="str">
        <f t="shared" si="206"/>
        <v/>
      </c>
      <c r="V167" s="14" t="str">
        <f t="shared" si="206"/>
        <v/>
      </c>
      <c r="W167" s="14" t="str">
        <f t="shared" si="206"/>
        <v/>
      </c>
      <c r="X167" s="14" t="str">
        <f t="shared" si="206"/>
        <v/>
      </c>
      <c r="Y167" s="14" t="str">
        <f t="shared" si="206"/>
        <v/>
      </c>
      <c r="Z167" s="14" t="str">
        <f t="shared" si="206"/>
        <v/>
      </c>
      <c r="AA167" s="14" t="str">
        <f t="shared" si="206"/>
        <v/>
      </c>
      <c r="AB167" s="14" t="str">
        <f t="shared" si="206"/>
        <v/>
      </c>
      <c r="AC167" s="14">
        <f t="shared" si="206"/>
        <v>606</v>
      </c>
      <c r="AD167" s="14" t="str">
        <f t="shared" si="159"/>
        <v/>
      </c>
      <c r="AE167" s="14" t="str">
        <f t="shared" si="160"/>
        <v/>
      </c>
      <c r="AF167" s="14" t="str">
        <f t="shared" si="161"/>
        <v/>
      </c>
      <c r="AG167" s="14" t="str">
        <f t="shared" si="162"/>
        <v/>
      </c>
      <c r="AH167" s="14" t="str">
        <f t="shared" si="163"/>
        <v/>
      </c>
      <c r="AI167" s="14" t="str">
        <f t="shared" si="164"/>
        <v/>
      </c>
      <c r="AJ167" s="14" t="str">
        <f t="shared" si="165"/>
        <v/>
      </c>
      <c r="AK167" s="14" t="str">
        <f t="shared" si="166"/>
        <v/>
      </c>
      <c r="AL167" s="14" t="str">
        <f t="shared" si="167"/>
        <v/>
      </c>
      <c r="AM167" s="14" t="str">
        <f t="shared" si="168"/>
        <v/>
      </c>
      <c r="AN167" s="14" t="str">
        <f t="shared" si="169"/>
        <v/>
      </c>
      <c r="AO167" s="14" t="str">
        <f t="shared" si="170"/>
        <v/>
      </c>
      <c r="AP167" s="71">
        <v>4.28</v>
      </c>
      <c r="AQ167" s="72">
        <f t="shared" si="171"/>
        <v>2593.68</v>
      </c>
      <c r="AR167" s="72">
        <f t="shared" si="172"/>
        <v>20101.02</v>
      </c>
    </row>
    <row r="168" s="320" customFormat="1" customHeight="1" spans="1:44">
      <c r="A168" s="119">
        <v>46123</v>
      </c>
      <c r="B168" s="112">
        <v>46207</v>
      </c>
      <c r="C168" s="114" t="s">
        <v>246</v>
      </c>
      <c r="D168" s="114"/>
      <c r="E168" s="114" t="s">
        <v>367</v>
      </c>
      <c r="F168" s="114" t="s">
        <v>148</v>
      </c>
      <c r="G168" s="118">
        <v>3006</v>
      </c>
      <c r="H168" s="114" t="s">
        <v>258</v>
      </c>
      <c r="I168" s="125" t="str">
        <f>IFERROR(VLOOKUP(F168,名称!A:C,3,0),"")</f>
        <v>FNT</v>
      </c>
      <c r="J168" s="125" t="str">
        <f t="shared" ref="J168:AC168" si="207">IF(AND($F168=J$2,$G168&gt;0),$G168,"")</f>
        <v/>
      </c>
      <c r="K168" s="125" t="str">
        <f t="shared" si="207"/>
        <v/>
      </c>
      <c r="L168" s="125" t="str">
        <f t="shared" si="207"/>
        <v/>
      </c>
      <c r="M168" s="125" t="str">
        <f t="shared" si="207"/>
        <v/>
      </c>
      <c r="N168" s="125" t="str">
        <f t="shared" si="207"/>
        <v/>
      </c>
      <c r="O168" s="125" t="str">
        <f t="shared" si="207"/>
        <v/>
      </c>
      <c r="P168" s="125" t="str">
        <f t="shared" si="207"/>
        <v/>
      </c>
      <c r="Q168" s="125" t="str">
        <f t="shared" si="207"/>
        <v/>
      </c>
      <c r="R168" s="125">
        <f t="shared" si="207"/>
        <v>3006</v>
      </c>
      <c r="S168" s="125" t="str">
        <f t="shared" si="207"/>
        <v/>
      </c>
      <c r="T168" s="125" t="str">
        <f t="shared" si="207"/>
        <v/>
      </c>
      <c r="U168" s="125" t="str">
        <f t="shared" si="207"/>
        <v/>
      </c>
      <c r="V168" s="125" t="str">
        <f t="shared" si="207"/>
        <v/>
      </c>
      <c r="W168" s="125" t="str">
        <f t="shared" si="207"/>
        <v/>
      </c>
      <c r="X168" s="125" t="str">
        <f t="shared" si="207"/>
        <v/>
      </c>
      <c r="Y168" s="125" t="str">
        <f t="shared" si="207"/>
        <v/>
      </c>
      <c r="Z168" s="125" t="str">
        <f t="shared" si="207"/>
        <v/>
      </c>
      <c r="AA168" s="125" t="str">
        <f t="shared" si="207"/>
        <v/>
      </c>
      <c r="AB168" s="125" t="str">
        <f t="shared" si="207"/>
        <v/>
      </c>
      <c r="AC168" s="125" t="str">
        <f t="shared" si="207"/>
        <v/>
      </c>
      <c r="AD168" s="125" t="str">
        <f t="shared" si="159"/>
        <v/>
      </c>
      <c r="AE168" s="125" t="str">
        <f t="shared" si="160"/>
        <v/>
      </c>
      <c r="AF168" s="125" t="str">
        <f t="shared" si="161"/>
        <v/>
      </c>
      <c r="AG168" s="125" t="str">
        <f t="shared" si="162"/>
        <v/>
      </c>
      <c r="AH168" s="125" t="str">
        <f t="shared" si="163"/>
        <v/>
      </c>
      <c r="AI168" s="125" t="str">
        <f t="shared" si="164"/>
        <v/>
      </c>
      <c r="AJ168" s="125" t="str">
        <f t="shared" si="165"/>
        <v/>
      </c>
      <c r="AK168" s="125" t="str">
        <f t="shared" si="166"/>
        <v/>
      </c>
      <c r="AL168" s="125" t="str">
        <f t="shared" si="167"/>
        <v/>
      </c>
      <c r="AM168" s="125" t="str">
        <f t="shared" si="168"/>
        <v/>
      </c>
      <c r="AN168" s="125" t="str">
        <f t="shared" si="169"/>
        <v/>
      </c>
      <c r="AO168" s="125" t="str">
        <f t="shared" si="170"/>
        <v/>
      </c>
      <c r="AP168" s="122">
        <v>2.69</v>
      </c>
      <c r="AQ168" s="130">
        <f t="shared" si="171"/>
        <v>8086.14</v>
      </c>
      <c r="AR168" s="130">
        <f t="shared" si="172"/>
        <v>62667.59</v>
      </c>
    </row>
    <row r="169" s="45" customFormat="1" customHeight="1" spans="1:44">
      <c r="A169" s="74">
        <v>46123</v>
      </c>
      <c r="B169" s="183">
        <v>46242</v>
      </c>
      <c r="C169" s="172" t="s">
        <v>246</v>
      </c>
      <c r="D169" s="172"/>
      <c r="E169" s="172" t="s">
        <v>368</v>
      </c>
      <c r="F169" s="172" t="s">
        <v>155</v>
      </c>
      <c r="G169" s="175">
        <v>3000</v>
      </c>
      <c r="H169" s="172" t="s">
        <v>258</v>
      </c>
      <c r="I169" s="14" t="str">
        <f>IFERROR(VLOOKUP(F169,名称!A:C,3,0),"")</f>
        <v>FNT</v>
      </c>
      <c r="J169" s="14" t="str">
        <f t="shared" ref="J169:AC169" si="208">IF(AND($F169=J$2,$G169&gt;0),$G169,"")</f>
        <v/>
      </c>
      <c r="K169" s="14" t="str">
        <f t="shared" si="208"/>
        <v/>
      </c>
      <c r="L169" s="14" t="str">
        <f t="shared" si="208"/>
        <v/>
      </c>
      <c r="M169" s="14" t="str">
        <f t="shared" si="208"/>
        <v/>
      </c>
      <c r="N169" s="14" t="str">
        <f t="shared" si="208"/>
        <v/>
      </c>
      <c r="O169" s="14" t="str">
        <f t="shared" si="208"/>
        <v/>
      </c>
      <c r="P169" s="14" t="str">
        <f t="shared" si="208"/>
        <v/>
      </c>
      <c r="Q169" s="14" t="str">
        <f t="shared" si="208"/>
        <v/>
      </c>
      <c r="R169" s="14" t="str">
        <f t="shared" si="208"/>
        <v/>
      </c>
      <c r="S169" s="14" t="str">
        <f t="shared" si="208"/>
        <v/>
      </c>
      <c r="T169" s="14" t="str">
        <f t="shared" si="208"/>
        <v/>
      </c>
      <c r="U169" s="14" t="str">
        <f t="shared" si="208"/>
        <v/>
      </c>
      <c r="V169" s="14" t="str">
        <f t="shared" si="208"/>
        <v/>
      </c>
      <c r="W169" s="14">
        <f t="shared" si="208"/>
        <v>3000</v>
      </c>
      <c r="X169" s="14" t="str">
        <f t="shared" si="208"/>
        <v/>
      </c>
      <c r="Y169" s="14" t="str">
        <f t="shared" si="208"/>
        <v/>
      </c>
      <c r="Z169" s="14" t="str">
        <f t="shared" si="208"/>
        <v/>
      </c>
      <c r="AA169" s="14" t="str">
        <f t="shared" si="208"/>
        <v/>
      </c>
      <c r="AB169" s="14" t="str">
        <f t="shared" si="208"/>
        <v/>
      </c>
      <c r="AC169" s="14" t="str">
        <f t="shared" si="208"/>
        <v/>
      </c>
      <c r="AD169" s="14" t="str">
        <f t="shared" si="159"/>
        <v/>
      </c>
      <c r="AE169" s="14" t="str">
        <f t="shared" si="160"/>
        <v/>
      </c>
      <c r="AF169" s="14" t="str">
        <f t="shared" si="161"/>
        <v/>
      </c>
      <c r="AG169" s="14" t="str">
        <f t="shared" si="162"/>
        <v/>
      </c>
      <c r="AH169" s="14" t="str">
        <f t="shared" si="163"/>
        <v/>
      </c>
      <c r="AI169" s="14" t="str">
        <f t="shared" si="164"/>
        <v/>
      </c>
      <c r="AJ169" s="14" t="str">
        <f t="shared" si="165"/>
        <v/>
      </c>
      <c r="AK169" s="14" t="str">
        <f t="shared" si="166"/>
        <v/>
      </c>
      <c r="AL169" s="14" t="str">
        <f t="shared" si="167"/>
        <v/>
      </c>
      <c r="AM169" s="14" t="str">
        <f t="shared" si="168"/>
        <v/>
      </c>
      <c r="AN169" s="14" t="str">
        <f t="shared" si="169"/>
        <v/>
      </c>
      <c r="AO169" s="14" t="str">
        <f t="shared" si="170"/>
        <v/>
      </c>
      <c r="AP169" s="186">
        <v>13.8</v>
      </c>
      <c r="AQ169" s="72">
        <f t="shared" si="171"/>
        <v>41400</v>
      </c>
      <c r="AR169" s="72">
        <f t="shared" si="172"/>
        <v>320850</v>
      </c>
    </row>
    <row r="170" s="45" customFormat="1" customHeight="1" spans="1:44">
      <c r="A170" s="74">
        <v>46123</v>
      </c>
      <c r="B170" s="183">
        <v>46204</v>
      </c>
      <c r="C170" s="172" t="s">
        <v>246</v>
      </c>
      <c r="D170" s="172" t="s">
        <v>369</v>
      </c>
      <c r="E170" s="172" t="s">
        <v>370</v>
      </c>
      <c r="F170" s="172" t="s">
        <v>148</v>
      </c>
      <c r="G170" s="175">
        <v>14</v>
      </c>
      <c r="H170" s="172" t="s">
        <v>255</v>
      </c>
      <c r="I170" s="14" t="str">
        <f>IFERROR(VLOOKUP(F170,名称!A:C,3,0),"")</f>
        <v>FNT</v>
      </c>
      <c r="J170" s="14" t="str">
        <f t="shared" ref="J170:AC170" si="209">IF(AND($F170=J$2,$G170&gt;0),$G170,"")</f>
        <v/>
      </c>
      <c r="K170" s="14" t="str">
        <f t="shared" si="209"/>
        <v/>
      </c>
      <c r="L170" s="14" t="str">
        <f t="shared" si="209"/>
        <v/>
      </c>
      <c r="M170" s="14" t="str">
        <f t="shared" si="209"/>
        <v/>
      </c>
      <c r="N170" s="14" t="str">
        <f t="shared" si="209"/>
        <v/>
      </c>
      <c r="O170" s="14" t="str">
        <f t="shared" si="209"/>
        <v/>
      </c>
      <c r="P170" s="14" t="str">
        <f t="shared" si="209"/>
        <v/>
      </c>
      <c r="Q170" s="14" t="str">
        <f t="shared" si="209"/>
        <v/>
      </c>
      <c r="R170" s="14">
        <f t="shared" si="209"/>
        <v>14</v>
      </c>
      <c r="S170" s="14" t="str">
        <f t="shared" si="209"/>
        <v/>
      </c>
      <c r="T170" s="14" t="str">
        <f t="shared" si="209"/>
        <v/>
      </c>
      <c r="U170" s="14" t="str">
        <f t="shared" si="209"/>
        <v/>
      </c>
      <c r="V170" s="14" t="str">
        <f t="shared" si="209"/>
        <v/>
      </c>
      <c r="W170" s="14" t="str">
        <f t="shared" si="209"/>
        <v/>
      </c>
      <c r="X170" s="14" t="str">
        <f t="shared" si="209"/>
        <v/>
      </c>
      <c r="Y170" s="14" t="str">
        <f t="shared" si="209"/>
        <v/>
      </c>
      <c r="Z170" s="14" t="str">
        <f t="shared" si="209"/>
        <v/>
      </c>
      <c r="AA170" s="14" t="str">
        <f t="shared" si="209"/>
        <v/>
      </c>
      <c r="AB170" s="14" t="str">
        <f t="shared" si="209"/>
        <v/>
      </c>
      <c r="AC170" s="14" t="str">
        <f t="shared" si="209"/>
        <v/>
      </c>
      <c r="AD170" s="14" t="str">
        <f t="shared" si="159"/>
        <v/>
      </c>
      <c r="AE170" s="14" t="str">
        <f t="shared" si="160"/>
        <v/>
      </c>
      <c r="AF170" s="14" t="str">
        <f t="shared" si="161"/>
        <v/>
      </c>
      <c r="AG170" s="14" t="str">
        <f t="shared" si="162"/>
        <v/>
      </c>
      <c r="AH170" s="14" t="str">
        <f t="shared" si="163"/>
        <v/>
      </c>
      <c r="AI170" s="14" t="str">
        <f t="shared" si="164"/>
        <v/>
      </c>
      <c r="AJ170" s="14" t="str">
        <f t="shared" si="165"/>
        <v/>
      </c>
      <c r="AK170" s="14" t="str">
        <f t="shared" si="166"/>
        <v/>
      </c>
      <c r="AL170" s="14" t="str">
        <f t="shared" si="167"/>
        <v/>
      </c>
      <c r="AM170" s="14" t="str">
        <f t="shared" si="168"/>
        <v/>
      </c>
      <c r="AN170" s="14" t="str">
        <f t="shared" si="169"/>
        <v/>
      </c>
      <c r="AO170" s="14" t="str">
        <f t="shared" si="170"/>
        <v/>
      </c>
      <c r="AP170" s="186">
        <v>2.69</v>
      </c>
      <c r="AQ170" s="72">
        <f t="shared" si="171"/>
        <v>37.66</v>
      </c>
      <c r="AR170" s="72">
        <f t="shared" si="172"/>
        <v>291.87</v>
      </c>
    </row>
    <row r="171" s="45" customFormat="1" customHeight="1" spans="1:44">
      <c r="A171" s="56">
        <v>46148</v>
      </c>
      <c r="B171" s="56">
        <v>46203</v>
      </c>
      <c r="C171" s="172" t="s">
        <v>246</v>
      </c>
      <c r="D171" s="14" t="s">
        <v>321</v>
      </c>
      <c r="E171" s="14" t="s">
        <v>371</v>
      </c>
      <c r="F171" s="14" t="s">
        <v>127</v>
      </c>
      <c r="G171" s="175">
        <f>402+402</f>
        <v>804</v>
      </c>
      <c r="H171" s="172" t="s">
        <v>258</v>
      </c>
      <c r="I171" s="14" t="str">
        <f>IFERROR(VLOOKUP(F171,名称!A:C,3,0),"")</f>
        <v>FNT</v>
      </c>
      <c r="J171" s="14" t="str">
        <f t="shared" ref="J171:AC171" si="210">IF(AND($F171=J$2,$G171&gt;0),$G171,"")</f>
        <v/>
      </c>
      <c r="K171" s="14" t="str">
        <f t="shared" si="210"/>
        <v/>
      </c>
      <c r="L171" s="14" t="str">
        <f t="shared" si="210"/>
        <v/>
      </c>
      <c r="M171" s="14" t="str">
        <f t="shared" si="210"/>
        <v/>
      </c>
      <c r="N171" s="14" t="str">
        <f t="shared" si="210"/>
        <v/>
      </c>
      <c r="O171" s="14" t="str">
        <f t="shared" si="210"/>
        <v/>
      </c>
      <c r="P171" s="14" t="str">
        <f t="shared" si="210"/>
        <v/>
      </c>
      <c r="Q171" s="14" t="str">
        <f t="shared" si="210"/>
        <v/>
      </c>
      <c r="R171" s="14" t="str">
        <f t="shared" si="210"/>
        <v/>
      </c>
      <c r="S171" s="14" t="str">
        <f t="shared" si="210"/>
        <v/>
      </c>
      <c r="T171" s="14" t="str">
        <f t="shared" si="210"/>
        <v/>
      </c>
      <c r="U171" s="14" t="str">
        <f t="shared" si="210"/>
        <v/>
      </c>
      <c r="V171" s="14" t="str">
        <f t="shared" si="210"/>
        <v/>
      </c>
      <c r="W171" s="14" t="str">
        <f t="shared" si="210"/>
        <v/>
      </c>
      <c r="X171" s="14" t="str">
        <f t="shared" si="210"/>
        <v/>
      </c>
      <c r="Y171" s="14" t="str">
        <f t="shared" si="210"/>
        <v/>
      </c>
      <c r="Z171" s="14" t="str">
        <f t="shared" si="210"/>
        <v/>
      </c>
      <c r="AA171" s="14" t="str">
        <f t="shared" si="210"/>
        <v/>
      </c>
      <c r="AB171" s="14" t="str">
        <f t="shared" si="210"/>
        <v/>
      </c>
      <c r="AC171" s="14" t="str">
        <f t="shared" si="210"/>
        <v/>
      </c>
      <c r="AD171" s="14" t="str">
        <f t="shared" si="159"/>
        <v/>
      </c>
      <c r="AE171" s="14" t="str">
        <f t="shared" si="160"/>
        <v/>
      </c>
      <c r="AF171" s="14" t="str">
        <f t="shared" si="161"/>
        <v/>
      </c>
      <c r="AG171" s="14" t="str">
        <f t="shared" si="162"/>
        <v/>
      </c>
      <c r="AH171" s="14" t="str">
        <f t="shared" si="163"/>
        <v/>
      </c>
      <c r="AI171" s="14" t="str">
        <f t="shared" si="164"/>
        <v/>
      </c>
      <c r="AJ171" s="14">
        <f t="shared" si="165"/>
        <v>268</v>
      </c>
      <c r="AK171" s="14">
        <f t="shared" si="166"/>
        <v>134</v>
      </c>
      <c r="AL171" s="14">
        <f t="shared" si="167"/>
        <v>134</v>
      </c>
      <c r="AM171" s="14">
        <f t="shared" si="168"/>
        <v>268</v>
      </c>
      <c r="AN171" s="14" t="str">
        <f t="shared" si="169"/>
        <v/>
      </c>
      <c r="AO171" s="14" t="str">
        <f t="shared" si="170"/>
        <v/>
      </c>
      <c r="AP171" s="71">
        <v>2.315</v>
      </c>
      <c r="AQ171" s="72">
        <f t="shared" si="171"/>
        <v>1861.26</v>
      </c>
      <c r="AR171" s="72">
        <f t="shared" si="172"/>
        <v>14424.77</v>
      </c>
    </row>
    <row r="172" s="45" customFormat="1" customHeight="1" spans="1:44">
      <c r="A172" s="74">
        <v>46149</v>
      </c>
      <c r="B172" s="183">
        <v>46223</v>
      </c>
      <c r="C172" s="172" t="s">
        <v>246</v>
      </c>
      <c r="D172" s="172"/>
      <c r="E172" s="172" t="s">
        <v>372</v>
      </c>
      <c r="F172" s="172" t="s">
        <v>154</v>
      </c>
      <c r="G172" s="175">
        <v>3000</v>
      </c>
      <c r="H172" s="172" t="s">
        <v>258</v>
      </c>
      <c r="I172" s="14" t="str">
        <f>IFERROR(VLOOKUP(F172,名称!A:C,3,0),"")</f>
        <v>FNT</v>
      </c>
      <c r="J172" s="14" t="str">
        <f t="shared" ref="J172:AC172" si="211">IF(AND($F172=J$2,$G172&gt;0),$G172,"")</f>
        <v/>
      </c>
      <c r="K172" s="14" t="str">
        <f t="shared" si="211"/>
        <v/>
      </c>
      <c r="L172" s="14" t="str">
        <f t="shared" si="211"/>
        <v/>
      </c>
      <c r="M172" s="14" t="str">
        <f t="shared" si="211"/>
        <v/>
      </c>
      <c r="N172" s="14" t="str">
        <f t="shared" si="211"/>
        <v/>
      </c>
      <c r="O172" s="14" t="str">
        <f t="shared" si="211"/>
        <v/>
      </c>
      <c r="P172" s="14" t="str">
        <f t="shared" si="211"/>
        <v/>
      </c>
      <c r="Q172" s="14" t="str">
        <f t="shared" si="211"/>
        <v/>
      </c>
      <c r="R172" s="14" t="str">
        <f t="shared" si="211"/>
        <v/>
      </c>
      <c r="S172" s="14" t="str">
        <f t="shared" si="211"/>
        <v/>
      </c>
      <c r="T172" s="14" t="str">
        <f t="shared" si="211"/>
        <v/>
      </c>
      <c r="U172" s="14" t="str">
        <f t="shared" si="211"/>
        <v/>
      </c>
      <c r="V172" s="14" t="str">
        <f t="shared" si="211"/>
        <v/>
      </c>
      <c r="W172" s="14" t="str">
        <f t="shared" si="211"/>
        <v/>
      </c>
      <c r="X172" s="14" t="str">
        <f t="shared" si="211"/>
        <v/>
      </c>
      <c r="Y172" s="14" t="str">
        <f t="shared" si="211"/>
        <v/>
      </c>
      <c r="Z172" s="14" t="str">
        <f t="shared" si="211"/>
        <v/>
      </c>
      <c r="AA172" s="14" t="str">
        <f t="shared" si="211"/>
        <v/>
      </c>
      <c r="AB172" s="14" t="str">
        <f t="shared" si="211"/>
        <v/>
      </c>
      <c r="AC172" s="14" t="str">
        <f t="shared" si="211"/>
        <v/>
      </c>
      <c r="AD172" s="14" t="str">
        <f t="shared" si="159"/>
        <v/>
      </c>
      <c r="AE172" s="14" t="str">
        <f t="shared" si="160"/>
        <v/>
      </c>
      <c r="AF172" s="14" t="str">
        <f t="shared" si="161"/>
        <v/>
      </c>
      <c r="AG172" s="14" t="str">
        <f t="shared" si="162"/>
        <v/>
      </c>
      <c r="AH172" s="14" t="str">
        <f t="shared" si="163"/>
        <v/>
      </c>
      <c r="AI172" s="14" t="str">
        <f t="shared" si="164"/>
        <v/>
      </c>
      <c r="AJ172" s="14"/>
      <c r="AK172" s="14" t="str">
        <f t="shared" si="166"/>
        <v/>
      </c>
      <c r="AL172" s="14" t="str">
        <f t="shared" si="167"/>
        <v/>
      </c>
      <c r="AM172" s="14" t="str">
        <f t="shared" si="168"/>
        <v/>
      </c>
      <c r="AN172" s="14">
        <f t="shared" si="169"/>
        <v>3000</v>
      </c>
      <c r="AO172" s="14" t="str">
        <f t="shared" si="170"/>
        <v/>
      </c>
      <c r="AP172" s="186">
        <v>14.55</v>
      </c>
      <c r="AQ172" s="72">
        <f t="shared" si="171"/>
        <v>43650</v>
      </c>
      <c r="AR172" s="72">
        <f t="shared" si="172"/>
        <v>338287.5</v>
      </c>
    </row>
    <row r="173" s="45" customFormat="1" customHeight="1" spans="1:44">
      <c r="A173" s="74">
        <v>46150</v>
      </c>
      <c r="B173" s="183">
        <v>46223</v>
      </c>
      <c r="C173" s="172" t="s">
        <v>246</v>
      </c>
      <c r="D173" s="172"/>
      <c r="E173" s="172" t="s">
        <v>373</v>
      </c>
      <c r="F173" s="172" t="s">
        <v>154</v>
      </c>
      <c r="G173" s="175">
        <v>28</v>
      </c>
      <c r="H173" s="172" t="s">
        <v>255</v>
      </c>
      <c r="I173" s="14" t="str">
        <f>IFERROR(VLOOKUP(F173,名称!A:C,3,0),"")</f>
        <v>FNT</v>
      </c>
      <c r="J173" s="14" t="str">
        <f t="shared" ref="J173:AC173" si="212">IF(AND($F173=J$2,$G173&gt;0),$G173,"")</f>
        <v/>
      </c>
      <c r="K173" s="14" t="str">
        <f t="shared" si="212"/>
        <v/>
      </c>
      <c r="L173" s="14" t="str">
        <f t="shared" si="212"/>
        <v/>
      </c>
      <c r="M173" s="14" t="str">
        <f t="shared" si="212"/>
        <v/>
      </c>
      <c r="N173" s="14" t="str">
        <f t="shared" si="212"/>
        <v/>
      </c>
      <c r="O173" s="14" t="str">
        <f t="shared" si="212"/>
        <v/>
      </c>
      <c r="P173" s="14" t="str">
        <f t="shared" si="212"/>
        <v/>
      </c>
      <c r="Q173" s="14" t="str">
        <f t="shared" si="212"/>
        <v/>
      </c>
      <c r="R173" s="14" t="str">
        <f t="shared" si="212"/>
        <v/>
      </c>
      <c r="S173" s="14" t="str">
        <f t="shared" si="212"/>
        <v/>
      </c>
      <c r="T173" s="14" t="str">
        <f t="shared" si="212"/>
        <v/>
      </c>
      <c r="U173" s="14" t="str">
        <f t="shared" si="212"/>
        <v/>
      </c>
      <c r="V173" s="14" t="str">
        <f t="shared" si="212"/>
        <v/>
      </c>
      <c r="W173" s="14" t="str">
        <f t="shared" si="212"/>
        <v/>
      </c>
      <c r="X173" s="14" t="str">
        <f t="shared" si="212"/>
        <v/>
      </c>
      <c r="Y173" s="14" t="str">
        <f t="shared" si="212"/>
        <v/>
      </c>
      <c r="Z173" s="14" t="str">
        <f t="shared" si="212"/>
        <v/>
      </c>
      <c r="AA173" s="14" t="str">
        <f t="shared" si="212"/>
        <v/>
      </c>
      <c r="AB173" s="14" t="str">
        <f t="shared" si="212"/>
        <v/>
      </c>
      <c r="AC173" s="14" t="str">
        <f t="shared" si="212"/>
        <v/>
      </c>
      <c r="AD173" s="14" t="str">
        <f t="shared" si="159"/>
        <v/>
      </c>
      <c r="AE173" s="14" t="str">
        <f t="shared" si="160"/>
        <v/>
      </c>
      <c r="AF173" s="14" t="str">
        <f t="shared" si="161"/>
        <v/>
      </c>
      <c r="AG173" s="14" t="str">
        <f t="shared" si="162"/>
        <v/>
      </c>
      <c r="AH173" s="14" t="str">
        <f t="shared" si="163"/>
        <v/>
      </c>
      <c r="AI173" s="14" t="str">
        <f t="shared" si="164"/>
        <v/>
      </c>
      <c r="AJ173" s="14" t="str">
        <f t="shared" ref="AJ173:AJ196" si="213">IF(AND($G173&gt;0,$F173&lt;&gt;""),IF($F173="FNT1608-I",IF(AJ$2="FNT1653",$G173*2/6,IF(AJ$2="FNT1654",$G173*1/6,IF(AJ$2="FNT1655",$G173*1/6,IF(AJ$2="FNT1657",$G173*2/6,"")))),IF($F173="FNT1608-K",IF(AJ$2="FNT1653",$G173*1/6,IF(AJ$2="FNT1654",$G173*2/6,IF(AJ$2="FNT1655",$G173*1/6,IF(AJ$2="FNT1657",$G173*2/6,"")))),IF($F173=AJ$2,$G173,""))),"")</f>
        <v/>
      </c>
      <c r="AK173" s="14" t="str">
        <f t="shared" si="166"/>
        <v/>
      </c>
      <c r="AL173" s="14" t="str">
        <f t="shared" si="167"/>
        <v/>
      </c>
      <c r="AM173" s="14" t="str">
        <f t="shared" si="168"/>
        <v/>
      </c>
      <c r="AN173" s="14">
        <f t="shared" si="169"/>
        <v>28</v>
      </c>
      <c r="AO173" s="14" t="str">
        <f t="shared" si="170"/>
        <v/>
      </c>
      <c r="AP173" s="186">
        <v>14.55</v>
      </c>
      <c r="AQ173" s="72">
        <f t="shared" si="171"/>
        <v>407.4</v>
      </c>
      <c r="AR173" s="72">
        <f t="shared" si="172"/>
        <v>3157.35</v>
      </c>
    </row>
    <row r="174" s="320" customFormat="1" customHeight="1" spans="1:44">
      <c r="A174" s="119">
        <v>46154</v>
      </c>
      <c r="B174" s="112">
        <v>46230</v>
      </c>
      <c r="C174" s="114" t="s">
        <v>246</v>
      </c>
      <c r="D174" s="114" t="s">
        <v>344</v>
      </c>
      <c r="E174" s="114" t="s">
        <v>374</v>
      </c>
      <c r="F174" s="114" t="s">
        <v>129</v>
      </c>
      <c r="G174" s="118">
        <v>3000</v>
      </c>
      <c r="H174" s="114" t="s">
        <v>258</v>
      </c>
      <c r="I174" s="125" t="str">
        <f>IFERROR(VLOOKUP(F174,名称!A:C,3,0),"")</f>
        <v>FNT</v>
      </c>
      <c r="J174" s="125" t="str">
        <f t="shared" ref="J174:AC174" si="214">IF(AND($F174=J$2,$G174&gt;0),$G174,"")</f>
        <v/>
      </c>
      <c r="K174" s="125" t="str">
        <f t="shared" si="214"/>
        <v/>
      </c>
      <c r="L174" s="125" t="str">
        <f t="shared" si="214"/>
        <v/>
      </c>
      <c r="M174" s="125" t="str">
        <f t="shared" si="214"/>
        <v/>
      </c>
      <c r="N174" s="125" t="str">
        <f t="shared" si="214"/>
        <v/>
      </c>
      <c r="O174" s="125" t="str">
        <f t="shared" si="214"/>
        <v/>
      </c>
      <c r="P174" s="125" t="str">
        <f t="shared" si="214"/>
        <v/>
      </c>
      <c r="Q174" s="125" t="str">
        <f t="shared" si="214"/>
        <v/>
      </c>
      <c r="R174" s="125" t="str">
        <f t="shared" si="214"/>
        <v/>
      </c>
      <c r="S174" s="125" t="str">
        <f t="shared" si="214"/>
        <v/>
      </c>
      <c r="T174" s="125" t="str">
        <f t="shared" si="214"/>
        <v/>
      </c>
      <c r="U174" s="125" t="str">
        <f t="shared" si="214"/>
        <v/>
      </c>
      <c r="V174" s="125" t="str">
        <f t="shared" si="214"/>
        <v/>
      </c>
      <c r="W174" s="125" t="str">
        <f t="shared" si="214"/>
        <v/>
      </c>
      <c r="X174" s="125" t="str">
        <f t="shared" si="214"/>
        <v/>
      </c>
      <c r="Y174" s="125" t="str">
        <f t="shared" si="214"/>
        <v/>
      </c>
      <c r="Z174" s="125" t="str">
        <f t="shared" si="214"/>
        <v/>
      </c>
      <c r="AA174" s="125" t="str">
        <f t="shared" si="214"/>
        <v/>
      </c>
      <c r="AB174" s="125" t="str">
        <f t="shared" si="214"/>
        <v/>
      </c>
      <c r="AC174" s="125" t="str">
        <f t="shared" si="214"/>
        <v/>
      </c>
      <c r="AD174" s="125" t="str">
        <f t="shared" si="159"/>
        <v/>
      </c>
      <c r="AE174" s="125" t="str">
        <f t="shared" si="160"/>
        <v/>
      </c>
      <c r="AF174" s="125" t="str">
        <f t="shared" si="161"/>
        <v/>
      </c>
      <c r="AG174" s="125" t="str">
        <f t="shared" si="162"/>
        <v/>
      </c>
      <c r="AH174" s="125" t="str">
        <f t="shared" si="163"/>
        <v/>
      </c>
      <c r="AI174" s="125" t="str">
        <f t="shared" si="164"/>
        <v/>
      </c>
      <c r="AJ174" s="125">
        <f t="shared" si="213"/>
        <v>500</v>
      </c>
      <c r="AK174" s="125">
        <f t="shared" si="166"/>
        <v>1000</v>
      </c>
      <c r="AL174" s="125">
        <f t="shared" si="167"/>
        <v>500</v>
      </c>
      <c r="AM174" s="125">
        <f t="shared" si="168"/>
        <v>1000</v>
      </c>
      <c r="AN174" s="125" t="str">
        <f t="shared" si="169"/>
        <v/>
      </c>
      <c r="AO174" s="125" t="str">
        <f t="shared" si="170"/>
        <v/>
      </c>
      <c r="AP174" s="122">
        <v>2.283</v>
      </c>
      <c r="AQ174" s="130">
        <f t="shared" si="171"/>
        <v>6849</v>
      </c>
      <c r="AR174" s="130">
        <f t="shared" si="172"/>
        <v>53079.75</v>
      </c>
    </row>
    <row r="175" s="45" customFormat="1" customHeight="1" spans="1:44">
      <c r="A175" s="74">
        <v>46162</v>
      </c>
      <c r="B175" s="183">
        <v>46195</v>
      </c>
      <c r="C175" s="172" t="s">
        <v>246</v>
      </c>
      <c r="D175" s="172"/>
      <c r="E175" s="172" t="s">
        <v>375</v>
      </c>
      <c r="F175" s="172" t="s">
        <v>153</v>
      </c>
      <c r="G175" s="175">
        <v>3000</v>
      </c>
      <c r="H175" s="172" t="s">
        <v>258</v>
      </c>
      <c r="I175" s="14" t="str">
        <f>IFERROR(VLOOKUP(F175,名称!A:C,3,0),"")</f>
        <v>FNT</v>
      </c>
      <c r="J175" s="14" t="str">
        <f t="shared" ref="J175:AC175" si="215">IF(AND($F175=J$2,$G175&gt;0),$G175,"")</f>
        <v/>
      </c>
      <c r="K175" s="14" t="str">
        <f t="shared" si="215"/>
        <v/>
      </c>
      <c r="L175" s="14" t="str">
        <f t="shared" si="215"/>
        <v/>
      </c>
      <c r="M175" s="14" t="str">
        <f t="shared" si="215"/>
        <v/>
      </c>
      <c r="N175" s="14" t="str">
        <f t="shared" si="215"/>
        <v/>
      </c>
      <c r="O175" s="14" t="str">
        <f t="shared" si="215"/>
        <v/>
      </c>
      <c r="P175" s="14" t="str">
        <f t="shared" si="215"/>
        <v/>
      </c>
      <c r="Q175" s="14" t="str">
        <f t="shared" si="215"/>
        <v/>
      </c>
      <c r="R175" s="14" t="str">
        <f t="shared" si="215"/>
        <v/>
      </c>
      <c r="S175" s="14" t="str">
        <f t="shared" si="215"/>
        <v/>
      </c>
      <c r="T175" s="14" t="str">
        <f t="shared" si="215"/>
        <v/>
      </c>
      <c r="U175" s="14" t="str">
        <f t="shared" si="215"/>
        <v/>
      </c>
      <c r="V175" s="14">
        <f t="shared" si="215"/>
        <v>3000</v>
      </c>
      <c r="W175" s="14" t="str">
        <f t="shared" si="215"/>
        <v/>
      </c>
      <c r="X175" s="14" t="str">
        <f t="shared" si="215"/>
        <v/>
      </c>
      <c r="Y175" s="14" t="str">
        <f t="shared" si="215"/>
        <v/>
      </c>
      <c r="Z175" s="14" t="str">
        <f t="shared" si="215"/>
        <v/>
      </c>
      <c r="AA175" s="14" t="str">
        <f t="shared" si="215"/>
        <v/>
      </c>
      <c r="AB175" s="14" t="str">
        <f t="shared" si="215"/>
        <v/>
      </c>
      <c r="AC175" s="14" t="str">
        <f t="shared" si="215"/>
        <v/>
      </c>
      <c r="AD175" s="14" t="str">
        <f t="shared" si="159"/>
        <v/>
      </c>
      <c r="AE175" s="14" t="str">
        <f t="shared" si="160"/>
        <v/>
      </c>
      <c r="AF175" s="14" t="str">
        <f t="shared" si="161"/>
        <v/>
      </c>
      <c r="AG175" s="14" t="str">
        <f t="shared" si="162"/>
        <v/>
      </c>
      <c r="AH175" s="14" t="str">
        <f t="shared" si="163"/>
        <v/>
      </c>
      <c r="AI175" s="14" t="str">
        <f t="shared" si="164"/>
        <v/>
      </c>
      <c r="AJ175" s="14" t="str">
        <f t="shared" si="213"/>
        <v/>
      </c>
      <c r="AK175" s="14" t="str">
        <f t="shared" si="166"/>
        <v/>
      </c>
      <c r="AL175" s="14" t="str">
        <f t="shared" si="167"/>
        <v/>
      </c>
      <c r="AM175" s="14" t="str">
        <f t="shared" si="168"/>
        <v/>
      </c>
      <c r="AN175" s="14" t="str">
        <f t="shared" si="169"/>
        <v/>
      </c>
      <c r="AO175" s="14" t="str">
        <f t="shared" si="170"/>
        <v/>
      </c>
      <c r="AP175" s="186">
        <v>9.79</v>
      </c>
      <c r="AQ175" s="72">
        <f t="shared" si="171"/>
        <v>29370</v>
      </c>
      <c r="AR175" s="72">
        <f t="shared" si="172"/>
        <v>227617.5</v>
      </c>
    </row>
    <row r="176" s="45" customFormat="1" customHeight="1" spans="1:44">
      <c r="A176" s="56">
        <v>46163</v>
      </c>
      <c r="B176" s="56">
        <v>46223</v>
      </c>
      <c r="C176" s="172" t="s">
        <v>259</v>
      </c>
      <c r="D176" s="14" t="s">
        <v>321</v>
      </c>
      <c r="E176" s="14" t="s">
        <v>376</v>
      </c>
      <c r="F176" s="14" t="s">
        <v>127</v>
      </c>
      <c r="G176" s="171">
        <v>600</v>
      </c>
      <c r="H176" s="172" t="s">
        <v>258</v>
      </c>
      <c r="I176" s="14" t="str">
        <f>IFERROR(VLOOKUP(F176,名称!A:C,3,0),"")</f>
        <v>FNT</v>
      </c>
      <c r="J176" s="14" t="str">
        <f t="shared" ref="J176:AC176" si="216">IF(AND($F176=J$2,$G176&gt;0),$G176,"")</f>
        <v/>
      </c>
      <c r="K176" s="14" t="str">
        <f t="shared" si="216"/>
        <v/>
      </c>
      <c r="L176" s="14" t="str">
        <f t="shared" si="216"/>
        <v/>
      </c>
      <c r="M176" s="14" t="str">
        <f t="shared" si="216"/>
        <v/>
      </c>
      <c r="N176" s="14" t="str">
        <f t="shared" si="216"/>
        <v/>
      </c>
      <c r="O176" s="14" t="str">
        <f t="shared" si="216"/>
        <v/>
      </c>
      <c r="P176" s="14" t="str">
        <f t="shared" si="216"/>
        <v/>
      </c>
      <c r="Q176" s="14" t="str">
        <f t="shared" si="216"/>
        <v/>
      </c>
      <c r="R176" s="14" t="str">
        <f t="shared" si="216"/>
        <v/>
      </c>
      <c r="S176" s="14" t="str">
        <f t="shared" si="216"/>
        <v/>
      </c>
      <c r="T176" s="14" t="str">
        <f t="shared" si="216"/>
        <v/>
      </c>
      <c r="U176" s="14" t="str">
        <f t="shared" si="216"/>
        <v/>
      </c>
      <c r="V176" s="14" t="str">
        <f t="shared" si="216"/>
        <v/>
      </c>
      <c r="W176" s="14" t="str">
        <f t="shared" si="216"/>
        <v/>
      </c>
      <c r="X176" s="14" t="str">
        <f t="shared" si="216"/>
        <v/>
      </c>
      <c r="Y176" s="14" t="str">
        <f t="shared" si="216"/>
        <v/>
      </c>
      <c r="Z176" s="14" t="str">
        <f t="shared" si="216"/>
        <v/>
      </c>
      <c r="AA176" s="14" t="str">
        <f t="shared" si="216"/>
        <v/>
      </c>
      <c r="AB176" s="14" t="str">
        <f t="shared" si="216"/>
        <v/>
      </c>
      <c r="AC176" s="14" t="str">
        <f t="shared" si="216"/>
        <v/>
      </c>
      <c r="AD176" s="14" t="str">
        <f t="shared" si="159"/>
        <v/>
      </c>
      <c r="AE176" s="14" t="str">
        <f t="shared" si="160"/>
        <v/>
      </c>
      <c r="AF176" s="14" t="str">
        <f t="shared" si="161"/>
        <v/>
      </c>
      <c r="AG176" s="14" t="str">
        <f t="shared" si="162"/>
        <v/>
      </c>
      <c r="AH176" s="14" t="str">
        <f t="shared" si="163"/>
        <v/>
      </c>
      <c r="AI176" s="14" t="str">
        <f t="shared" si="164"/>
        <v/>
      </c>
      <c r="AJ176" s="14">
        <f t="shared" si="213"/>
        <v>200</v>
      </c>
      <c r="AK176" s="14">
        <f t="shared" si="166"/>
        <v>100</v>
      </c>
      <c r="AL176" s="14">
        <f t="shared" si="167"/>
        <v>100</v>
      </c>
      <c r="AM176" s="14">
        <f t="shared" si="168"/>
        <v>200</v>
      </c>
      <c r="AN176" s="14" t="str">
        <f t="shared" si="169"/>
        <v/>
      </c>
      <c r="AO176" s="14" t="str">
        <f t="shared" si="170"/>
        <v/>
      </c>
      <c r="AP176" s="71">
        <v>2.315</v>
      </c>
      <c r="AQ176" s="72">
        <f t="shared" si="171"/>
        <v>1389</v>
      </c>
      <c r="AR176" s="72">
        <f t="shared" si="172"/>
        <v>10764.75</v>
      </c>
    </row>
    <row r="177" s="45" customFormat="1" customHeight="1" spans="1:44">
      <c r="A177" s="56">
        <v>46163</v>
      </c>
      <c r="B177" s="56">
        <v>46234</v>
      </c>
      <c r="C177" s="172" t="s">
        <v>259</v>
      </c>
      <c r="D177" s="14" t="s">
        <v>321</v>
      </c>
      <c r="E177" s="14" t="s">
        <v>377</v>
      </c>
      <c r="F177" s="14" t="s">
        <v>127</v>
      </c>
      <c r="G177" s="171">
        <v>1200</v>
      </c>
      <c r="H177" s="172" t="s">
        <v>258</v>
      </c>
      <c r="I177" s="14" t="str">
        <f>IFERROR(VLOOKUP(F177,名称!A:C,3,0),"")</f>
        <v>FNT</v>
      </c>
      <c r="J177" s="14" t="str">
        <f t="shared" ref="J177:AC177" si="217">IF(AND($F177=J$2,$G177&gt;0),$G177,"")</f>
        <v/>
      </c>
      <c r="K177" s="14" t="str">
        <f t="shared" si="217"/>
        <v/>
      </c>
      <c r="L177" s="14" t="str">
        <f t="shared" si="217"/>
        <v/>
      </c>
      <c r="M177" s="14" t="str">
        <f t="shared" si="217"/>
        <v/>
      </c>
      <c r="N177" s="14" t="str">
        <f t="shared" si="217"/>
        <v/>
      </c>
      <c r="O177" s="14" t="str">
        <f t="shared" si="217"/>
        <v/>
      </c>
      <c r="P177" s="14" t="str">
        <f t="shared" si="217"/>
        <v/>
      </c>
      <c r="Q177" s="14" t="str">
        <f t="shared" si="217"/>
        <v/>
      </c>
      <c r="R177" s="14" t="str">
        <f t="shared" si="217"/>
        <v/>
      </c>
      <c r="S177" s="14" t="str">
        <f t="shared" si="217"/>
        <v/>
      </c>
      <c r="T177" s="14" t="str">
        <f t="shared" si="217"/>
        <v/>
      </c>
      <c r="U177" s="14" t="str">
        <f t="shared" si="217"/>
        <v/>
      </c>
      <c r="V177" s="14" t="str">
        <f t="shared" si="217"/>
        <v/>
      </c>
      <c r="W177" s="14" t="str">
        <f t="shared" si="217"/>
        <v/>
      </c>
      <c r="X177" s="14" t="str">
        <f t="shared" si="217"/>
        <v/>
      </c>
      <c r="Y177" s="14" t="str">
        <f t="shared" si="217"/>
        <v/>
      </c>
      <c r="Z177" s="14" t="str">
        <f t="shared" si="217"/>
        <v/>
      </c>
      <c r="AA177" s="14" t="str">
        <f t="shared" si="217"/>
        <v/>
      </c>
      <c r="AB177" s="14" t="str">
        <f t="shared" si="217"/>
        <v/>
      </c>
      <c r="AC177" s="14" t="str">
        <f t="shared" si="217"/>
        <v/>
      </c>
      <c r="AD177" s="14" t="str">
        <f t="shared" si="159"/>
        <v/>
      </c>
      <c r="AE177" s="14" t="str">
        <f t="shared" si="160"/>
        <v/>
      </c>
      <c r="AF177" s="14" t="str">
        <f t="shared" si="161"/>
        <v/>
      </c>
      <c r="AG177" s="14" t="str">
        <f t="shared" si="162"/>
        <v/>
      </c>
      <c r="AH177" s="14" t="str">
        <f t="shared" si="163"/>
        <v/>
      </c>
      <c r="AI177" s="14" t="str">
        <f t="shared" si="164"/>
        <v/>
      </c>
      <c r="AJ177" s="14">
        <f t="shared" si="213"/>
        <v>400</v>
      </c>
      <c r="AK177" s="14">
        <f t="shared" si="166"/>
        <v>200</v>
      </c>
      <c r="AL177" s="14">
        <f t="shared" si="167"/>
        <v>200</v>
      </c>
      <c r="AM177" s="14">
        <f t="shared" si="168"/>
        <v>400</v>
      </c>
      <c r="AN177" s="14" t="str">
        <f t="shared" si="169"/>
        <v/>
      </c>
      <c r="AO177" s="14" t="str">
        <f t="shared" si="170"/>
        <v/>
      </c>
      <c r="AP177" s="71">
        <v>2.315</v>
      </c>
      <c r="AQ177" s="72">
        <f t="shared" si="171"/>
        <v>2778</v>
      </c>
      <c r="AR177" s="72">
        <f t="shared" si="172"/>
        <v>21529.5</v>
      </c>
    </row>
    <row r="178" s="320" customFormat="1" customHeight="1" spans="1:44">
      <c r="A178" s="112">
        <v>46177</v>
      </c>
      <c r="B178" s="112">
        <v>46204</v>
      </c>
      <c r="C178" s="114" t="s">
        <v>246</v>
      </c>
      <c r="D178" s="114" t="s">
        <v>378</v>
      </c>
      <c r="E178" s="125" t="s">
        <v>379</v>
      </c>
      <c r="F178" s="114" t="s">
        <v>123</v>
      </c>
      <c r="G178" s="118">
        <v>1200</v>
      </c>
      <c r="H178" s="114" t="s">
        <v>258</v>
      </c>
      <c r="I178" s="125" t="str">
        <f>IFERROR(VLOOKUP(F178,名称!A:C,3,0),"")</f>
        <v>FNT</v>
      </c>
      <c r="J178" s="125" t="str">
        <f t="shared" ref="J178:AC178" si="218">IF(AND($F178=J$2,$G178&gt;0),$G178,"")</f>
        <v/>
      </c>
      <c r="K178" s="125" t="str">
        <f t="shared" si="218"/>
        <v/>
      </c>
      <c r="L178" s="125" t="str">
        <f t="shared" si="218"/>
        <v/>
      </c>
      <c r="M178" s="125" t="str">
        <f t="shared" si="218"/>
        <v/>
      </c>
      <c r="N178" s="125" t="str">
        <f t="shared" si="218"/>
        <v/>
      </c>
      <c r="O178" s="125" t="str">
        <f t="shared" si="218"/>
        <v/>
      </c>
      <c r="P178" s="125" t="str">
        <f t="shared" si="218"/>
        <v/>
      </c>
      <c r="Q178" s="125" t="str">
        <f t="shared" si="218"/>
        <v/>
      </c>
      <c r="R178" s="125" t="str">
        <f t="shared" si="218"/>
        <v/>
      </c>
      <c r="S178" s="125" t="str">
        <f t="shared" si="218"/>
        <v/>
      </c>
      <c r="T178" s="125" t="str">
        <f t="shared" si="218"/>
        <v/>
      </c>
      <c r="U178" s="125" t="str">
        <f t="shared" si="218"/>
        <v/>
      </c>
      <c r="V178" s="125" t="str">
        <f t="shared" si="218"/>
        <v/>
      </c>
      <c r="W178" s="125" t="str">
        <f t="shared" si="218"/>
        <v/>
      </c>
      <c r="X178" s="125" t="str">
        <f t="shared" si="218"/>
        <v/>
      </c>
      <c r="Y178" s="125" t="str">
        <f t="shared" si="218"/>
        <v/>
      </c>
      <c r="Z178" s="125" t="str">
        <f t="shared" si="218"/>
        <v/>
      </c>
      <c r="AA178" s="125" t="str">
        <f t="shared" si="218"/>
        <v/>
      </c>
      <c r="AB178" s="125" t="str">
        <f t="shared" si="218"/>
        <v/>
      </c>
      <c r="AC178" s="125" t="str">
        <f t="shared" si="218"/>
        <v/>
      </c>
      <c r="AD178" s="125">
        <f t="shared" si="159"/>
        <v>400</v>
      </c>
      <c r="AE178" s="125">
        <f t="shared" si="160"/>
        <v>400</v>
      </c>
      <c r="AF178" s="125">
        <f t="shared" si="161"/>
        <v>400</v>
      </c>
      <c r="AG178" s="125" t="str">
        <f t="shared" si="162"/>
        <v/>
      </c>
      <c r="AH178" s="125" t="str">
        <f t="shared" si="163"/>
        <v/>
      </c>
      <c r="AI178" s="125" t="str">
        <f t="shared" si="164"/>
        <v/>
      </c>
      <c r="AJ178" s="125" t="str">
        <f t="shared" si="213"/>
        <v/>
      </c>
      <c r="AK178" s="125" t="str">
        <f t="shared" si="166"/>
        <v/>
      </c>
      <c r="AL178" s="125" t="str">
        <f t="shared" si="167"/>
        <v/>
      </c>
      <c r="AM178" s="125" t="str">
        <f t="shared" si="168"/>
        <v/>
      </c>
      <c r="AN178" s="125" t="str">
        <f t="shared" si="169"/>
        <v/>
      </c>
      <c r="AO178" s="125" t="str">
        <f t="shared" si="170"/>
        <v/>
      </c>
      <c r="AP178" s="129">
        <v>2.06</v>
      </c>
      <c r="AQ178" s="130">
        <f t="shared" si="171"/>
        <v>2472</v>
      </c>
      <c r="AR178" s="130">
        <f t="shared" si="172"/>
        <v>19158</v>
      </c>
    </row>
    <row r="179" s="45" customFormat="1" customHeight="1" spans="1:44">
      <c r="A179" s="74">
        <v>46182</v>
      </c>
      <c r="B179" s="183">
        <v>46260</v>
      </c>
      <c r="C179" s="172" t="s">
        <v>259</v>
      </c>
      <c r="D179" s="172"/>
      <c r="E179" s="172" t="s">
        <v>380</v>
      </c>
      <c r="F179" s="172" t="s">
        <v>149</v>
      </c>
      <c r="G179" s="175">
        <f>8004-504</f>
        <v>7500</v>
      </c>
      <c r="H179" s="172" t="s">
        <v>258</v>
      </c>
      <c r="I179" s="14" t="str">
        <f>IFERROR(VLOOKUP(F179,名称!A:C,3,0),"")</f>
        <v>FNT</v>
      </c>
      <c r="J179" s="14" t="str">
        <f t="shared" ref="J179:AC179" si="219">IF(AND($F179=J$2,$G179&gt;0),$G179,"")</f>
        <v/>
      </c>
      <c r="K179" s="14" t="str">
        <f t="shared" si="219"/>
        <v/>
      </c>
      <c r="L179" s="14" t="str">
        <f t="shared" si="219"/>
        <v/>
      </c>
      <c r="M179" s="14" t="str">
        <f t="shared" si="219"/>
        <v/>
      </c>
      <c r="N179" s="14" t="str">
        <f t="shared" si="219"/>
        <v/>
      </c>
      <c r="O179" s="14" t="str">
        <f t="shared" si="219"/>
        <v/>
      </c>
      <c r="P179" s="14" t="str">
        <f t="shared" si="219"/>
        <v/>
      </c>
      <c r="Q179" s="14" t="str">
        <f t="shared" si="219"/>
        <v/>
      </c>
      <c r="R179" s="14" t="str">
        <f t="shared" si="219"/>
        <v/>
      </c>
      <c r="S179" s="14">
        <f t="shared" si="219"/>
        <v>7500</v>
      </c>
      <c r="T179" s="14" t="str">
        <f t="shared" si="219"/>
        <v/>
      </c>
      <c r="U179" s="14" t="str">
        <f t="shared" si="219"/>
        <v/>
      </c>
      <c r="V179" s="14" t="str">
        <f t="shared" si="219"/>
        <v/>
      </c>
      <c r="W179" s="14" t="str">
        <f t="shared" si="219"/>
        <v/>
      </c>
      <c r="X179" s="14" t="str">
        <f t="shared" si="219"/>
        <v/>
      </c>
      <c r="Y179" s="14" t="str">
        <f t="shared" si="219"/>
        <v/>
      </c>
      <c r="Z179" s="14" t="str">
        <f t="shared" si="219"/>
        <v/>
      </c>
      <c r="AA179" s="14" t="str">
        <f t="shared" si="219"/>
        <v/>
      </c>
      <c r="AB179" s="14" t="str">
        <f t="shared" si="219"/>
        <v/>
      </c>
      <c r="AC179" s="14" t="str">
        <f t="shared" si="219"/>
        <v/>
      </c>
      <c r="AD179" s="14" t="str">
        <f t="shared" si="159"/>
        <v/>
      </c>
      <c r="AE179" s="14" t="str">
        <f t="shared" si="160"/>
        <v/>
      </c>
      <c r="AF179" s="14" t="str">
        <f t="shared" si="161"/>
        <v/>
      </c>
      <c r="AG179" s="14" t="str">
        <f t="shared" si="162"/>
        <v/>
      </c>
      <c r="AH179" s="14" t="str">
        <f t="shared" si="163"/>
        <v/>
      </c>
      <c r="AI179" s="14" t="str">
        <f t="shared" si="164"/>
        <v/>
      </c>
      <c r="AJ179" s="14" t="str">
        <f t="shared" si="213"/>
        <v/>
      </c>
      <c r="AK179" s="14" t="str">
        <f t="shared" si="166"/>
        <v/>
      </c>
      <c r="AL179" s="14" t="str">
        <f t="shared" si="167"/>
        <v/>
      </c>
      <c r="AM179" s="14" t="str">
        <f t="shared" si="168"/>
        <v/>
      </c>
      <c r="AN179" s="14" t="str">
        <f t="shared" si="169"/>
        <v/>
      </c>
      <c r="AO179" s="14" t="str">
        <f t="shared" si="170"/>
        <v/>
      </c>
      <c r="AP179" s="186">
        <v>3.883</v>
      </c>
      <c r="AQ179" s="72">
        <f t="shared" si="171"/>
        <v>29122.5</v>
      </c>
      <c r="AR179" s="72">
        <f t="shared" si="172"/>
        <v>225699.38</v>
      </c>
    </row>
    <row r="180" s="45" customFormat="1" customHeight="1" spans="1:44">
      <c r="A180" s="74">
        <v>46183</v>
      </c>
      <c r="B180" s="183">
        <v>46263</v>
      </c>
      <c r="C180" s="172" t="s">
        <v>277</v>
      </c>
      <c r="D180" s="172"/>
      <c r="E180" s="172" t="s">
        <v>381</v>
      </c>
      <c r="F180" s="172" t="s">
        <v>150</v>
      </c>
      <c r="G180" s="175">
        <v>2004</v>
      </c>
      <c r="H180" s="172" t="s">
        <v>258</v>
      </c>
      <c r="I180" s="14" t="str">
        <f>IFERROR(VLOOKUP(F180,名称!A:C,3,0),"")</f>
        <v>FNT</v>
      </c>
      <c r="J180" s="14" t="str">
        <f t="shared" ref="J180:AC180" si="220">IF(AND($F180=J$2,$G180&gt;0),$G180,"")</f>
        <v/>
      </c>
      <c r="K180" s="14" t="str">
        <f t="shared" si="220"/>
        <v/>
      </c>
      <c r="L180" s="14" t="str">
        <f t="shared" si="220"/>
        <v/>
      </c>
      <c r="M180" s="14" t="str">
        <f t="shared" si="220"/>
        <v/>
      </c>
      <c r="N180" s="14" t="str">
        <f t="shared" si="220"/>
        <v/>
      </c>
      <c r="O180" s="14" t="str">
        <f t="shared" si="220"/>
        <v/>
      </c>
      <c r="P180" s="14" t="str">
        <f t="shared" si="220"/>
        <v/>
      </c>
      <c r="Q180" s="14" t="str">
        <f t="shared" si="220"/>
        <v/>
      </c>
      <c r="R180" s="14" t="str">
        <f t="shared" si="220"/>
        <v/>
      </c>
      <c r="S180" s="14" t="str">
        <f t="shared" si="220"/>
        <v/>
      </c>
      <c r="T180" s="14">
        <f t="shared" si="220"/>
        <v>2004</v>
      </c>
      <c r="U180" s="14" t="str">
        <f t="shared" si="220"/>
        <v/>
      </c>
      <c r="V180" s="14" t="str">
        <f t="shared" si="220"/>
        <v/>
      </c>
      <c r="W180" s="14" t="str">
        <f t="shared" si="220"/>
        <v/>
      </c>
      <c r="X180" s="14" t="str">
        <f t="shared" si="220"/>
        <v/>
      </c>
      <c r="Y180" s="14" t="str">
        <f t="shared" si="220"/>
        <v/>
      </c>
      <c r="Z180" s="14" t="str">
        <f t="shared" si="220"/>
        <v/>
      </c>
      <c r="AA180" s="14" t="str">
        <f t="shared" si="220"/>
        <v/>
      </c>
      <c r="AB180" s="14" t="str">
        <f t="shared" si="220"/>
        <v/>
      </c>
      <c r="AC180" s="14" t="str">
        <f t="shared" si="220"/>
        <v/>
      </c>
      <c r="AD180" s="14" t="str">
        <f t="shared" si="159"/>
        <v/>
      </c>
      <c r="AE180" s="14" t="str">
        <f t="shared" si="160"/>
        <v/>
      </c>
      <c r="AF180" s="14" t="str">
        <f t="shared" si="161"/>
        <v/>
      </c>
      <c r="AG180" s="14" t="str">
        <f t="shared" si="162"/>
        <v/>
      </c>
      <c r="AH180" s="14" t="str">
        <f t="shared" si="163"/>
        <v/>
      </c>
      <c r="AI180" s="14" t="str">
        <f t="shared" si="164"/>
        <v/>
      </c>
      <c r="AJ180" s="14" t="str">
        <f t="shared" si="213"/>
        <v/>
      </c>
      <c r="AK180" s="14" t="str">
        <f t="shared" si="166"/>
        <v/>
      </c>
      <c r="AL180" s="14" t="str">
        <f t="shared" si="167"/>
        <v/>
      </c>
      <c r="AM180" s="14" t="str">
        <f t="shared" si="168"/>
        <v/>
      </c>
      <c r="AN180" s="14" t="str">
        <f t="shared" si="169"/>
        <v/>
      </c>
      <c r="AO180" s="14" t="str">
        <f t="shared" si="170"/>
        <v/>
      </c>
      <c r="AP180" s="186">
        <v>4.255</v>
      </c>
      <c r="AQ180" s="72">
        <f t="shared" si="171"/>
        <v>8527.02</v>
      </c>
      <c r="AR180" s="72">
        <f t="shared" si="172"/>
        <v>66084.41</v>
      </c>
    </row>
    <row r="181" s="320" customFormat="1" customHeight="1" spans="1:44">
      <c r="A181" s="119">
        <v>46185</v>
      </c>
      <c r="B181" s="112">
        <v>46188</v>
      </c>
      <c r="C181" s="114" t="s">
        <v>246</v>
      </c>
      <c r="D181" s="114" t="s">
        <v>382</v>
      </c>
      <c r="E181" s="125" t="s">
        <v>383</v>
      </c>
      <c r="F181" s="114" t="s">
        <v>222</v>
      </c>
      <c r="G181" s="118">
        <v>300</v>
      </c>
      <c r="H181" s="125" t="s">
        <v>276</v>
      </c>
      <c r="I181" s="125" t="str">
        <f>IFERROR(VLOOKUP(F181,名称!A:C,3,0),"")</f>
        <v>SNF</v>
      </c>
      <c r="J181" s="125" t="str">
        <f t="shared" ref="J181:AC181" si="221">IF(AND($F181=J$2,$G181&gt;0),$G181,"")</f>
        <v/>
      </c>
      <c r="K181" s="125" t="str">
        <f t="shared" si="221"/>
        <v/>
      </c>
      <c r="L181" s="125" t="str">
        <f t="shared" si="221"/>
        <v/>
      </c>
      <c r="M181" s="125" t="str">
        <f t="shared" si="221"/>
        <v/>
      </c>
      <c r="N181" s="125" t="str">
        <f t="shared" si="221"/>
        <v/>
      </c>
      <c r="O181" s="125" t="str">
        <f t="shared" si="221"/>
        <v/>
      </c>
      <c r="P181" s="125" t="str">
        <f t="shared" si="221"/>
        <v/>
      </c>
      <c r="Q181" s="125" t="str">
        <f t="shared" si="221"/>
        <v/>
      </c>
      <c r="R181" s="125" t="str">
        <f t="shared" si="221"/>
        <v/>
      </c>
      <c r="S181" s="125" t="str">
        <f t="shared" si="221"/>
        <v/>
      </c>
      <c r="T181" s="125" t="str">
        <f t="shared" si="221"/>
        <v/>
      </c>
      <c r="U181" s="125" t="str">
        <f t="shared" si="221"/>
        <v/>
      </c>
      <c r="V181" s="125" t="str">
        <f t="shared" si="221"/>
        <v/>
      </c>
      <c r="W181" s="125" t="str">
        <f t="shared" si="221"/>
        <v/>
      </c>
      <c r="X181" s="125" t="str">
        <f t="shared" si="221"/>
        <v/>
      </c>
      <c r="Y181" s="125" t="str">
        <f t="shared" si="221"/>
        <v/>
      </c>
      <c r="Z181" s="125" t="str">
        <f t="shared" si="221"/>
        <v/>
      </c>
      <c r="AA181" s="125" t="str">
        <f t="shared" si="221"/>
        <v/>
      </c>
      <c r="AB181" s="125" t="str">
        <f t="shared" si="221"/>
        <v/>
      </c>
      <c r="AC181" s="125">
        <f t="shared" si="221"/>
        <v>300</v>
      </c>
      <c r="AD181" s="125" t="str">
        <f t="shared" si="159"/>
        <v/>
      </c>
      <c r="AE181" s="125" t="str">
        <f t="shared" si="160"/>
        <v/>
      </c>
      <c r="AF181" s="125" t="str">
        <f t="shared" si="161"/>
        <v/>
      </c>
      <c r="AG181" s="125" t="str">
        <f t="shared" si="162"/>
        <v/>
      </c>
      <c r="AH181" s="125" t="str">
        <f t="shared" si="163"/>
        <v/>
      </c>
      <c r="AI181" s="125" t="str">
        <f t="shared" si="164"/>
        <v/>
      </c>
      <c r="AJ181" s="125" t="str">
        <f t="shared" si="213"/>
        <v/>
      </c>
      <c r="AK181" s="125" t="str">
        <f t="shared" si="166"/>
        <v/>
      </c>
      <c r="AL181" s="125" t="str">
        <f t="shared" si="167"/>
        <v/>
      </c>
      <c r="AM181" s="125" t="str">
        <f t="shared" si="168"/>
        <v/>
      </c>
      <c r="AN181" s="125" t="str">
        <f t="shared" si="169"/>
        <v/>
      </c>
      <c r="AO181" s="125" t="str">
        <f t="shared" si="170"/>
        <v/>
      </c>
      <c r="AP181" s="129">
        <v>4.28</v>
      </c>
      <c r="AQ181" s="130">
        <f t="shared" si="171"/>
        <v>1284</v>
      </c>
      <c r="AR181" s="130">
        <f t="shared" si="172"/>
        <v>9951</v>
      </c>
    </row>
    <row r="182" s="45" customFormat="1" customHeight="1" spans="1:44">
      <c r="A182" s="74">
        <v>46188</v>
      </c>
      <c r="B182" s="183">
        <v>46260</v>
      </c>
      <c r="C182" s="172" t="s">
        <v>246</v>
      </c>
      <c r="D182" s="172"/>
      <c r="E182" s="227" t="s">
        <v>384</v>
      </c>
      <c r="F182" s="227" t="s">
        <v>150</v>
      </c>
      <c r="G182" s="175">
        <v>996</v>
      </c>
      <c r="H182" s="172" t="s">
        <v>258</v>
      </c>
      <c r="I182" s="14" t="str">
        <f>IFERROR(VLOOKUP(F182,名称!A:C,3,0),"")</f>
        <v>FNT</v>
      </c>
      <c r="J182" s="14" t="str">
        <f t="shared" ref="J182:AC182" si="222">IF(AND($F182=J$2,$G182&gt;0),$G182,"")</f>
        <v/>
      </c>
      <c r="K182" s="14" t="str">
        <f t="shared" si="222"/>
        <v/>
      </c>
      <c r="L182" s="14" t="str">
        <f t="shared" si="222"/>
        <v/>
      </c>
      <c r="M182" s="14" t="str">
        <f t="shared" si="222"/>
        <v/>
      </c>
      <c r="N182" s="14" t="str">
        <f t="shared" si="222"/>
        <v/>
      </c>
      <c r="O182" s="14" t="str">
        <f t="shared" si="222"/>
        <v/>
      </c>
      <c r="P182" s="14" t="str">
        <f t="shared" si="222"/>
        <v/>
      </c>
      <c r="Q182" s="14" t="str">
        <f t="shared" si="222"/>
        <v/>
      </c>
      <c r="R182" s="14" t="str">
        <f t="shared" si="222"/>
        <v/>
      </c>
      <c r="S182" s="14" t="str">
        <f t="shared" si="222"/>
        <v/>
      </c>
      <c r="T182" s="14">
        <f t="shared" si="222"/>
        <v>996</v>
      </c>
      <c r="U182" s="14" t="str">
        <f t="shared" si="222"/>
        <v/>
      </c>
      <c r="V182" s="14" t="str">
        <f t="shared" si="222"/>
        <v/>
      </c>
      <c r="W182" s="14" t="str">
        <f t="shared" si="222"/>
        <v/>
      </c>
      <c r="X182" s="14" t="str">
        <f t="shared" si="222"/>
        <v/>
      </c>
      <c r="Y182" s="14" t="str">
        <f t="shared" si="222"/>
        <v/>
      </c>
      <c r="Z182" s="14" t="str">
        <f t="shared" si="222"/>
        <v/>
      </c>
      <c r="AA182" s="14" t="str">
        <f t="shared" si="222"/>
        <v/>
      </c>
      <c r="AB182" s="14" t="str">
        <f t="shared" si="222"/>
        <v/>
      </c>
      <c r="AC182" s="14" t="str">
        <f t="shared" si="222"/>
        <v/>
      </c>
      <c r="AD182" s="14" t="str">
        <f t="shared" si="159"/>
        <v/>
      </c>
      <c r="AE182" s="14" t="str">
        <f t="shared" si="160"/>
        <v/>
      </c>
      <c r="AF182" s="14" t="str">
        <f t="shared" si="161"/>
        <v/>
      </c>
      <c r="AG182" s="14" t="str">
        <f t="shared" si="162"/>
        <v/>
      </c>
      <c r="AH182" s="14" t="str">
        <f t="shared" si="163"/>
        <v/>
      </c>
      <c r="AI182" s="14" t="str">
        <f t="shared" si="164"/>
        <v/>
      </c>
      <c r="AJ182" s="14" t="str">
        <f t="shared" si="213"/>
        <v/>
      </c>
      <c r="AK182" s="14" t="str">
        <f t="shared" si="166"/>
        <v/>
      </c>
      <c r="AL182" s="14" t="str">
        <f t="shared" si="167"/>
        <v/>
      </c>
      <c r="AM182" s="14" t="str">
        <f t="shared" si="168"/>
        <v/>
      </c>
      <c r="AN182" s="14" t="str">
        <f t="shared" si="169"/>
        <v/>
      </c>
      <c r="AO182" s="14" t="str">
        <f t="shared" si="170"/>
        <v/>
      </c>
      <c r="AP182" s="186">
        <v>3.87</v>
      </c>
      <c r="AQ182" s="72">
        <f t="shared" si="171"/>
        <v>3854.52</v>
      </c>
      <c r="AR182" s="72">
        <f t="shared" si="172"/>
        <v>29872.53</v>
      </c>
    </row>
    <row r="183" s="320" customFormat="1" customHeight="1" spans="1:44">
      <c r="A183" s="112">
        <v>46185</v>
      </c>
      <c r="B183" s="112">
        <v>46216</v>
      </c>
      <c r="C183" s="125" t="s">
        <v>259</v>
      </c>
      <c r="D183" s="114" t="s">
        <v>385</v>
      </c>
      <c r="E183" s="125" t="s">
        <v>386</v>
      </c>
      <c r="F183" s="114" t="s">
        <v>127</v>
      </c>
      <c r="G183" s="118">
        <v>4008</v>
      </c>
      <c r="H183" s="144" t="s">
        <v>387</v>
      </c>
      <c r="I183" s="144" t="str">
        <f>IFERROR(VLOOKUP(F183,名称!A:C,3,0),"")</f>
        <v>FNT</v>
      </c>
      <c r="J183" s="144" t="str">
        <f t="shared" ref="J183:AC183" si="223">IF(AND($F183=J$2,$G183&gt;0),$G183,"")</f>
        <v/>
      </c>
      <c r="K183" s="144" t="str">
        <f t="shared" si="223"/>
        <v/>
      </c>
      <c r="L183" s="144" t="str">
        <f t="shared" si="223"/>
        <v/>
      </c>
      <c r="M183" s="144" t="str">
        <f t="shared" si="223"/>
        <v/>
      </c>
      <c r="N183" s="144" t="str">
        <f t="shared" si="223"/>
        <v/>
      </c>
      <c r="O183" s="144" t="str">
        <f t="shared" si="223"/>
        <v/>
      </c>
      <c r="P183" s="144" t="str">
        <f t="shared" si="223"/>
        <v/>
      </c>
      <c r="Q183" s="144" t="str">
        <f t="shared" si="223"/>
        <v/>
      </c>
      <c r="R183" s="144" t="str">
        <f t="shared" si="223"/>
        <v/>
      </c>
      <c r="S183" s="144" t="str">
        <f t="shared" si="223"/>
        <v/>
      </c>
      <c r="T183" s="144" t="str">
        <f t="shared" si="223"/>
        <v/>
      </c>
      <c r="U183" s="144" t="str">
        <f t="shared" si="223"/>
        <v/>
      </c>
      <c r="V183" s="144" t="str">
        <f t="shared" si="223"/>
        <v/>
      </c>
      <c r="W183" s="144" t="str">
        <f t="shared" si="223"/>
        <v/>
      </c>
      <c r="X183" s="144" t="str">
        <f t="shared" si="223"/>
        <v/>
      </c>
      <c r="Y183" s="144" t="str">
        <f t="shared" si="223"/>
        <v/>
      </c>
      <c r="Z183" s="144" t="str">
        <f t="shared" si="223"/>
        <v/>
      </c>
      <c r="AA183" s="144" t="str">
        <f t="shared" si="223"/>
        <v/>
      </c>
      <c r="AB183" s="144" t="str">
        <f t="shared" si="223"/>
        <v/>
      </c>
      <c r="AC183" s="144" t="str">
        <f t="shared" si="223"/>
        <v/>
      </c>
      <c r="AD183" s="144" t="str">
        <f t="shared" si="159"/>
        <v/>
      </c>
      <c r="AE183" s="144" t="str">
        <f t="shared" si="160"/>
        <v/>
      </c>
      <c r="AF183" s="144" t="str">
        <f t="shared" si="161"/>
        <v/>
      </c>
      <c r="AG183" s="144" t="str">
        <f t="shared" si="162"/>
        <v/>
      </c>
      <c r="AH183" s="144" t="str">
        <f t="shared" si="163"/>
        <v/>
      </c>
      <c r="AI183" s="144" t="str">
        <f t="shared" si="164"/>
        <v/>
      </c>
      <c r="AJ183" s="144">
        <f t="shared" si="213"/>
        <v>1336</v>
      </c>
      <c r="AK183" s="144">
        <f t="shared" si="166"/>
        <v>668</v>
      </c>
      <c r="AL183" s="144">
        <f t="shared" si="167"/>
        <v>668</v>
      </c>
      <c r="AM183" s="144">
        <f t="shared" si="168"/>
        <v>1336</v>
      </c>
      <c r="AN183" s="144" t="str">
        <f t="shared" si="169"/>
        <v/>
      </c>
      <c r="AO183" s="144" t="str">
        <f t="shared" si="170"/>
        <v/>
      </c>
      <c r="AP183" s="122">
        <v>2.33</v>
      </c>
      <c r="AQ183" s="337">
        <f t="shared" si="171"/>
        <v>9338.64</v>
      </c>
      <c r="AR183" s="337">
        <f t="shared" si="172"/>
        <v>72374.46</v>
      </c>
    </row>
    <row r="184" s="45" customFormat="1" customHeight="1" spans="1:44">
      <c r="A184" s="74">
        <v>46191</v>
      </c>
      <c r="B184" s="56">
        <v>46276</v>
      </c>
      <c r="C184" s="227" t="s">
        <v>259</v>
      </c>
      <c r="D184" s="172" t="s">
        <v>344</v>
      </c>
      <c r="E184" s="227" t="s">
        <v>388</v>
      </c>
      <c r="F184" s="172" t="s">
        <v>129</v>
      </c>
      <c r="G184" s="175">
        <v>900</v>
      </c>
      <c r="H184" s="172" t="s">
        <v>258</v>
      </c>
      <c r="I184" s="14" t="str">
        <f>IFERROR(VLOOKUP(F184,名称!A:C,3,0),"")</f>
        <v>FNT</v>
      </c>
      <c r="J184" s="14" t="str">
        <f t="shared" ref="J184:AC184" si="224">IF(AND($F184=J$2,$G184&gt;0),$G184,"")</f>
        <v/>
      </c>
      <c r="K184" s="14" t="str">
        <f t="shared" si="224"/>
        <v/>
      </c>
      <c r="L184" s="14" t="str">
        <f t="shared" si="224"/>
        <v/>
      </c>
      <c r="M184" s="14" t="str">
        <f t="shared" si="224"/>
        <v/>
      </c>
      <c r="N184" s="14" t="str">
        <f t="shared" si="224"/>
        <v/>
      </c>
      <c r="O184" s="14" t="str">
        <f t="shared" si="224"/>
        <v/>
      </c>
      <c r="P184" s="14" t="str">
        <f t="shared" si="224"/>
        <v/>
      </c>
      <c r="Q184" s="14" t="str">
        <f t="shared" si="224"/>
        <v/>
      </c>
      <c r="R184" s="14" t="str">
        <f t="shared" si="224"/>
        <v/>
      </c>
      <c r="S184" s="14" t="str">
        <f t="shared" si="224"/>
        <v/>
      </c>
      <c r="T184" s="14" t="str">
        <f t="shared" si="224"/>
        <v/>
      </c>
      <c r="U184" s="14" t="str">
        <f t="shared" si="224"/>
        <v/>
      </c>
      <c r="V184" s="14" t="str">
        <f t="shared" si="224"/>
        <v/>
      </c>
      <c r="W184" s="14" t="str">
        <f t="shared" si="224"/>
        <v/>
      </c>
      <c r="X184" s="14" t="str">
        <f t="shared" si="224"/>
        <v/>
      </c>
      <c r="Y184" s="14" t="str">
        <f t="shared" si="224"/>
        <v/>
      </c>
      <c r="Z184" s="14" t="str">
        <f t="shared" si="224"/>
        <v/>
      </c>
      <c r="AA184" s="14" t="str">
        <f t="shared" si="224"/>
        <v/>
      </c>
      <c r="AB184" s="14" t="str">
        <f t="shared" si="224"/>
        <v/>
      </c>
      <c r="AC184" s="14" t="str">
        <f t="shared" si="224"/>
        <v/>
      </c>
      <c r="AD184" s="14" t="str">
        <f t="shared" si="159"/>
        <v/>
      </c>
      <c r="AE184" s="14" t="str">
        <f t="shared" si="160"/>
        <v/>
      </c>
      <c r="AF184" s="14" t="str">
        <f t="shared" si="161"/>
        <v/>
      </c>
      <c r="AG184" s="14" t="str">
        <f t="shared" si="162"/>
        <v/>
      </c>
      <c r="AH184" s="14" t="str">
        <f t="shared" si="163"/>
        <v/>
      </c>
      <c r="AI184" s="14" t="str">
        <f t="shared" si="164"/>
        <v/>
      </c>
      <c r="AJ184" s="14">
        <f t="shared" si="213"/>
        <v>150</v>
      </c>
      <c r="AK184" s="14">
        <f t="shared" si="166"/>
        <v>300</v>
      </c>
      <c r="AL184" s="14">
        <f t="shared" si="167"/>
        <v>150</v>
      </c>
      <c r="AM184" s="14">
        <f t="shared" si="168"/>
        <v>300</v>
      </c>
      <c r="AN184" s="14" t="str">
        <f t="shared" si="169"/>
        <v/>
      </c>
      <c r="AO184" s="14" t="str">
        <f t="shared" si="170"/>
        <v/>
      </c>
      <c r="AP184" s="186">
        <v>2.283</v>
      </c>
      <c r="AQ184" s="72">
        <f t="shared" si="171"/>
        <v>2054.7</v>
      </c>
      <c r="AR184" s="72">
        <f t="shared" si="172"/>
        <v>15923.93</v>
      </c>
    </row>
    <row r="185" s="45" customFormat="1" customHeight="1" spans="1:44">
      <c r="A185" s="257">
        <v>46191</v>
      </c>
      <c r="B185" s="179">
        <v>46276</v>
      </c>
      <c r="C185" s="227" t="s">
        <v>262</v>
      </c>
      <c r="D185" s="172" t="s">
        <v>344</v>
      </c>
      <c r="E185" s="227" t="s">
        <v>389</v>
      </c>
      <c r="F185" s="172" t="s">
        <v>129</v>
      </c>
      <c r="G185" s="175">
        <v>4854</v>
      </c>
      <c r="H185" s="172" t="s">
        <v>258</v>
      </c>
      <c r="I185" s="14" t="str">
        <f>IFERROR(VLOOKUP(F185,名称!A:C,3,0),"")</f>
        <v>FNT</v>
      </c>
      <c r="J185" s="14" t="str">
        <f t="shared" ref="J185:AC185" si="225">IF(AND($F185=J$2,$G185&gt;0),$G185,"")</f>
        <v/>
      </c>
      <c r="K185" s="14" t="str">
        <f t="shared" si="225"/>
        <v/>
      </c>
      <c r="L185" s="14" t="str">
        <f t="shared" si="225"/>
        <v/>
      </c>
      <c r="M185" s="14" t="str">
        <f t="shared" si="225"/>
        <v/>
      </c>
      <c r="N185" s="14" t="str">
        <f t="shared" si="225"/>
        <v/>
      </c>
      <c r="O185" s="14" t="str">
        <f t="shared" si="225"/>
        <v/>
      </c>
      <c r="P185" s="14" t="str">
        <f t="shared" si="225"/>
        <v/>
      </c>
      <c r="Q185" s="14" t="str">
        <f t="shared" si="225"/>
        <v/>
      </c>
      <c r="R185" s="14" t="str">
        <f t="shared" si="225"/>
        <v/>
      </c>
      <c r="S185" s="14" t="str">
        <f t="shared" si="225"/>
        <v/>
      </c>
      <c r="T185" s="14" t="str">
        <f t="shared" si="225"/>
        <v/>
      </c>
      <c r="U185" s="14" t="str">
        <f t="shared" si="225"/>
        <v/>
      </c>
      <c r="V185" s="14" t="str">
        <f t="shared" si="225"/>
        <v/>
      </c>
      <c r="W185" s="14" t="str">
        <f t="shared" si="225"/>
        <v/>
      </c>
      <c r="X185" s="14" t="str">
        <f t="shared" si="225"/>
        <v/>
      </c>
      <c r="Y185" s="14" t="str">
        <f t="shared" si="225"/>
        <v/>
      </c>
      <c r="Z185" s="14" t="str">
        <f t="shared" si="225"/>
        <v/>
      </c>
      <c r="AA185" s="14" t="str">
        <f t="shared" si="225"/>
        <v/>
      </c>
      <c r="AB185" s="14" t="str">
        <f t="shared" si="225"/>
        <v/>
      </c>
      <c r="AC185" s="14" t="str">
        <f t="shared" si="225"/>
        <v/>
      </c>
      <c r="AD185" s="14" t="str">
        <f t="shared" si="159"/>
        <v/>
      </c>
      <c r="AE185" s="14" t="str">
        <f t="shared" si="160"/>
        <v/>
      </c>
      <c r="AF185" s="14" t="str">
        <f t="shared" si="161"/>
        <v/>
      </c>
      <c r="AG185" s="14" t="str">
        <f t="shared" si="162"/>
        <v/>
      </c>
      <c r="AH185" s="14" t="str">
        <f t="shared" si="163"/>
        <v/>
      </c>
      <c r="AI185" s="14" t="str">
        <f t="shared" si="164"/>
        <v/>
      </c>
      <c r="AJ185" s="14">
        <f t="shared" si="213"/>
        <v>809</v>
      </c>
      <c r="AK185" s="14">
        <f t="shared" si="166"/>
        <v>1618</v>
      </c>
      <c r="AL185" s="14">
        <f t="shared" si="167"/>
        <v>809</v>
      </c>
      <c r="AM185" s="14">
        <f t="shared" si="168"/>
        <v>1618</v>
      </c>
      <c r="AN185" s="14" t="str">
        <f t="shared" si="169"/>
        <v/>
      </c>
      <c r="AO185" s="14" t="str">
        <f t="shared" si="170"/>
        <v/>
      </c>
      <c r="AP185" s="186">
        <v>2.283</v>
      </c>
      <c r="AQ185" s="72">
        <f t="shared" si="171"/>
        <v>11081.68</v>
      </c>
      <c r="AR185" s="72">
        <f t="shared" si="172"/>
        <v>85883.02</v>
      </c>
    </row>
    <row r="186" s="45" customFormat="1" customHeight="1" spans="1:44">
      <c r="A186" s="257">
        <v>46191</v>
      </c>
      <c r="B186" s="179">
        <v>46276</v>
      </c>
      <c r="C186" s="226" t="s">
        <v>262</v>
      </c>
      <c r="D186" s="263" t="s">
        <v>321</v>
      </c>
      <c r="E186" s="226" t="s">
        <v>389</v>
      </c>
      <c r="F186" s="14" t="s">
        <v>127</v>
      </c>
      <c r="G186" s="171">
        <v>1146</v>
      </c>
      <c r="H186" s="172" t="s">
        <v>258</v>
      </c>
      <c r="I186" s="14" t="str">
        <f>IFERROR(VLOOKUP(F186,名称!A:C,3,0),"")</f>
        <v>FNT</v>
      </c>
      <c r="J186" s="14" t="str">
        <f t="shared" ref="J186:AC186" si="226">IF(AND($F186=J$2,$G186&gt;0),$G186,"")</f>
        <v/>
      </c>
      <c r="K186" s="14" t="str">
        <f t="shared" si="226"/>
        <v/>
      </c>
      <c r="L186" s="14" t="str">
        <f t="shared" si="226"/>
        <v/>
      </c>
      <c r="M186" s="14" t="str">
        <f t="shared" si="226"/>
        <v/>
      </c>
      <c r="N186" s="14" t="str">
        <f t="shared" si="226"/>
        <v/>
      </c>
      <c r="O186" s="14" t="str">
        <f t="shared" si="226"/>
        <v/>
      </c>
      <c r="P186" s="14" t="str">
        <f t="shared" si="226"/>
        <v/>
      </c>
      <c r="Q186" s="14" t="str">
        <f t="shared" si="226"/>
        <v/>
      </c>
      <c r="R186" s="14" t="str">
        <f t="shared" si="226"/>
        <v/>
      </c>
      <c r="S186" s="14" t="str">
        <f t="shared" si="226"/>
        <v/>
      </c>
      <c r="T186" s="14" t="str">
        <f t="shared" si="226"/>
        <v/>
      </c>
      <c r="U186" s="14" t="str">
        <f t="shared" si="226"/>
        <v/>
      </c>
      <c r="V186" s="14" t="str">
        <f t="shared" si="226"/>
        <v/>
      </c>
      <c r="W186" s="14" t="str">
        <f t="shared" si="226"/>
        <v/>
      </c>
      <c r="X186" s="14" t="str">
        <f t="shared" si="226"/>
        <v/>
      </c>
      <c r="Y186" s="14" t="str">
        <f t="shared" si="226"/>
        <v/>
      </c>
      <c r="Z186" s="14" t="str">
        <f t="shared" si="226"/>
        <v/>
      </c>
      <c r="AA186" s="14" t="str">
        <f t="shared" si="226"/>
        <v/>
      </c>
      <c r="AB186" s="14" t="str">
        <f t="shared" si="226"/>
        <v/>
      </c>
      <c r="AC186" s="14" t="str">
        <f t="shared" si="226"/>
        <v/>
      </c>
      <c r="AD186" s="14" t="str">
        <f t="shared" si="159"/>
        <v/>
      </c>
      <c r="AE186" s="14" t="str">
        <f t="shared" si="160"/>
        <v/>
      </c>
      <c r="AF186" s="14" t="str">
        <f t="shared" si="161"/>
        <v/>
      </c>
      <c r="AG186" s="14" t="str">
        <f t="shared" si="162"/>
        <v/>
      </c>
      <c r="AH186" s="14" t="str">
        <f t="shared" si="163"/>
        <v/>
      </c>
      <c r="AI186" s="14" t="str">
        <f t="shared" si="164"/>
        <v/>
      </c>
      <c r="AJ186" s="14">
        <f t="shared" si="213"/>
        <v>382</v>
      </c>
      <c r="AK186" s="14">
        <f t="shared" si="166"/>
        <v>191</v>
      </c>
      <c r="AL186" s="14">
        <f t="shared" si="167"/>
        <v>191</v>
      </c>
      <c r="AM186" s="14">
        <f t="shared" si="168"/>
        <v>382</v>
      </c>
      <c r="AN186" s="14" t="str">
        <f t="shared" si="169"/>
        <v/>
      </c>
      <c r="AO186" s="14" t="str">
        <f t="shared" si="170"/>
        <v/>
      </c>
      <c r="AP186" s="71">
        <v>2.315</v>
      </c>
      <c r="AQ186" s="72">
        <f t="shared" si="171"/>
        <v>2652.99</v>
      </c>
      <c r="AR186" s="72">
        <f t="shared" si="172"/>
        <v>20560.67</v>
      </c>
    </row>
    <row r="187" s="45" customFormat="1" customHeight="1" spans="1:44">
      <c r="A187" s="254">
        <v>46196</v>
      </c>
      <c r="B187" s="179">
        <v>46276</v>
      </c>
      <c r="C187" s="180" t="s">
        <v>246</v>
      </c>
      <c r="D187" s="180" t="s">
        <v>344</v>
      </c>
      <c r="E187" s="226" t="s">
        <v>390</v>
      </c>
      <c r="F187" s="172" t="s">
        <v>129</v>
      </c>
      <c r="G187" s="175">
        <v>912</v>
      </c>
      <c r="H187" s="172" t="s">
        <v>258</v>
      </c>
      <c r="I187" s="14" t="str">
        <f>IFERROR(VLOOKUP(F187,名称!A:C,3,0),"")</f>
        <v>FNT</v>
      </c>
      <c r="J187" s="14" t="str">
        <f t="shared" ref="J187:AC187" si="227">IF(AND($F187=J$2,$G187&gt;0),$G187,"")</f>
        <v/>
      </c>
      <c r="K187" s="14" t="str">
        <f t="shared" si="227"/>
        <v/>
      </c>
      <c r="L187" s="14" t="str">
        <f t="shared" si="227"/>
        <v/>
      </c>
      <c r="M187" s="14" t="str">
        <f t="shared" si="227"/>
        <v/>
      </c>
      <c r="N187" s="14" t="str">
        <f t="shared" si="227"/>
        <v/>
      </c>
      <c r="O187" s="14" t="str">
        <f t="shared" si="227"/>
        <v/>
      </c>
      <c r="P187" s="14" t="str">
        <f t="shared" si="227"/>
        <v/>
      </c>
      <c r="Q187" s="14" t="str">
        <f t="shared" si="227"/>
        <v/>
      </c>
      <c r="R187" s="14" t="str">
        <f t="shared" si="227"/>
        <v/>
      </c>
      <c r="S187" s="14" t="str">
        <f t="shared" si="227"/>
        <v/>
      </c>
      <c r="T187" s="14" t="str">
        <f t="shared" si="227"/>
        <v/>
      </c>
      <c r="U187" s="14" t="str">
        <f t="shared" si="227"/>
        <v/>
      </c>
      <c r="V187" s="14" t="str">
        <f t="shared" si="227"/>
        <v/>
      </c>
      <c r="W187" s="14" t="str">
        <f t="shared" si="227"/>
        <v/>
      </c>
      <c r="X187" s="14" t="str">
        <f t="shared" si="227"/>
        <v/>
      </c>
      <c r="Y187" s="14" t="str">
        <f t="shared" si="227"/>
        <v/>
      </c>
      <c r="Z187" s="14" t="str">
        <f t="shared" si="227"/>
        <v/>
      </c>
      <c r="AA187" s="14" t="str">
        <f t="shared" si="227"/>
        <v/>
      </c>
      <c r="AB187" s="14" t="str">
        <f t="shared" si="227"/>
        <v/>
      </c>
      <c r="AC187" s="14" t="str">
        <f t="shared" si="227"/>
        <v/>
      </c>
      <c r="AD187" s="14" t="str">
        <f t="shared" si="159"/>
        <v/>
      </c>
      <c r="AE187" s="14" t="str">
        <f t="shared" si="160"/>
        <v/>
      </c>
      <c r="AF187" s="14" t="str">
        <f t="shared" si="161"/>
        <v/>
      </c>
      <c r="AG187" s="14" t="str">
        <f t="shared" si="162"/>
        <v/>
      </c>
      <c r="AH187" s="14" t="str">
        <f t="shared" si="163"/>
        <v/>
      </c>
      <c r="AI187" s="14" t="str">
        <f t="shared" si="164"/>
        <v/>
      </c>
      <c r="AJ187" s="14">
        <f t="shared" si="213"/>
        <v>152</v>
      </c>
      <c r="AK187" s="14">
        <f t="shared" si="166"/>
        <v>304</v>
      </c>
      <c r="AL187" s="14">
        <f t="shared" si="167"/>
        <v>152</v>
      </c>
      <c r="AM187" s="14">
        <f t="shared" si="168"/>
        <v>304</v>
      </c>
      <c r="AN187" s="14" t="str">
        <f t="shared" si="169"/>
        <v/>
      </c>
      <c r="AO187" s="14" t="str">
        <f t="shared" si="170"/>
        <v/>
      </c>
      <c r="AP187" s="186">
        <v>2.298</v>
      </c>
      <c r="AQ187" s="72">
        <f t="shared" si="171"/>
        <v>2095.78</v>
      </c>
      <c r="AR187" s="72">
        <f t="shared" si="172"/>
        <v>16242.3</v>
      </c>
    </row>
    <row r="188" s="45" customFormat="1" customHeight="1" spans="1:44">
      <c r="A188" s="74">
        <v>46199</v>
      </c>
      <c r="B188" s="56">
        <v>46287</v>
      </c>
      <c r="C188" s="226" t="s">
        <v>262</v>
      </c>
      <c r="D188" s="172" t="s">
        <v>344</v>
      </c>
      <c r="E188" s="227" t="s">
        <v>391</v>
      </c>
      <c r="F188" s="172" t="s">
        <v>129</v>
      </c>
      <c r="G188" s="175">
        <v>3600</v>
      </c>
      <c r="H188" s="172" t="s">
        <v>258</v>
      </c>
      <c r="I188" s="263" t="str">
        <f>IFERROR(VLOOKUP(F188,名称!A:C,3,0),"")</f>
        <v>FNT</v>
      </c>
      <c r="J188" s="263" t="str">
        <f t="shared" ref="J188:AC188" si="228">IF(AND($F188=J$2,$G188&gt;0),$G188,"")</f>
        <v/>
      </c>
      <c r="K188" s="263" t="str">
        <f t="shared" si="228"/>
        <v/>
      </c>
      <c r="L188" s="263" t="str">
        <f t="shared" si="228"/>
        <v/>
      </c>
      <c r="M188" s="263" t="str">
        <f t="shared" si="228"/>
        <v/>
      </c>
      <c r="N188" s="263" t="str">
        <f t="shared" si="228"/>
        <v/>
      </c>
      <c r="O188" s="263" t="str">
        <f t="shared" si="228"/>
        <v/>
      </c>
      <c r="P188" s="263" t="str">
        <f t="shared" si="228"/>
        <v/>
      </c>
      <c r="Q188" s="263" t="str">
        <f t="shared" si="228"/>
        <v/>
      </c>
      <c r="R188" s="263" t="str">
        <f t="shared" si="228"/>
        <v/>
      </c>
      <c r="S188" s="263" t="str">
        <f t="shared" si="228"/>
        <v/>
      </c>
      <c r="T188" s="263" t="str">
        <f t="shared" si="228"/>
        <v/>
      </c>
      <c r="U188" s="263" t="str">
        <f t="shared" si="228"/>
        <v/>
      </c>
      <c r="V188" s="263" t="str">
        <f t="shared" si="228"/>
        <v/>
      </c>
      <c r="W188" s="263" t="str">
        <f t="shared" si="228"/>
        <v/>
      </c>
      <c r="X188" s="263" t="str">
        <f t="shared" si="228"/>
        <v/>
      </c>
      <c r="Y188" s="263" t="str">
        <f t="shared" si="228"/>
        <v/>
      </c>
      <c r="Z188" s="263" t="str">
        <f t="shared" si="228"/>
        <v/>
      </c>
      <c r="AA188" s="263" t="str">
        <f t="shared" si="228"/>
        <v/>
      </c>
      <c r="AB188" s="263" t="str">
        <f t="shared" si="228"/>
        <v/>
      </c>
      <c r="AC188" s="263" t="str">
        <f t="shared" si="228"/>
        <v/>
      </c>
      <c r="AD188" s="263" t="str">
        <f t="shared" si="159"/>
        <v/>
      </c>
      <c r="AE188" s="263" t="str">
        <f t="shared" si="160"/>
        <v/>
      </c>
      <c r="AF188" s="263" t="str">
        <f t="shared" si="161"/>
        <v/>
      </c>
      <c r="AG188" s="263" t="str">
        <f t="shared" si="162"/>
        <v/>
      </c>
      <c r="AH188" s="263" t="str">
        <f t="shared" si="163"/>
        <v/>
      </c>
      <c r="AI188" s="263" t="str">
        <f t="shared" si="164"/>
        <v/>
      </c>
      <c r="AJ188" s="263">
        <f t="shared" si="213"/>
        <v>600</v>
      </c>
      <c r="AK188" s="263">
        <f t="shared" si="166"/>
        <v>1200</v>
      </c>
      <c r="AL188" s="263">
        <f t="shared" si="167"/>
        <v>600</v>
      </c>
      <c r="AM188" s="263">
        <f t="shared" si="168"/>
        <v>1200</v>
      </c>
      <c r="AN188" s="263" t="str">
        <f t="shared" si="169"/>
        <v/>
      </c>
      <c r="AO188" s="263" t="str">
        <f t="shared" si="170"/>
        <v/>
      </c>
      <c r="AP188" s="186">
        <v>2.298</v>
      </c>
      <c r="AQ188" s="276">
        <f t="shared" si="171"/>
        <v>8272.8</v>
      </c>
      <c r="AR188" s="276">
        <f t="shared" si="172"/>
        <v>64114.2</v>
      </c>
    </row>
    <row r="189" s="45" customFormat="1" customHeight="1" spans="1:44">
      <c r="A189" s="257">
        <v>46213</v>
      </c>
      <c r="B189" s="254">
        <v>46260</v>
      </c>
      <c r="C189" s="180" t="s">
        <v>246</v>
      </c>
      <c r="D189" s="180" t="s">
        <v>380</v>
      </c>
      <c r="E189" s="226" t="s">
        <v>392</v>
      </c>
      <c r="F189" s="180" t="s">
        <v>149</v>
      </c>
      <c r="G189" s="268">
        <v>504</v>
      </c>
      <c r="H189" s="172" t="s">
        <v>258</v>
      </c>
      <c r="I189" s="14" t="str">
        <f>IFERROR(VLOOKUP(F189,名称!A:C,3,0),"")</f>
        <v>FNT</v>
      </c>
      <c r="J189" s="14" t="str">
        <f t="shared" ref="J189:AC189" si="229">IF(AND($F189=J$2,$G189&gt;0),$G189,"")</f>
        <v/>
      </c>
      <c r="K189" s="14" t="str">
        <f t="shared" si="229"/>
        <v/>
      </c>
      <c r="L189" s="14" t="str">
        <f t="shared" si="229"/>
        <v/>
      </c>
      <c r="M189" s="14" t="str">
        <f t="shared" si="229"/>
        <v/>
      </c>
      <c r="N189" s="14" t="str">
        <f t="shared" si="229"/>
        <v/>
      </c>
      <c r="O189" s="14" t="str">
        <f t="shared" si="229"/>
        <v/>
      </c>
      <c r="P189" s="14" t="str">
        <f t="shared" si="229"/>
        <v/>
      </c>
      <c r="Q189" s="14" t="str">
        <f t="shared" si="229"/>
        <v/>
      </c>
      <c r="R189" s="14" t="str">
        <f t="shared" si="229"/>
        <v/>
      </c>
      <c r="S189" s="14">
        <f t="shared" si="229"/>
        <v>504</v>
      </c>
      <c r="T189" s="14" t="str">
        <f t="shared" si="229"/>
        <v/>
      </c>
      <c r="U189" s="14" t="str">
        <f t="shared" si="229"/>
        <v/>
      </c>
      <c r="V189" s="14" t="str">
        <f t="shared" si="229"/>
        <v/>
      </c>
      <c r="W189" s="14" t="str">
        <f t="shared" si="229"/>
        <v/>
      </c>
      <c r="X189" s="14" t="str">
        <f t="shared" si="229"/>
        <v/>
      </c>
      <c r="Y189" s="14" t="str">
        <f t="shared" si="229"/>
        <v/>
      </c>
      <c r="Z189" s="14" t="str">
        <f t="shared" si="229"/>
        <v/>
      </c>
      <c r="AA189" s="14" t="str">
        <f t="shared" si="229"/>
        <v/>
      </c>
      <c r="AB189" s="14" t="str">
        <f t="shared" si="229"/>
        <v/>
      </c>
      <c r="AC189" s="14" t="str">
        <f t="shared" si="229"/>
        <v/>
      </c>
      <c r="AD189" s="14" t="str">
        <f t="shared" si="159"/>
        <v/>
      </c>
      <c r="AE189" s="14" t="str">
        <f t="shared" si="160"/>
        <v/>
      </c>
      <c r="AF189" s="14" t="str">
        <f t="shared" si="161"/>
        <v/>
      </c>
      <c r="AG189" s="14" t="str">
        <f t="shared" si="162"/>
        <v/>
      </c>
      <c r="AH189" s="14" t="str">
        <f t="shared" si="163"/>
        <v/>
      </c>
      <c r="AI189" s="14" t="str">
        <f t="shared" si="164"/>
        <v/>
      </c>
      <c r="AJ189" s="14" t="str">
        <f t="shared" si="213"/>
        <v/>
      </c>
      <c r="AK189" s="14" t="str">
        <f t="shared" si="166"/>
        <v/>
      </c>
      <c r="AL189" s="14" t="str">
        <f t="shared" si="167"/>
        <v/>
      </c>
      <c r="AM189" s="14" t="str">
        <f t="shared" si="168"/>
        <v/>
      </c>
      <c r="AN189" s="14" t="str">
        <f t="shared" si="169"/>
        <v/>
      </c>
      <c r="AO189" s="14" t="str">
        <f t="shared" si="170"/>
        <v/>
      </c>
      <c r="AP189" s="186">
        <v>3.883</v>
      </c>
      <c r="AQ189" s="72">
        <f t="shared" si="171"/>
        <v>1957.03</v>
      </c>
      <c r="AR189" s="72">
        <f t="shared" si="172"/>
        <v>15166.98</v>
      </c>
    </row>
    <row r="190" s="45" customFormat="1" customHeight="1" spans="1:44">
      <c r="A190" s="257">
        <v>46219</v>
      </c>
      <c r="B190" s="179">
        <v>46269</v>
      </c>
      <c r="C190" s="172" t="s">
        <v>246</v>
      </c>
      <c r="D190" s="180" t="s">
        <v>344</v>
      </c>
      <c r="E190" s="226" t="s">
        <v>393</v>
      </c>
      <c r="F190" s="180" t="s">
        <v>129</v>
      </c>
      <c r="G190" s="268">
        <v>864</v>
      </c>
      <c r="H190" s="172" t="s">
        <v>258</v>
      </c>
      <c r="I190" s="14" t="str">
        <f>IFERROR(VLOOKUP(F190,名称!A:C,3,0),"")</f>
        <v>FNT</v>
      </c>
      <c r="J190" s="14" t="str">
        <f t="shared" ref="J190:AC190" si="230">IF(AND($F190=J$2,$G190&gt;0),$G190,"")</f>
        <v/>
      </c>
      <c r="K190" s="14" t="str">
        <f t="shared" si="230"/>
        <v/>
      </c>
      <c r="L190" s="14" t="str">
        <f t="shared" si="230"/>
        <v/>
      </c>
      <c r="M190" s="14" t="str">
        <f t="shared" si="230"/>
        <v/>
      </c>
      <c r="N190" s="14" t="str">
        <f t="shared" si="230"/>
        <v/>
      </c>
      <c r="O190" s="14" t="str">
        <f t="shared" si="230"/>
        <v/>
      </c>
      <c r="P190" s="14" t="str">
        <f t="shared" si="230"/>
        <v/>
      </c>
      <c r="Q190" s="14" t="str">
        <f t="shared" si="230"/>
        <v/>
      </c>
      <c r="R190" s="14" t="str">
        <f t="shared" si="230"/>
        <v/>
      </c>
      <c r="S190" s="14" t="str">
        <f t="shared" si="230"/>
        <v/>
      </c>
      <c r="T190" s="14" t="str">
        <f t="shared" si="230"/>
        <v/>
      </c>
      <c r="U190" s="14" t="str">
        <f t="shared" si="230"/>
        <v/>
      </c>
      <c r="V190" s="14" t="str">
        <f t="shared" si="230"/>
        <v/>
      </c>
      <c r="W190" s="14" t="str">
        <f t="shared" si="230"/>
        <v/>
      </c>
      <c r="X190" s="14" t="str">
        <f t="shared" si="230"/>
        <v/>
      </c>
      <c r="Y190" s="14" t="str">
        <f t="shared" si="230"/>
        <v/>
      </c>
      <c r="Z190" s="14" t="str">
        <f t="shared" si="230"/>
        <v/>
      </c>
      <c r="AA190" s="14" t="str">
        <f t="shared" si="230"/>
        <v/>
      </c>
      <c r="AB190" s="14" t="str">
        <f t="shared" si="230"/>
        <v/>
      </c>
      <c r="AC190" s="14" t="str">
        <f t="shared" si="230"/>
        <v/>
      </c>
      <c r="AD190" s="14" t="str">
        <f t="shared" si="159"/>
        <v/>
      </c>
      <c r="AE190" s="14" t="str">
        <f t="shared" si="160"/>
        <v/>
      </c>
      <c r="AF190" s="14" t="str">
        <f t="shared" si="161"/>
        <v/>
      </c>
      <c r="AG190" s="14" t="str">
        <f t="shared" si="162"/>
        <v/>
      </c>
      <c r="AH190" s="14" t="str">
        <f t="shared" si="163"/>
        <v/>
      </c>
      <c r="AI190" s="14" t="str">
        <f t="shared" si="164"/>
        <v/>
      </c>
      <c r="AJ190" s="14">
        <f t="shared" si="213"/>
        <v>144</v>
      </c>
      <c r="AK190" s="14">
        <f t="shared" si="166"/>
        <v>288</v>
      </c>
      <c r="AL190" s="14">
        <f t="shared" si="167"/>
        <v>144</v>
      </c>
      <c r="AM190" s="14">
        <f t="shared" si="168"/>
        <v>288</v>
      </c>
      <c r="AN190" s="14" t="str">
        <f t="shared" si="169"/>
        <v/>
      </c>
      <c r="AO190" s="14" t="str">
        <f t="shared" si="170"/>
        <v/>
      </c>
      <c r="AP190" s="186">
        <v>2.283</v>
      </c>
      <c r="AQ190" s="72">
        <f t="shared" si="171"/>
        <v>1972.51</v>
      </c>
      <c r="AR190" s="72">
        <f t="shared" si="172"/>
        <v>15286.95</v>
      </c>
    </row>
    <row r="191" s="322" customFormat="1" customHeight="1" spans="1:44">
      <c r="A191" s="338">
        <v>46220</v>
      </c>
      <c r="B191" s="229">
        <v>46302</v>
      </c>
      <c r="C191" s="226" t="s">
        <v>259</v>
      </c>
      <c r="D191" s="226" t="s">
        <v>321</v>
      </c>
      <c r="E191" s="226" t="s">
        <v>394</v>
      </c>
      <c r="F191" s="226" t="s">
        <v>127</v>
      </c>
      <c r="G191" s="339">
        <v>1200</v>
      </c>
      <c r="H191" s="261" t="s">
        <v>258</v>
      </c>
      <c r="I191" s="227" t="str">
        <f>IFERROR(VLOOKUP(F191,名称!A:C,3,0),"")</f>
        <v>FNT</v>
      </c>
      <c r="J191" s="227" t="str">
        <f t="shared" ref="J191:AC191" si="231">IF(AND($F191=J$2,$G191&gt;0),$G191,"")</f>
        <v/>
      </c>
      <c r="K191" s="227" t="str">
        <f t="shared" si="231"/>
        <v/>
      </c>
      <c r="L191" s="227" t="str">
        <f t="shared" si="231"/>
        <v/>
      </c>
      <c r="M191" s="227" t="str">
        <f t="shared" si="231"/>
        <v/>
      </c>
      <c r="N191" s="227" t="str">
        <f t="shared" si="231"/>
        <v/>
      </c>
      <c r="O191" s="227" t="str">
        <f t="shared" si="231"/>
        <v/>
      </c>
      <c r="P191" s="227" t="str">
        <f t="shared" si="231"/>
        <v/>
      </c>
      <c r="Q191" s="227" t="str">
        <f t="shared" si="231"/>
        <v/>
      </c>
      <c r="R191" s="227" t="str">
        <f t="shared" si="231"/>
        <v/>
      </c>
      <c r="S191" s="227" t="str">
        <f t="shared" si="231"/>
        <v/>
      </c>
      <c r="T191" s="227" t="str">
        <f t="shared" si="231"/>
        <v/>
      </c>
      <c r="U191" s="227" t="str">
        <f t="shared" si="231"/>
        <v/>
      </c>
      <c r="V191" s="227" t="str">
        <f t="shared" si="231"/>
        <v/>
      </c>
      <c r="W191" s="227" t="str">
        <f t="shared" si="231"/>
        <v/>
      </c>
      <c r="X191" s="227" t="str">
        <f t="shared" si="231"/>
        <v/>
      </c>
      <c r="Y191" s="227" t="str">
        <f t="shared" si="231"/>
        <v/>
      </c>
      <c r="Z191" s="227" t="str">
        <f t="shared" si="231"/>
        <v/>
      </c>
      <c r="AA191" s="227" t="str">
        <f t="shared" si="231"/>
        <v/>
      </c>
      <c r="AB191" s="227" t="str">
        <f t="shared" si="231"/>
        <v/>
      </c>
      <c r="AC191" s="227" t="str">
        <f t="shared" si="231"/>
        <v/>
      </c>
      <c r="AD191" s="227" t="str">
        <f t="shared" si="159"/>
        <v/>
      </c>
      <c r="AE191" s="227" t="str">
        <f t="shared" si="160"/>
        <v/>
      </c>
      <c r="AF191" s="227" t="str">
        <f t="shared" si="161"/>
        <v/>
      </c>
      <c r="AG191" s="227" t="str">
        <f t="shared" si="162"/>
        <v/>
      </c>
      <c r="AH191" s="227" t="str">
        <f t="shared" si="163"/>
        <v/>
      </c>
      <c r="AI191" s="227" t="str">
        <f t="shared" si="164"/>
        <v/>
      </c>
      <c r="AJ191" s="227">
        <f t="shared" si="213"/>
        <v>400</v>
      </c>
      <c r="AK191" s="227">
        <f t="shared" si="166"/>
        <v>200</v>
      </c>
      <c r="AL191" s="227">
        <f t="shared" si="167"/>
        <v>200</v>
      </c>
      <c r="AM191" s="227">
        <f t="shared" si="168"/>
        <v>400</v>
      </c>
      <c r="AN191" s="227" t="str">
        <f t="shared" si="169"/>
        <v/>
      </c>
      <c r="AO191" s="227" t="str">
        <f t="shared" si="170"/>
        <v/>
      </c>
      <c r="AP191" s="275">
        <v>2.33</v>
      </c>
      <c r="AQ191" s="340">
        <f t="shared" si="171"/>
        <v>2796</v>
      </c>
      <c r="AR191" s="340">
        <f t="shared" si="172"/>
        <v>21669</v>
      </c>
    </row>
    <row r="192" s="45" customFormat="1" customHeight="1" spans="1:44">
      <c r="A192" s="179"/>
      <c r="B192" s="179"/>
      <c r="C192" s="263"/>
      <c r="D192" s="341"/>
      <c r="E192" s="263"/>
      <c r="F192" s="263"/>
      <c r="G192" s="273"/>
      <c r="H192" s="180"/>
      <c r="I192" s="263" t="str">
        <f>IFERROR(VLOOKUP(F192,名称!A:C,3,0),"")</f>
        <v/>
      </c>
      <c r="J192" s="263" t="str">
        <f t="shared" ref="J192:AC192" si="232">IF(AND($F192=J$2,$G192&gt;0),$G192,"")</f>
        <v/>
      </c>
      <c r="K192" s="263" t="str">
        <f t="shared" si="232"/>
        <v/>
      </c>
      <c r="L192" s="263" t="str">
        <f t="shared" si="232"/>
        <v/>
      </c>
      <c r="M192" s="263" t="str">
        <f t="shared" si="232"/>
        <v/>
      </c>
      <c r="N192" s="263" t="str">
        <f t="shared" si="232"/>
        <v/>
      </c>
      <c r="O192" s="263" t="str">
        <f t="shared" si="232"/>
        <v/>
      </c>
      <c r="P192" s="263" t="str">
        <f t="shared" si="232"/>
        <v/>
      </c>
      <c r="Q192" s="263" t="str">
        <f t="shared" si="232"/>
        <v/>
      </c>
      <c r="R192" s="263" t="str">
        <f t="shared" si="232"/>
        <v/>
      </c>
      <c r="S192" s="263" t="str">
        <f t="shared" si="232"/>
        <v/>
      </c>
      <c r="T192" s="263" t="str">
        <f t="shared" si="232"/>
        <v/>
      </c>
      <c r="U192" s="263" t="str">
        <f t="shared" si="232"/>
        <v/>
      </c>
      <c r="V192" s="263" t="str">
        <f t="shared" si="232"/>
        <v/>
      </c>
      <c r="W192" s="263" t="str">
        <f t="shared" si="232"/>
        <v/>
      </c>
      <c r="X192" s="263" t="str">
        <f t="shared" si="232"/>
        <v/>
      </c>
      <c r="Y192" s="263" t="str">
        <f t="shared" si="232"/>
        <v/>
      </c>
      <c r="Z192" s="263" t="str">
        <f t="shared" si="232"/>
        <v/>
      </c>
      <c r="AA192" s="263" t="str">
        <f t="shared" si="232"/>
        <v/>
      </c>
      <c r="AB192" s="263" t="str">
        <f t="shared" si="232"/>
        <v/>
      </c>
      <c r="AC192" s="263" t="str">
        <f t="shared" si="232"/>
        <v/>
      </c>
      <c r="AD192" s="263" t="str">
        <f t="shared" si="159"/>
        <v/>
      </c>
      <c r="AE192" s="263" t="str">
        <f t="shared" si="160"/>
        <v/>
      </c>
      <c r="AF192" s="263" t="str">
        <f t="shared" si="161"/>
        <v/>
      </c>
      <c r="AG192" s="263" t="str">
        <f t="shared" si="162"/>
        <v/>
      </c>
      <c r="AH192" s="263" t="str">
        <f t="shared" si="163"/>
        <v/>
      </c>
      <c r="AI192" s="263" t="str">
        <f t="shared" si="164"/>
        <v/>
      </c>
      <c r="AJ192" s="263" t="str">
        <f t="shared" si="213"/>
        <v/>
      </c>
      <c r="AK192" s="263" t="str">
        <f t="shared" si="166"/>
        <v/>
      </c>
      <c r="AL192" s="263" t="str">
        <f t="shared" si="167"/>
        <v/>
      </c>
      <c r="AM192" s="263" t="str">
        <f t="shared" si="168"/>
        <v/>
      </c>
      <c r="AN192" s="263" t="str">
        <f t="shared" si="169"/>
        <v/>
      </c>
      <c r="AO192" s="263" t="str">
        <f t="shared" si="170"/>
        <v/>
      </c>
      <c r="AP192" s="275"/>
      <c r="AQ192" s="276">
        <f t="shared" si="171"/>
        <v>0</v>
      </c>
      <c r="AR192" s="276">
        <f t="shared" si="172"/>
        <v>0</v>
      </c>
    </row>
    <row r="193" s="45" customFormat="1" customHeight="1" spans="1:44">
      <c r="A193" s="179"/>
      <c r="B193" s="179"/>
      <c r="C193" s="263"/>
      <c r="D193" s="341"/>
      <c r="E193" s="263"/>
      <c r="F193" s="263"/>
      <c r="G193" s="273"/>
      <c r="H193" s="180"/>
      <c r="I193" s="263" t="str">
        <f>IFERROR(VLOOKUP(F193,名称!A:C,3,0),"")</f>
        <v/>
      </c>
      <c r="J193" s="263" t="str">
        <f t="shared" ref="J193:AC193" si="233">IF(AND($F193=J$2,$G193&gt;0),$G193,"")</f>
        <v/>
      </c>
      <c r="K193" s="263" t="str">
        <f t="shared" si="233"/>
        <v/>
      </c>
      <c r="L193" s="263" t="str">
        <f t="shared" si="233"/>
        <v/>
      </c>
      <c r="M193" s="263" t="str">
        <f t="shared" si="233"/>
        <v/>
      </c>
      <c r="N193" s="263" t="str">
        <f t="shared" si="233"/>
        <v/>
      </c>
      <c r="O193" s="263" t="str">
        <f t="shared" si="233"/>
        <v/>
      </c>
      <c r="P193" s="263" t="str">
        <f t="shared" si="233"/>
        <v/>
      </c>
      <c r="Q193" s="263" t="str">
        <f t="shared" si="233"/>
        <v/>
      </c>
      <c r="R193" s="263" t="str">
        <f t="shared" si="233"/>
        <v/>
      </c>
      <c r="S193" s="263" t="str">
        <f t="shared" si="233"/>
        <v/>
      </c>
      <c r="T193" s="263" t="str">
        <f t="shared" si="233"/>
        <v/>
      </c>
      <c r="U193" s="263" t="str">
        <f t="shared" si="233"/>
        <v/>
      </c>
      <c r="V193" s="263" t="str">
        <f t="shared" si="233"/>
        <v/>
      </c>
      <c r="W193" s="263" t="str">
        <f t="shared" si="233"/>
        <v/>
      </c>
      <c r="X193" s="263" t="str">
        <f t="shared" si="233"/>
        <v/>
      </c>
      <c r="Y193" s="263" t="str">
        <f t="shared" si="233"/>
        <v/>
      </c>
      <c r="Z193" s="263" t="str">
        <f t="shared" si="233"/>
        <v/>
      </c>
      <c r="AA193" s="263" t="str">
        <f t="shared" si="233"/>
        <v/>
      </c>
      <c r="AB193" s="263" t="str">
        <f t="shared" si="233"/>
        <v/>
      </c>
      <c r="AC193" s="263" t="str">
        <f t="shared" si="233"/>
        <v/>
      </c>
      <c r="AD193" s="263" t="str">
        <f t="shared" si="159"/>
        <v/>
      </c>
      <c r="AE193" s="263" t="str">
        <f t="shared" si="160"/>
        <v/>
      </c>
      <c r="AF193" s="263" t="str">
        <f t="shared" si="161"/>
        <v/>
      </c>
      <c r="AG193" s="263" t="str">
        <f t="shared" si="162"/>
        <v/>
      </c>
      <c r="AH193" s="263" t="str">
        <f t="shared" si="163"/>
        <v/>
      </c>
      <c r="AI193" s="263" t="str">
        <f t="shared" si="164"/>
        <v/>
      </c>
      <c r="AJ193" s="263" t="str">
        <f t="shared" si="213"/>
        <v/>
      </c>
      <c r="AK193" s="263" t="str">
        <f t="shared" si="166"/>
        <v/>
      </c>
      <c r="AL193" s="263" t="str">
        <f t="shared" si="167"/>
        <v/>
      </c>
      <c r="AM193" s="263" t="str">
        <f t="shared" si="168"/>
        <v/>
      </c>
      <c r="AN193" s="263" t="str">
        <f t="shared" si="169"/>
        <v/>
      </c>
      <c r="AO193" s="263" t="str">
        <f t="shared" si="170"/>
        <v/>
      </c>
      <c r="AP193" s="275"/>
      <c r="AQ193" s="276">
        <f t="shared" si="171"/>
        <v>0</v>
      </c>
      <c r="AR193" s="276">
        <f t="shared" si="172"/>
        <v>0</v>
      </c>
    </row>
    <row r="194" s="45" customFormat="1" customHeight="1" spans="1:44">
      <c r="A194" s="179"/>
      <c r="B194" s="179"/>
      <c r="C194" s="263"/>
      <c r="D194" s="341"/>
      <c r="E194" s="263"/>
      <c r="F194" s="263"/>
      <c r="G194" s="273"/>
      <c r="H194" s="180"/>
      <c r="I194" s="263" t="str">
        <f>IFERROR(VLOOKUP(F194,名称!A:C,3,0),"")</f>
        <v/>
      </c>
      <c r="J194" s="263" t="str">
        <f t="shared" ref="J194:AC194" si="234">IF(AND($F194=J$2,$G194&gt;0),$G194,"")</f>
        <v/>
      </c>
      <c r="K194" s="263" t="str">
        <f t="shared" si="234"/>
        <v/>
      </c>
      <c r="L194" s="263" t="str">
        <f t="shared" si="234"/>
        <v/>
      </c>
      <c r="M194" s="263" t="str">
        <f t="shared" si="234"/>
        <v/>
      </c>
      <c r="N194" s="263" t="str">
        <f t="shared" si="234"/>
        <v/>
      </c>
      <c r="O194" s="263" t="str">
        <f t="shared" si="234"/>
        <v/>
      </c>
      <c r="P194" s="263" t="str">
        <f t="shared" si="234"/>
        <v/>
      </c>
      <c r="Q194" s="263" t="str">
        <f t="shared" si="234"/>
        <v/>
      </c>
      <c r="R194" s="263" t="str">
        <f t="shared" si="234"/>
        <v/>
      </c>
      <c r="S194" s="263" t="str">
        <f t="shared" si="234"/>
        <v/>
      </c>
      <c r="T194" s="263" t="str">
        <f t="shared" si="234"/>
        <v/>
      </c>
      <c r="U194" s="263" t="str">
        <f t="shared" si="234"/>
        <v/>
      </c>
      <c r="V194" s="263" t="str">
        <f t="shared" si="234"/>
        <v/>
      </c>
      <c r="W194" s="263" t="str">
        <f t="shared" si="234"/>
        <v/>
      </c>
      <c r="X194" s="263" t="str">
        <f t="shared" si="234"/>
        <v/>
      </c>
      <c r="Y194" s="263" t="str">
        <f t="shared" si="234"/>
        <v/>
      </c>
      <c r="Z194" s="263" t="str">
        <f t="shared" si="234"/>
        <v/>
      </c>
      <c r="AA194" s="263" t="str">
        <f t="shared" si="234"/>
        <v/>
      </c>
      <c r="AB194" s="263" t="str">
        <f t="shared" si="234"/>
        <v/>
      </c>
      <c r="AC194" s="263" t="str">
        <f t="shared" si="234"/>
        <v/>
      </c>
      <c r="AD194" s="263" t="str">
        <f t="shared" si="159"/>
        <v/>
      </c>
      <c r="AE194" s="263" t="str">
        <f t="shared" si="160"/>
        <v/>
      </c>
      <c r="AF194" s="263" t="str">
        <f t="shared" si="161"/>
        <v/>
      </c>
      <c r="AG194" s="263" t="str">
        <f t="shared" si="162"/>
        <v/>
      </c>
      <c r="AH194" s="263" t="str">
        <f t="shared" si="163"/>
        <v/>
      </c>
      <c r="AI194" s="263" t="str">
        <f t="shared" si="164"/>
        <v/>
      </c>
      <c r="AJ194" s="263" t="str">
        <f t="shared" si="213"/>
        <v/>
      </c>
      <c r="AK194" s="263" t="str">
        <f t="shared" si="166"/>
        <v/>
      </c>
      <c r="AL194" s="263" t="str">
        <f t="shared" si="167"/>
        <v/>
      </c>
      <c r="AM194" s="263" t="str">
        <f t="shared" si="168"/>
        <v/>
      </c>
      <c r="AN194" s="263" t="str">
        <f t="shared" si="169"/>
        <v/>
      </c>
      <c r="AO194" s="263" t="str">
        <f t="shared" si="170"/>
        <v/>
      </c>
      <c r="AP194" s="275"/>
      <c r="AQ194" s="276">
        <f t="shared" si="171"/>
        <v>0</v>
      </c>
      <c r="AR194" s="276">
        <f t="shared" si="172"/>
        <v>0</v>
      </c>
    </row>
    <row r="195" s="45" customFormat="1" customHeight="1" spans="1:44">
      <c r="A195" s="56"/>
      <c r="B195" s="56"/>
      <c r="C195" s="14"/>
      <c r="D195" s="57"/>
      <c r="E195" s="14"/>
      <c r="F195" s="14"/>
      <c r="G195" s="171"/>
      <c r="H195" s="172"/>
      <c r="I195" s="14" t="str">
        <f>IFERROR(VLOOKUP(F195,名称!A:C,3,0),"")</f>
        <v/>
      </c>
      <c r="J195" s="14" t="str">
        <f t="shared" ref="J195:AC195" si="235">IF(AND($F195=J$2,$G195&gt;0),$G195,"")</f>
        <v/>
      </c>
      <c r="K195" s="14" t="str">
        <f t="shared" si="235"/>
        <v/>
      </c>
      <c r="L195" s="14" t="str">
        <f t="shared" si="235"/>
        <v/>
      </c>
      <c r="M195" s="14" t="str">
        <f t="shared" si="235"/>
        <v/>
      </c>
      <c r="N195" s="14" t="str">
        <f t="shared" si="235"/>
        <v/>
      </c>
      <c r="O195" s="14" t="str">
        <f t="shared" si="235"/>
        <v/>
      </c>
      <c r="P195" s="14" t="str">
        <f t="shared" si="235"/>
        <v/>
      </c>
      <c r="Q195" s="14" t="str">
        <f t="shared" si="235"/>
        <v/>
      </c>
      <c r="R195" s="14" t="str">
        <f t="shared" si="235"/>
        <v/>
      </c>
      <c r="S195" s="14" t="str">
        <f t="shared" si="235"/>
        <v/>
      </c>
      <c r="T195" s="14" t="str">
        <f t="shared" si="235"/>
        <v/>
      </c>
      <c r="U195" s="14" t="str">
        <f t="shared" si="235"/>
        <v/>
      </c>
      <c r="V195" s="14" t="str">
        <f t="shared" si="235"/>
        <v/>
      </c>
      <c r="W195" s="14" t="str">
        <f t="shared" si="235"/>
        <v/>
      </c>
      <c r="X195" s="14" t="str">
        <f t="shared" si="235"/>
        <v/>
      </c>
      <c r="Y195" s="14" t="str">
        <f t="shared" si="235"/>
        <v/>
      </c>
      <c r="Z195" s="14" t="str">
        <f t="shared" si="235"/>
        <v/>
      </c>
      <c r="AA195" s="14" t="str">
        <f t="shared" si="235"/>
        <v/>
      </c>
      <c r="AB195" s="14" t="str">
        <f t="shared" si="235"/>
        <v/>
      </c>
      <c r="AC195" s="14" t="str">
        <f t="shared" si="235"/>
        <v/>
      </c>
      <c r="AD195" s="14" t="str">
        <f t="shared" si="159"/>
        <v/>
      </c>
      <c r="AE195" s="14" t="str">
        <f t="shared" si="160"/>
        <v/>
      </c>
      <c r="AF195" s="14" t="str">
        <f t="shared" si="161"/>
        <v/>
      </c>
      <c r="AG195" s="14" t="str">
        <f t="shared" si="162"/>
        <v/>
      </c>
      <c r="AH195" s="14" t="str">
        <f t="shared" si="163"/>
        <v/>
      </c>
      <c r="AI195" s="14" t="str">
        <f t="shared" si="164"/>
        <v/>
      </c>
      <c r="AJ195" s="14" t="str">
        <f t="shared" si="213"/>
        <v/>
      </c>
      <c r="AK195" s="14" t="str">
        <f t="shared" si="166"/>
        <v/>
      </c>
      <c r="AL195" s="14" t="str">
        <f t="shared" si="167"/>
        <v/>
      </c>
      <c r="AM195" s="14" t="str">
        <f t="shared" si="168"/>
        <v/>
      </c>
      <c r="AN195" s="14" t="str">
        <f t="shared" si="169"/>
        <v/>
      </c>
      <c r="AO195" s="14" t="str">
        <f t="shared" si="170"/>
        <v/>
      </c>
      <c r="AP195" s="71"/>
      <c r="AQ195" s="72">
        <f t="shared" si="171"/>
        <v>0</v>
      </c>
      <c r="AR195" s="72">
        <f t="shared" si="172"/>
        <v>0</v>
      </c>
    </row>
    <row r="196" s="45" customFormat="1" customHeight="1" spans="1:44">
      <c r="A196" s="56"/>
      <c r="B196" s="56"/>
      <c r="C196" s="14"/>
      <c r="D196" s="57"/>
      <c r="E196" s="14"/>
      <c r="F196" s="14"/>
      <c r="G196" s="171"/>
      <c r="H196" s="14"/>
      <c r="I196" s="14" t="str">
        <f>IFERROR(VLOOKUP(F196,名称!A:C,3,0),"")</f>
        <v/>
      </c>
      <c r="J196" s="14" t="str">
        <f t="shared" ref="J196:AC196" si="236">IF(AND($F196=J$2,$G196&gt;0),$G196,"")</f>
        <v/>
      </c>
      <c r="K196" s="14" t="str">
        <f t="shared" si="236"/>
        <v/>
      </c>
      <c r="L196" s="14" t="str">
        <f t="shared" si="236"/>
        <v/>
      </c>
      <c r="M196" s="14" t="str">
        <f t="shared" si="236"/>
        <v/>
      </c>
      <c r="N196" s="14" t="str">
        <f t="shared" si="236"/>
        <v/>
      </c>
      <c r="O196" s="14" t="str">
        <f t="shared" si="236"/>
        <v/>
      </c>
      <c r="P196" s="14" t="str">
        <f t="shared" si="236"/>
        <v/>
      </c>
      <c r="Q196" s="14" t="str">
        <f t="shared" si="236"/>
        <v/>
      </c>
      <c r="R196" s="14" t="str">
        <f t="shared" si="236"/>
        <v/>
      </c>
      <c r="S196" s="14" t="str">
        <f t="shared" si="236"/>
        <v/>
      </c>
      <c r="T196" s="14" t="str">
        <f t="shared" si="236"/>
        <v/>
      </c>
      <c r="U196" s="14" t="str">
        <f t="shared" si="236"/>
        <v/>
      </c>
      <c r="V196" s="14" t="str">
        <f t="shared" si="236"/>
        <v/>
      </c>
      <c r="W196" s="14" t="str">
        <f t="shared" si="236"/>
        <v/>
      </c>
      <c r="X196" s="14" t="str">
        <f t="shared" si="236"/>
        <v/>
      </c>
      <c r="Y196" s="14" t="str">
        <f t="shared" si="236"/>
        <v/>
      </c>
      <c r="Z196" s="14" t="str">
        <f t="shared" si="236"/>
        <v/>
      </c>
      <c r="AA196" s="14" t="str">
        <f t="shared" si="236"/>
        <v/>
      </c>
      <c r="AB196" s="14" t="str">
        <f t="shared" si="236"/>
        <v/>
      </c>
      <c r="AC196" s="14" t="str">
        <f t="shared" si="236"/>
        <v/>
      </c>
      <c r="AD196" s="14" t="str">
        <f t="shared" si="159"/>
        <v/>
      </c>
      <c r="AE196" s="14" t="str">
        <f t="shared" si="160"/>
        <v/>
      </c>
      <c r="AF196" s="14" t="str">
        <f t="shared" si="161"/>
        <v/>
      </c>
      <c r="AG196" s="14" t="str">
        <f t="shared" si="162"/>
        <v/>
      </c>
      <c r="AH196" s="14" t="str">
        <f t="shared" si="163"/>
        <v/>
      </c>
      <c r="AI196" s="14" t="str">
        <f t="shared" si="164"/>
        <v/>
      </c>
      <c r="AJ196" s="14" t="str">
        <f t="shared" si="213"/>
        <v/>
      </c>
      <c r="AK196" s="14" t="str">
        <f t="shared" si="166"/>
        <v/>
      </c>
      <c r="AL196" s="14" t="str">
        <f t="shared" si="167"/>
        <v/>
      </c>
      <c r="AM196" s="14" t="str">
        <f t="shared" si="168"/>
        <v/>
      </c>
      <c r="AN196" s="14" t="str">
        <f t="shared" si="169"/>
        <v/>
      </c>
      <c r="AO196" s="14" t="str">
        <f t="shared" si="170"/>
        <v/>
      </c>
      <c r="AP196" s="71"/>
      <c r="AQ196" s="72">
        <f t="shared" si="171"/>
        <v>0</v>
      </c>
      <c r="AR196" s="72">
        <f t="shared" si="172"/>
        <v>0</v>
      </c>
    </row>
    <row r="197" s="70" customFormat="1" customHeight="1" spans="1:44">
      <c r="A197" s="342"/>
      <c r="B197" s="342"/>
      <c r="C197" s="73"/>
      <c r="D197" s="73"/>
      <c r="E197" s="73"/>
      <c r="F197" s="73" t="s">
        <v>395</v>
      </c>
      <c r="G197" s="343">
        <f>SUM(G3:G196)</f>
        <v>312788</v>
      </c>
      <c r="H197" s="343">
        <f>G197-AP197</f>
        <v>0</v>
      </c>
      <c r="I197" s="343"/>
      <c r="J197" s="343">
        <f t="shared" ref="J197:AO197" si="237">SUM(J3:J196)</f>
        <v>19580</v>
      </c>
      <c r="K197" s="343">
        <f t="shared" si="237"/>
        <v>2394</v>
      </c>
      <c r="L197" s="343">
        <f t="shared" si="237"/>
        <v>300</v>
      </c>
      <c r="M197" s="343">
        <f t="shared" si="237"/>
        <v>4344</v>
      </c>
      <c r="N197" s="343">
        <f t="shared" si="237"/>
        <v>3300</v>
      </c>
      <c r="O197" s="343">
        <f t="shared" si="237"/>
        <v>4</v>
      </c>
      <c r="P197" s="343">
        <f t="shared" si="237"/>
        <v>1200</v>
      </c>
      <c r="Q197" s="343">
        <f t="shared" si="237"/>
        <v>16014</v>
      </c>
      <c r="R197" s="343">
        <f t="shared" si="237"/>
        <v>3020</v>
      </c>
      <c r="S197" s="343">
        <f t="shared" si="237"/>
        <v>17202</v>
      </c>
      <c r="T197" s="343">
        <f t="shared" si="237"/>
        <v>3054</v>
      </c>
      <c r="U197" s="343">
        <f t="shared" si="237"/>
        <v>54</v>
      </c>
      <c r="V197" s="343">
        <f t="shared" si="237"/>
        <v>6122</v>
      </c>
      <c r="W197" s="343">
        <f t="shared" si="237"/>
        <v>13628</v>
      </c>
      <c r="X197" s="343">
        <f t="shared" si="237"/>
        <v>8700</v>
      </c>
      <c r="Y197" s="343">
        <f t="shared" si="237"/>
        <v>29970</v>
      </c>
      <c r="Z197" s="343">
        <f t="shared" si="237"/>
        <v>33549</v>
      </c>
      <c r="AA197" s="343">
        <f t="shared" si="237"/>
        <v>13248</v>
      </c>
      <c r="AB197" s="343">
        <f t="shared" si="237"/>
        <v>3600</v>
      </c>
      <c r="AC197" s="343">
        <f t="shared" si="237"/>
        <v>11851</v>
      </c>
      <c r="AD197" s="343">
        <f t="shared" si="237"/>
        <v>17252</v>
      </c>
      <c r="AE197" s="343">
        <f t="shared" si="237"/>
        <v>11120</v>
      </c>
      <c r="AF197" s="343">
        <f t="shared" si="237"/>
        <v>12818</v>
      </c>
      <c r="AG197" s="343">
        <f t="shared" si="237"/>
        <v>950</v>
      </c>
      <c r="AH197" s="343">
        <f t="shared" si="237"/>
        <v>950</v>
      </c>
      <c r="AI197" s="343">
        <f t="shared" si="237"/>
        <v>950</v>
      </c>
      <c r="AJ197" s="343">
        <f t="shared" si="237"/>
        <v>22052</v>
      </c>
      <c r="AK197" s="343">
        <f t="shared" si="237"/>
        <v>14644</v>
      </c>
      <c r="AL197" s="343">
        <f t="shared" si="237"/>
        <v>11644</v>
      </c>
      <c r="AM197" s="343">
        <f t="shared" si="237"/>
        <v>26246</v>
      </c>
      <c r="AN197" s="343">
        <f t="shared" si="237"/>
        <v>3028</v>
      </c>
      <c r="AO197" s="343">
        <f t="shared" si="237"/>
        <v>0</v>
      </c>
      <c r="AP197" s="343">
        <f>SUM(I197:AO197)</f>
        <v>312788</v>
      </c>
      <c r="AQ197" s="343">
        <f>SUM(AQ3:AQ196)</f>
        <v>1222476.94</v>
      </c>
      <c r="AR197" s="343">
        <f>SUM(AR3:AR196)</f>
        <v>9474196.41</v>
      </c>
    </row>
    <row r="198" s="45" customFormat="1" customHeight="1" spans="1:44">
      <c r="G198" s="344">
        <f>G197-'CMW+NER+PKW客排'!J87-'CMW+NER+PKW仓排'!J15-已走货!J114</f>
        <v>0</v>
      </c>
      <c r="AP198" s="68"/>
      <c r="AQ198" s="69"/>
      <c r="AR198" s="69"/>
    </row>
    <row r="199" s="45" customFormat="1" customHeight="1" spans="1:44">
      <c r="A199" s="65"/>
      <c r="B199" s="65"/>
      <c r="C199" s="65"/>
      <c r="D199" s="65"/>
      <c r="E199" s="65"/>
      <c r="F199" s="65"/>
      <c r="G199" s="345"/>
      <c r="H199" s="65"/>
      <c r="I199" s="65"/>
      <c r="AP199" s="68"/>
      <c r="AQ199" s="69"/>
      <c r="AR199" s="69"/>
    </row>
    <row r="200" s="45" customFormat="1" customHeight="1" spans="1:44">
      <c r="A200" s="65"/>
      <c r="B200" s="65"/>
      <c r="C200" s="65"/>
      <c r="D200" s="65"/>
      <c r="E200" s="65"/>
      <c r="F200" s="65"/>
      <c r="G200" s="345"/>
      <c r="H200" s="65"/>
      <c r="I200" s="65"/>
      <c r="AP200" s="68"/>
      <c r="AQ200" s="69"/>
      <c r="AR200" s="69"/>
    </row>
    <row r="201" s="45" customFormat="1" customHeight="1" spans="1:44">
      <c r="A201" s="346"/>
      <c r="B201" s="347"/>
      <c r="C201" s="348"/>
      <c r="D201" s="346"/>
      <c r="E201" s="349" t="s">
        <v>396</v>
      </c>
      <c r="F201" s="350"/>
      <c r="G201" s="351" t="s">
        <v>106</v>
      </c>
      <c r="H201" s="352">
        <f>SUMIF('CMW+NER+PKW接单'!$I$2:$I$665,G201,'CMW+NER+PKW接单'!$AR$2:$AR$665)</f>
        <v>5977571.29</v>
      </c>
      <c r="I201" s="65"/>
      <c r="AP201" s="68"/>
      <c r="AQ201" s="69"/>
      <c r="AR201" s="69"/>
    </row>
    <row r="202" s="45" customFormat="1" customHeight="1" spans="1:44">
      <c r="A202" s="353" t="s">
        <v>397</v>
      </c>
      <c r="B202" s="354">
        <f>'CMW+NER+PKW接单'!AR197</f>
        <v>9474196.41</v>
      </c>
      <c r="C202" s="352">
        <f>B202-B203-B204</f>
        <v>0</v>
      </c>
      <c r="D202" s="346" t="s">
        <v>398</v>
      </c>
      <c r="E202" s="354">
        <f>E203+[1]AME接单!$E$11+[2]JWC接单!$E$837</f>
        <v>23492103.64</v>
      </c>
      <c r="F202" s="352"/>
      <c r="G202" s="351" t="s">
        <v>16</v>
      </c>
      <c r="H202" s="352">
        <f>SUMIF('CMW+NER+PKW接单'!$I$2:$I$665,G202,'CMW+NER+PKW接单'!$AR$2:$AR$665)</f>
        <v>1241016.42</v>
      </c>
      <c r="I202" s="65"/>
      <c r="AP202" s="68"/>
      <c r="AQ202" s="69"/>
      <c r="AR202" s="69"/>
    </row>
    <row r="203" customHeight="1" spans="1:44">
      <c r="A203" s="353" t="s">
        <v>399</v>
      </c>
      <c r="B203" s="354">
        <f>'CMW+NER+PKW客排'!AB87+'CMW+NER+PKW仓排'!AB15</f>
        <v>4146511.86</v>
      </c>
      <c r="C203" s="352"/>
      <c r="D203" s="353" t="s">
        <v>400</v>
      </c>
      <c r="E203" s="354">
        <f>E204+E205</f>
        <v>2398720.39</v>
      </c>
      <c r="F203" s="355"/>
      <c r="G203" s="356" t="s">
        <v>9</v>
      </c>
      <c r="H203" s="352">
        <f>SUMIF('CMW+NER+PKW接单'!$I$2:$I$665,G203,'CMW+NER+PKW接单'!$AR$2:$AR$665)</f>
        <v>362746.5</v>
      </c>
      <c r="I203" s="65"/>
    </row>
    <row r="204" customHeight="1" spans="1:44">
      <c r="A204" s="353" t="s">
        <v>401</v>
      </c>
      <c r="B204" s="354">
        <f>已走货!AB114</f>
        <v>5327684.55</v>
      </c>
      <c r="C204" s="352"/>
      <c r="D204" s="353" t="s">
        <v>402</v>
      </c>
      <c r="E204" s="354">
        <f>SUMIF('CMW+NER+PKW客排'!C:C,E201,'CMW+NER+PKW客排'!AB:AB)+SUMIF('CMW+NER+PKW仓排'!C:C,E201,'CMW+NER+PKW仓排'!AB:AB)</f>
        <v>874973.41</v>
      </c>
      <c r="F204" s="357"/>
      <c r="G204" s="358" t="s">
        <v>11</v>
      </c>
      <c r="H204" s="352">
        <f>SUMIF('CMW+NER+PKW接单'!$I$2:$I$665,G204,'CMW+NER+PKW接单'!$AR$2:$AR$665)</f>
        <v>0</v>
      </c>
      <c r="I204" s="65"/>
    </row>
    <row r="205" s="45" customFormat="1" customHeight="1" spans="1:44">
      <c r="B205" s="354">
        <f>'CMW+NER+PKW客排'!AB87</f>
        <v>3878140.36</v>
      </c>
      <c r="C205" s="354">
        <f>'CMW+NER+PKW仓排'!AB15</f>
        <v>268371.5</v>
      </c>
      <c r="D205" s="353"/>
      <c r="E205" s="354">
        <f>SUMIF(已走货!C:C,E201,已走货!AB:AB)</f>
        <v>1523746.98</v>
      </c>
      <c r="F205" s="357"/>
      <c r="G205" s="358" t="s">
        <v>199</v>
      </c>
      <c r="H205" s="352">
        <f>SUMIF('CMW+NER+PKW接单'!$I$2:$I$665,G205,'CMW+NER+PKW接单'!$AR$2:$AR$665)</f>
        <v>1892862.2</v>
      </c>
      <c r="I205" s="65"/>
      <c r="AP205" s="68"/>
      <c r="AQ205" s="69"/>
      <c r="AR205" s="69"/>
    </row>
    <row r="206" customHeight="1" spans="1:44">
      <c r="A206" s="346"/>
      <c r="B206" s="354">
        <v>2116082.76</v>
      </c>
      <c r="C206" s="354">
        <v>2661566.64</v>
      </c>
      <c r="D206" s="65"/>
      <c r="E206" s="65"/>
      <c r="F206" s="65"/>
      <c r="G206" s="358"/>
      <c r="H206" s="352">
        <f>SUM(H201:H205)-B202</f>
        <v>0</v>
      </c>
      <c r="I206" s="65"/>
    </row>
    <row r="207" customHeight="1" spans="1:44">
      <c r="A207" s="346"/>
      <c r="B207" s="359">
        <f>B206+B205</f>
        <v>5994223.12</v>
      </c>
      <c r="C207" s="359">
        <f>C205+C206</f>
        <v>2929938.14</v>
      </c>
      <c r="D207" s="348"/>
      <c r="E207" s="348"/>
      <c r="F207" s="65"/>
      <c r="G207" s="345"/>
      <c r="H207" s="65" t="s">
        <v>403</v>
      </c>
      <c r="I207" s="65"/>
    </row>
    <row r="208" customHeight="1" spans="1:44">
      <c r="A208" s="360" t="s">
        <v>404</v>
      </c>
      <c r="B208" s="65"/>
      <c r="C208" s="65"/>
      <c r="D208" s="65"/>
      <c r="E208" s="65"/>
      <c r="F208" s="65"/>
      <c r="G208" s="345"/>
      <c r="H208" s="65"/>
      <c r="I208" s="65"/>
    </row>
    <row r="209" customHeight="1" spans="1:9">
      <c r="A209" s="360" t="s">
        <v>405</v>
      </c>
      <c r="B209" s="65"/>
      <c r="C209" s="65"/>
      <c r="D209" s="65"/>
      <c r="E209" s="65"/>
      <c r="F209" s="65"/>
      <c r="G209" s="345"/>
      <c r="H209" s="65"/>
      <c r="I209" s="65"/>
    </row>
    <row r="210" customHeight="1" spans="1:9">
      <c r="A210" s="360" t="s">
        <v>406</v>
      </c>
      <c r="B210" s="65"/>
      <c r="C210" s="65"/>
      <c r="D210" s="65"/>
      <c r="E210" s="65"/>
      <c r="F210" s="65"/>
      <c r="G210" s="345"/>
      <c r="H210" s="65"/>
      <c r="I210" s="65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AR210" etc:filterBottomFollowUsedRange="0">
    <extLst/>
  </autoFilter>
  <mergeCells count="5">
    <mergeCell ref="A1:I1"/>
    <mergeCell ref="AD1:AF1"/>
    <mergeCell ref="AG1:AI1"/>
    <mergeCell ref="AJ1:AM1"/>
    <mergeCell ref="C202:C204"/>
  </mergeCells>
  <pageMargins left="0.75" right="0.75" top="1" bottom="1" header="0.5" footer="0.5"/>
  <pageSetup paperSize="9" orientation="portrait"/>
  <headerFooter/>
  <ignoredErrors>
    <ignoredError sqref="I195" formulaRange="1"/>
    <ignoredError sqref="AP197 AP194:AP195" formula="1"/>
  </ignoredErrors>
  <drawing r:id="rId2"/>
  <legacyDrawing r:id="rId3"/>
  <oleObjects>
    <mc:AlternateContent xmlns:mc="http://schemas.openxmlformats.org/markup-compatibility/2006">
      <mc:Choice Requires="x14">
        <oleObject shapeId="25871" progId="AcroExch.Document.11" r:id="rId4">
          <objectPr defaultSize="0" r:id="rId5">
            <anchor moveWithCells="1">
              <from>
                <xdr:col>0</xdr:col>
                <xdr:colOff>78105</xdr:colOff>
                <xdr:row>211</xdr:row>
                <xdr:rowOff>163195</xdr:rowOff>
              </from>
              <to>
                <xdr:col>4</xdr:col>
                <xdr:colOff>360045</xdr:colOff>
                <xdr:row>226</xdr:row>
                <xdr:rowOff>226060</xdr:rowOff>
              </to>
            </anchor>
          </objectPr>
        </oleObject>
      </mc:Choice>
      <mc:Fallback>
        <oleObject shapeId="25871" progId="AcroExch.Document.1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1"/>
  <sheetViews>
    <sheetView tabSelected="1" workbookViewId="0">
      <pane xSplit="13" ySplit="1" topLeftCell="N203" activePane="bottomRight" state="frozen"/>
      <selection/>
      <selection pane="topRight"/>
      <selection pane="bottomLeft"/>
      <selection pane="bottomRight" activeCell="B203" sqref="B203"/>
    </sheetView>
  </sheetViews>
  <sheetFormatPr defaultColWidth="9" defaultRowHeight="25" customHeight="1"/>
  <cols>
    <col min="1" max="1" width="12.6" style="196" customWidth="1"/>
    <col min="2" max="2" width="12.625" style="168" customWidth="1"/>
    <col min="3" max="3" width="8.6" style="168" customWidth="1"/>
    <col min="4" max="4" width="6.625" style="168" customWidth="1"/>
    <col min="5" max="5" width="5.6" style="168" customWidth="1"/>
    <col min="6" max="8" width="12.625" style="168" customWidth="1"/>
    <col min="9" max="9" width="15.625" style="168" customWidth="1"/>
    <col min="10" max="10" width="6.625" style="197" customWidth="1"/>
    <col min="11" max="11" width="5.625" style="168" customWidth="1"/>
    <col min="12" max="12" width="5.625" style="198" customWidth="1"/>
    <col min="13" max="13" width="12.625" style="196" customWidth="1"/>
    <col min="14" max="14" width="12.625" style="199" customWidth="1"/>
    <col min="15" max="15" width="14.5" style="168" customWidth="1"/>
    <col min="16" max="16" width="8.625" style="168" customWidth="1"/>
    <col min="17" max="17" width="12.625" style="168" customWidth="1"/>
    <col min="18" max="18" width="11.775" style="168" customWidth="1"/>
    <col min="19" max="19" width="12.625" style="168" customWidth="1"/>
    <col min="20" max="20" width="10.3333333333333" style="168" customWidth="1"/>
    <col min="21" max="21" width="12.9416666666667" style="168" customWidth="1"/>
    <col min="22" max="22" width="11.9" style="168" customWidth="1"/>
    <col min="23" max="23" width="26.25" style="168" customWidth="1"/>
    <col min="24" max="24" width="19.8" style="168" customWidth="1"/>
    <col min="25" max="25" width="23.85" style="168" customWidth="1"/>
    <col min="26" max="26" width="8.625" style="200" customWidth="1"/>
    <col min="27" max="28" width="12.625" style="201" customWidth="1"/>
    <col min="29" max="29" width="8.625" style="202" customWidth="1"/>
    <col min="30" max="30" width="10.625" style="168" customWidth="1"/>
    <col min="31" max="31" width="5.6" style="168" customWidth="1"/>
    <col min="32" max="33" width="10.625" style="168" customWidth="1"/>
    <col min="34" max="16384" width="9" style="168"/>
  </cols>
  <sheetData>
    <row r="1" s="168" customFormat="1" customHeight="1" spans="1:33">
      <c r="A1" s="74" t="s">
        <v>231</v>
      </c>
      <c r="B1" s="74" t="s">
        <v>407</v>
      </c>
      <c r="C1" s="74" t="s">
        <v>408</v>
      </c>
      <c r="D1" s="74" t="s">
        <v>409</v>
      </c>
      <c r="E1" s="74" t="s">
        <v>410</v>
      </c>
      <c r="F1" s="74" t="s">
        <v>234</v>
      </c>
      <c r="G1" s="74" t="s">
        <v>235</v>
      </c>
      <c r="H1" s="74" t="s">
        <v>236</v>
      </c>
      <c r="I1" s="172" t="s">
        <v>411</v>
      </c>
      <c r="J1" s="175" t="s">
        <v>237</v>
      </c>
      <c r="K1" s="172" t="s">
        <v>3</v>
      </c>
      <c r="L1" s="203" t="s">
        <v>412</v>
      </c>
      <c r="M1" s="74" t="s">
        <v>413</v>
      </c>
      <c r="N1" s="74" t="s">
        <v>232</v>
      </c>
      <c r="O1" s="74" t="s">
        <v>414</v>
      </c>
      <c r="P1" s="74" t="s">
        <v>415</v>
      </c>
      <c r="Q1" s="74" t="s">
        <v>416</v>
      </c>
      <c r="R1" s="74" t="s">
        <v>417</v>
      </c>
      <c r="S1" s="74" t="s">
        <v>418</v>
      </c>
      <c r="T1" s="74" t="s">
        <v>419</v>
      </c>
      <c r="U1" s="74" t="s">
        <v>420</v>
      </c>
      <c r="V1" s="74" t="s">
        <v>421</v>
      </c>
      <c r="W1" s="74" t="s">
        <v>238</v>
      </c>
      <c r="X1" s="74" t="s">
        <v>422</v>
      </c>
      <c r="Y1" s="74" t="s">
        <v>423</v>
      </c>
      <c r="Z1" s="186" t="s">
        <v>243</v>
      </c>
      <c r="AA1" s="187" t="s">
        <v>244</v>
      </c>
      <c r="AB1" s="187" t="s">
        <v>245</v>
      </c>
      <c r="AC1" s="204" t="s">
        <v>424</v>
      </c>
      <c r="AD1" s="74" t="s">
        <v>425</v>
      </c>
      <c r="AE1" s="172" t="str">
        <f>VLOOKUP(H1,名称!A:C,3,0)</f>
        <v>系列</v>
      </c>
      <c r="AF1" s="74" t="str">
        <f t="shared" ref="AF1:AF37" si="0">B1</f>
        <v>第三客户名称</v>
      </c>
      <c r="AG1" s="74" t="str">
        <f t="shared" ref="AG1:AG37" si="1">C1</f>
        <v>国家</v>
      </c>
    </row>
    <row r="2" s="190" customFormat="1" customHeight="1" spans="1:33">
      <c r="A2" s="205">
        <v>44487</v>
      </c>
      <c r="B2" s="206" t="s">
        <v>426</v>
      </c>
      <c r="C2" s="207" t="s">
        <v>396</v>
      </c>
      <c r="D2" s="208" t="s">
        <v>427</v>
      </c>
      <c r="E2" s="209" t="s">
        <v>246</v>
      </c>
      <c r="F2" s="210"/>
      <c r="G2" s="210" t="s">
        <v>247</v>
      </c>
      <c r="H2" s="211" t="s">
        <v>158</v>
      </c>
      <c r="I2" s="212" t="str">
        <f>IFERROR(VLOOKUP(H2,名称!A:C,2,0),"")</f>
        <v>NERF标靶</v>
      </c>
      <c r="J2" s="213">
        <f>9000-300</f>
        <v>8700</v>
      </c>
      <c r="K2" s="213">
        <f>VLOOKUP(H2,名称!A:D,4,0)</f>
        <v>4</v>
      </c>
      <c r="L2" s="214">
        <f t="shared" ref="L2:L15" si="2">J2/K2</f>
        <v>2175</v>
      </c>
      <c r="M2" s="215">
        <v>44620</v>
      </c>
      <c r="N2" s="215">
        <v>45752</v>
      </c>
      <c r="O2" s="215">
        <v>44635</v>
      </c>
      <c r="P2" s="206" t="s">
        <v>428</v>
      </c>
      <c r="Q2" s="211" t="s">
        <v>429</v>
      </c>
      <c r="R2" s="211"/>
      <c r="S2" s="208" t="s">
        <v>430</v>
      </c>
      <c r="T2" s="208" t="s">
        <v>431</v>
      </c>
      <c r="U2" s="211"/>
      <c r="V2" s="216"/>
      <c r="W2" s="211" t="s">
        <v>248</v>
      </c>
      <c r="X2" s="211"/>
      <c r="Y2" s="211"/>
      <c r="Z2" s="217">
        <v>5.38</v>
      </c>
      <c r="AA2" s="218">
        <f t="shared" ref="AA2:AA37" si="3">J2*Z2</f>
        <v>46806</v>
      </c>
      <c r="AB2" s="218">
        <f t="shared" ref="AB2:AB37" si="4">AA2*7.75</f>
        <v>362746.5</v>
      </c>
      <c r="AC2" s="219"/>
      <c r="AD2" s="211" t="s">
        <v>432</v>
      </c>
      <c r="AE2" s="211" t="str">
        <f>IFERROR(VLOOKUP(H2,名称!A:C,3,0),"")</f>
        <v>NER</v>
      </c>
      <c r="AF2" s="211" t="str">
        <f t="shared" si="0"/>
        <v>JAZWARES</v>
      </c>
      <c r="AG2" s="211" t="str">
        <f t="shared" si="1"/>
        <v>美国</v>
      </c>
    </row>
    <row r="3" s="191" customFormat="1" customHeight="1" spans="1:33">
      <c r="A3" s="215">
        <v>45068</v>
      </c>
      <c r="B3" s="215" t="s">
        <v>426</v>
      </c>
      <c r="C3" s="215" t="s">
        <v>396</v>
      </c>
      <c r="D3" s="211" t="s">
        <v>427</v>
      </c>
      <c r="E3" s="211" t="s">
        <v>246</v>
      </c>
      <c r="F3" s="211" t="s">
        <v>249</v>
      </c>
      <c r="G3" s="211" t="s">
        <v>250</v>
      </c>
      <c r="H3" s="211" t="s">
        <v>204</v>
      </c>
      <c r="I3" s="212" t="str">
        <f>IFERROR(VLOOKUP(H3,名称!A:C,2,0),"")</f>
        <v>蜘蛛侠喷水公仔3只装</v>
      </c>
      <c r="J3" s="213">
        <f>198-54</f>
        <v>144</v>
      </c>
      <c r="K3" s="213">
        <f>VLOOKUP(H3,名称!A:D,4,0)</f>
        <v>3</v>
      </c>
      <c r="L3" s="214">
        <f t="shared" si="2"/>
        <v>48</v>
      </c>
      <c r="M3" s="215">
        <v>45127</v>
      </c>
      <c r="N3" s="215">
        <v>45351</v>
      </c>
      <c r="O3" s="215">
        <v>45222</v>
      </c>
      <c r="P3" s="205" t="s">
        <v>428</v>
      </c>
      <c r="Q3" s="211" t="s">
        <v>429</v>
      </c>
      <c r="R3" s="211"/>
      <c r="S3" s="211" t="s">
        <v>433</v>
      </c>
      <c r="T3" s="220" t="s">
        <v>431</v>
      </c>
      <c r="U3" s="211"/>
      <c r="V3" s="211"/>
      <c r="W3" s="211" t="s">
        <v>251</v>
      </c>
      <c r="X3" s="211"/>
      <c r="Y3" s="211"/>
      <c r="Z3" s="217">
        <v>2.22</v>
      </c>
      <c r="AA3" s="218">
        <f t="shared" si="3"/>
        <v>319.68</v>
      </c>
      <c r="AB3" s="218">
        <f t="shared" si="4"/>
        <v>2477.52</v>
      </c>
      <c r="AC3" s="219"/>
      <c r="AD3" s="211" t="s">
        <v>434</v>
      </c>
      <c r="AE3" s="211" t="str">
        <f>IFERROR(VLOOKUP(H3,名称!A:C,3,0),"")</f>
        <v>SNF</v>
      </c>
      <c r="AF3" s="211" t="str">
        <f t="shared" si="0"/>
        <v>JAZWARES</v>
      </c>
      <c r="AG3" s="211" t="str">
        <f t="shared" si="1"/>
        <v>美国</v>
      </c>
    </row>
    <row r="4" s="191" customFormat="1" customHeight="1" spans="1:33">
      <c r="A4" s="215">
        <v>45128</v>
      </c>
      <c r="B4" s="206" t="s">
        <v>435</v>
      </c>
      <c r="C4" s="211" t="s">
        <v>396</v>
      </c>
      <c r="D4" s="208" t="s">
        <v>427</v>
      </c>
      <c r="E4" s="209" t="s">
        <v>246</v>
      </c>
      <c r="F4" s="210" t="s">
        <v>249</v>
      </c>
      <c r="G4" s="210" t="s">
        <v>252</v>
      </c>
      <c r="H4" s="211" t="s">
        <v>70</v>
      </c>
      <c r="I4" s="212" t="str">
        <f>IFERROR(VLOOKUP(H4,名称!A:C,2,0),"")</f>
        <v>跳舞公仔</v>
      </c>
      <c r="J4" s="213">
        <f>1820-836-56-188-60-500+100-180</f>
        <v>100</v>
      </c>
      <c r="K4" s="213">
        <f>VLOOKUP(H4,名称!A:D,4,0)</f>
        <v>4</v>
      </c>
      <c r="L4" s="214">
        <f t="shared" si="2"/>
        <v>25</v>
      </c>
      <c r="M4" s="215">
        <v>45110</v>
      </c>
      <c r="N4" s="215">
        <v>45351</v>
      </c>
      <c r="O4" s="215">
        <v>45222</v>
      </c>
      <c r="P4" s="205" t="s">
        <v>428</v>
      </c>
      <c r="Q4" s="211" t="s">
        <v>429</v>
      </c>
      <c r="R4" s="211" t="s">
        <v>436</v>
      </c>
      <c r="S4" s="208" t="s">
        <v>437</v>
      </c>
      <c r="T4" s="208" t="s">
        <v>431</v>
      </c>
      <c r="U4" s="211"/>
      <c r="V4" s="216"/>
      <c r="W4" s="211" t="s">
        <v>438</v>
      </c>
      <c r="X4" s="211" t="s">
        <v>439</v>
      </c>
      <c r="Y4" s="211"/>
      <c r="Z4" s="217">
        <v>13.42</v>
      </c>
      <c r="AA4" s="218">
        <f t="shared" si="3"/>
        <v>1342</v>
      </c>
      <c r="AB4" s="218">
        <f t="shared" si="4"/>
        <v>10400.5</v>
      </c>
      <c r="AC4" s="219"/>
      <c r="AD4" s="211" t="s">
        <v>434</v>
      </c>
      <c r="AE4" s="211" t="str">
        <f>IFERROR(VLOOKUP(H4,名称!A:C,3,0),"")</f>
        <v>CMW</v>
      </c>
      <c r="AF4" s="211" t="str">
        <f t="shared" si="0"/>
        <v>JAZWARES - INVENTORY</v>
      </c>
      <c r="AG4" s="211" t="str">
        <f t="shared" si="1"/>
        <v>美国</v>
      </c>
    </row>
    <row r="5" s="191" customFormat="1" customHeight="1" spans="1:33">
      <c r="A5" s="215">
        <v>45313</v>
      </c>
      <c r="B5" s="206" t="s">
        <v>440</v>
      </c>
      <c r="C5" s="211" t="s">
        <v>396</v>
      </c>
      <c r="D5" s="208" t="s">
        <v>427</v>
      </c>
      <c r="E5" s="211" t="s">
        <v>246</v>
      </c>
      <c r="F5" s="210" t="s">
        <v>249</v>
      </c>
      <c r="G5" s="211" t="s">
        <v>254</v>
      </c>
      <c r="H5" s="211" t="s">
        <v>89</v>
      </c>
      <c r="I5" s="212" t="str">
        <f>IFERROR(VLOOKUP(H5,名称!A:C,2,0),"")</f>
        <v>跳舞公仔(AMZ版)</v>
      </c>
      <c r="J5" s="213">
        <f>2250-1126-224-896</f>
        <v>4</v>
      </c>
      <c r="K5" s="213">
        <f>VLOOKUP(H5,名称!A:D,4,0)</f>
        <v>2</v>
      </c>
      <c r="L5" s="214">
        <f t="shared" si="2"/>
        <v>2</v>
      </c>
      <c r="M5" s="215">
        <v>45444</v>
      </c>
      <c r="N5" s="215">
        <v>45474</v>
      </c>
      <c r="O5" s="215">
        <v>45476</v>
      </c>
      <c r="P5" s="205" t="s">
        <v>428</v>
      </c>
      <c r="Q5" s="211" t="s">
        <v>429</v>
      </c>
      <c r="R5" s="211" t="s">
        <v>441</v>
      </c>
      <c r="S5" s="208" t="s">
        <v>442</v>
      </c>
      <c r="T5" s="208" t="s">
        <v>431</v>
      </c>
      <c r="U5" s="211"/>
      <c r="V5" s="216"/>
      <c r="W5" s="211" t="s">
        <v>255</v>
      </c>
      <c r="X5" s="211" t="s">
        <v>443</v>
      </c>
      <c r="Y5" s="211"/>
      <c r="Z5" s="217">
        <v>13.53</v>
      </c>
      <c r="AA5" s="218">
        <f t="shared" si="3"/>
        <v>54.12</v>
      </c>
      <c r="AB5" s="218">
        <f t="shared" si="4"/>
        <v>419.43</v>
      </c>
      <c r="AC5" s="219"/>
      <c r="AD5" s="211" t="s">
        <v>434</v>
      </c>
      <c r="AE5" s="211" t="str">
        <f>IFERROR(VLOOKUP(H5,名称!A:C,3,0),"")</f>
        <v>CMW</v>
      </c>
      <c r="AF5" s="211" t="str">
        <f t="shared" si="0"/>
        <v>JAZWARES - AMAZON FOB</v>
      </c>
      <c r="AG5" s="211" t="str">
        <f t="shared" si="1"/>
        <v>美国</v>
      </c>
    </row>
    <row r="6" s="191" customFormat="1" customHeight="1" spans="1:33">
      <c r="A6" s="205">
        <v>45588</v>
      </c>
      <c r="B6" s="206" t="s">
        <v>444</v>
      </c>
      <c r="C6" s="211" t="s">
        <v>396</v>
      </c>
      <c r="D6" s="208"/>
      <c r="E6" s="209" t="s">
        <v>246</v>
      </c>
      <c r="F6" s="211" t="s">
        <v>256</v>
      </c>
      <c r="G6" s="211" t="s">
        <v>257</v>
      </c>
      <c r="H6" s="211" t="s">
        <v>25</v>
      </c>
      <c r="I6" s="212" t="str">
        <f>IFERROR(VLOOKUP(H6,名称!A:C,2,0),"")</f>
        <v>校车巴士</v>
      </c>
      <c r="J6" s="213">
        <f>60+60</f>
        <v>120</v>
      </c>
      <c r="K6" s="213">
        <f>VLOOKUP(H6,名称!A:D,4,0)</f>
        <v>4</v>
      </c>
      <c r="L6" s="214">
        <f t="shared" si="2"/>
        <v>30</v>
      </c>
      <c r="M6" s="215">
        <v>45609</v>
      </c>
      <c r="N6" s="215">
        <v>45609</v>
      </c>
      <c r="O6" s="215"/>
      <c r="P6" s="205" t="s">
        <v>428</v>
      </c>
      <c r="Q6" s="211"/>
      <c r="R6" s="211"/>
      <c r="S6" s="208" t="s">
        <v>445</v>
      </c>
      <c r="T6" s="208" t="s">
        <v>431</v>
      </c>
      <c r="U6" s="211"/>
      <c r="V6" s="216"/>
      <c r="W6" s="211" t="s">
        <v>258</v>
      </c>
      <c r="X6" s="211"/>
      <c r="Y6" s="215" t="s">
        <v>446</v>
      </c>
      <c r="Z6" s="217">
        <v>4.26</v>
      </c>
      <c r="AA6" s="218">
        <f t="shared" si="3"/>
        <v>511.2</v>
      </c>
      <c r="AB6" s="218">
        <f t="shared" si="4"/>
        <v>3961.8</v>
      </c>
      <c r="AC6" s="219"/>
      <c r="AD6" s="211" t="s">
        <v>434</v>
      </c>
      <c r="AE6" s="211" t="str">
        <f>IFERROR(VLOOKUP(H6,名称!A:C,3,0),"")</f>
        <v>CMW</v>
      </c>
      <c r="AF6" s="211" t="str">
        <f t="shared" si="0"/>
        <v>JAZWARES - SAMPLES</v>
      </c>
      <c r="AG6" s="211" t="str">
        <f t="shared" si="1"/>
        <v>美国</v>
      </c>
    </row>
    <row r="7" s="191" customFormat="1" customHeight="1" spans="1:33">
      <c r="A7" s="205">
        <v>45722</v>
      </c>
      <c r="B7" s="206" t="s">
        <v>447</v>
      </c>
      <c r="C7" s="211" t="s">
        <v>448</v>
      </c>
      <c r="D7" s="211" t="s">
        <v>449</v>
      </c>
      <c r="E7" s="211" t="s">
        <v>259</v>
      </c>
      <c r="F7" s="211" t="s">
        <v>260</v>
      </c>
      <c r="G7" s="211" t="s">
        <v>261</v>
      </c>
      <c r="H7" s="211" t="s">
        <v>65</v>
      </c>
      <c r="I7" s="212" t="str">
        <f>IFERROR(VLOOKUP(H7,名称!A:C,2,0),"")</f>
        <v>6只公仔装</v>
      </c>
      <c r="J7" s="213">
        <v>300</v>
      </c>
      <c r="K7" s="213">
        <f>VLOOKUP(H7,名称!A:D,4,0)</f>
        <v>6</v>
      </c>
      <c r="L7" s="214">
        <f t="shared" si="2"/>
        <v>50</v>
      </c>
      <c r="M7" s="215">
        <v>45806</v>
      </c>
      <c r="N7" s="215">
        <v>45806</v>
      </c>
      <c r="O7" s="215">
        <v>45804</v>
      </c>
      <c r="P7" s="205" t="s">
        <v>428</v>
      </c>
      <c r="Q7" s="211" t="s">
        <v>450</v>
      </c>
      <c r="R7" s="211" t="s">
        <v>451</v>
      </c>
      <c r="S7" s="208" t="s">
        <v>452</v>
      </c>
      <c r="T7" s="208" t="s">
        <v>453</v>
      </c>
      <c r="U7" s="211" t="s">
        <v>454</v>
      </c>
      <c r="V7" s="216"/>
      <c r="W7" s="211" t="s">
        <v>258</v>
      </c>
      <c r="X7" s="211"/>
      <c r="Y7" s="211"/>
      <c r="Z7" s="217">
        <v>3.84</v>
      </c>
      <c r="AA7" s="218">
        <f t="shared" si="3"/>
        <v>1152</v>
      </c>
      <c r="AB7" s="218">
        <f t="shared" si="4"/>
        <v>8928</v>
      </c>
      <c r="AC7" s="219"/>
      <c r="AD7" s="211" t="s">
        <v>434</v>
      </c>
      <c r="AE7" s="211" t="str">
        <f>IFERROR(VLOOKUP(H7,名称!A:C,3,0),"")</f>
        <v>CMW</v>
      </c>
      <c r="AF7" s="211" t="str">
        <f t="shared" si="0"/>
        <v>AMAZON CANADA</v>
      </c>
      <c r="AG7" s="211" t="str">
        <f t="shared" si="1"/>
        <v>加拿大</v>
      </c>
    </row>
    <row r="8" s="191" customFormat="1" customHeight="1" spans="1:33">
      <c r="A8" s="205">
        <v>45766</v>
      </c>
      <c r="B8" s="206" t="s">
        <v>455</v>
      </c>
      <c r="C8" s="211" t="s">
        <v>396</v>
      </c>
      <c r="D8" s="211" t="s">
        <v>456</v>
      </c>
      <c r="E8" s="211" t="s">
        <v>259</v>
      </c>
      <c r="F8" s="211"/>
      <c r="G8" s="211" t="s">
        <v>265</v>
      </c>
      <c r="H8" s="211" t="s">
        <v>123</v>
      </c>
      <c r="I8" s="212" t="str">
        <f>IFERROR(VLOOKUP(H8,名称!A:C,2,0),"")</f>
        <v>混装配比G</v>
      </c>
      <c r="J8" s="213">
        <v>6</v>
      </c>
      <c r="K8" s="213">
        <f>VLOOKUP(H8,名称!A:D,4,0)</f>
        <v>6</v>
      </c>
      <c r="L8" s="214">
        <f t="shared" si="2"/>
        <v>1</v>
      </c>
      <c r="M8" s="215">
        <v>45778</v>
      </c>
      <c r="N8" s="215">
        <v>46235</v>
      </c>
      <c r="O8" s="215"/>
      <c r="P8" s="205" t="s">
        <v>428</v>
      </c>
      <c r="Q8" s="211"/>
      <c r="R8" s="211"/>
      <c r="S8" s="208" t="s">
        <v>445</v>
      </c>
      <c r="T8" s="208" t="s">
        <v>431</v>
      </c>
      <c r="U8" s="211"/>
      <c r="V8" s="216" t="s">
        <v>457</v>
      </c>
      <c r="W8" s="211" t="s">
        <v>258</v>
      </c>
      <c r="X8" s="211"/>
      <c r="Y8" s="211" t="s">
        <v>458</v>
      </c>
      <c r="Z8" s="217">
        <v>2.143</v>
      </c>
      <c r="AA8" s="218">
        <f t="shared" si="3"/>
        <v>12.86</v>
      </c>
      <c r="AB8" s="218">
        <f t="shared" si="4"/>
        <v>99.67</v>
      </c>
      <c r="AC8" s="219"/>
      <c r="AD8" s="211" t="s">
        <v>434</v>
      </c>
      <c r="AE8" s="211" t="str">
        <f>IFERROR(VLOOKUP(H8,名称!A:C,3,0),"")</f>
        <v>FNT</v>
      </c>
      <c r="AF8" s="211" t="str">
        <f t="shared" si="0"/>
        <v>JAZWARES SAMPLES</v>
      </c>
      <c r="AG8" s="211" t="str">
        <f t="shared" si="1"/>
        <v>美国</v>
      </c>
    </row>
    <row r="9" s="191" customFormat="1" customHeight="1" spans="1:33">
      <c r="A9" s="74">
        <v>45960</v>
      </c>
      <c r="B9" s="172" t="s">
        <v>459</v>
      </c>
      <c r="C9" s="172" t="s">
        <v>396</v>
      </c>
      <c r="D9" s="173" t="s">
        <v>460</v>
      </c>
      <c r="E9" s="172" t="s">
        <v>246</v>
      </c>
      <c r="F9" s="172"/>
      <c r="G9" s="172" t="s">
        <v>287</v>
      </c>
      <c r="H9" s="172" t="s">
        <v>150</v>
      </c>
      <c r="I9" s="221">
        <f>IFERROR(VLOOKUP(H9,名称!A:C,2,0),"")</f>
        <v>0</v>
      </c>
      <c r="J9" s="175">
        <f>42+12</f>
        <v>54</v>
      </c>
      <c r="K9" s="175">
        <f>VLOOKUP(H9,名称!A:D,4,0)</f>
        <v>6</v>
      </c>
      <c r="L9" s="203">
        <f t="shared" si="2"/>
        <v>9</v>
      </c>
      <c r="M9" s="183">
        <v>45992</v>
      </c>
      <c r="N9" s="183">
        <v>46235</v>
      </c>
      <c r="O9" s="183"/>
      <c r="P9" s="74" t="s">
        <v>428</v>
      </c>
      <c r="Q9" s="172"/>
      <c r="R9" s="172"/>
      <c r="S9" s="173" t="s">
        <v>461</v>
      </c>
      <c r="T9" s="173" t="s">
        <v>431</v>
      </c>
      <c r="U9" s="172"/>
      <c r="V9" s="172" t="s">
        <v>462</v>
      </c>
      <c r="W9" s="172" t="s">
        <v>255</v>
      </c>
      <c r="X9" s="172"/>
      <c r="Y9" s="172"/>
      <c r="Z9" s="186">
        <v>3.87</v>
      </c>
      <c r="AA9" s="187">
        <f t="shared" si="3"/>
        <v>208.98</v>
      </c>
      <c r="AB9" s="187">
        <f t="shared" si="4"/>
        <v>1619.6</v>
      </c>
      <c r="AC9" s="101"/>
      <c r="AD9" s="172" t="s">
        <v>463</v>
      </c>
      <c r="AE9" s="172" t="str">
        <f>IFERROR(VLOOKUP(H9,名称!A:C,3,0),"")</f>
        <v>FNT</v>
      </c>
      <c r="AF9" s="172" t="str">
        <f t="shared" si="0"/>
        <v>JAZWARES_1STPO_SAMPLES</v>
      </c>
      <c r="AG9" s="172" t="str">
        <f t="shared" si="1"/>
        <v>美国</v>
      </c>
    </row>
    <row r="10" s="191" customFormat="1" customHeight="1" spans="1:33">
      <c r="A10" s="74">
        <v>45917</v>
      </c>
      <c r="B10" s="181" t="s">
        <v>369</v>
      </c>
      <c r="C10" s="172" t="s">
        <v>396</v>
      </c>
      <c r="D10" s="173" t="s">
        <v>460</v>
      </c>
      <c r="E10" s="182" t="s">
        <v>259</v>
      </c>
      <c r="F10" s="172" t="s">
        <v>464</v>
      </c>
      <c r="G10" s="172" t="s">
        <v>273</v>
      </c>
      <c r="H10" s="172" t="s">
        <v>143</v>
      </c>
      <c r="I10" s="221">
        <f>IFERROR(VLOOKUP(H10,名称!A:C,2,0),"")</f>
        <v>0</v>
      </c>
      <c r="J10" s="175">
        <v>14</v>
      </c>
      <c r="K10" s="175">
        <f>VLOOKUP(H10,名称!A:D,4,0)</f>
        <v>4</v>
      </c>
      <c r="L10" s="203">
        <f t="shared" si="2"/>
        <v>3.5</v>
      </c>
      <c r="M10" s="183">
        <v>45930</v>
      </c>
      <c r="N10" s="183">
        <v>46223</v>
      </c>
      <c r="O10" s="222" t="s">
        <v>465</v>
      </c>
      <c r="P10" s="74" t="s">
        <v>428</v>
      </c>
      <c r="Q10" s="172"/>
      <c r="R10" s="172"/>
      <c r="S10" s="221" t="s">
        <v>466</v>
      </c>
      <c r="T10" s="173" t="s">
        <v>431</v>
      </c>
      <c r="U10" s="172"/>
      <c r="V10" s="223" t="s">
        <v>467</v>
      </c>
      <c r="W10" s="172" t="s">
        <v>255</v>
      </c>
      <c r="X10" s="172"/>
      <c r="Y10" s="172"/>
      <c r="Z10" s="186">
        <v>7.86</v>
      </c>
      <c r="AA10" s="187">
        <f t="shared" si="3"/>
        <v>110.04</v>
      </c>
      <c r="AB10" s="187">
        <f t="shared" si="4"/>
        <v>852.81</v>
      </c>
      <c r="AC10" s="101"/>
      <c r="AD10" s="172" t="s">
        <v>464</v>
      </c>
      <c r="AE10" s="172" t="str">
        <f>IFERROR(VLOOKUP(H10,名称!A:C,3,0),"")</f>
        <v>FNT</v>
      </c>
      <c r="AF10" s="172" t="str">
        <f t="shared" si="0"/>
        <v>CONTRACTUAL PO</v>
      </c>
      <c r="AG10" s="172" t="str">
        <f t="shared" si="1"/>
        <v>美国</v>
      </c>
    </row>
    <row r="11" s="191" customFormat="1" customHeight="1" spans="1:33">
      <c r="A11" s="74">
        <v>45917</v>
      </c>
      <c r="B11" s="181" t="s">
        <v>369</v>
      </c>
      <c r="C11" s="172" t="s">
        <v>396</v>
      </c>
      <c r="D11" s="173" t="s">
        <v>460</v>
      </c>
      <c r="E11" s="182" t="s">
        <v>259</v>
      </c>
      <c r="F11" s="172" t="s">
        <v>464</v>
      </c>
      <c r="G11" s="172" t="s">
        <v>273</v>
      </c>
      <c r="H11" s="172" t="s">
        <v>120</v>
      </c>
      <c r="I11" s="221">
        <f>IFERROR(VLOOKUP(H11,名称!A:C,2,0),"")</f>
        <v>0</v>
      </c>
      <c r="J11" s="175">
        <v>12</v>
      </c>
      <c r="K11" s="175">
        <f>VLOOKUP(H11,名称!A:D,4,0)</f>
        <v>6</v>
      </c>
      <c r="L11" s="203">
        <f t="shared" si="2"/>
        <v>2</v>
      </c>
      <c r="M11" s="183">
        <v>45930</v>
      </c>
      <c r="N11" s="183">
        <v>46235</v>
      </c>
      <c r="O11" s="199"/>
      <c r="P11" s="74" t="s">
        <v>428</v>
      </c>
      <c r="Q11" s="172"/>
      <c r="R11" s="172"/>
      <c r="S11" s="221" t="s">
        <v>466</v>
      </c>
      <c r="T11" s="173" t="s">
        <v>431</v>
      </c>
      <c r="U11" s="172"/>
      <c r="V11" s="223" t="s">
        <v>467</v>
      </c>
      <c r="W11" s="172" t="s">
        <v>255</v>
      </c>
      <c r="X11" s="172"/>
      <c r="Y11" s="172" t="s">
        <v>468</v>
      </c>
      <c r="Z11" s="186">
        <v>1.98</v>
      </c>
      <c r="AA11" s="187">
        <f t="shared" si="3"/>
        <v>23.76</v>
      </c>
      <c r="AB11" s="187">
        <f t="shared" si="4"/>
        <v>184.14</v>
      </c>
      <c r="AC11" s="101"/>
      <c r="AD11" s="172" t="s">
        <v>464</v>
      </c>
      <c r="AE11" s="172" t="str">
        <f>IFERROR(VLOOKUP(H11,名称!A:C,3,0),"")</f>
        <v>FNT</v>
      </c>
      <c r="AF11" s="172" t="str">
        <f t="shared" si="0"/>
        <v>CONTRACTUAL PO</v>
      </c>
      <c r="AG11" s="172" t="str">
        <f t="shared" si="1"/>
        <v>美国</v>
      </c>
    </row>
    <row r="12" s="191" customFormat="1" customHeight="1" spans="1:33">
      <c r="A12" s="74">
        <v>45917</v>
      </c>
      <c r="B12" s="181" t="s">
        <v>369</v>
      </c>
      <c r="C12" s="172" t="s">
        <v>396</v>
      </c>
      <c r="D12" s="173" t="s">
        <v>460</v>
      </c>
      <c r="E12" s="182" t="s">
        <v>259</v>
      </c>
      <c r="F12" s="172" t="s">
        <v>464</v>
      </c>
      <c r="G12" s="172" t="s">
        <v>273</v>
      </c>
      <c r="H12" s="172" t="s">
        <v>121</v>
      </c>
      <c r="I12" s="221">
        <f>IFERROR(VLOOKUP(H12,名称!A:C,2,0),"")</f>
        <v>0</v>
      </c>
      <c r="J12" s="175">
        <v>12</v>
      </c>
      <c r="K12" s="175">
        <f>VLOOKUP(H12,名称!A:D,4,0)</f>
        <v>6</v>
      </c>
      <c r="L12" s="203">
        <f t="shared" si="2"/>
        <v>2</v>
      </c>
      <c r="M12" s="183">
        <v>45930</v>
      </c>
      <c r="N12" s="183">
        <v>46235</v>
      </c>
      <c r="O12" s="224"/>
      <c r="P12" s="74" t="s">
        <v>428</v>
      </c>
      <c r="Q12" s="172"/>
      <c r="R12" s="172"/>
      <c r="S12" s="221" t="s">
        <v>466</v>
      </c>
      <c r="T12" s="173" t="s">
        <v>431</v>
      </c>
      <c r="U12" s="172"/>
      <c r="V12" s="223" t="s">
        <v>467</v>
      </c>
      <c r="W12" s="172" t="s">
        <v>255</v>
      </c>
      <c r="X12" s="172"/>
      <c r="Y12" s="172" t="s">
        <v>469</v>
      </c>
      <c r="Z12" s="186">
        <v>1.98</v>
      </c>
      <c r="AA12" s="187">
        <f t="shared" si="3"/>
        <v>23.76</v>
      </c>
      <c r="AB12" s="187">
        <f t="shared" si="4"/>
        <v>184.14</v>
      </c>
      <c r="AC12" s="101"/>
      <c r="AD12" s="172" t="s">
        <v>464</v>
      </c>
      <c r="AE12" s="172" t="str">
        <f>IFERROR(VLOOKUP(H12,名称!A:C,3,0),"")</f>
        <v>FNT</v>
      </c>
      <c r="AF12" s="172" t="str">
        <f t="shared" si="0"/>
        <v>CONTRACTUAL PO</v>
      </c>
      <c r="AG12" s="172" t="str">
        <f t="shared" si="1"/>
        <v>美国</v>
      </c>
    </row>
    <row r="13" s="191" customFormat="1" customHeight="1" spans="1:33">
      <c r="A13" s="74">
        <v>45917</v>
      </c>
      <c r="B13" s="181" t="s">
        <v>369</v>
      </c>
      <c r="C13" s="172" t="s">
        <v>396</v>
      </c>
      <c r="D13" s="173" t="s">
        <v>460</v>
      </c>
      <c r="E13" s="182" t="s">
        <v>259</v>
      </c>
      <c r="F13" s="172" t="s">
        <v>464</v>
      </c>
      <c r="G13" s="172" t="s">
        <v>273</v>
      </c>
      <c r="H13" s="172" t="s">
        <v>122</v>
      </c>
      <c r="I13" s="221">
        <f>IFERROR(VLOOKUP(H13,名称!A:C,2,0),"")</f>
        <v>0</v>
      </c>
      <c r="J13" s="175">
        <v>12</v>
      </c>
      <c r="K13" s="175">
        <f>VLOOKUP(H13,名称!A:D,4,0)</f>
        <v>6</v>
      </c>
      <c r="L13" s="203">
        <f t="shared" si="2"/>
        <v>2</v>
      </c>
      <c r="M13" s="183">
        <v>45930</v>
      </c>
      <c r="N13" s="183">
        <v>46235</v>
      </c>
      <c r="O13" s="183"/>
      <c r="P13" s="74" t="s">
        <v>428</v>
      </c>
      <c r="Q13" s="172"/>
      <c r="R13" s="172"/>
      <c r="S13" s="221" t="s">
        <v>466</v>
      </c>
      <c r="T13" s="173" t="s">
        <v>431</v>
      </c>
      <c r="U13" s="172"/>
      <c r="V13" s="223" t="s">
        <v>467</v>
      </c>
      <c r="W13" s="172" t="s">
        <v>255</v>
      </c>
      <c r="X13" s="172"/>
      <c r="Y13" s="172" t="s">
        <v>470</v>
      </c>
      <c r="Z13" s="186">
        <v>1.98</v>
      </c>
      <c r="AA13" s="187">
        <f t="shared" si="3"/>
        <v>23.76</v>
      </c>
      <c r="AB13" s="187">
        <f t="shared" si="4"/>
        <v>184.14</v>
      </c>
      <c r="AC13" s="101"/>
      <c r="AD13" s="172" t="s">
        <v>464</v>
      </c>
      <c r="AE13" s="172" t="str">
        <f>IFERROR(VLOOKUP(H13,名称!A:C,3,0),"")</f>
        <v>FNT</v>
      </c>
      <c r="AF13" s="172" t="str">
        <f t="shared" si="0"/>
        <v>CONTRACTUAL PO</v>
      </c>
      <c r="AG13" s="172" t="str">
        <f t="shared" si="1"/>
        <v>美国</v>
      </c>
    </row>
    <row r="14" s="191" customFormat="1" customHeight="1" spans="1:33">
      <c r="A14" s="74">
        <v>45917</v>
      </c>
      <c r="B14" s="181" t="s">
        <v>369</v>
      </c>
      <c r="C14" s="172" t="s">
        <v>396</v>
      </c>
      <c r="D14" s="173" t="s">
        <v>460</v>
      </c>
      <c r="E14" s="182" t="s">
        <v>259</v>
      </c>
      <c r="F14" s="172" t="s">
        <v>464</v>
      </c>
      <c r="G14" s="172" t="s">
        <v>273</v>
      </c>
      <c r="H14" s="172" t="s">
        <v>135</v>
      </c>
      <c r="I14" s="221" t="str">
        <f>IFERROR(VLOOKUP(H14,名称!A:C,2,0),"")</f>
        <v>迈达斯</v>
      </c>
      <c r="J14" s="175">
        <v>14</v>
      </c>
      <c r="K14" s="175">
        <f>VLOOKUP(H14,名称!A:D,4,0)</f>
        <v>6</v>
      </c>
      <c r="L14" s="203">
        <f t="shared" si="2"/>
        <v>2.33333333333333</v>
      </c>
      <c r="M14" s="183">
        <v>45930</v>
      </c>
      <c r="N14" s="183">
        <v>46235</v>
      </c>
      <c r="O14" s="183"/>
      <c r="P14" s="74" t="s">
        <v>428</v>
      </c>
      <c r="Q14" s="172"/>
      <c r="R14" s="172"/>
      <c r="S14" s="221" t="s">
        <v>466</v>
      </c>
      <c r="T14" s="173" t="s">
        <v>431</v>
      </c>
      <c r="U14" s="172"/>
      <c r="V14" s="223" t="s">
        <v>467</v>
      </c>
      <c r="W14" s="172" t="s">
        <v>255</v>
      </c>
      <c r="X14" s="172"/>
      <c r="Y14" s="172"/>
      <c r="Z14" s="186">
        <v>2.13</v>
      </c>
      <c r="AA14" s="187">
        <f t="shared" si="3"/>
        <v>29.82</v>
      </c>
      <c r="AB14" s="187">
        <f t="shared" si="4"/>
        <v>231.11</v>
      </c>
      <c r="AC14" s="101"/>
      <c r="AD14" s="172" t="s">
        <v>464</v>
      </c>
      <c r="AE14" s="172" t="str">
        <f>IFERROR(VLOOKUP(H14,名称!A:C,3,0),"")</f>
        <v>FNT</v>
      </c>
      <c r="AF14" s="172" t="str">
        <f t="shared" si="0"/>
        <v>CONTRACTUAL PO</v>
      </c>
      <c r="AG14" s="172" t="str">
        <f t="shared" si="1"/>
        <v>美国</v>
      </c>
    </row>
    <row r="15" s="191" customFormat="1" customHeight="1" spans="1:33">
      <c r="A15" s="74">
        <v>45917</v>
      </c>
      <c r="B15" s="181" t="s">
        <v>369</v>
      </c>
      <c r="C15" s="172" t="s">
        <v>396</v>
      </c>
      <c r="D15" s="173" t="s">
        <v>460</v>
      </c>
      <c r="E15" s="182" t="s">
        <v>259</v>
      </c>
      <c r="F15" s="172" t="s">
        <v>464</v>
      </c>
      <c r="G15" s="172" t="s">
        <v>273</v>
      </c>
      <c r="H15" s="172" t="s">
        <v>137</v>
      </c>
      <c r="I15" s="221" t="str">
        <f>IFERROR(VLOOKUP(H15,名称!A:C,2,0),"")</f>
        <v>骨头老板</v>
      </c>
      <c r="J15" s="175">
        <v>14</v>
      </c>
      <c r="K15" s="175">
        <f>VLOOKUP(H15,名称!A:D,4,0)</f>
        <v>6</v>
      </c>
      <c r="L15" s="203">
        <f t="shared" si="2"/>
        <v>2.33333333333333</v>
      </c>
      <c r="M15" s="183">
        <v>45930</v>
      </c>
      <c r="N15" s="183">
        <v>46235</v>
      </c>
      <c r="O15" s="183"/>
      <c r="P15" s="74" t="s">
        <v>428</v>
      </c>
      <c r="Q15" s="172"/>
      <c r="R15" s="172"/>
      <c r="S15" s="221" t="s">
        <v>466</v>
      </c>
      <c r="T15" s="173" t="s">
        <v>431</v>
      </c>
      <c r="U15" s="172"/>
      <c r="V15" s="223" t="s">
        <v>467</v>
      </c>
      <c r="W15" s="172" t="s">
        <v>255</v>
      </c>
      <c r="X15" s="172"/>
      <c r="Y15" s="172"/>
      <c r="Z15" s="186">
        <v>2.18</v>
      </c>
      <c r="AA15" s="187">
        <f t="shared" si="3"/>
        <v>30.52</v>
      </c>
      <c r="AB15" s="187">
        <f t="shared" si="4"/>
        <v>236.53</v>
      </c>
      <c r="AC15" s="101"/>
      <c r="AD15" s="172" t="s">
        <v>464</v>
      </c>
      <c r="AE15" s="172" t="str">
        <f>IFERROR(VLOOKUP(H15,名称!A:C,3,0),"")</f>
        <v>FNT</v>
      </c>
      <c r="AF15" s="172" t="str">
        <f t="shared" si="0"/>
        <v>CONTRACTUAL PO</v>
      </c>
      <c r="AG15" s="172" t="str">
        <f t="shared" si="1"/>
        <v>美国</v>
      </c>
    </row>
    <row r="16" s="191" customFormat="1" customHeight="1" spans="1:33">
      <c r="A16" s="74">
        <v>45917</v>
      </c>
      <c r="B16" s="181" t="s">
        <v>369</v>
      </c>
      <c r="C16" s="172" t="s">
        <v>396</v>
      </c>
      <c r="D16" s="173" t="s">
        <v>460</v>
      </c>
      <c r="E16" s="182" t="s">
        <v>259</v>
      </c>
      <c r="F16" s="172" t="s">
        <v>464</v>
      </c>
      <c r="G16" s="172" t="s">
        <v>273</v>
      </c>
      <c r="H16" s="172" t="s">
        <v>139</v>
      </c>
      <c r="I16" s="221" t="str">
        <f>IFERROR(VLOOKUP(H16,名称!A:C,2,0),"")</f>
        <v>橡皮糖鱼条</v>
      </c>
      <c r="J16" s="175">
        <v>14</v>
      </c>
      <c r="K16" s="175">
        <f>VLOOKUP(H16,名称!A:D,4,0)</f>
        <v>6</v>
      </c>
      <c r="L16" s="203"/>
      <c r="M16" s="183">
        <v>45930</v>
      </c>
      <c r="N16" s="183">
        <v>46235</v>
      </c>
      <c r="O16" s="183"/>
      <c r="P16" s="74" t="s">
        <v>428</v>
      </c>
      <c r="Q16" s="172"/>
      <c r="R16" s="172"/>
      <c r="S16" s="221" t="s">
        <v>466</v>
      </c>
      <c r="T16" s="173" t="s">
        <v>431</v>
      </c>
      <c r="U16" s="172"/>
      <c r="V16" s="223" t="s">
        <v>467</v>
      </c>
      <c r="W16" s="172" t="s">
        <v>255</v>
      </c>
      <c r="X16" s="172"/>
      <c r="Y16" s="172"/>
      <c r="Z16" s="186">
        <v>1.88</v>
      </c>
      <c r="AA16" s="187">
        <f t="shared" si="3"/>
        <v>26.32</v>
      </c>
      <c r="AB16" s="187">
        <f t="shared" si="4"/>
        <v>203.98</v>
      </c>
      <c r="AC16" s="101"/>
      <c r="AD16" s="172" t="s">
        <v>464</v>
      </c>
      <c r="AE16" s="172" t="str">
        <f>IFERROR(VLOOKUP(H16,名称!A:C,3,0),"")</f>
        <v>FNT</v>
      </c>
      <c r="AF16" s="172" t="str">
        <f t="shared" si="0"/>
        <v>CONTRACTUAL PO</v>
      </c>
      <c r="AG16" s="172" t="str">
        <f t="shared" si="1"/>
        <v>美国</v>
      </c>
    </row>
    <row r="17" s="168" customFormat="1" customHeight="1" spans="1:33">
      <c r="A17" s="74">
        <v>45960</v>
      </c>
      <c r="B17" s="172" t="s">
        <v>459</v>
      </c>
      <c r="C17" s="172" t="s">
        <v>396</v>
      </c>
      <c r="D17" s="173" t="s">
        <v>460</v>
      </c>
      <c r="E17" s="172" t="s">
        <v>246</v>
      </c>
      <c r="F17" s="172"/>
      <c r="G17" s="172" t="s">
        <v>287</v>
      </c>
      <c r="H17" s="172" t="s">
        <v>151</v>
      </c>
      <c r="I17" s="221">
        <f>IFERROR(VLOOKUP(H17,名称!A:C,2,0),"")</f>
        <v>0</v>
      </c>
      <c r="J17" s="175">
        <f>42+12</f>
        <v>54</v>
      </c>
      <c r="K17" s="175">
        <f>VLOOKUP(H17,名称!A:D,4,0)</f>
        <v>6</v>
      </c>
      <c r="L17" s="203">
        <f t="shared" ref="L17:L80" si="5">J17/K17</f>
        <v>9</v>
      </c>
      <c r="M17" s="183">
        <v>45992</v>
      </c>
      <c r="N17" s="183">
        <v>46235</v>
      </c>
      <c r="O17" s="183"/>
      <c r="P17" s="74" t="s">
        <v>428</v>
      </c>
      <c r="Q17" s="172"/>
      <c r="R17" s="172"/>
      <c r="S17" s="173" t="s">
        <v>461</v>
      </c>
      <c r="T17" s="173" t="s">
        <v>431</v>
      </c>
      <c r="U17" s="172"/>
      <c r="V17" s="172" t="s">
        <v>462</v>
      </c>
      <c r="W17" s="172" t="s">
        <v>255</v>
      </c>
      <c r="X17" s="172"/>
      <c r="Y17" s="172"/>
      <c r="Z17" s="186">
        <v>3.87</v>
      </c>
      <c r="AA17" s="187">
        <f t="shared" si="3"/>
        <v>208.98</v>
      </c>
      <c r="AB17" s="187">
        <f t="shared" si="4"/>
        <v>1619.6</v>
      </c>
      <c r="AC17" s="101"/>
      <c r="AD17" s="172" t="s">
        <v>463</v>
      </c>
      <c r="AE17" s="172" t="str">
        <f>IFERROR(VLOOKUP(H17,名称!A:C,3,0),"")</f>
        <v>FNT</v>
      </c>
      <c r="AF17" s="172" t="str">
        <f t="shared" si="0"/>
        <v>JAZWARES_1STPO_SAMPLES</v>
      </c>
      <c r="AG17" s="172" t="str">
        <f t="shared" si="1"/>
        <v>美国</v>
      </c>
    </row>
    <row r="18" s="191" customFormat="1" customHeight="1" spans="1:33">
      <c r="A18" s="74">
        <v>45999</v>
      </c>
      <c r="B18" s="181" t="s">
        <v>369</v>
      </c>
      <c r="C18" s="172" t="s">
        <v>396</v>
      </c>
      <c r="D18" s="173" t="s">
        <v>460</v>
      </c>
      <c r="E18" s="182" t="s">
        <v>246</v>
      </c>
      <c r="F18" s="172"/>
      <c r="G18" s="172" t="s">
        <v>305</v>
      </c>
      <c r="H18" s="172" t="s">
        <v>127</v>
      </c>
      <c r="I18" s="221" t="str">
        <f>IFERROR(VLOOKUP(H18,名称!A:C,2,0),"")</f>
        <v>混装配比I</v>
      </c>
      <c r="J18" s="175">
        <v>54</v>
      </c>
      <c r="K18" s="175">
        <f>VLOOKUP(H18,名称!A:D,4,0)</f>
        <v>6</v>
      </c>
      <c r="L18" s="203">
        <f t="shared" si="5"/>
        <v>9</v>
      </c>
      <c r="M18" s="183">
        <v>46143</v>
      </c>
      <c r="N18" s="183">
        <v>46213</v>
      </c>
      <c r="O18" s="183"/>
      <c r="P18" s="74" t="s">
        <v>428</v>
      </c>
      <c r="Q18" s="172"/>
      <c r="R18" s="180"/>
      <c r="S18" s="225" t="s">
        <v>461</v>
      </c>
      <c r="T18" s="173" t="s">
        <v>431</v>
      </c>
      <c r="U18" s="180" t="s">
        <v>462</v>
      </c>
      <c r="V18" s="172" t="s">
        <v>471</v>
      </c>
      <c r="W18" s="226" t="s">
        <v>472</v>
      </c>
      <c r="X18" s="172" t="s">
        <v>473</v>
      </c>
      <c r="Y18" s="172" t="s">
        <v>474</v>
      </c>
      <c r="Z18" s="186">
        <v>2.315</v>
      </c>
      <c r="AA18" s="187">
        <f t="shared" si="3"/>
        <v>125.01</v>
      </c>
      <c r="AB18" s="187">
        <f t="shared" si="4"/>
        <v>968.83</v>
      </c>
      <c r="AC18" s="101"/>
      <c r="AD18" s="227" t="s">
        <v>434</v>
      </c>
      <c r="AE18" s="172" t="str">
        <f>IFERROR(VLOOKUP(H18,名称!A:C,3,0),"")</f>
        <v>FNT</v>
      </c>
      <c r="AF18" s="172" t="str">
        <f t="shared" si="0"/>
        <v>CONTRACTUAL PO</v>
      </c>
      <c r="AG18" s="172" t="str">
        <f t="shared" si="1"/>
        <v>美国</v>
      </c>
    </row>
    <row r="19" s="191" customFormat="1" customHeight="1" spans="1:33">
      <c r="A19" s="74">
        <v>45999</v>
      </c>
      <c r="B19" s="181" t="s">
        <v>459</v>
      </c>
      <c r="C19" s="172" t="s">
        <v>396</v>
      </c>
      <c r="D19" s="173" t="s">
        <v>460</v>
      </c>
      <c r="E19" s="182" t="s">
        <v>246</v>
      </c>
      <c r="F19" s="172"/>
      <c r="G19" s="172" t="s">
        <v>306</v>
      </c>
      <c r="H19" s="172" t="s">
        <v>144</v>
      </c>
      <c r="I19" s="221">
        <f>IFERROR(VLOOKUP(H19,名称!A:C,2,0),"")</f>
        <v>0</v>
      </c>
      <c r="J19" s="175">
        <f>36+12</f>
        <v>48</v>
      </c>
      <c r="K19" s="175">
        <f>VLOOKUP(H19,名称!A:D,4,0)</f>
        <v>6</v>
      </c>
      <c r="L19" s="203">
        <f t="shared" si="5"/>
        <v>8</v>
      </c>
      <c r="M19" s="183">
        <v>46113</v>
      </c>
      <c r="N19" s="183">
        <v>46235</v>
      </c>
      <c r="O19" s="183"/>
      <c r="P19" s="74" t="s">
        <v>428</v>
      </c>
      <c r="Q19" s="172"/>
      <c r="R19" s="180"/>
      <c r="S19" s="173" t="s">
        <v>461</v>
      </c>
      <c r="T19" s="173" t="s">
        <v>431</v>
      </c>
      <c r="U19" s="228" t="s">
        <v>431</v>
      </c>
      <c r="V19" s="172" t="s">
        <v>471</v>
      </c>
      <c r="W19" s="226" t="s">
        <v>475</v>
      </c>
      <c r="X19" s="172" t="s">
        <v>476</v>
      </c>
      <c r="Y19" s="172"/>
      <c r="Z19" s="186">
        <v>2.315</v>
      </c>
      <c r="AA19" s="187">
        <f t="shared" si="3"/>
        <v>111.12</v>
      </c>
      <c r="AB19" s="187">
        <f t="shared" si="4"/>
        <v>861.18</v>
      </c>
      <c r="AC19" s="101"/>
      <c r="AD19" s="227" t="s">
        <v>434</v>
      </c>
      <c r="AE19" s="172" t="str">
        <f>IFERROR(VLOOKUP(H19,名称!A:C,3,0),"")</f>
        <v>FNT</v>
      </c>
      <c r="AF19" s="227" t="str">
        <f t="shared" si="0"/>
        <v>JAZWARES_1STPO_SAMPLES</v>
      </c>
      <c r="AG19" s="227" t="str">
        <f t="shared" si="1"/>
        <v>美国</v>
      </c>
    </row>
    <row r="20" s="168" customFormat="1" customHeight="1" spans="1:33">
      <c r="A20" s="74">
        <v>45999</v>
      </c>
      <c r="B20" s="181" t="s">
        <v>459</v>
      </c>
      <c r="C20" s="172" t="s">
        <v>396</v>
      </c>
      <c r="D20" s="173" t="s">
        <v>460</v>
      </c>
      <c r="E20" s="182" t="s">
        <v>246</v>
      </c>
      <c r="F20" s="172"/>
      <c r="G20" s="172" t="s">
        <v>306</v>
      </c>
      <c r="H20" s="172" t="s">
        <v>145</v>
      </c>
      <c r="I20" s="221">
        <f>IFERROR(VLOOKUP(H20,名称!A:C,2,0),"")</f>
        <v>0</v>
      </c>
      <c r="J20" s="175">
        <f>36+12</f>
        <v>48</v>
      </c>
      <c r="K20" s="175">
        <f>VLOOKUP(H20,名称!A:D,4,0)</f>
        <v>6</v>
      </c>
      <c r="L20" s="203">
        <f t="shared" si="5"/>
        <v>8</v>
      </c>
      <c r="M20" s="183">
        <v>46113</v>
      </c>
      <c r="N20" s="183">
        <v>46235</v>
      </c>
      <c r="O20" s="183"/>
      <c r="P20" s="74" t="s">
        <v>428</v>
      </c>
      <c r="Q20" s="172"/>
      <c r="R20" s="180"/>
      <c r="S20" s="173" t="s">
        <v>461</v>
      </c>
      <c r="T20" s="173" t="s">
        <v>431</v>
      </c>
      <c r="U20" s="228" t="s">
        <v>431</v>
      </c>
      <c r="V20" s="172" t="s">
        <v>471</v>
      </c>
      <c r="W20" s="226" t="s">
        <v>475</v>
      </c>
      <c r="X20" s="172" t="s">
        <v>477</v>
      </c>
      <c r="Y20" s="172"/>
      <c r="Z20" s="186">
        <v>2.315</v>
      </c>
      <c r="AA20" s="187">
        <f t="shared" si="3"/>
        <v>111.12</v>
      </c>
      <c r="AB20" s="187">
        <f t="shared" si="4"/>
        <v>861.18</v>
      </c>
      <c r="AC20" s="101"/>
      <c r="AD20" s="227" t="s">
        <v>434</v>
      </c>
      <c r="AE20" s="172" t="str">
        <f>IFERROR(VLOOKUP(H20,名称!A:C,3,0),"")</f>
        <v>FNT</v>
      </c>
      <c r="AF20" s="227" t="str">
        <f t="shared" si="0"/>
        <v>JAZWARES_1STPO_SAMPLES</v>
      </c>
      <c r="AG20" s="227" t="str">
        <f t="shared" si="1"/>
        <v>美国</v>
      </c>
    </row>
    <row r="21" s="168" customFormat="1" customHeight="1" spans="1:33">
      <c r="A21" s="74">
        <v>45999</v>
      </c>
      <c r="B21" s="181" t="s">
        <v>459</v>
      </c>
      <c r="C21" s="172" t="s">
        <v>396</v>
      </c>
      <c r="D21" s="173" t="s">
        <v>460</v>
      </c>
      <c r="E21" s="182" t="s">
        <v>246</v>
      </c>
      <c r="F21" s="172"/>
      <c r="G21" s="172" t="s">
        <v>306</v>
      </c>
      <c r="H21" s="172" t="s">
        <v>146</v>
      </c>
      <c r="I21" s="221">
        <f>IFERROR(VLOOKUP(H21,名称!A:C,2,0),"")</f>
        <v>0</v>
      </c>
      <c r="J21" s="175">
        <f>36+12</f>
        <v>48</v>
      </c>
      <c r="K21" s="175">
        <f>VLOOKUP(H21,名称!A:D,4,0)</f>
        <v>6</v>
      </c>
      <c r="L21" s="203">
        <f t="shared" si="5"/>
        <v>8</v>
      </c>
      <c r="M21" s="183">
        <v>46113</v>
      </c>
      <c r="N21" s="183">
        <v>46235</v>
      </c>
      <c r="O21" s="183"/>
      <c r="P21" s="74" t="s">
        <v>428</v>
      </c>
      <c r="Q21" s="172"/>
      <c r="R21" s="180"/>
      <c r="S21" s="173" t="s">
        <v>461</v>
      </c>
      <c r="T21" s="173" t="s">
        <v>431</v>
      </c>
      <c r="U21" s="228" t="s">
        <v>431</v>
      </c>
      <c r="V21" s="172" t="s">
        <v>471</v>
      </c>
      <c r="W21" s="226" t="s">
        <v>475</v>
      </c>
      <c r="X21" s="172" t="s">
        <v>478</v>
      </c>
      <c r="Y21" s="172"/>
      <c r="Z21" s="186">
        <v>2.315</v>
      </c>
      <c r="AA21" s="187">
        <f t="shared" si="3"/>
        <v>111.12</v>
      </c>
      <c r="AB21" s="187">
        <f t="shared" si="4"/>
        <v>861.18</v>
      </c>
      <c r="AC21" s="101"/>
      <c r="AD21" s="227" t="s">
        <v>434</v>
      </c>
      <c r="AE21" s="172" t="str">
        <f>IFERROR(VLOOKUP(H21,名称!A:C,3,0),"")</f>
        <v>FNT</v>
      </c>
      <c r="AF21" s="227" t="str">
        <f t="shared" si="0"/>
        <v>JAZWARES_1STPO_SAMPLES</v>
      </c>
      <c r="AG21" s="227" t="str">
        <f t="shared" si="1"/>
        <v>美国</v>
      </c>
    </row>
    <row r="22" s="168" customFormat="1" customHeight="1" spans="1:33">
      <c r="A22" s="74">
        <v>45999</v>
      </c>
      <c r="B22" s="181" t="s">
        <v>459</v>
      </c>
      <c r="C22" s="172" t="s">
        <v>396</v>
      </c>
      <c r="D22" s="173" t="s">
        <v>460</v>
      </c>
      <c r="E22" s="182" t="s">
        <v>246</v>
      </c>
      <c r="F22" s="172"/>
      <c r="G22" s="172" t="s">
        <v>306</v>
      </c>
      <c r="H22" s="172" t="s">
        <v>147</v>
      </c>
      <c r="I22" s="221">
        <f>IFERROR(VLOOKUP(H22,名称!A:C,2,0),"")</f>
        <v>0</v>
      </c>
      <c r="J22" s="175">
        <f>36+12</f>
        <v>48</v>
      </c>
      <c r="K22" s="175">
        <f>VLOOKUP(H22,名称!A:D,4,0)</f>
        <v>6</v>
      </c>
      <c r="L22" s="203">
        <f t="shared" si="5"/>
        <v>8</v>
      </c>
      <c r="M22" s="183">
        <v>46113</v>
      </c>
      <c r="N22" s="183">
        <v>46235</v>
      </c>
      <c r="O22" s="183"/>
      <c r="P22" s="74" t="s">
        <v>428</v>
      </c>
      <c r="Q22" s="172"/>
      <c r="R22" s="180"/>
      <c r="S22" s="173" t="s">
        <v>461</v>
      </c>
      <c r="T22" s="173" t="s">
        <v>431</v>
      </c>
      <c r="U22" s="228" t="s">
        <v>431</v>
      </c>
      <c r="V22" s="172" t="s">
        <v>471</v>
      </c>
      <c r="W22" s="226" t="s">
        <v>475</v>
      </c>
      <c r="X22" s="172" t="s">
        <v>479</v>
      </c>
      <c r="Y22" s="172"/>
      <c r="Z22" s="186">
        <v>2.315</v>
      </c>
      <c r="AA22" s="187">
        <f t="shared" si="3"/>
        <v>111.12</v>
      </c>
      <c r="AB22" s="187">
        <f t="shared" si="4"/>
        <v>861.18</v>
      </c>
      <c r="AC22" s="101"/>
      <c r="AD22" s="227" t="s">
        <v>434</v>
      </c>
      <c r="AE22" s="172" t="str">
        <f>IFERROR(VLOOKUP(H22,名称!A:C,3,0),"")</f>
        <v>FNT</v>
      </c>
      <c r="AF22" s="227" t="str">
        <f t="shared" si="0"/>
        <v>JAZWARES_1STPO_SAMPLES</v>
      </c>
      <c r="AG22" s="227" t="str">
        <f t="shared" si="1"/>
        <v>美国</v>
      </c>
    </row>
    <row r="23" s="168" customFormat="1" customHeight="1" spans="1:33">
      <c r="A23" s="74">
        <v>46107</v>
      </c>
      <c r="B23" s="181" t="s">
        <v>369</v>
      </c>
      <c r="C23" s="172" t="s">
        <v>396</v>
      </c>
      <c r="D23" s="173" t="s">
        <v>460</v>
      </c>
      <c r="E23" s="172" t="s">
        <v>246</v>
      </c>
      <c r="F23" s="172"/>
      <c r="G23" s="172" t="s">
        <v>343</v>
      </c>
      <c r="H23" s="172" t="s">
        <v>153</v>
      </c>
      <c r="I23" s="221">
        <f>IFERROR(VLOOKUP(H23,名称!A:C,2,0),"")</f>
        <v>0</v>
      </c>
      <c r="J23" s="175">
        <v>14</v>
      </c>
      <c r="K23" s="175">
        <f>VLOOKUP(H23,名称!A:D,4,0)</f>
        <v>4</v>
      </c>
      <c r="L23" s="203">
        <f t="shared" si="5"/>
        <v>3.5</v>
      </c>
      <c r="M23" s="183">
        <v>46190</v>
      </c>
      <c r="N23" s="183">
        <v>46225</v>
      </c>
      <c r="O23" s="229" t="s">
        <v>480</v>
      </c>
      <c r="P23" s="74" t="s">
        <v>428</v>
      </c>
      <c r="Q23" s="172"/>
      <c r="R23" s="180"/>
      <c r="S23" s="225" t="s">
        <v>461</v>
      </c>
      <c r="T23" s="173" t="s">
        <v>431</v>
      </c>
      <c r="U23" s="180"/>
      <c r="V23" s="172" t="s">
        <v>481</v>
      </c>
      <c r="W23" s="180" t="s">
        <v>255</v>
      </c>
      <c r="X23" s="172"/>
      <c r="Y23" s="172"/>
      <c r="Z23" s="186">
        <v>9.79</v>
      </c>
      <c r="AA23" s="187">
        <f t="shared" si="3"/>
        <v>137.06</v>
      </c>
      <c r="AB23" s="187">
        <f t="shared" si="4"/>
        <v>1062.22</v>
      </c>
      <c r="AC23" s="101"/>
      <c r="AD23" s="172" t="s">
        <v>463</v>
      </c>
      <c r="AE23" s="172" t="str">
        <f>IFERROR(VLOOKUP(H23,名称!A:C,3,0),"")</f>
        <v>FNT</v>
      </c>
      <c r="AF23" s="172" t="str">
        <f t="shared" si="0"/>
        <v>CONTRACTUAL PO</v>
      </c>
      <c r="AG23" s="172" t="str">
        <f t="shared" si="1"/>
        <v>美国</v>
      </c>
    </row>
    <row r="24" s="168" customFormat="1" customHeight="1" spans="1:33">
      <c r="A24" s="74">
        <v>46108</v>
      </c>
      <c r="B24" s="181" t="s">
        <v>459</v>
      </c>
      <c r="C24" s="172" t="s">
        <v>396</v>
      </c>
      <c r="D24" s="173" t="s">
        <v>460</v>
      </c>
      <c r="E24" s="172" t="s">
        <v>246</v>
      </c>
      <c r="F24" s="172" t="s">
        <v>350</v>
      </c>
      <c r="G24" s="172" t="s">
        <v>351</v>
      </c>
      <c r="H24" s="172" t="s">
        <v>153</v>
      </c>
      <c r="I24" s="221">
        <f>IFERROR(VLOOKUP(H24,名称!A:C,2,0),"")</f>
        <v>0</v>
      </c>
      <c r="J24" s="175">
        <f>16+8</f>
        <v>24</v>
      </c>
      <c r="K24" s="175">
        <f>VLOOKUP(H24,名称!A:D,4,0)</f>
        <v>4</v>
      </c>
      <c r="L24" s="203">
        <f t="shared" si="5"/>
        <v>6</v>
      </c>
      <c r="M24" s="183">
        <v>46190</v>
      </c>
      <c r="N24" s="183">
        <v>46225</v>
      </c>
      <c r="O24" s="229" t="s">
        <v>480</v>
      </c>
      <c r="P24" s="74" t="s">
        <v>428</v>
      </c>
      <c r="Q24" s="172"/>
      <c r="R24" s="180"/>
      <c r="S24" s="225" t="s">
        <v>461</v>
      </c>
      <c r="T24" s="173" t="s">
        <v>431</v>
      </c>
      <c r="U24" s="180"/>
      <c r="V24" s="172" t="s">
        <v>481</v>
      </c>
      <c r="W24" s="180" t="s">
        <v>255</v>
      </c>
      <c r="X24" s="172" t="s">
        <v>482</v>
      </c>
      <c r="Y24" s="172"/>
      <c r="Z24" s="186">
        <v>9.79</v>
      </c>
      <c r="AA24" s="187">
        <f t="shared" si="3"/>
        <v>234.96</v>
      </c>
      <c r="AB24" s="187">
        <f t="shared" si="4"/>
        <v>1820.94</v>
      </c>
      <c r="AC24" s="101"/>
      <c r="AD24" s="172" t="s">
        <v>463</v>
      </c>
      <c r="AE24" s="172" t="str">
        <f>IFERROR(VLOOKUP(H24,名称!A:C,3,0),"")</f>
        <v>FNT</v>
      </c>
      <c r="AF24" s="172" t="str">
        <f t="shared" si="0"/>
        <v>JAZWARES_1STPO_SAMPLES</v>
      </c>
      <c r="AG24" s="172" t="str">
        <f t="shared" si="1"/>
        <v>美国</v>
      </c>
    </row>
    <row r="25" s="168" customFormat="1" customHeight="1" spans="1:33">
      <c r="A25" s="74">
        <v>46150</v>
      </c>
      <c r="B25" s="181" t="s">
        <v>483</v>
      </c>
      <c r="C25" s="172" t="s">
        <v>396</v>
      </c>
      <c r="D25" s="173" t="s">
        <v>484</v>
      </c>
      <c r="E25" s="172" t="s">
        <v>246</v>
      </c>
      <c r="F25" s="172"/>
      <c r="G25" s="172" t="s">
        <v>373</v>
      </c>
      <c r="H25" s="172" t="s">
        <v>154</v>
      </c>
      <c r="I25" s="221">
        <f>IFERROR(VLOOKUP(H25,名称!A:C,2,0),"")</f>
        <v>0</v>
      </c>
      <c r="J25" s="175">
        <v>28</v>
      </c>
      <c r="K25" s="175">
        <f>VLOOKUP(H25,名称!A:D,4,0)</f>
        <v>4</v>
      </c>
      <c r="L25" s="203">
        <f t="shared" si="5"/>
        <v>7</v>
      </c>
      <c r="M25" s="183">
        <v>46149</v>
      </c>
      <c r="N25" s="183">
        <v>46223</v>
      </c>
      <c r="O25" s="230" t="s">
        <v>480</v>
      </c>
      <c r="P25" s="74" t="s">
        <v>428</v>
      </c>
      <c r="Q25" s="172"/>
      <c r="R25" s="172"/>
      <c r="S25" s="225" t="s">
        <v>461</v>
      </c>
      <c r="T25" s="173" t="s">
        <v>431</v>
      </c>
      <c r="U25" s="180"/>
      <c r="V25" s="223"/>
      <c r="W25" s="180" t="s">
        <v>255</v>
      </c>
      <c r="X25" s="172" t="s">
        <v>485</v>
      </c>
      <c r="Y25" s="172"/>
      <c r="Z25" s="186">
        <v>14.55</v>
      </c>
      <c r="AA25" s="187">
        <f t="shared" si="3"/>
        <v>407.4</v>
      </c>
      <c r="AB25" s="187">
        <f t="shared" si="4"/>
        <v>3157.35</v>
      </c>
      <c r="AC25" s="101"/>
      <c r="AD25" s="172" t="s">
        <v>463</v>
      </c>
      <c r="AE25" s="172" t="str">
        <f>IFERROR(VLOOKUP(H25,名称!A:C,3,0),"")</f>
        <v>FNT</v>
      </c>
      <c r="AF25" s="172" t="str">
        <f t="shared" si="0"/>
        <v>D_JAZ_SAMPLES</v>
      </c>
      <c r="AG25" s="172" t="str">
        <f t="shared" si="1"/>
        <v>美国</v>
      </c>
    </row>
    <row r="26" s="168" customFormat="1" customHeight="1" spans="1:33">
      <c r="A26" s="183">
        <v>46030</v>
      </c>
      <c r="B26" s="181" t="s">
        <v>486</v>
      </c>
      <c r="C26" s="172" t="s">
        <v>396</v>
      </c>
      <c r="D26" s="173" t="s">
        <v>427</v>
      </c>
      <c r="E26" s="172" t="s">
        <v>246</v>
      </c>
      <c r="F26" s="172" t="s">
        <v>249</v>
      </c>
      <c r="G26" s="172" t="s">
        <v>312</v>
      </c>
      <c r="H26" s="172" t="s">
        <v>222</v>
      </c>
      <c r="I26" s="221" t="str">
        <f>IFERROR(VLOOKUP(H26,名称!A:C,2,0),"")</f>
        <v>蜘蛛侠配蜘蛛网套装</v>
      </c>
      <c r="J26" s="175">
        <v>1824</v>
      </c>
      <c r="K26" s="175">
        <f>VLOOKUP(H26,名称!A:D,4,0)</f>
        <v>6</v>
      </c>
      <c r="L26" s="203">
        <f t="shared" si="5"/>
        <v>304</v>
      </c>
      <c r="M26" s="183">
        <v>46188</v>
      </c>
      <c r="N26" s="183">
        <v>46223</v>
      </c>
      <c r="O26" s="183"/>
      <c r="P26" s="74" t="s">
        <v>428</v>
      </c>
      <c r="Q26" s="172"/>
      <c r="R26" s="180"/>
      <c r="S26" s="173" t="s">
        <v>487</v>
      </c>
      <c r="T26" s="173" t="s">
        <v>431</v>
      </c>
      <c r="U26" s="180"/>
      <c r="V26" s="223"/>
      <c r="W26" s="180" t="s">
        <v>276</v>
      </c>
      <c r="X26" s="172" t="s">
        <v>488</v>
      </c>
      <c r="Y26" s="227" t="s">
        <v>489</v>
      </c>
      <c r="Z26" s="186">
        <v>4.28</v>
      </c>
      <c r="AA26" s="187">
        <f t="shared" si="3"/>
        <v>7806.72</v>
      </c>
      <c r="AB26" s="187">
        <f t="shared" si="4"/>
        <v>60502.08</v>
      </c>
      <c r="AC26" s="231"/>
      <c r="AD26" s="172" t="s">
        <v>434</v>
      </c>
      <c r="AE26" s="172" t="str">
        <f>IFERROR(VLOOKUP(H26,名称!A:C,3,0),"")</f>
        <v>SNF</v>
      </c>
      <c r="AF26" s="172" t="str">
        <f t="shared" si="0"/>
        <v>AZWARES - INVENTORY</v>
      </c>
      <c r="AG26" s="172" t="str">
        <f t="shared" si="1"/>
        <v>美国</v>
      </c>
    </row>
    <row r="27" s="168" customFormat="1" customHeight="1" spans="1:33">
      <c r="A27" s="183">
        <v>45996</v>
      </c>
      <c r="B27" s="181" t="s">
        <v>490</v>
      </c>
      <c r="C27" s="172" t="s">
        <v>491</v>
      </c>
      <c r="D27" s="173" t="s">
        <v>492</v>
      </c>
      <c r="E27" s="182" t="s">
        <v>246</v>
      </c>
      <c r="F27" s="172"/>
      <c r="G27" s="172" t="s">
        <v>302</v>
      </c>
      <c r="H27" s="172" t="s">
        <v>127</v>
      </c>
      <c r="I27" s="221" t="str">
        <f>IFERROR(VLOOKUP(H27,名称!A:C,2,0),"")</f>
        <v>混装配比I</v>
      </c>
      <c r="J27" s="175">
        <v>3804</v>
      </c>
      <c r="K27" s="175">
        <f>VLOOKUP(H27,名称!A:D,4,0)</f>
        <v>6</v>
      </c>
      <c r="L27" s="203">
        <f t="shared" si="5"/>
        <v>634</v>
      </c>
      <c r="M27" s="183">
        <v>46113</v>
      </c>
      <c r="N27" s="183">
        <v>46251</v>
      </c>
      <c r="O27" s="183"/>
      <c r="P27" s="74" t="s">
        <v>428</v>
      </c>
      <c r="Q27" s="172"/>
      <c r="R27" s="232" t="s">
        <v>493</v>
      </c>
      <c r="S27" s="173" t="s">
        <v>494</v>
      </c>
      <c r="T27" s="173" t="s">
        <v>431</v>
      </c>
      <c r="U27" s="173" t="s">
        <v>495</v>
      </c>
      <c r="V27" s="172" t="s">
        <v>471</v>
      </c>
      <c r="W27" s="227" t="s">
        <v>496</v>
      </c>
      <c r="X27" s="172" t="s">
        <v>473</v>
      </c>
      <c r="Y27" s="172" t="s">
        <v>474</v>
      </c>
      <c r="Z27" s="186">
        <v>2.315</v>
      </c>
      <c r="AA27" s="187">
        <f t="shared" si="3"/>
        <v>8806.26</v>
      </c>
      <c r="AB27" s="187">
        <f t="shared" si="4"/>
        <v>68248.52</v>
      </c>
      <c r="AC27" s="231"/>
      <c r="AD27" s="227" t="s">
        <v>434</v>
      </c>
      <c r="AE27" s="172" t="str">
        <f>IFERROR(VLOOKUP(H27,名称!A:C,3,0),"")</f>
        <v>FNT</v>
      </c>
      <c r="AF27" s="172" t="str">
        <f t="shared" si="0"/>
        <v>M + F</v>
      </c>
      <c r="AG27" s="172" t="str">
        <f t="shared" si="1"/>
        <v>德国</v>
      </c>
    </row>
    <row r="28" s="168" customFormat="1" customHeight="1" spans="1:33">
      <c r="A28" s="74">
        <v>46183</v>
      </c>
      <c r="B28" s="181" t="s">
        <v>490</v>
      </c>
      <c r="C28" s="172" t="s">
        <v>491</v>
      </c>
      <c r="D28" s="173" t="s">
        <v>492</v>
      </c>
      <c r="E28" s="172" t="s">
        <v>277</v>
      </c>
      <c r="F28" s="172"/>
      <c r="G28" s="172" t="s">
        <v>381</v>
      </c>
      <c r="H28" s="172" t="s">
        <v>150</v>
      </c>
      <c r="I28" s="221">
        <f>IFERROR(VLOOKUP(H28,名称!A:C,2,0),"")</f>
        <v>0</v>
      </c>
      <c r="J28" s="175">
        <v>2004</v>
      </c>
      <c r="K28" s="175">
        <f>VLOOKUP(H28,名称!A:D,4,0)</f>
        <v>6</v>
      </c>
      <c r="L28" s="203">
        <f t="shared" si="5"/>
        <v>334</v>
      </c>
      <c r="M28" s="183">
        <v>46153</v>
      </c>
      <c r="N28" s="183">
        <v>46263</v>
      </c>
      <c r="O28" s="183"/>
      <c r="P28" s="74" t="s">
        <v>428</v>
      </c>
      <c r="Q28" s="172"/>
      <c r="R28" s="172"/>
      <c r="S28" s="225" t="s">
        <v>494</v>
      </c>
      <c r="T28" s="173" t="s">
        <v>431</v>
      </c>
      <c r="U28" s="226" t="s">
        <v>462</v>
      </c>
      <c r="V28" s="233" t="s">
        <v>497</v>
      </c>
      <c r="W28" s="180" t="s">
        <v>258</v>
      </c>
      <c r="X28" s="227" t="s">
        <v>498</v>
      </c>
      <c r="Y28" s="172"/>
      <c r="Z28" s="186">
        <v>4.255</v>
      </c>
      <c r="AA28" s="187">
        <f t="shared" si="3"/>
        <v>8527.02</v>
      </c>
      <c r="AB28" s="187">
        <f t="shared" si="4"/>
        <v>66084.41</v>
      </c>
      <c r="AC28" s="101"/>
      <c r="AD28" s="172" t="s">
        <v>463</v>
      </c>
      <c r="AE28" s="172" t="str">
        <f>IFERROR(VLOOKUP(H28,名称!A:C,3,0),"")</f>
        <v>FNT</v>
      </c>
      <c r="AF28" s="172" t="str">
        <f t="shared" si="0"/>
        <v>M + F</v>
      </c>
      <c r="AG28" s="172" t="str">
        <f t="shared" si="1"/>
        <v>德国</v>
      </c>
    </row>
    <row r="29" s="168" customFormat="1" customHeight="1" spans="1:33">
      <c r="A29" s="159">
        <v>46059</v>
      </c>
      <c r="B29" s="234" t="s">
        <v>499</v>
      </c>
      <c r="C29" s="156" t="s">
        <v>396</v>
      </c>
      <c r="D29" s="161" t="s">
        <v>427</v>
      </c>
      <c r="E29" s="156" t="s">
        <v>246</v>
      </c>
      <c r="F29" s="156"/>
      <c r="G29" s="156" t="s">
        <v>320</v>
      </c>
      <c r="H29" s="156" t="s">
        <v>222</v>
      </c>
      <c r="I29" s="235" t="str">
        <f>IFERROR(VLOOKUP(H29,名称!A:C,2,0),"")</f>
        <v>蜘蛛侠配蜘蛛网套装</v>
      </c>
      <c r="J29" s="236">
        <v>1500</v>
      </c>
      <c r="K29" s="236">
        <f>VLOOKUP(H29,名称!A:D,4,0)</f>
        <v>6</v>
      </c>
      <c r="L29" s="237">
        <f t="shared" si="5"/>
        <v>250</v>
      </c>
      <c r="M29" s="157">
        <v>46204</v>
      </c>
      <c r="N29" s="157">
        <v>46204</v>
      </c>
      <c r="O29" s="238" t="s">
        <v>500</v>
      </c>
      <c r="P29" s="159" t="s">
        <v>428</v>
      </c>
      <c r="Q29" s="239" t="s">
        <v>429</v>
      </c>
      <c r="R29" s="156"/>
      <c r="S29" s="161" t="s">
        <v>501</v>
      </c>
      <c r="T29" s="240" t="s">
        <v>431</v>
      </c>
      <c r="U29" s="239"/>
      <c r="V29" s="241"/>
      <c r="W29" s="162" t="s">
        <v>276</v>
      </c>
      <c r="X29" s="172"/>
      <c r="Y29" s="172"/>
      <c r="Z29" s="186">
        <v>4.28</v>
      </c>
      <c r="AA29" s="187">
        <f t="shared" si="3"/>
        <v>6420</v>
      </c>
      <c r="AB29" s="187">
        <f t="shared" si="4"/>
        <v>49755</v>
      </c>
      <c r="AC29" s="231"/>
      <c r="AD29" s="156" t="s">
        <v>434</v>
      </c>
      <c r="AE29" s="156" t="str">
        <f>IFERROR(VLOOKUP(H29,名称!A:C,3,0),"")</f>
        <v>SNF</v>
      </c>
      <c r="AF29" s="156" t="str">
        <f t="shared" si="0"/>
        <v>JAZWARES - AMAZON US ECOM DOM</v>
      </c>
      <c r="AG29" s="156" t="str">
        <f t="shared" si="1"/>
        <v>美国</v>
      </c>
    </row>
    <row r="30" s="191" customFormat="1" customHeight="1" spans="1:33">
      <c r="A30" s="74">
        <v>45940</v>
      </c>
      <c r="B30" s="181" t="s">
        <v>502</v>
      </c>
      <c r="C30" s="172" t="s">
        <v>396</v>
      </c>
      <c r="D30" s="173" t="s">
        <v>427</v>
      </c>
      <c r="E30" s="172" t="s">
        <v>262</v>
      </c>
      <c r="F30" s="172" t="s">
        <v>249</v>
      </c>
      <c r="G30" s="172" t="s">
        <v>275</v>
      </c>
      <c r="H30" s="172" t="s">
        <v>222</v>
      </c>
      <c r="I30" s="221" t="str">
        <f>IFERROR(VLOOKUP(H30,名称!A:C,2,0),"")</f>
        <v>蜘蛛侠配蜘蛛网套装</v>
      </c>
      <c r="J30" s="175">
        <f>204-156</f>
        <v>48</v>
      </c>
      <c r="K30" s="175">
        <f>VLOOKUP(H30,名称!A:D,4,0)</f>
        <v>6</v>
      </c>
      <c r="L30" s="203">
        <f t="shared" si="5"/>
        <v>8</v>
      </c>
      <c r="M30" s="183">
        <v>46188</v>
      </c>
      <c r="N30" s="183">
        <v>45838</v>
      </c>
      <c r="O30" s="183"/>
      <c r="P30" s="74" t="s">
        <v>428</v>
      </c>
      <c r="Q30" s="172"/>
      <c r="R30" s="172"/>
      <c r="S30" s="173" t="s">
        <v>503</v>
      </c>
      <c r="T30" s="173" t="s">
        <v>431</v>
      </c>
      <c r="U30" s="172"/>
      <c r="V30" s="223"/>
      <c r="W30" s="172" t="s">
        <v>276</v>
      </c>
      <c r="X30" s="172" t="s">
        <v>488</v>
      </c>
      <c r="Y30" s="172"/>
      <c r="Z30" s="186">
        <v>4.28</v>
      </c>
      <c r="AA30" s="187">
        <f t="shared" si="3"/>
        <v>205.44</v>
      </c>
      <c r="AB30" s="187">
        <f t="shared" si="4"/>
        <v>1592.16</v>
      </c>
      <c r="AC30" s="231"/>
      <c r="AD30" s="172" t="s">
        <v>434</v>
      </c>
      <c r="AE30" s="172" t="str">
        <f>IFERROR(VLOOKUP(H30,名称!A:C,3,0),"")</f>
        <v>SNF</v>
      </c>
      <c r="AF30" s="172" t="str">
        <f t="shared" si="0"/>
        <v>JAZWARES INTERNATIONAL</v>
      </c>
      <c r="AG30" s="172" t="str">
        <f t="shared" si="1"/>
        <v>美国</v>
      </c>
    </row>
    <row r="31" s="168" customFormat="1" customHeight="1" spans="1:33">
      <c r="A31" s="205">
        <v>46085</v>
      </c>
      <c r="B31" s="206" t="s">
        <v>504</v>
      </c>
      <c r="C31" s="211" t="s">
        <v>505</v>
      </c>
      <c r="D31" s="208" t="s">
        <v>506</v>
      </c>
      <c r="E31" s="211" t="s">
        <v>259</v>
      </c>
      <c r="F31" s="211"/>
      <c r="G31" s="211" t="s">
        <v>324</v>
      </c>
      <c r="H31" s="211" t="s">
        <v>70</v>
      </c>
      <c r="I31" s="212" t="str">
        <f>IFERROR(VLOOKUP(H31,名称!A:C,2,0),"")</f>
        <v>跳舞公仔</v>
      </c>
      <c r="J31" s="213">
        <f>1200-720</f>
        <v>480</v>
      </c>
      <c r="K31" s="213">
        <f>VLOOKUP(H31,名称!A:D,4,0)</f>
        <v>4</v>
      </c>
      <c r="L31" s="214">
        <f t="shared" si="5"/>
        <v>120</v>
      </c>
      <c r="M31" s="215">
        <v>46193</v>
      </c>
      <c r="N31" s="215">
        <v>46203</v>
      </c>
      <c r="O31" s="242" t="s">
        <v>507</v>
      </c>
      <c r="P31" s="205" t="s">
        <v>428</v>
      </c>
      <c r="Q31" s="243" t="s">
        <v>429</v>
      </c>
      <c r="R31" s="244" t="s">
        <v>508</v>
      </c>
      <c r="S31" s="208" t="s">
        <v>509</v>
      </c>
      <c r="T31" s="208" t="s">
        <v>431</v>
      </c>
      <c r="U31" s="244" t="s">
        <v>510</v>
      </c>
      <c r="V31" s="216"/>
      <c r="W31" s="224" t="s">
        <v>323</v>
      </c>
      <c r="X31" s="211"/>
      <c r="Y31" s="211"/>
      <c r="Z31" s="217">
        <v>13.42</v>
      </c>
      <c r="AA31" s="218">
        <f t="shared" si="3"/>
        <v>6441.6</v>
      </c>
      <c r="AB31" s="218">
        <f t="shared" si="4"/>
        <v>49922.4</v>
      </c>
      <c r="AC31" s="219"/>
      <c r="AD31" s="211" t="s">
        <v>434</v>
      </c>
      <c r="AE31" s="211" t="str">
        <f>IFERROR(VLOOKUP(H31,名称!A:C,3,0),"")</f>
        <v>CMW</v>
      </c>
      <c r="AF31" s="211" t="str">
        <f t="shared" si="0"/>
        <v>A LIUSIE GENERAL TRADING LLC</v>
      </c>
      <c r="AG31" s="211" t="str">
        <f t="shared" si="1"/>
        <v>阿拉伯</v>
      </c>
    </row>
    <row r="32" s="168" customFormat="1" customHeight="1" spans="1:33">
      <c r="A32" s="74">
        <v>46121</v>
      </c>
      <c r="B32" s="181" t="s">
        <v>511</v>
      </c>
      <c r="C32" s="172" t="s">
        <v>396</v>
      </c>
      <c r="D32" s="173" t="s">
        <v>512</v>
      </c>
      <c r="E32" s="172" t="s">
        <v>246</v>
      </c>
      <c r="F32" s="172" t="s">
        <v>362</v>
      </c>
      <c r="G32" s="172" t="s">
        <v>366</v>
      </c>
      <c r="H32" s="172" t="s">
        <v>222</v>
      </c>
      <c r="I32" s="221" t="str">
        <f>IFERROR(VLOOKUP(H32,名称!A:C,2,0),"")</f>
        <v>蜘蛛侠配蜘蛛网套装</v>
      </c>
      <c r="J32" s="175">
        <v>696</v>
      </c>
      <c r="K32" s="175">
        <f>VLOOKUP(H32,名称!A:D,4,0)</f>
        <v>6</v>
      </c>
      <c r="L32" s="203">
        <f t="shared" si="5"/>
        <v>116</v>
      </c>
      <c r="M32" s="183">
        <v>46280</v>
      </c>
      <c r="N32" s="183">
        <v>46280</v>
      </c>
      <c r="O32" s="183"/>
      <c r="P32" s="74" t="s">
        <v>428</v>
      </c>
      <c r="Q32" s="172"/>
      <c r="R32" s="172"/>
      <c r="S32" s="173" t="s">
        <v>513</v>
      </c>
      <c r="T32" s="225" t="s">
        <v>462</v>
      </c>
      <c r="U32" s="226" t="s">
        <v>514</v>
      </c>
      <c r="V32" s="223"/>
      <c r="W32" s="180" t="s">
        <v>276</v>
      </c>
      <c r="X32" s="180" t="s">
        <v>488</v>
      </c>
      <c r="Y32" s="172"/>
      <c r="Z32" s="186">
        <v>4.28</v>
      </c>
      <c r="AA32" s="187">
        <f t="shared" si="3"/>
        <v>2978.88</v>
      </c>
      <c r="AB32" s="187">
        <f t="shared" si="4"/>
        <v>23086.32</v>
      </c>
      <c r="AC32" s="231"/>
      <c r="AD32" s="172" t="s">
        <v>434</v>
      </c>
      <c r="AE32" s="172" t="str">
        <f>IFERROR(VLOOKUP(H32,名称!A:C,3,0),"")</f>
        <v>SNF</v>
      </c>
      <c r="AF32" s="172" t="str">
        <f t="shared" si="0"/>
        <v>SCS DIRECT FOB</v>
      </c>
      <c r="AG32" s="172" t="str">
        <f t="shared" si="1"/>
        <v>美国</v>
      </c>
    </row>
    <row r="33" s="191" customFormat="1" customHeight="1" spans="1:33">
      <c r="A33" s="74">
        <v>46121</v>
      </c>
      <c r="B33" s="181" t="s">
        <v>511</v>
      </c>
      <c r="C33" s="172" t="s">
        <v>396</v>
      </c>
      <c r="D33" s="173" t="s">
        <v>512</v>
      </c>
      <c r="E33" s="172" t="s">
        <v>246</v>
      </c>
      <c r="F33" s="172" t="s">
        <v>353</v>
      </c>
      <c r="G33" s="172" t="s">
        <v>366</v>
      </c>
      <c r="H33" s="172" t="s">
        <v>222</v>
      </c>
      <c r="I33" s="221" t="str">
        <f>IFERROR(VLOOKUP(H33,名称!A:C,2,0),"")</f>
        <v>蜘蛛侠配蜘蛛网套装</v>
      </c>
      <c r="J33" s="175">
        <v>606</v>
      </c>
      <c r="K33" s="175">
        <f>VLOOKUP(H33,名称!A:D,4,0)</f>
        <v>6</v>
      </c>
      <c r="L33" s="203">
        <f t="shared" si="5"/>
        <v>101</v>
      </c>
      <c r="M33" s="183">
        <v>46280</v>
      </c>
      <c r="N33" s="183">
        <v>46280</v>
      </c>
      <c r="O33" s="183"/>
      <c r="P33" s="74" t="s">
        <v>428</v>
      </c>
      <c r="Q33" s="172"/>
      <c r="R33" s="172"/>
      <c r="S33" s="173" t="s">
        <v>513</v>
      </c>
      <c r="T33" s="245" t="s">
        <v>462</v>
      </c>
      <c r="U33" s="226" t="s">
        <v>514</v>
      </c>
      <c r="V33" s="223"/>
      <c r="W33" s="180" t="s">
        <v>276</v>
      </c>
      <c r="X33" s="180" t="s">
        <v>488</v>
      </c>
      <c r="Y33" s="172"/>
      <c r="Z33" s="186">
        <v>4.28</v>
      </c>
      <c r="AA33" s="187">
        <f t="shared" si="3"/>
        <v>2593.68</v>
      </c>
      <c r="AB33" s="187">
        <f t="shared" si="4"/>
        <v>20101.02</v>
      </c>
      <c r="AC33" s="231"/>
      <c r="AD33" s="172" t="s">
        <v>434</v>
      </c>
      <c r="AE33" s="172" t="str">
        <f>IFERROR(VLOOKUP(H33,名称!A:C,3,0),"")</f>
        <v>SNF</v>
      </c>
      <c r="AF33" s="172" t="str">
        <f t="shared" si="0"/>
        <v>SCS DIRECT FOB</v>
      </c>
      <c r="AG33" s="172" t="str">
        <f t="shared" si="1"/>
        <v>美国</v>
      </c>
    </row>
    <row r="34" s="191" customFormat="1" customHeight="1" spans="1:33">
      <c r="A34" s="74">
        <v>46121</v>
      </c>
      <c r="B34" s="181" t="s">
        <v>511</v>
      </c>
      <c r="C34" s="172" t="s">
        <v>396</v>
      </c>
      <c r="D34" s="173" t="s">
        <v>512</v>
      </c>
      <c r="E34" s="172" t="s">
        <v>246</v>
      </c>
      <c r="F34" s="172" t="s">
        <v>353</v>
      </c>
      <c r="G34" s="172" t="s">
        <v>361</v>
      </c>
      <c r="H34" s="172" t="s">
        <v>222</v>
      </c>
      <c r="I34" s="221" t="str">
        <f>IFERROR(VLOOKUP(H34,名称!A:C,2,0),"")</f>
        <v>蜘蛛侠配蜘蛛网套装</v>
      </c>
      <c r="J34" s="175">
        <v>450</v>
      </c>
      <c r="K34" s="175">
        <f>VLOOKUP(H34,名称!A:D,4,0)</f>
        <v>6</v>
      </c>
      <c r="L34" s="203">
        <f t="shared" si="5"/>
        <v>75</v>
      </c>
      <c r="M34" s="183">
        <v>46371</v>
      </c>
      <c r="N34" s="183">
        <v>46371</v>
      </c>
      <c r="O34" s="183"/>
      <c r="P34" s="74" t="s">
        <v>428</v>
      </c>
      <c r="Q34" s="172"/>
      <c r="R34" s="172"/>
      <c r="S34" s="173" t="s">
        <v>513</v>
      </c>
      <c r="T34" s="245" t="s">
        <v>462</v>
      </c>
      <c r="U34" s="226" t="s">
        <v>514</v>
      </c>
      <c r="V34" s="223"/>
      <c r="W34" s="180" t="s">
        <v>276</v>
      </c>
      <c r="X34" s="180" t="s">
        <v>488</v>
      </c>
      <c r="Y34" s="172"/>
      <c r="Z34" s="186">
        <v>4.28</v>
      </c>
      <c r="AA34" s="187">
        <f t="shared" si="3"/>
        <v>1926</v>
      </c>
      <c r="AB34" s="187">
        <f t="shared" si="4"/>
        <v>14926.5</v>
      </c>
      <c r="AC34" s="231"/>
      <c r="AD34" s="172" t="s">
        <v>434</v>
      </c>
      <c r="AE34" s="172" t="str">
        <f>IFERROR(VLOOKUP(H34,名称!A:C,3,0),"")</f>
        <v>SNF</v>
      </c>
      <c r="AF34" s="172" t="str">
        <f t="shared" si="0"/>
        <v>SCS DIRECT FOB</v>
      </c>
      <c r="AG34" s="172" t="str">
        <f t="shared" si="1"/>
        <v>美国</v>
      </c>
    </row>
    <row r="35" s="168" customFormat="1" customHeight="1" spans="1:33">
      <c r="A35" s="205">
        <v>46085</v>
      </c>
      <c r="B35" s="206" t="s">
        <v>515</v>
      </c>
      <c r="C35" s="211" t="s">
        <v>516</v>
      </c>
      <c r="D35" s="208" t="s">
        <v>506</v>
      </c>
      <c r="E35" s="211" t="s">
        <v>246</v>
      </c>
      <c r="F35" s="211"/>
      <c r="G35" s="211" t="s">
        <v>328</v>
      </c>
      <c r="H35" s="211" t="s">
        <v>70</v>
      </c>
      <c r="I35" s="212" t="str">
        <f>IFERROR(VLOOKUP(H35,名称!A:C,2,0),"")</f>
        <v>跳舞公仔</v>
      </c>
      <c r="J35" s="213">
        <v>72</v>
      </c>
      <c r="K35" s="213">
        <f>VLOOKUP(H35,名称!A:D,4,0)</f>
        <v>4</v>
      </c>
      <c r="L35" s="214">
        <f t="shared" si="5"/>
        <v>18</v>
      </c>
      <c r="M35" s="215">
        <v>46193</v>
      </c>
      <c r="N35" s="215">
        <v>46203</v>
      </c>
      <c r="O35" s="246" t="s">
        <v>517</v>
      </c>
      <c r="P35" s="205" t="s">
        <v>428</v>
      </c>
      <c r="Q35" s="243" t="s">
        <v>450</v>
      </c>
      <c r="R35" s="224"/>
      <c r="S35" s="208" t="s">
        <v>509</v>
      </c>
      <c r="T35" s="208" t="s">
        <v>431</v>
      </c>
      <c r="U35" s="244" t="s">
        <v>431</v>
      </c>
      <c r="V35" s="216"/>
      <c r="W35" s="224" t="s">
        <v>323</v>
      </c>
      <c r="X35" s="211"/>
      <c r="Y35" s="211"/>
      <c r="Z35" s="217">
        <v>13.42</v>
      </c>
      <c r="AA35" s="218">
        <f t="shared" si="3"/>
        <v>966.24</v>
      </c>
      <c r="AB35" s="218">
        <f t="shared" si="4"/>
        <v>7488.36</v>
      </c>
      <c r="AC35" s="219"/>
      <c r="AD35" s="211" t="s">
        <v>434</v>
      </c>
      <c r="AE35" s="211" t="str">
        <f>IFERROR(VLOOKUP(H35,名称!A:C,3,0),"")</f>
        <v>CMW</v>
      </c>
      <c r="AF35" s="211" t="str">
        <f t="shared" si="0"/>
        <v>ARABIAN AL EKHA INTL FOR TRADE AND 
COMM.</v>
      </c>
      <c r="AG35" s="211" t="str">
        <f t="shared" si="1"/>
        <v>约旦</v>
      </c>
    </row>
    <row r="36" s="191" customFormat="1" customHeight="1" spans="1:33">
      <c r="A36" s="74">
        <v>46121</v>
      </c>
      <c r="B36" s="181" t="s">
        <v>511</v>
      </c>
      <c r="C36" s="172" t="s">
        <v>396</v>
      </c>
      <c r="D36" s="173" t="s">
        <v>512</v>
      </c>
      <c r="E36" s="172" t="s">
        <v>246</v>
      </c>
      <c r="F36" s="172" t="s">
        <v>353</v>
      </c>
      <c r="G36" s="172" t="s">
        <v>360</v>
      </c>
      <c r="H36" s="172" t="s">
        <v>222</v>
      </c>
      <c r="I36" s="221" t="str">
        <f>IFERROR(VLOOKUP(H36,名称!A:C,2,0),"")</f>
        <v>蜘蛛侠配蜘蛛网套装</v>
      </c>
      <c r="J36" s="175">
        <v>450</v>
      </c>
      <c r="K36" s="175">
        <f>VLOOKUP(H36,名称!A:D,4,0)</f>
        <v>6</v>
      </c>
      <c r="L36" s="203">
        <f t="shared" si="5"/>
        <v>75</v>
      </c>
      <c r="M36" s="183">
        <v>46357</v>
      </c>
      <c r="N36" s="183">
        <v>46357</v>
      </c>
      <c r="O36" s="183"/>
      <c r="P36" s="74" t="s">
        <v>428</v>
      </c>
      <c r="Q36" s="172"/>
      <c r="R36" s="172"/>
      <c r="S36" s="173" t="s">
        <v>513</v>
      </c>
      <c r="T36" s="245" t="s">
        <v>462</v>
      </c>
      <c r="U36" s="226" t="s">
        <v>514</v>
      </c>
      <c r="V36" s="223"/>
      <c r="W36" s="180" t="s">
        <v>276</v>
      </c>
      <c r="X36" s="180" t="s">
        <v>488</v>
      </c>
      <c r="Y36" s="172"/>
      <c r="Z36" s="186">
        <v>4.28</v>
      </c>
      <c r="AA36" s="187">
        <f t="shared" si="3"/>
        <v>1926</v>
      </c>
      <c r="AB36" s="187">
        <f t="shared" si="4"/>
        <v>14926.5</v>
      </c>
      <c r="AC36" s="231"/>
      <c r="AD36" s="172" t="s">
        <v>434</v>
      </c>
      <c r="AE36" s="172" t="str">
        <f>IFERROR(VLOOKUP(H36,名称!A:C,3,0),"")</f>
        <v>SNF</v>
      </c>
      <c r="AF36" s="172" t="str">
        <f t="shared" si="0"/>
        <v>SCS DIRECT FOB</v>
      </c>
      <c r="AG36" s="172" t="str">
        <f t="shared" si="1"/>
        <v>美国</v>
      </c>
    </row>
    <row r="37" s="191" customFormat="1" customHeight="1" spans="1:33">
      <c r="A37" s="74">
        <v>46121</v>
      </c>
      <c r="B37" s="181" t="s">
        <v>511</v>
      </c>
      <c r="C37" s="172" t="s">
        <v>396</v>
      </c>
      <c r="D37" s="173" t="s">
        <v>512</v>
      </c>
      <c r="E37" s="172" t="s">
        <v>246</v>
      </c>
      <c r="F37" s="172"/>
      <c r="G37" s="172" t="s">
        <v>363</v>
      </c>
      <c r="H37" s="172" t="s">
        <v>222</v>
      </c>
      <c r="I37" s="221" t="str">
        <f>IFERROR(VLOOKUP(H37,名称!A:C,2,0),"")</f>
        <v>蜘蛛侠配蜘蛛网套装</v>
      </c>
      <c r="J37" s="175">
        <v>1</v>
      </c>
      <c r="K37" s="175">
        <f>VLOOKUP(H37,名称!A:D,4,0)</f>
        <v>6</v>
      </c>
      <c r="L37" s="203">
        <f t="shared" si="5"/>
        <v>0.166666666666667</v>
      </c>
      <c r="M37" s="183">
        <v>46204</v>
      </c>
      <c r="N37" s="183">
        <v>46204</v>
      </c>
      <c r="O37" s="183"/>
      <c r="P37" s="74" t="s">
        <v>428</v>
      </c>
      <c r="Q37" s="172"/>
      <c r="R37" s="172"/>
      <c r="S37" s="173" t="s">
        <v>513</v>
      </c>
      <c r="T37" s="245" t="s">
        <v>462</v>
      </c>
      <c r="U37" s="226" t="s">
        <v>514</v>
      </c>
      <c r="V37" s="223"/>
      <c r="W37" s="180" t="s">
        <v>276</v>
      </c>
      <c r="X37" s="180" t="s">
        <v>488</v>
      </c>
      <c r="Y37" s="227" t="s">
        <v>518</v>
      </c>
      <c r="Z37" s="186">
        <v>4.28</v>
      </c>
      <c r="AA37" s="187">
        <f t="shared" si="3"/>
        <v>4.28</v>
      </c>
      <c r="AB37" s="187">
        <f t="shared" si="4"/>
        <v>33.17</v>
      </c>
      <c r="AC37" s="231"/>
      <c r="AD37" s="172" t="s">
        <v>464</v>
      </c>
      <c r="AE37" s="172" t="str">
        <f>IFERROR(VLOOKUP(H37,名称!A:C,3,0),"")</f>
        <v>SNF</v>
      </c>
      <c r="AF37" s="172" t="str">
        <f t="shared" si="0"/>
        <v>SCS DIRECT FOB</v>
      </c>
      <c r="AG37" s="172" t="str">
        <f t="shared" si="1"/>
        <v>美国</v>
      </c>
    </row>
    <row r="38" s="192" customFormat="1" customHeight="1" spans="1:33">
      <c r="A38" s="159">
        <v>46105</v>
      </c>
      <c r="B38" s="234" t="s">
        <v>519</v>
      </c>
      <c r="C38" s="156" t="s">
        <v>520</v>
      </c>
      <c r="D38" s="161" t="s">
        <v>521</v>
      </c>
      <c r="E38" s="156" t="s">
        <v>246</v>
      </c>
      <c r="F38" s="156"/>
      <c r="G38" s="156" t="s">
        <v>341</v>
      </c>
      <c r="H38" s="156" t="s">
        <v>155</v>
      </c>
      <c r="I38" s="235">
        <f>IFERROR(VLOOKUP(H38,名称!A:C,2,0),"")</f>
        <v>0</v>
      </c>
      <c r="J38" s="236">
        <f>852+852+300</f>
        <v>2004</v>
      </c>
      <c r="K38" s="236">
        <f>VLOOKUP(H38,名称!A:D,4,0)</f>
        <v>4</v>
      </c>
      <c r="L38" s="237">
        <f t="shared" si="5"/>
        <v>501</v>
      </c>
      <c r="M38" s="157">
        <v>46204</v>
      </c>
      <c r="N38" s="157">
        <v>46239</v>
      </c>
      <c r="O38" s="247" t="s">
        <v>522</v>
      </c>
      <c r="P38" s="159" t="s">
        <v>428</v>
      </c>
      <c r="Q38" s="160" t="s">
        <v>429</v>
      </c>
      <c r="R38" s="248" t="s">
        <v>523</v>
      </c>
      <c r="S38" s="249" t="s">
        <v>524</v>
      </c>
      <c r="T38" s="161" t="s">
        <v>431</v>
      </c>
      <c r="U38" s="162"/>
      <c r="V38" s="156"/>
      <c r="W38" s="239" t="s">
        <v>525</v>
      </c>
      <c r="X38" s="156" t="s">
        <v>526</v>
      </c>
      <c r="Y38" s="156" t="s">
        <v>527</v>
      </c>
      <c r="Z38" s="250">
        <v>13.8</v>
      </c>
      <c r="AA38" s="251">
        <f t="shared" ref="AA38:AA86" si="6">J38*Z38</f>
        <v>27655.2</v>
      </c>
      <c r="AB38" s="251">
        <f t="shared" ref="AB38:AB86" si="7">AA38*7.75</f>
        <v>214327.8</v>
      </c>
      <c r="AC38" s="252"/>
      <c r="AD38" s="160" t="s">
        <v>434</v>
      </c>
      <c r="AE38" s="156" t="str">
        <f>IFERROR(VLOOKUP(H38,名称!A:C,3,0),"")</f>
        <v>FNT</v>
      </c>
      <c r="AF38" s="156" t="str">
        <f t="shared" ref="AF38:AF87" si="8">B38</f>
        <v>IMPORT SERVICES</v>
      </c>
      <c r="AG38" s="156" t="str">
        <f t="shared" ref="AG38:AG87" si="9">C38</f>
        <v>英国</v>
      </c>
    </row>
    <row r="39" s="168" customFormat="1" customHeight="1" spans="1:33">
      <c r="A39" s="74">
        <v>46121</v>
      </c>
      <c r="B39" s="181" t="s">
        <v>511</v>
      </c>
      <c r="C39" s="172" t="s">
        <v>396</v>
      </c>
      <c r="D39" s="173" t="s">
        <v>512</v>
      </c>
      <c r="E39" s="172" t="s">
        <v>246</v>
      </c>
      <c r="F39" s="172" t="s">
        <v>362</v>
      </c>
      <c r="G39" s="172" t="s">
        <v>365</v>
      </c>
      <c r="H39" s="172" t="s">
        <v>222</v>
      </c>
      <c r="I39" s="221" t="str">
        <f>IFERROR(VLOOKUP(H39,名称!A:C,2,0),"")</f>
        <v>蜘蛛侠配蜘蛛网套装</v>
      </c>
      <c r="J39" s="175">
        <v>504</v>
      </c>
      <c r="K39" s="175">
        <f>VLOOKUP(H39,名称!A:D,4,0)</f>
        <v>6</v>
      </c>
      <c r="L39" s="203">
        <f t="shared" si="5"/>
        <v>84</v>
      </c>
      <c r="M39" s="183">
        <v>46251</v>
      </c>
      <c r="N39" s="253">
        <v>46280</v>
      </c>
      <c r="O39" s="180"/>
      <c r="P39" s="74" t="s">
        <v>428</v>
      </c>
      <c r="Q39" s="172"/>
      <c r="R39" s="172"/>
      <c r="S39" s="173" t="s">
        <v>513</v>
      </c>
      <c r="T39" s="225" t="s">
        <v>462</v>
      </c>
      <c r="U39" s="226" t="s">
        <v>514</v>
      </c>
      <c r="V39" s="223"/>
      <c r="W39" s="180" t="s">
        <v>276</v>
      </c>
      <c r="X39" s="180" t="s">
        <v>488</v>
      </c>
      <c r="Y39" s="172"/>
      <c r="Z39" s="186">
        <v>4.28</v>
      </c>
      <c r="AA39" s="187">
        <f t="shared" si="6"/>
        <v>2157.12</v>
      </c>
      <c r="AB39" s="187">
        <f t="shared" si="7"/>
        <v>16717.68</v>
      </c>
      <c r="AC39" s="231"/>
      <c r="AD39" s="172" t="s">
        <v>434</v>
      </c>
      <c r="AE39" s="172" t="str">
        <f>IFERROR(VLOOKUP(H39,名称!A:C,3,0),"")</f>
        <v>SNF</v>
      </c>
      <c r="AF39" s="172" t="str">
        <f t="shared" si="8"/>
        <v>SCS DIRECT FOB</v>
      </c>
      <c r="AG39" s="172" t="str">
        <f t="shared" si="9"/>
        <v>美国</v>
      </c>
    </row>
    <row r="40" s="192" customFormat="1" customHeight="1" spans="1:33">
      <c r="A40" s="159">
        <v>46105</v>
      </c>
      <c r="B40" s="234" t="s">
        <v>519</v>
      </c>
      <c r="C40" s="156" t="s">
        <v>520</v>
      </c>
      <c r="D40" s="161" t="s">
        <v>521</v>
      </c>
      <c r="E40" s="156" t="s">
        <v>246</v>
      </c>
      <c r="F40" s="156"/>
      <c r="G40" s="156" t="s">
        <v>342</v>
      </c>
      <c r="H40" s="156" t="s">
        <v>155</v>
      </c>
      <c r="I40" s="235">
        <f>IFERROR(VLOOKUP(H40,名称!A:C,2,0),"")</f>
        <v>0</v>
      </c>
      <c r="J40" s="236">
        <v>2000</v>
      </c>
      <c r="K40" s="236">
        <f>VLOOKUP(H40,名称!A:D,4,0)</f>
        <v>4</v>
      </c>
      <c r="L40" s="237">
        <f t="shared" si="5"/>
        <v>500</v>
      </c>
      <c r="M40" s="157">
        <v>46214</v>
      </c>
      <c r="N40" s="157">
        <v>46239</v>
      </c>
      <c r="O40" s="247" t="s">
        <v>522</v>
      </c>
      <c r="P40" s="159" t="s">
        <v>428</v>
      </c>
      <c r="Q40" s="160" t="s">
        <v>429</v>
      </c>
      <c r="R40" s="162"/>
      <c r="S40" s="249" t="s">
        <v>524</v>
      </c>
      <c r="T40" s="161" t="s">
        <v>431</v>
      </c>
      <c r="U40" s="162"/>
      <c r="V40" s="156"/>
      <c r="W40" s="239" t="s">
        <v>525</v>
      </c>
      <c r="X40" s="156" t="s">
        <v>528</v>
      </c>
      <c r="Y40" s="156" t="s">
        <v>527</v>
      </c>
      <c r="Z40" s="250">
        <v>13.8</v>
      </c>
      <c r="AA40" s="251">
        <f t="shared" si="6"/>
        <v>27600</v>
      </c>
      <c r="AB40" s="251">
        <f t="shared" si="7"/>
        <v>213900</v>
      </c>
      <c r="AC40" s="252"/>
      <c r="AD40" s="160" t="s">
        <v>434</v>
      </c>
      <c r="AE40" s="156" t="str">
        <f>IFERROR(VLOOKUP(H40,名称!A:C,3,0),"")</f>
        <v>FNT</v>
      </c>
      <c r="AF40" s="156" t="str">
        <f t="shared" si="8"/>
        <v>IMPORT SERVICES</v>
      </c>
      <c r="AG40" s="156" t="str">
        <f t="shared" si="9"/>
        <v>英国</v>
      </c>
    </row>
    <row r="41" s="168" customFormat="1" customHeight="1" spans="1:33">
      <c r="A41" s="74">
        <v>46085</v>
      </c>
      <c r="B41" s="181" t="s">
        <v>515</v>
      </c>
      <c r="C41" s="172" t="s">
        <v>516</v>
      </c>
      <c r="D41" s="173" t="s">
        <v>506</v>
      </c>
      <c r="E41" s="172" t="s">
        <v>246</v>
      </c>
      <c r="F41" s="172"/>
      <c r="G41" s="172" t="s">
        <v>327</v>
      </c>
      <c r="H41" s="172" t="s">
        <v>70</v>
      </c>
      <c r="I41" s="221" t="str">
        <f>IFERROR(VLOOKUP(H41,名称!A:C,2,0),"")</f>
        <v>跳舞公仔</v>
      </c>
      <c r="J41" s="175">
        <v>72</v>
      </c>
      <c r="K41" s="175">
        <f>VLOOKUP(H41,名称!A:D,4,0)</f>
        <v>4</v>
      </c>
      <c r="L41" s="203">
        <f t="shared" si="5"/>
        <v>18</v>
      </c>
      <c r="M41" s="183">
        <v>46266</v>
      </c>
      <c r="N41" s="183">
        <v>46266</v>
      </c>
      <c r="O41" s="254"/>
      <c r="P41" s="74" t="s">
        <v>428</v>
      </c>
      <c r="Q41" s="172"/>
      <c r="R41" s="180"/>
      <c r="S41" s="173" t="s">
        <v>529</v>
      </c>
      <c r="T41" s="173" t="s">
        <v>431</v>
      </c>
      <c r="U41" s="226" t="s">
        <v>431</v>
      </c>
      <c r="V41" s="223"/>
      <c r="W41" s="180" t="s">
        <v>323</v>
      </c>
      <c r="X41" s="172"/>
      <c r="Y41" s="172"/>
      <c r="Z41" s="186">
        <v>13.42</v>
      </c>
      <c r="AA41" s="187">
        <f t="shared" si="6"/>
        <v>966.24</v>
      </c>
      <c r="AB41" s="187">
        <f t="shared" si="7"/>
        <v>7488.36</v>
      </c>
      <c r="AC41" s="101"/>
      <c r="AD41" s="172" t="s">
        <v>434</v>
      </c>
      <c r="AE41" s="172" t="str">
        <f>IFERROR(VLOOKUP(H41,名称!A:C,3,0),"")</f>
        <v>CMW</v>
      </c>
      <c r="AF41" s="172" t="str">
        <f t="shared" si="8"/>
        <v>ARABIAN AL EKHA INTL FOR TRADE AND 
COMM.</v>
      </c>
      <c r="AG41" s="172" t="str">
        <f t="shared" si="9"/>
        <v>约旦</v>
      </c>
    </row>
    <row r="42" s="168" customFormat="1" customHeight="1" spans="1:33">
      <c r="A42" s="56">
        <v>46163</v>
      </c>
      <c r="B42" s="13" t="s">
        <v>530</v>
      </c>
      <c r="C42" s="14" t="s">
        <v>531</v>
      </c>
      <c r="D42" s="173" t="s">
        <v>532</v>
      </c>
      <c r="E42" s="172" t="s">
        <v>259</v>
      </c>
      <c r="F42" s="14" t="s">
        <v>321</v>
      </c>
      <c r="G42" s="14" t="s">
        <v>376</v>
      </c>
      <c r="H42" s="14" t="s">
        <v>127</v>
      </c>
      <c r="I42" s="174" t="str">
        <f>IFERROR(VLOOKUP(H42,名称!A:C,2,0),"")</f>
        <v>混装配比I</v>
      </c>
      <c r="J42" s="171">
        <v>600</v>
      </c>
      <c r="K42" s="175">
        <f>VLOOKUP(H42,名称!A:D,4,0)</f>
        <v>6</v>
      </c>
      <c r="L42" s="31">
        <f t="shared" si="5"/>
        <v>100</v>
      </c>
      <c r="M42" s="56">
        <v>46195</v>
      </c>
      <c r="N42" s="56">
        <v>46223</v>
      </c>
      <c r="O42" s="222" t="s">
        <v>533</v>
      </c>
      <c r="P42" s="176" t="s">
        <v>428</v>
      </c>
      <c r="Q42" s="14"/>
      <c r="R42" s="172"/>
      <c r="S42" s="173" t="s">
        <v>534</v>
      </c>
      <c r="T42" s="173" t="s">
        <v>431</v>
      </c>
      <c r="U42" s="226" t="s">
        <v>535</v>
      </c>
      <c r="V42" s="172" t="s">
        <v>471</v>
      </c>
      <c r="W42" s="226" t="s">
        <v>472</v>
      </c>
      <c r="X42" s="227" t="s">
        <v>536</v>
      </c>
      <c r="Y42" s="172" t="s">
        <v>474</v>
      </c>
      <c r="Z42" s="71">
        <v>2.315</v>
      </c>
      <c r="AA42" s="72">
        <f t="shared" si="6"/>
        <v>1389</v>
      </c>
      <c r="AB42" s="72">
        <f t="shared" si="7"/>
        <v>10764.75</v>
      </c>
      <c r="AC42" s="178"/>
      <c r="AD42" s="227" t="s">
        <v>434</v>
      </c>
      <c r="AE42" s="172" t="str">
        <f>IFERROR(VLOOKUP(H42,名称!A:C,3,0),"")</f>
        <v>FNT</v>
      </c>
      <c r="AF42" s="172" t="str">
        <f t="shared" si="8"/>
        <v>WRT WORLD ENTERPRISES, INC.</v>
      </c>
      <c r="AG42" s="172" t="str">
        <f t="shared" si="9"/>
        <v>拉丁美洲</v>
      </c>
    </row>
    <row r="43" s="191" customFormat="1" customHeight="1" spans="1:33">
      <c r="A43" s="205">
        <v>46111</v>
      </c>
      <c r="B43" s="206" t="s">
        <v>537</v>
      </c>
      <c r="C43" s="211" t="s">
        <v>396</v>
      </c>
      <c r="D43" s="208" t="s">
        <v>538</v>
      </c>
      <c r="E43" s="211" t="s">
        <v>246</v>
      </c>
      <c r="F43" s="211" t="s">
        <v>352</v>
      </c>
      <c r="G43" s="211" t="s">
        <v>353</v>
      </c>
      <c r="H43" s="211" t="s">
        <v>222</v>
      </c>
      <c r="I43" s="212" t="str">
        <f>IFERROR(VLOOKUP(H43,名称!A:C,2,0),"")</f>
        <v>蜘蛛侠配蜘蛛网套装</v>
      </c>
      <c r="J43" s="213">
        <f>582+588-450-450+582-606</f>
        <v>246</v>
      </c>
      <c r="K43" s="213">
        <f>VLOOKUP(H43,名称!A:D,4,0)</f>
        <v>6</v>
      </c>
      <c r="L43" s="214">
        <f t="shared" si="5"/>
        <v>41</v>
      </c>
      <c r="M43" s="215">
        <v>46213</v>
      </c>
      <c r="N43" s="215">
        <v>46213</v>
      </c>
      <c r="O43" s="242" t="s">
        <v>500</v>
      </c>
      <c r="P43" s="205" t="s">
        <v>428</v>
      </c>
      <c r="Q43" s="243" t="s">
        <v>429</v>
      </c>
      <c r="R43" s="211"/>
      <c r="S43" s="208" t="s">
        <v>539</v>
      </c>
      <c r="T43" s="255" t="s">
        <v>431</v>
      </c>
      <c r="U43" s="244"/>
      <c r="V43" s="216"/>
      <c r="W43" s="224" t="s">
        <v>276</v>
      </c>
      <c r="X43" s="211"/>
      <c r="Y43" s="211"/>
      <c r="Z43" s="217">
        <v>4.28</v>
      </c>
      <c r="AA43" s="218">
        <f t="shared" si="6"/>
        <v>1052.88</v>
      </c>
      <c r="AB43" s="218">
        <f t="shared" si="7"/>
        <v>8159.82</v>
      </c>
      <c r="AC43" s="219"/>
      <c r="AD43" s="211" t="s">
        <v>434</v>
      </c>
      <c r="AE43" s="211" t="str">
        <f>IFERROR(VLOOKUP(H43,名称!A:C,3,0),"")</f>
        <v>SNF</v>
      </c>
      <c r="AF43" s="211" t="str">
        <f t="shared" si="8"/>
        <v>AMAZON MDDP</v>
      </c>
      <c r="AG43" s="211" t="str">
        <f t="shared" si="9"/>
        <v>美国</v>
      </c>
    </row>
    <row r="44" s="191" customFormat="1" customHeight="1" spans="1:33">
      <c r="A44" s="205">
        <v>46113</v>
      </c>
      <c r="B44" s="206" t="s">
        <v>504</v>
      </c>
      <c r="C44" s="211" t="s">
        <v>505</v>
      </c>
      <c r="D44" s="208" t="s">
        <v>506</v>
      </c>
      <c r="E44" s="211" t="s">
        <v>262</v>
      </c>
      <c r="F44" s="211"/>
      <c r="G44" s="211" t="s">
        <v>324</v>
      </c>
      <c r="H44" s="211" t="s">
        <v>25</v>
      </c>
      <c r="I44" s="212" t="str">
        <f>IFERROR(VLOOKUP(H44,名称!A:C,2,0),"")</f>
        <v>校车巴士</v>
      </c>
      <c r="J44" s="213">
        <v>4200</v>
      </c>
      <c r="K44" s="213">
        <f>VLOOKUP(H44,名称!A:D,4,0)</f>
        <v>4</v>
      </c>
      <c r="L44" s="214">
        <f t="shared" si="5"/>
        <v>1050</v>
      </c>
      <c r="M44" s="215">
        <v>46174</v>
      </c>
      <c r="N44" s="215">
        <v>46203</v>
      </c>
      <c r="O44" s="246" t="s">
        <v>540</v>
      </c>
      <c r="P44" s="205" t="s">
        <v>428</v>
      </c>
      <c r="Q44" s="211"/>
      <c r="R44" s="224"/>
      <c r="S44" s="208" t="s">
        <v>541</v>
      </c>
      <c r="T44" s="211" t="s">
        <v>542</v>
      </c>
      <c r="U44" s="244" t="s">
        <v>543</v>
      </c>
      <c r="V44" s="216"/>
      <c r="W44" s="244" t="s">
        <v>544</v>
      </c>
      <c r="X44" s="211"/>
      <c r="Y44" s="211"/>
      <c r="Z44" s="217">
        <v>4.42</v>
      </c>
      <c r="AA44" s="218">
        <f t="shared" si="6"/>
        <v>18564</v>
      </c>
      <c r="AB44" s="218">
        <f t="shared" si="7"/>
        <v>143871</v>
      </c>
      <c r="AC44" s="219"/>
      <c r="AD44" s="211" t="s">
        <v>434</v>
      </c>
      <c r="AE44" s="211" t="str">
        <f>IFERROR(VLOOKUP(H44,名称!A:C,3,0),"")</f>
        <v>CMW</v>
      </c>
      <c r="AF44" s="211" t="str">
        <f t="shared" si="8"/>
        <v>A LIUSIE GENERAL TRADING LLC</v>
      </c>
      <c r="AG44" s="211" t="str">
        <f t="shared" si="9"/>
        <v>阿拉伯</v>
      </c>
    </row>
    <row r="45" s="168" customFormat="1" customHeight="1" spans="1:33">
      <c r="A45" s="205">
        <v>46113</v>
      </c>
      <c r="B45" s="206" t="s">
        <v>515</v>
      </c>
      <c r="C45" s="211" t="s">
        <v>516</v>
      </c>
      <c r="D45" s="208" t="s">
        <v>506</v>
      </c>
      <c r="E45" s="211" t="s">
        <v>259</v>
      </c>
      <c r="F45" s="211"/>
      <c r="G45" s="211" t="s">
        <v>328</v>
      </c>
      <c r="H45" s="211" t="s">
        <v>25</v>
      </c>
      <c r="I45" s="212" t="str">
        <f>IFERROR(VLOOKUP(H45,名称!A:C,2,0),"")</f>
        <v>校车巴士</v>
      </c>
      <c r="J45" s="213">
        <v>120</v>
      </c>
      <c r="K45" s="213">
        <f>VLOOKUP(H45,名称!A:D,4,0)</f>
        <v>4</v>
      </c>
      <c r="L45" s="214">
        <f t="shared" si="5"/>
        <v>30</v>
      </c>
      <c r="M45" s="215">
        <v>46174</v>
      </c>
      <c r="N45" s="215">
        <v>46203</v>
      </c>
      <c r="O45" s="246" t="s">
        <v>517</v>
      </c>
      <c r="P45" s="205" t="s">
        <v>428</v>
      </c>
      <c r="Q45" s="243" t="s">
        <v>450</v>
      </c>
      <c r="R45" s="224"/>
      <c r="S45" s="208" t="s">
        <v>541</v>
      </c>
      <c r="T45" s="208" t="s">
        <v>431</v>
      </c>
      <c r="U45" s="244" t="s">
        <v>431</v>
      </c>
      <c r="V45" s="216"/>
      <c r="W45" s="244" t="s">
        <v>255</v>
      </c>
      <c r="X45" s="211"/>
      <c r="Y45" s="211"/>
      <c r="Z45" s="217">
        <v>4.42</v>
      </c>
      <c r="AA45" s="218">
        <f t="shared" si="6"/>
        <v>530.4</v>
      </c>
      <c r="AB45" s="218">
        <f t="shared" si="7"/>
        <v>4110.6</v>
      </c>
      <c r="AC45" s="219"/>
      <c r="AD45" s="211" t="s">
        <v>434</v>
      </c>
      <c r="AE45" s="211" t="str">
        <f>IFERROR(VLOOKUP(H45,名称!A:C,3,0),"")</f>
        <v>CMW</v>
      </c>
      <c r="AF45" s="211" t="str">
        <f t="shared" si="8"/>
        <v>ARABIAN AL EKHA INTL FOR TRADE AND 
COMM.</v>
      </c>
      <c r="AG45" s="211" t="str">
        <f t="shared" si="9"/>
        <v>约旦</v>
      </c>
    </row>
    <row r="46" s="191" customFormat="1" customHeight="1" spans="1:33">
      <c r="A46" s="74">
        <v>46115</v>
      </c>
      <c r="B46" s="181" t="s">
        <v>545</v>
      </c>
      <c r="C46" s="172" t="s">
        <v>546</v>
      </c>
      <c r="D46" s="173" t="s">
        <v>449</v>
      </c>
      <c r="E46" s="172" t="s">
        <v>259</v>
      </c>
      <c r="F46" s="172"/>
      <c r="G46" s="172" t="s">
        <v>356</v>
      </c>
      <c r="H46" s="172" t="s">
        <v>25</v>
      </c>
      <c r="I46" s="221" t="str">
        <f>IFERROR(VLOOKUP(H46,名称!A:C,2,0),"")</f>
        <v>校车巴士</v>
      </c>
      <c r="J46" s="175">
        <v>1000</v>
      </c>
      <c r="K46" s="175">
        <f>VLOOKUP(H46,名称!A:D,4,0)</f>
        <v>4</v>
      </c>
      <c r="L46" s="203">
        <f t="shared" si="5"/>
        <v>250</v>
      </c>
      <c r="M46" s="183">
        <v>46266</v>
      </c>
      <c r="N46" s="183">
        <v>46266</v>
      </c>
      <c r="O46" s="254"/>
      <c r="P46" s="74" t="s">
        <v>428</v>
      </c>
      <c r="Q46" s="172"/>
      <c r="R46" s="180"/>
      <c r="S46" s="245" t="s">
        <v>547</v>
      </c>
      <c r="T46" s="173" t="s">
        <v>431</v>
      </c>
      <c r="U46" s="226" t="s">
        <v>548</v>
      </c>
      <c r="V46" s="223"/>
      <c r="W46" s="226" t="s">
        <v>549</v>
      </c>
      <c r="X46" s="172"/>
      <c r="Y46" s="172" t="s">
        <v>550</v>
      </c>
      <c r="Z46" s="186">
        <v>4.42</v>
      </c>
      <c r="AA46" s="187">
        <f t="shared" si="6"/>
        <v>4420</v>
      </c>
      <c r="AB46" s="187">
        <f t="shared" si="7"/>
        <v>34255</v>
      </c>
      <c r="AC46" s="101"/>
      <c r="AD46" s="172" t="s">
        <v>434</v>
      </c>
      <c r="AE46" s="172" t="str">
        <f>IFERROR(VLOOKUP(H46,名称!A:C,3,0),"")</f>
        <v>CMW</v>
      </c>
      <c r="AF46" s="172" t="str">
        <f t="shared" si="8"/>
        <v>GETTER GROUP LTD.</v>
      </c>
      <c r="AG46" s="172" t="str">
        <f t="shared" si="9"/>
        <v>以色列</v>
      </c>
    </row>
    <row r="47" s="168" customFormat="1" customHeight="1" spans="1:33">
      <c r="A47" s="74">
        <v>46115</v>
      </c>
      <c r="B47" s="181" t="s">
        <v>545</v>
      </c>
      <c r="C47" s="172" t="s">
        <v>546</v>
      </c>
      <c r="D47" s="173" t="s">
        <v>449</v>
      </c>
      <c r="E47" s="172" t="s">
        <v>259</v>
      </c>
      <c r="F47" s="172"/>
      <c r="G47" s="172" t="s">
        <v>356</v>
      </c>
      <c r="H47" s="172" t="s">
        <v>70</v>
      </c>
      <c r="I47" s="221" t="str">
        <f>IFERROR(VLOOKUP(H47,名称!A:C,2,0),"")</f>
        <v>跳舞公仔</v>
      </c>
      <c r="J47" s="175">
        <v>300</v>
      </c>
      <c r="K47" s="175">
        <f>VLOOKUP(H47,名称!A:D,4,0)</f>
        <v>4</v>
      </c>
      <c r="L47" s="203">
        <f t="shared" si="5"/>
        <v>75</v>
      </c>
      <c r="M47" s="183">
        <v>46266</v>
      </c>
      <c r="N47" s="183">
        <v>46266</v>
      </c>
      <c r="O47" s="254"/>
      <c r="P47" s="74" t="s">
        <v>428</v>
      </c>
      <c r="Q47" s="172"/>
      <c r="R47" s="180"/>
      <c r="S47" s="245" t="s">
        <v>547</v>
      </c>
      <c r="T47" s="173" t="s">
        <v>431</v>
      </c>
      <c r="U47" s="226" t="s">
        <v>548</v>
      </c>
      <c r="V47" s="223"/>
      <c r="W47" s="180" t="s">
        <v>323</v>
      </c>
      <c r="X47" s="172"/>
      <c r="Y47" s="172" t="s">
        <v>550</v>
      </c>
      <c r="Z47" s="186">
        <v>13.42</v>
      </c>
      <c r="AA47" s="187">
        <f t="shared" si="6"/>
        <v>4026</v>
      </c>
      <c r="AB47" s="187">
        <f t="shared" si="7"/>
        <v>31201.5</v>
      </c>
      <c r="AC47" s="101"/>
      <c r="AD47" s="172" t="s">
        <v>434</v>
      </c>
      <c r="AE47" s="172" t="str">
        <f>IFERROR(VLOOKUP(H47,名称!A:C,3,0),"")</f>
        <v>CMW</v>
      </c>
      <c r="AF47" s="172" t="str">
        <f t="shared" si="8"/>
        <v>GETTER GROUP LTD.</v>
      </c>
      <c r="AG47" s="172" t="str">
        <f t="shared" si="9"/>
        <v>以色列</v>
      </c>
    </row>
    <row r="48" s="192" customFormat="1" customHeight="1" spans="1:33">
      <c r="A48" s="159">
        <v>46115</v>
      </c>
      <c r="B48" s="234" t="s">
        <v>545</v>
      </c>
      <c r="C48" s="156" t="s">
        <v>546</v>
      </c>
      <c r="D48" s="161" t="s">
        <v>449</v>
      </c>
      <c r="E48" s="156" t="s">
        <v>259</v>
      </c>
      <c r="F48" s="156"/>
      <c r="G48" s="156" t="s">
        <v>355</v>
      </c>
      <c r="H48" s="156" t="s">
        <v>25</v>
      </c>
      <c r="I48" s="235" t="str">
        <f>IFERROR(VLOOKUP(H48,名称!A:C,2,0),"")</f>
        <v>校车巴士</v>
      </c>
      <c r="J48" s="236">
        <v>2000</v>
      </c>
      <c r="K48" s="236">
        <f>VLOOKUP(H48,名称!A:D,4,0)</f>
        <v>4</v>
      </c>
      <c r="L48" s="237">
        <f t="shared" si="5"/>
        <v>500</v>
      </c>
      <c r="M48" s="157">
        <v>46174</v>
      </c>
      <c r="N48" s="157">
        <v>46203</v>
      </c>
      <c r="O48" s="238" t="s">
        <v>551</v>
      </c>
      <c r="P48" s="159" t="s">
        <v>428</v>
      </c>
      <c r="Q48" s="160" t="s">
        <v>552</v>
      </c>
      <c r="R48" s="162"/>
      <c r="S48" s="240" t="s">
        <v>547</v>
      </c>
      <c r="T48" s="161" t="s">
        <v>431</v>
      </c>
      <c r="U48" s="239" t="s">
        <v>548</v>
      </c>
      <c r="V48" s="241"/>
      <c r="W48" s="239" t="s">
        <v>553</v>
      </c>
      <c r="X48" s="156"/>
      <c r="Y48" s="156" t="s">
        <v>550</v>
      </c>
      <c r="Z48" s="250">
        <v>4.42</v>
      </c>
      <c r="AA48" s="251">
        <f t="shared" si="6"/>
        <v>8840</v>
      </c>
      <c r="AB48" s="251">
        <f t="shared" si="7"/>
        <v>68510</v>
      </c>
      <c r="AC48" s="252"/>
      <c r="AD48" s="156" t="s">
        <v>434</v>
      </c>
      <c r="AE48" s="156" t="str">
        <f>IFERROR(VLOOKUP(H48,名称!A:C,3,0),"")</f>
        <v>CMW</v>
      </c>
      <c r="AF48" s="156" t="str">
        <f t="shared" si="8"/>
        <v>GETTER GROUP LTD.</v>
      </c>
      <c r="AG48" s="156" t="str">
        <f t="shared" si="9"/>
        <v>以色列</v>
      </c>
    </row>
    <row r="49" s="192" customFormat="1" customHeight="1" spans="1:33">
      <c r="A49" s="159">
        <v>46115</v>
      </c>
      <c r="B49" s="234" t="s">
        <v>545</v>
      </c>
      <c r="C49" s="156" t="s">
        <v>546</v>
      </c>
      <c r="D49" s="161" t="s">
        <v>449</v>
      </c>
      <c r="E49" s="156" t="s">
        <v>259</v>
      </c>
      <c r="F49" s="156"/>
      <c r="G49" s="156" t="s">
        <v>355</v>
      </c>
      <c r="H49" s="156" t="s">
        <v>88</v>
      </c>
      <c r="I49" s="235">
        <f>IFERROR(VLOOKUP(H49,名称!A:C,2,0),"")</f>
        <v>0</v>
      </c>
      <c r="J49" s="236">
        <v>300</v>
      </c>
      <c r="K49" s="236">
        <f>VLOOKUP(H49,名称!A:D,4,0)</f>
        <v>6</v>
      </c>
      <c r="L49" s="237">
        <f t="shared" si="5"/>
        <v>50</v>
      </c>
      <c r="M49" s="157">
        <v>46174</v>
      </c>
      <c r="N49" s="157">
        <v>46203</v>
      </c>
      <c r="O49" s="238" t="s">
        <v>551</v>
      </c>
      <c r="P49" s="159" t="s">
        <v>428</v>
      </c>
      <c r="Q49" s="160" t="s">
        <v>552</v>
      </c>
      <c r="R49" s="162"/>
      <c r="S49" s="256" t="s">
        <v>547</v>
      </c>
      <c r="T49" s="161" t="s">
        <v>431</v>
      </c>
      <c r="U49" s="239" t="s">
        <v>548</v>
      </c>
      <c r="V49" s="241"/>
      <c r="W49" s="162" t="s">
        <v>323</v>
      </c>
      <c r="X49" s="156"/>
      <c r="Y49" s="156"/>
      <c r="Z49" s="250">
        <v>3.27</v>
      </c>
      <c r="AA49" s="251">
        <f t="shared" si="6"/>
        <v>981</v>
      </c>
      <c r="AB49" s="251">
        <f t="shared" si="7"/>
        <v>7602.75</v>
      </c>
      <c r="AC49" s="252"/>
      <c r="AD49" s="156" t="s">
        <v>463</v>
      </c>
      <c r="AE49" s="156" t="str">
        <f>IFERROR(VLOOKUP(H49,名称!A:C,3,0),"")</f>
        <v>CMW</v>
      </c>
      <c r="AF49" s="156" t="str">
        <f t="shared" si="8"/>
        <v>GETTER GROUP LTD.</v>
      </c>
      <c r="AG49" s="156" t="str">
        <f t="shared" si="9"/>
        <v>以色列</v>
      </c>
    </row>
    <row r="50" s="168" customFormat="1" customHeight="1" spans="1:33">
      <c r="A50" s="74">
        <v>46115</v>
      </c>
      <c r="B50" s="181" t="s">
        <v>545</v>
      </c>
      <c r="C50" s="172" t="s">
        <v>546</v>
      </c>
      <c r="D50" s="173" t="s">
        <v>449</v>
      </c>
      <c r="E50" s="172" t="s">
        <v>259</v>
      </c>
      <c r="F50" s="172"/>
      <c r="G50" s="172" t="s">
        <v>356</v>
      </c>
      <c r="H50" s="172" t="s">
        <v>88</v>
      </c>
      <c r="I50" s="221">
        <f>IFERROR(VLOOKUP(H50,名称!A:C,2,0),"")</f>
        <v>0</v>
      </c>
      <c r="J50" s="175">
        <v>300</v>
      </c>
      <c r="K50" s="175">
        <f>VLOOKUP(H50,名称!A:D,4,0)</f>
        <v>6</v>
      </c>
      <c r="L50" s="203">
        <f t="shared" si="5"/>
        <v>50</v>
      </c>
      <c r="M50" s="183">
        <v>46266</v>
      </c>
      <c r="N50" s="183">
        <v>46266</v>
      </c>
      <c r="O50" s="254"/>
      <c r="P50" s="74" t="s">
        <v>428</v>
      </c>
      <c r="Q50" s="172"/>
      <c r="R50" s="180"/>
      <c r="S50" s="245" t="s">
        <v>547</v>
      </c>
      <c r="T50" s="173" t="s">
        <v>431</v>
      </c>
      <c r="U50" s="226" t="s">
        <v>548</v>
      </c>
      <c r="V50" s="223"/>
      <c r="W50" s="180" t="s">
        <v>323</v>
      </c>
      <c r="X50" s="172"/>
      <c r="Y50" s="172"/>
      <c r="Z50" s="186">
        <v>3.27</v>
      </c>
      <c r="AA50" s="187">
        <f t="shared" si="6"/>
        <v>981</v>
      </c>
      <c r="AB50" s="187">
        <f t="shared" si="7"/>
        <v>7602.75</v>
      </c>
      <c r="AC50" s="101"/>
      <c r="AD50" s="172" t="s">
        <v>463</v>
      </c>
      <c r="AE50" s="172" t="str">
        <f>IFERROR(VLOOKUP(H50,名称!A:C,3,0),"")</f>
        <v>CMW</v>
      </c>
      <c r="AF50" s="172" t="str">
        <f t="shared" si="8"/>
        <v>GETTER GROUP LTD.</v>
      </c>
      <c r="AG50" s="172" t="str">
        <f t="shared" si="9"/>
        <v>以色列</v>
      </c>
    </row>
    <row r="51" s="168" customFormat="1" customHeight="1" spans="1:33">
      <c r="A51" s="257">
        <v>46191</v>
      </c>
      <c r="B51" s="258" t="s">
        <v>554</v>
      </c>
      <c r="C51" s="227" t="s">
        <v>448</v>
      </c>
      <c r="D51" s="245" t="s">
        <v>506</v>
      </c>
      <c r="E51" s="227" t="s">
        <v>262</v>
      </c>
      <c r="F51" s="172" t="s">
        <v>344</v>
      </c>
      <c r="G51" s="227" t="s">
        <v>389</v>
      </c>
      <c r="H51" s="172" t="s">
        <v>129</v>
      </c>
      <c r="I51" s="174" t="str">
        <f>IFERROR(VLOOKUP(H51,名称!A:C,2,0),"")</f>
        <v>混装配比K</v>
      </c>
      <c r="J51" s="175">
        <v>4854</v>
      </c>
      <c r="K51" s="175">
        <f>VLOOKUP(H51,名称!A:D,4,0)</f>
        <v>6</v>
      </c>
      <c r="L51" s="203">
        <f t="shared" si="5"/>
        <v>809</v>
      </c>
      <c r="M51" s="183">
        <v>46188</v>
      </c>
      <c r="N51" s="259">
        <v>46269</v>
      </c>
      <c r="O51" s="260" t="s">
        <v>555</v>
      </c>
      <c r="P51" s="74" t="s">
        <v>428</v>
      </c>
      <c r="Q51" s="172"/>
      <c r="R51" s="172"/>
      <c r="S51" s="173" t="s">
        <v>556</v>
      </c>
      <c r="T51" s="173" t="s">
        <v>431</v>
      </c>
      <c r="U51" s="172"/>
      <c r="V51" s="172" t="s">
        <v>471</v>
      </c>
      <c r="W51" s="172" t="s">
        <v>258</v>
      </c>
      <c r="X51" s="227" t="s">
        <v>557</v>
      </c>
      <c r="Y51" s="172" t="s">
        <v>558</v>
      </c>
      <c r="Z51" s="186">
        <v>2.283</v>
      </c>
      <c r="AA51" s="187">
        <f t="shared" si="6"/>
        <v>11081.68</v>
      </c>
      <c r="AB51" s="187">
        <f t="shared" si="7"/>
        <v>85883.02</v>
      </c>
      <c r="AC51" s="101"/>
      <c r="AD51" s="261" t="s">
        <v>463</v>
      </c>
      <c r="AE51" s="172" t="str">
        <f>IFERROR(VLOOKUP(H51,名称!A:C,3,0),"")</f>
        <v>FNT</v>
      </c>
      <c r="AF51" s="261" t="str">
        <f t="shared" si="8"/>
        <v>3144976 Canada Inc</v>
      </c>
      <c r="AG51" s="261" t="str">
        <f t="shared" si="9"/>
        <v>加拿大</v>
      </c>
    </row>
    <row r="52" s="191" customFormat="1" customHeight="1" spans="1:33">
      <c r="A52" s="257">
        <v>46191</v>
      </c>
      <c r="B52" s="262" t="s">
        <v>554</v>
      </c>
      <c r="C52" s="226" t="s">
        <v>448</v>
      </c>
      <c r="D52" s="245" t="s">
        <v>506</v>
      </c>
      <c r="E52" s="226" t="s">
        <v>262</v>
      </c>
      <c r="F52" s="263" t="s">
        <v>321</v>
      </c>
      <c r="G52" s="226" t="s">
        <v>389</v>
      </c>
      <c r="H52" s="14" t="s">
        <v>127</v>
      </c>
      <c r="I52" s="174" t="str">
        <f>IFERROR(VLOOKUP(H52,名称!A:C,2,0),"")</f>
        <v>混装配比I</v>
      </c>
      <c r="J52" s="171">
        <v>1146</v>
      </c>
      <c r="K52" s="175">
        <f>VLOOKUP(H52,名称!A:D,4,0)</f>
        <v>6</v>
      </c>
      <c r="L52" s="203">
        <f t="shared" si="5"/>
        <v>191</v>
      </c>
      <c r="M52" s="254">
        <v>46188</v>
      </c>
      <c r="N52" s="259">
        <v>46269</v>
      </c>
      <c r="O52" s="260" t="s">
        <v>555</v>
      </c>
      <c r="P52" s="74" t="s">
        <v>428</v>
      </c>
      <c r="Q52" s="14"/>
      <c r="R52" s="14"/>
      <c r="S52" s="173" t="s">
        <v>556</v>
      </c>
      <c r="T52" s="173" t="s">
        <v>431</v>
      </c>
      <c r="U52" s="14"/>
      <c r="V52" s="172" t="s">
        <v>471</v>
      </c>
      <c r="W52" s="172" t="s">
        <v>559</v>
      </c>
      <c r="X52" s="227" t="s">
        <v>557</v>
      </c>
      <c r="Y52" s="172" t="s">
        <v>474</v>
      </c>
      <c r="Z52" s="71">
        <v>2.315</v>
      </c>
      <c r="AA52" s="72">
        <f t="shared" si="6"/>
        <v>2652.99</v>
      </c>
      <c r="AB52" s="72">
        <f t="shared" si="7"/>
        <v>20560.67</v>
      </c>
      <c r="AC52" s="178"/>
      <c r="AD52" s="227" t="s">
        <v>434</v>
      </c>
      <c r="AE52" s="172" t="str">
        <f>IFERROR(VLOOKUP(H52,名称!A:C,3,0),"")</f>
        <v>FNT</v>
      </c>
      <c r="AF52" s="227" t="str">
        <f t="shared" si="8"/>
        <v>3144976 Canada Inc</v>
      </c>
      <c r="AG52" s="227" t="str">
        <f t="shared" si="9"/>
        <v>加拿大</v>
      </c>
    </row>
    <row r="53" s="191" customFormat="1" customHeight="1" spans="1:33">
      <c r="A53" s="74">
        <v>46191</v>
      </c>
      <c r="B53" s="258" t="s">
        <v>560</v>
      </c>
      <c r="C53" s="227" t="s">
        <v>546</v>
      </c>
      <c r="D53" s="225" t="s">
        <v>506</v>
      </c>
      <c r="E53" s="227" t="s">
        <v>259</v>
      </c>
      <c r="F53" s="172" t="s">
        <v>344</v>
      </c>
      <c r="G53" s="227" t="s">
        <v>388</v>
      </c>
      <c r="H53" s="172" t="s">
        <v>129</v>
      </c>
      <c r="I53" s="174" t="str">
        <f>IFERROR(VLOOKUP(H53,名称!A:C,2,0),"")</f>
        <v>混装配比K</v>
      </c>
      <c r="J53" s="175">
        <v>900</v>
      </c>
      <c r="K53" s="175">
        <f>VLOOKUP(H53,名称!A:D,4,0)</f>
        <v>6</v>
      </c>
      <c r="L53" s="203">
        <f t="shared" si="5"/>
        <v>150</v>
      </c>
      <c r="M53" s="183">
        <v>46188</v>
      </c>
      <c r="N53" s="56">
        <v>46276</v>
      </c>
      <c r="O53" s="264" t="s">
        <v>561</v>
      </c>
      <c r="P53" s="74" t="s">
        <v>428</v>
      </c>
      <c r="Q53" s="172"/>
      <c r="R53" s="172"/>
      <c r="S53" s="173" t="s">
        <v>556</v>
      </c>
      <c r="T53" s="173" t="s">
        <v>431</v>
      </c>
      <c r="U53" s="227" t="s">
        <v>462</v>
      </c>
      <c r="V53" s="172" t="s">
        <v>471</v>
      </c>
      <c r="W53" s="172" t="s">
        <v>258</v>
      </c>
      <c r="X53" s="227" t="s">
        <v>536</v>
      </c>
      <c r="Y53" s="172" t="s">
        <v>558</v>
      </c>
      <c r="Z53" s="186">
        <v>2.283</v>
      </c>
      <c r="AA53" s="187">
        <f t="shared" si="6"/>
        <v>2054.7</v>
      </c>
      <c r="AB53" s="187">
        <f t="shared" si="7"/>
        <v>15923.93</v>
      </c>
      <c r="AC53" s="101"/>
      <c r="AD53" s="261" t="s">
        <v>463</v>
      </c>
      <c r="AE53" s="172" t="str">
        <f>IFERROR(VLOOKUP(H53,名称!A:C,3,0),"")</f>
        <v>FNT</v>
      </c>
      <c r="AF53" s="261" t="str">
        <f t="shared" si="8"/>
        <v>BIZI TOP LTD</v>
      </c>
      <c r="AG53" s="261" t="str">
        <f t="shared" si="9"/>
        <v>以色列</v>
      </c>
    </row>
    <row r="54" s="168" customFormat="1" customHeight="1" spans="1:33">
      <c r="A54" s="205">
        <v>46121</v>
      </c>
      <c r="B54" s="206" t="s">
        <v>545</v>
      </c>
      <c r="C54" s="211" t="s">
        <v>546</v>
      </c>
      <c r="D54" s="208" t="s">
        <v>449</v>
      </c>
      <c r="E54" s="211" t="s">
        <v>246</v>
      </c>
      <c r="F54" s="211" t="s">
        <v>274</v>
      </c>
      <c r="G54" s="211" t="s">
        <v>359</v>
      </c>
      <c r="H54" s="211" t="s">
        <v>205</v>
      </c>
      <c r="I54" s="212" t="str">
        <f>IFERROR(VLOOKUP(H54,名称!A:C,2,0),"")</f>
        <v>蜘蛛侠喷水公仔5只装</v>
      </c>
      <c r="J54" s="213">
        <v>501</v>
      </c>
      <c r="K54" s="213">
        <f>VLOOKUP(H54,名称!A:D,4,0)</f>
        <v>3</v>
      </c>
      <c r="L54" s="214">
        <f t="shared" si="5"/>
        <v>167</v>
      </c>
      <c r="M54" s="215">
        <v>46136</v>
      </c>
      <c r="N54" s="215">
        <v>46218</v>
      </c>
      <c r="O54" s="242" t="s">
        <v>562</v>
      </c>
      <c r="P54" s="205" t="s">
        <v>428</v>
      </c>
      <c r="Q54" s="243" t="s">
        <v>429</v>
      </c>
      <c r="R54" s="211" t="s">
        <v>563</v>
      </c>
      <c r="S54" s="255" t="s">
        <v>547</v>
      </c>
      <c r="T54" s="208" t="s">
        <v>431</v>
      </c>
      <c r="U54" s="244" t="s">
        <v>548</v>
      </c>
      <c r="V54" s="216"/>
      <c r="W54" s="224" t="s">
        <v>255</v>
      </c>
      <c r="X54" s="224"/>
      <c r="Y54" s="211"/>
      <c r="Z54" s="217">
        <v>3.64</v>
      </c>
      <c r="AA54" s="218">
        <f t="shared" si="6"/>
        <v>1823.64</v>
      </c>
      <c r="AB54" s="218">
        <f t="shared" si="7"/>
        <v>14133.21</v>
      </c>
      <c r="AC54" s="219"/>
      <c r="AD54" s="211" t="s">
        <v>434</v>
      </c>
      <c r="AE54" s="211" t="str">
        <f>IFERROR(VLOOKUP(H54,名称!A:C,3,0),"")</f>
        <v>SNF</v>
      </c>
      <c r="AF54" s="211" t="str">
        <f t="shared" si="8"/>
        <v>GETTER GROUP LTD.</v>
      </c>
      <c r="AG54" s="211" t="str">
        <f t="shared" si="9"/>
        <v>以色列</v>
      </c>
    </row>
    <row r="55" s="168" customFormat="1" customHeight="1" spans="1:33">
      <c r="A55" s="254">
        <v>46196</v>
      </c>
      <c r="B55" s="262" t="s">
        <v>564</v>
      </c>
      <c r="C55" s="226" t="s">
        <v>565</v>
      </c>
      <c r="D55" s="245" t="s">
        <v>506</v>
      </c>
      <c r="E55" s="180" t="s">
        <v>246</v>
      </c>
      <c r="F55" s="180" t="s">
        <v>344</v>
      </c>
      <c r="G55" s="226" t="s">
        <v>390</v>
      </c>
      <c r="H55" s="172" t="s">
        <v>129</v>
      </c>
      <c r="I55" s="174" t="str">
        <f>IFERROR(VLOOKUP(H55,名称!A:C,2,0),"")</f>
        <v>混装配比K</v>
      </c>
      <c r="J55" s="175">
        <v>912</v>
      </c>
      <c r="K55" s="175">
        <f>VLOOKUP(H55,名称!A:D,4,0)</f>
        <v>6</v>
      </c>
      <c r="L55" s="203">
        <f t="shared" si="5"/>
        <v>152</v>
      </c>
      <c r="M55" s="254">
        <v>46237</v>
      </c>
      <c r="N55" s="179">
        <v>46276</v>
      </c>
      <c r="O55" s="264" t="s">
        <v>566</v>
      </c>
      <c r="P55" s="74" t="s">
        <v>428</v>
      </c>
      <c r="Q55" s="172"/>
      <c r="R55" s="172"/>
      <c r="S55" s="173" t="s">
        <v>556</v>
      </c>
      <c r="T55" s="173" t="s">
        <v>431</v>
      </c>
      <c r="U55" s="172"/>
      <c r="V55" s="172" t="s">
        <v>471</v>
      </c>
      <c r="W55" s="172" t="s">
        <v>258</v>
      </c>
      <c r="X55" s="227" t="s">
        <v>557</v>
      </c>
      <c r="Y55" s="172" t="s">
        <v>558</v>
      </c>
      <c r="Z55" s="186">
        <v>2.298</v>
      </c>
      <c r="AA55" s="187">
        <f t="shared" si="6"/>
        <v>2095.78</v>
      </c>
      <c r="AB55" s="187">
        <f t="shared" si="7"/>
        <v>16242.3</v>
      </c>
      <c r="AC55" s="101"/>
      <c r="AD55" s="180" t="s">
        <v>463</v>
      </c>
      <c r="AE55" s="172" t="str">
        <f>IFERROR(VLOOKUP(H55,名称!A:C,3,0),"")</f>
        <v>FNT</v>
      </c>
      <c r="AF55" s="265" t="str">
        <f t="shared" si="8"/>
        <v>PEAK TOYS DISTRIBUTION</v>
      </c>
      <c r="AG55" s="265" t="str">
        <f t="shared" si="9"/>
        <v>罗马尼亚</v>
      </c>
    </row>
    <row r="56" s="168" customFormat="1" customHeight="1" spans="1:33">
      <c r="A56" s="74">
        <v>46199</v>
      </c>
      <c r="B56" s="258" t="s">
        <v>567</v>
      </c>
      <c r="C56" s="227" t="s">
        <v>568</v>
      </c>
      <c r="D56" s="225" t="s">
        <v>492</v>
      </c>
      <c r="E56" s="227" t="s">
        <v>262</v>
      </c>
      <c r="F56" s="172" t="s">
        <v>344</v>
      </c>
      <c r="G56" s="227" t="s">
        <v>391</v>
      </c>
      <c r="H56" s="172" t="s">
        <v>129</v>
      </c>
      <c r="I56" s="174" t="str">
        <f>IFERROR(VLOOKUP(H56,名称!A:C,2,0),"")</f>
        <v>混装配比K</v>
      </c>
      <c r="J56" s="175">
        <v>3600</v>
      </c>
      <c r="K56" s="175">
        <f>VLOOKUP(H56,名称!A:D,4,0)</f>
        <v>6</v>
      </c>
      <c r="L56" s="172">
        <f t="shared" si="5"/>
        <v>600</v>
      </c>
      <c r="M56" s="254">
        <v>46237</v>
      </c>
      <c r="N56" s="56">
        <v>46287</v>
      </c>
      <c r="O56" s="183"/>
      <c r="P56" s="74" t="s">
        <v>428</v>
      </c>
      <c r="Q56" s="172"/>
      <c r="R56" s="172"/>
      <c r="S56" s="173" t="s">
        <v>556</v>
      </c>
      <c r="T56" s="173" t="s">
        <v>431</v>
      </c>
      <c r="U56" s="172"/>
      <c r="V56" s="172" t="s">
        <v>471</v>
      </c>
      <c r="W56" s="172" t="s">
        <v>258</v>
      </c>
      <c r="X56" s="226" t="s">
        <v>557</v>
      </c>
      <c r="Y56" s="172" t="s">
        <v>558</v>
      </c>
      <c r="Z56" s="266">
        <v>2.298</v>
      </c>
      <c r="AA56" s="187">
        <f t="shared" si="6"/>
        <v>8272.8</v>
      </c>
      <c r="AB56" s="187">
        <f t="shared" si="7"/>
        <v>64114.2</v>
      </c>
      <c r="AC56" s="101"/>
      <c r="AD56" s="180" t="s">
        <v>463</v>
      </c>
      <c r="AE56" s="172" t="str">
        <f>IFERROR(VLOOKUP(H56,名称!A:C,3,0),"")</f>
        <v>FNT</v>
      </c>
      <c r="AF56" s="265" t="str">
        <f t="shared" si="8"/>
        <v>TERRA TOYS</v>
      </c>
      <c r="AG56" s="265" t="str">
        <f t="shared" si="9"/>
        <v>哈萨克斯坦</v>
      </c>
    </row>
    <row r="57" s="168" customFormat="1" customHeight="1" spans="1:33">
      <c r="A57" s="257">
        <v>46213</v>
      </c>
      <c r="B57" s="262" t="s">
        <v>569</v>
      </c>
      <c r="C57" s="226" t="s">
        <v>570</v>
      </c>
      <c r="D57" s="245" t="s">
        <v>521</v>
      </c>
      <c r="E57" s="180" t="s">
        <v>246</v>
      </c>
      <c r="F57" s="180" t="s">
        <v>380</v>
      </c>
      <c r="G57" s="226" t="s">
        <v>392</v>
      </c>
      <c r="H57" s="180" t="s">
        <v>149</v>
      </c>
      <c r="I57" s="267">
        <f>IFERROR(VLOOKUP(H57,名称!A:C,2,0),"")</f>
        <v>0</v>
      </c>
      <c r="J57" s="268">
        <v>504</v>
      </c>
      <c r="K57" s="268">
        <f>VLOOKUP(H57,名称!A:D,4,0)</f>
        <v>6</v>
      </c>
      <c r="L57" s="269">
        <f t="shared" si="5"/>
        <v>84</v>
      </c>
      <c r="M57" s="229">
        <v>46235</v>
      </c>
      <c r="N57" s="254">
        <v>46260</v>
      </c>
      <c r="O57" s="254"/>
      <c r="P57" s="257" t="s">
        <v>428</v>
      </c>
      <c r="Q57" s="180"/>
      <c r="R57" s="232" t="s">
        <v>571</v>
      </c>
      <c r="S57" s="228" t="s">
        <v>556</v>
      </c>
      <c r="T57" s="228" t="s">
        <v>431</v>
      </c>
      <c r="U57" s="180"/>
      <c r="V57" s="233"/>
      <c r="W57" s="180" t="s">
        <v>258</v>
      </c>
      <c r="X57" s="232" t="s">
        <v>572</v>
      </c>
      <c r="Y57" s="180" t="s">
        <v>573</v>
      </c>
      <c r="Z57" s="266">
        <v>3.883</v>
      </c>
      <c r="AA57" s="270">
        <f t="shared" si="6"/>
        <v>1957.03</v>
      </c>
      <c r="AB57" s="270">
        <f t="shared" si="7"/>
        <v>15166.98</v>
      </c>
      <c r="AC57" s="271"/>
      <c r="AD57" s="180" t="s">
        <v>463</v>
      </c>
      <c r="AE57" s="180" t="str">
        <f>IFERROR(VLOOKUP(H57,名称!A:C,3,0),"")</f>
        <v>FNT</v>
      </c>
      <c r="AF57" s="180" t="str">
        <f t="shared" si="8"/>
        <v>MAKI A/S</v>
      </c>
      <c r="AG57" s="180" t="str">
        <f t="shared" si="9"/>
        <v>丹麦</v>
      </c>
    </row>
    <row r="58" s="191" customFormat="1" customHeight="1" spans="1:33">
      <c r="A58" s="257">
        <v>46219</v>
      </c>
      <c r="B58" s="262" t="s">
        <v>574</v>
      </c>
      <c r="C58" s="226" t="s">
        <v>575</v>
      </c>
      <c r="D58" s="245" t="s">
        <v>532</v>
      </c>
      <c r="E58" s="180" t="s">
        <v>246</v>
      </c>
      <c r="F58" s="180" t="s">
        <v>344</v>
      </c>
      <c r="G58" s="226" t="s">
        <v>393</v>
      </c>
      <c r="H58" s="180" t="s">
        <v>129</v>
      </c>
      <c r="I58" s="272" t="str">
        <f>IFERROR(VLOOKUP(H58,名称!A:C,2,0),"")</f>
        <v>混装配比K</v>
      </c>
      <c r="J58" s="268">
        <v>864</v>
      </c>
      <c r="K58" s="268">
        <f>VLOOKUP(H58,名称!A:D,4,0)</f>
        <v>6</v>
      </c>
      <c r="L58" s="180">
        <f t="shared" si="5"/>
        <v>144</v>
      </c>
      <c r="M58" s="254">
        <v>46218</v>
      </c>
      <c r="N58" s="179">
        <v>46269</v>
      </c>
      <c r="O58" s="254"/>
      <c r="P58" s="257" t="s">
        <v>428</v>
      </c>
      <c r="Q58" s="180"/>
      <c r="R58" s="180"/>
      <c r="S58" s="228" t="s">
        <v>556</v>
      </c>
      <c r="T58" s="228" t="s">
        <v>431</v>
      </c>
      <c r="U58" s="180"/>
      <c r="V58" s="180"/>
      <c r="W58" s="180" t="s">
        <v>258</v>
      </c>
      <c r="X58" s="232" t="s">
        <v>576</v>
      </c>
      <c r="Y58" s="180" t="s">
        <v>558</v>
      </c>
      <c r="Z58" s="266">
        <v>2.283</v>
      </c>
      <c r="AA58" s="270">
        <f t="shared" si="6"/>
        <v>1972.51</v>
      </c>
      <c r="AB58" s="270">
        <f t="shared" si="7"/>
        <v>15286.95</v>
      </c>
      <c r="AC58" s="271"/>
      <c r="AD58" s="180"/>
      <c r="AE58" s="180" t="str">
        <f>IFERROR(VLOOKUP(H58,名称!A:C,3,0),"")</f>
        <v>FNT</v>
      </c>
      <c r="AF58" s="179" t="str">
        <f t="shared" si="8"/>
        <v>JAZ MX - DOMESTIC</v>
      </c>
      <c r="AG58" s="180" t="str">
        <f t="shared" si="9"/>
        <v>墨西哥</v>
      </c>
    </row>
    <row r="59" s="168" customFormat="1" customHeight="1" spans="1:33">
      <c r="A59" s="257">
        <v>46220</v>
      </c>
      <c r="B59" s="262" t="s">
        <v>577</v>
      </c>
      <c r="C59" s="226" t="s">
        <v>578</v>
      </c>
      <c r="D59" s="245" t="s">
        <v>532</v>
      </c>
      <c r="E59" s="226" t="s">
        <v>259</v>
      </c>
      <c r="F59" s="263" t="s">
        <v>321</v>
      </c>
      <c r="G59" s="226" t="s">
        <v>394</v>
      </c>
      <c r="H59" s="263" t="s">
        <v>127</v>
      </c>
      <c r="I59" s="272" t="str">
        <f>IFERROR(VLOOKUP(H59,名称!A:C,2,0),"")</f>
        <v>混装配比I</v>
      </c>
      <c r="J59" s="273">
        <v>1200</v>
      </c>
      <c r="K59" s="268">
        <f>VLOOKUP(H59,名称!A:D,4,0)</f>
        <v>6</v>
      </c>
      <c r="L59" s="180">
        <f t="shared" si="5"/>
        <v>200</v>
      </c>
      <c r="M59" s="179">
        <v>46251</v>
      </c>
      <c r="N59" s="179">
        <v>46302</v>
      </c>
      <c r="O59" s="274"/>
      <c r="P59" s="257" t="s">
        <v>428</v>
      </c>
      <c r="Q59" s="263"/>
      <c r="R59" s="263"/>
      <c r="S59" s="228" t="s">
        <v>556</v>
      </c>
      <c r="T59" s="228" t="s">
        <v>431</v>
      </c>
      <c r="U59" s="263"/>
      <c r="V59" s="180"/>
      <c r="W59" s="180" t="s">
        <v>559</v>
      </c>
      <c r="X59" s="232" t="s">
        <v>579</v>
      </c>
      <c r="Y59" s="180" t="s">
        <v>474</v>
      </c>
      <c r="Z59" s="275">
        <v>2.33</v>
      </c>
      <c r="AA59" s="276">
        <f t="shared" si="6"/>
        <v>2796</v>
      </c>
      <c r="AB59" s="276">
        <f t="shared" si="7"/>
        <v>21669</v>
      </c>
      <c r="AC59" s="277"/>
      <c r="AD59" s="263"/>
      <c r="AE59" s="180" t="str">
        <f>IFERROR(VLOOKUP(H59,名称!A:C,3,0),"")</f>
        <v>FNT</v>
      </c>
      <c r="AF59" s="179" t="str">
        <f t="shared" si="8"/>
        <v>NECO DIS TICARET OYUNCAK 
PAZARLAMA SAN.</v>
      </c>
      <c r="AG59" s="180" t="str">
        <f t="shared" si="9"/>
        <v>土耳其</v>
      </c>
    </row>
    <row r="60" s="168" customFormat="1" customHeight="1" spans="1:33">
      <c r="A60" s="56">
        <v>46163</v>
      </c>
      <c r="B60" s="13" t="s">
        <v>580</v>
      </c>
      <c r="C60" s="14" t="s">
        <v>581</v>
      </c>
      <c r="D60" s="173" t="s">
        <v>506</v>
      </c>
      <c r="E60" s="172" t="s">
        <v>259</v>
      </c>
      <c r="F60" s="14" t="s">
        <v>321</v>
      </c>
      <c r="G60" s="14" t="s">
        <v>377</v>
      </c>
      <c r="H60" s="14" t="s">
        <v>127</v>
      </c>
      <c r="I60" s="174" t="str">
        <f>IFERROR(VLOOKUP(H60,名称!A:C,2,0),"")</f>
        <v>混装配比I</v>
      </c>
      <c r="J60" s="171">
        <f>900+300</f>
        <v>1200</v>
      </c>
      <c r="K60" s="175">
        <f>VLOOKUP(H60,名称!A:D,4,0)</f>
        <v>6</v>
      </c>
      <c r="L60" s="31">
        <f t="shared" si="5"/>
        <v>200</v>
      </c>
      <c r="M60" s="56">
        <v>46234</v>
      </c>
      <c r="N60" s="56">
        <v>46244</v>
      </c>
      <c r="O60" s="264" t="s">
        <v>582</v>
      </c>
      <c r="P60" s="176" t="s">
        <v>428</v>
      </c>
      <c r="Q60" s="14"/>
      <c r="R60" s="14"/>
      <c r="S60" s="225" t="s">
        <v>583</v>
      </c>
      <c r="T60" s="173" t="s">
        <v>431</v>
      </c>
      <c r="U60" s="263" t="s">
        <v>462</v>
      </c>
      <c r="V60" s="172" t="s">
        <v>471</v>
      </c>
      <c r="W60" s="226" t="s">
        <v>472</v>
      </c>
      <c r="X60" s="227" t="s">
        <v>536</v>
      </c>
      <c r="Y60" s="172" t="s">
        <v>474</v>
      </c>
      <c r="Z60" s="71">
        <v>2.315</v>
      </c>
      <c r="AA60" s="72">
        <f t="shared" si="6"/>
        <v>2778</v>
      </c>
      <c r="AB60" s="72">
        <f t="shared" si="7"/>
        <v>21529.5</v>
      </c>
      <c r="AC60" s="178"/>
      <c r="AD60" s="227" t="s">
        <v>434</v>
      </c>
      <c r="AE60" s="172" t="str">
        <f>IFERROR(VLOOKUP(H60,名称!A:C,3,0),"")</f>
        <v>FNT</v>
      </c>
      <c r="AF60" s="172" t="str">
        <f t="shared" si="8"/>
        <v>CAFFARO HNOS S.R.L ARGENTINA</v>
      </c>
      <c r="AG60" s="172" t="str">
        <f t="shared" si="9"/>
        <v>阿根廷</v>
      </c>
    </row>
    <row r="61" s="168" customFormat="1" customHeight="1" spans="1:33">
      <c r="A61" s="74">
        <v>46115</v>
      </c>
      <c r="B61" s="181" t="s">
        <v>504</v>
      </c>
      <c r="C61" s="172" t="s">
        <v>505</v>
      </c>
      <c r="D61" s="173" t="s">
        <v>506</v>
      </c>
      <c r="E61" s="172" t="s">
        <v>277</v>
      </c>
      <c r="F61" s="172"/>
      <c r="G61" s="172" t="s">
        <v>322</v>
      </c>
      <c r="H61" s="172" t="s">
        <v>88</v>
      </c>
      <c r="I61" s="221">
        <f>IFERROR(VLOOKUP(H61,名称!A:C,2,0),"")</f>
        <v>0</v>
      </c>
      <c r="J61" s="175">
        <v>1200</v>
      </c>
      <c r="K61" s="175">
        <f>VLOOKUP(H61,名称!A:D,4,0)</f>
        <v>6</v>
      </c>
      <c r="L61" s="203">
        <f t="shared" si="5"/>
        <v>200</v>
      </c>
      <c r="M61" s="183">
        <v>46280</v>
      </c>
      <c r="N61" s="183">
        <v>46280</v>
      </c>
      <c r="O61" s="254"/>
      <c r="P61" s="74" t="s">
        <v>428</v>
      </c>
      <c r="Q61" s="172"/>
      <c r="R61" s="180"/>
      <c r="S61" s="173" t="s">
        <v>584</v>
      </c>
      <c r="T61" s="173" t="s">
        <v>431</v>
      </c>
      <c r="U61" s="226" t="s">
        <v>510</v>
      </c>
      <c r="V61" s="223"/>
      <c r="W61" s="180" t="s">
        <v>323</v>
      </c>
      <c r="X61" s="172"/>
      <c r="Y61" s="172"/>
      <c r="Z61" s="186">
        <v>3.27</v>
      </c>
      <c r="AA61" s="187">
        <f t="shared" si="6"/>
        <v>3924</v>
      </c>
      <c r="AB61" s="187">
        <f t="shared" si="7"/>
        <v>30411</v>
      </c>
      <c r="AC61" s="101"/>
      <c r="AD61" s="172" t="s">
        <v>463</v>
      </c>
      <c r="AE61" s="172" t="str">
        <f>IFERROR(VLOOKUP(H61,名称!A:C,3,0),"")</f>
        <v>CMW</v>
      </c>
      <c r="AF61" s="172" t="str">
        <f t="shared" si="8"/>
        <v>A LIUSIE GENERAL TRADING LLC</v>
      </c>
      <c r="AG61" s="172" t="str">
        <f t="shared" si="9"/>
        <v>阿拉伯</v>
      </c>
    </row>
    <row r="62" s="168" customFormat="1" customHeight="1" spans="1:33">
      <c r="A62" s="74">
        <v>46085</v>
      </c>
      <c r="B62" s="181" t="s">
        <v>504</v>
      </c>
      <c r="C62" s="172" t="s">
        <v>505</v>
      </c>
      <c r="D62" s="173" t="s">
        <v>506</v>
      </c>
      <c r="E62" s="172" t="s">
        <v>246</v>
      </c>
      <c r="F62" s="172"/>
      <c r="G62" s="172" t="s">
        <v>322</v>
      </c>
      <c r="H62" s="172" t="s">
        <v>70</v>
      </c>
      <c r="I62" s="221" t="str">
        <f>IFERROR(VLOOKUP(H62,名称!A:C,2,0),"")</f>
        <v>跳舞公仔</v>
      </c>
      <c r="J62" s="175">
        <v>1400</v>
      </c>
      <c r="K62" s="175">
        <f>VLOOKUP(H62,名称!A:D,4,0)</f>
        <v>4</v>
      </c>
      <c r="L62" s="203">
        <f t="shared" si="5"/>
        <v>350</v>
      </c>
      <c r="M62" s="183">
        <v>46280</v>
      </c>
      <c r="N62" s="183">
        <v>46280</v>
      </c>
      <c r="O62" s="183"/>
      <c r="P62" s="74" t="s">
        <v>428</v>
      </c>
      <c r="Q62" s="172"/>
      <c r="R62" s="180"/>
      <c r="S62" s="173" t="s">
        <v>585</v>
      </c>
      <c r="T62" s="173" t="s">
        <v>431</v>
      </c>
      <c r="U62" s="226" t="s">
        <v>462</v>
      </c>
      <c r="V62" s="223"/>
      <c r="W62" s="180" t="s">
        <v>323</v>
      </c>
      <c r="X62" s="172"/>
      <c r="Y62" s="172"/>
      <c r="Z62" s="186">
        <v>13.42</v>
      </c>
      <c r="AA62" s="187">
        <f t="shared" si="6"/>
        <v>18788</v>
      </c>
      <c r="AB62" s="187">
        <f t="shared" si="7"/>
        <v>145607</v>
      </c>
      <c r="AC62" s="101"/>
      <c r="AD62" s="172" t="s">
        <v>434</v>
      </c>
      <c r="AE62" s="172" t="str">
        <f>IFERROR(VLOOKUP(H62,名称!A:C,3,0),"")</f>
        <v>CMW</v>
      </c>
      <c r="AF62" s="172" t="str">
        <f t="shared" si="8"/>
        <v>A LIUSIE GENERAL TRADING LLC</v>
      </c>
      <c r="AG62" s="172" t="str">
        <f t="shared" si="9"/>
        <v>阿拉伯</v>
      </c>
    </row>
    <row r="63" s="191" customFormat="1" customHeight="1" spans="1:33">
      <c r="A63" s="215">
        <v>46148</v>
      </c>
      <c r="B63" s="206" t="s">
        <v>586</v>
      </c>
      <c r="C63" s="211" t="s">
        <v>575</v>
      </c>
      <c r="D63" s="208" t="s">
        <v>532</v>
      </c>
      <c r="E63" s="211" t="s">
        <v>259</v>
      </c>
      <c r="F63" s="211" t="s">
        <v>321</v>
      </c>
      <c r="G63" s="243" t="s">
        <v>587</v>
      </c>
      <c r="H63" s="211" t="s">
        <v>127</v>
      </c>
      <c r="I63" s="212" t="str">
        <f>IFERROR(VLOOKUP(H63,名称!A:C,2,0),"")</f>
        <v>混装配比I</v>
      </c>
      <c r="J63" s="213">
        <f>402+402</f>
        <v>804</v>
      </c>
      <c r="K63" s="213">
        <f>VLOOKUP(H63,名称!A:D,4,0)</f>
        <v>6</v>
      </c>
      <c r="L63" s="214">
        <f t="shared" si="5"/>
        <v>134</v>
      </c>
      <c r="M63" s="215">
        <v>46203</v>
      </c>
      <c r="N63" s="215">
        <v>46204</v>
      </c>
      <c r="O63" s="242" t="s">
        <v>588</v>
      </c>
      <c r="P63" s="205" t="s">
        <v>428</v>
      </c>
      <c r="Q63" s="160" t="s">
        <v>429</v>
      </c>
      <c r="R63" s="211"/>
      <c r="S63" s="208" t="s">
        <v>445</v>
      </c>
      <c r="T63" s="208" t="s">
        <v>453</v>
      </c>
      <c r="U63" s="244" t="s">
        <v>589</v>
      </c>
      <c r="V63" s="211" t="s">
        <v>471</v>
      </c>
      <c r="W63" s="244" t="s">
        <v>472</v>
      </c>
      <c r="X63" s="224" t="s">
        <v>476</v>
      </c>
      <c r="Y63" s="211" t="s">
        <v>474</v>
      </c>
      <c r="Z63" s="217">
        <v>2.315</v>
      </c>
      <c r="AA63" s="218">
        <f t="shared" si="6"/>
        <v>1861.26</v>
      </c>
      <c r="AB63" s="218">
        <f t="shared" si="7"/>
        <v>14424.77</v>
      </c>
      <c r="AC63" s="219"/>
      <c r="AD63" s="243" t="s">
        <v>434</v>
      </c>
      <c r="AE63" s="211" t="str">
        <f>IFERROR(VLOOKUP(H63,名称!A:C,3,0),"")</f>
        <v>FNT</v>
      </c>
      <c r="AF63" s="211" t="str">
        <f t="shared" si="8"/>
        <v>SUBURBIA, S. DE R. L. DE C. V.</v>
      </c>
      <c r="AG63" s="211" t="str">
        <f t="shared" si="9"/>
        <v>墨西哥</v>
      </c>
    </row>
    <row r="64" s="168" customFormat="1" customHeight="1" spans="1:33">
      <c r="A64" s="74">
        <v>46086</v>
      </c>
      <c r="B64" s="181" t="s">
        <v>504</v>
      </c>
      <c r="C64" s="172" t="s">
        <v>505</v>
      </c>
      <c r="D64" s="173" t="s">
        <v>506</v>
      </c>
      <c r="E64" s="172" t="s">
        <v>246</v>
      </c>
      <c r="F64" s="172"/>
      <c r="G64" s="172" t="s">
        <v>322</v>
      </c>
      <c r="H64" s="172" t="s">
        <v>25</v>
      </c>
      <c r="I64" s="221" t="str">
        <f>IFERROR(VLOOKUP(H64,名称!A:C,2,0),"")</f>
        <v>校车巴士</v>
      </c>
      <c r="J64" s="175">
        <f>4200+1200</f>
        <v>5400</v>
      </c>
      <c r="K64" s="175">
        <f>VLOOKUP(H64,名称!A:D,4,0)</f>
        <v>4</v>
      </c>
      <c r="L64" s="203">
        <f t="shared" si="5"/>
        <v>1350</v>
      </c>
      <c r="M64" s="183">
        <v>46280</v>
      </c>
      <c r="N64" s="183">
        <v>46280</v>
      </c>
      <c r="O64" s="254"/>
      <c r="P64" s="74" t="s">
        <v>428</v>
      </c>
      <c r="Q64" s="172"/>
      <c r="R64" s="180"/>
      <c r="S64" s="173" t="s">
        <v>585</v>
      </c>
      <c r="T64" s="172" t="s">
        <v>542</v>
      </c>
      <c r="U64" s="226" t="s">
        <v>543</v>
      </c>
      <c r="V64" s="223"/>
      <c r="W64" s="180" t="s">
        <v>323</v>
      </c>
      <c r="X64" s="172"/>
      <c r="Y64" s="172"/>
      <c r="Z64" s="186">
        <v>4.42</v>
      </c>
      <c r="AA64" s="187">
        <f t="shared" si="6"/>
        <v>23868</v>
      </c>
      <c r="AB64" s="187">
        <f t="shared" si="7"/>
        <v>184977</v>
      </c>
      <c r="AC64" s="101"/>
      <c r="AD64" s="172" t="s">
        <v>434</v>
      </c>
      <c r="AE64" s="172" t="str">
        <f>IFERROR(VLOOKUP(H64,名称!A:C,3,0),"")</f>
        <v>CMW</v>
      </c>
      <c r="AF64" s="172" t="str">
        <f t="shared" si="8"/>
        <v>A LIUSIE GENERAL TRADING LLC</v>
      </c>
      <c r="AG64" s="172" t="str">
        <f t="shared" si="9"/>
        <v>阿拉伯</v>
      </c>
    </row>
    <row r="65" s="192" customFormat="1" customHeight="1" spans="1:33">
      <c r="A65" s="74">
        <v>46115</v>
      </c>
      <c r="B65" s="181" t="s">
        <v>590</v>
      </c>
      <c r="C65" s="172" t="s">
        <v>505</v>
      </c>
      <c r="D65" s="173" t="s">
        <v>506</v>
      </c>
      <c r="E65" s="172" t="s">
        <v>259</v>
      </c>
      <c r="F65" s="172"/>
      <c r="G65" s="172" t="s">
        <v>331</v>
      </c>
      <c r="H65" s="172" t="s">
        <v>88</v>
      </c>
      <c r="I65" s="221">
        <f>IFERROR(VLOOKUP(H65,名称!A:C,2,0),"")</f>
        <v>0</v>
      </c>
      <c r="J65" s="175">
        <v>450</v>
      </c>
      <c r="K65" s="175">
        <f>VLOOKUP(H65,名称!A:D,4,0)</f>
        <v>6</v>
      </c>
      <c r="L65" s="203">
        <f t="shared" si="5"/>
        <v>75</v>
      </c>
      <c r="M65" s="183">
        <v>46280</v>
      </c>
      <c r="N65" s="183">
        <v>46280</v>
      </c>
      <c r="O65" s="254"/>
      <c r="P65" s="74" t="s">
        <v>428</v>
      </c>
      <c r="Q65" s="172"/>
      <c r="R65" s="172"/>
      <c r="S65" s="173" t="s">
        <v>585</v>
      </c>
      <c r="T65" s="173" t="s">
        <v>462</v>
      </c>
      <c r="U65" s="228" t="s">
        <v>462</v>
      </c>
      <c r="V65" s="223"/>
      <c r="W65" s="180" t="s">
        <v>323</v>
      </c>
      <c r="X65" s="180"/>
      <c r="Y65" s="172"/>
      <c r="Z65" s="186">
        <v>3.27</v>
      </c>
      <c r="AA65" s="187">
        <f t="shared" si="6"/>
        <v>1471.5</v>
      </c>
      <c r="AB65" s="187">
        <f t="shared" si="7"/>
        <v>11404.13</v>
      </c>
      <c r="AC65" s="101"/>
      <c r="AD65" s="172" t="s">
        <v>463</v>
      </c>
      <c r="AE65" s="172" t="str">
        <f>IFERROR(VLOOKUP(H65,名称!A:C,3,0),"")</f>
        <v>CMW</v>
      </c>
      <c r="AF65" s="172" t="str">
        <f t="shared" si="8"/>
        <v>TOYS BRAND TRADING CO. LTD</v>
      </c>
      <c r="AG65" s="172" t="str">
        <f t="shared" si="9"/>
        <v>阿拉伯</v>
      </c>
    </row>
    <row r="66" s="192" customFormat="1" customHeight="1" spans="1:33">
      <c r="A66" s="74">
        <v>45916</v>
      </c>
      <c r="B66" s="181" t="s">
        <v>502</v>
      </c>
      <c r="C66" s="172" t="s">
        <v>396</v>
      </c>
      <c r="D66" s="173" t="s">
        <v>427</v>
      </c>
      <c r="E66" s="182" t="s">
        <v>246</v>
      </c>
      <c r="F66" s="172" t="s">
        <v>249</v>
      </c>
      <c r="G66" s="172" t="s">
        <v>272</v>
      </c>
      <c r="H66" s="172" t="s">
        <v>205</v>
      </c>
      <c r="I66" s="221" t="str">
        <f>IFERROR(VLOOKUP(H66,名称!A:C,2,0),"")</f>
        <v>蜘蛛侠喷水公仔5只装</v>
      </c>
      <c r="J66" s="175">
        <v>252</v>
      </c>
      <c r="K66" s="175">
        <f>VLOOKUP(H66,名称!A:D,4,0)</f>
        <v>3</v>
      </c>
      <c r="L66" s="203">
        <f t="shared" si="5"/>
        <v>84</v>
      </c>
      <c r="M66" s="183">
        <v>45976</v>
      </c>
      <c r="N66" s="183">
        <v>46203</v>
      </c>
      <c r="O66" s="222" t="s">
        <v>465</v>
      </c>
      <c r="P66" s="74" t="s">
        <v>428</v>
      </c>
      <c r="Q66" s="172"/>
      <c r="R66" s="172"/>
      <c r="S66" s="173" t="s">
        <v>591</v>
      </c>
      <c r="T66" s="173"/>
      <c r="U66" s="172"/>
      <c r="V66" s="223"/>
      <c r="W66" s="172" t="s">
        <v>258</v>
      </c>
      <c r="X66" s="172"/>
      <c r="Y66" s="172"/>
      <c r="Z66" s="186">
        <v>3.64</v>
      </c>
      <c r="AA66" s="187">
        <f t="shared" si="6"/>
        <v>917.28</v>
      </c>
      <c r="AB66" s="187">
        <f t="shared" si="7"/>
        <v>7108.92</v>
      </c>
      <c r="AC66" s="231"/>
      <c r="AD66" s="172" t="s">
        <v>434</v>
      </c>
      <c r="AE66" s="172" t="str">
        <f>IFERROR(VLOOKUP(H66,名称!A:C,3,0),"")</f>
        <v>SNF</v>
      </c>
      <c r="AF66" s="172" t="str">
        <f t="shared" si="8"/>
        <v>JAZWARES INTERNATIONAL</v>
      </c>
      <c r="AG66" s="172" t="str">
        <f t="shared" si="9"/>
        <v>美国</v>
      </c>
    </row>
    <row r="67" s="167" customFormat="1" customHeight="1" spans="1:33">
      <c r="A67" s="183">
        <v>46038</v>
      </c>
      <c r="B67" s="181" t="s">
        <v>592</v>
      </c>
      <c r="C67" s="172" t="s">
        <v>593</v>
      </c>
      <c r="D67" s="173" t="s">
        <v>427</v>
      </c>
      <c r="E67" s="182" t="s">
        <v>246</v>
      </c>
      <c r="F67" s="172" t="s">
        <v>315</v>
      </c>
      <c r="G67" s="172" t="s">
        <v>298</v>
      </c>
      <c r="H67" s="172" t="s">
        <v>123</v>
      </c>
      <c r="I67" s="221" t="str">
        <f>IFERROR(VLOOKUP(H67,名称!A:C,2,0),"")</f>
        <v>混装配比G</v>
      </c>
      <c r="J67" s="175">
        <f>2796-1200-600+600-1200</f>
        <v>396</v>
      </c>
      <c r="K67" s="175">
        <f>VLOOKUP(H67,名称!A:D,4,0)</f>
        <v>6</v>
      </c>
      <c r="L67" s="203">
        <f t="shared" si="5"/>
        <v>66</v>
      </c>
      <c r="M67" s="183">
        <v>46107</v>
      </c>
      <c r="N67" s="183">
        <v>46107</v>
      </c>
      <c r="O67" s="183"/>
      <c r="P67" s="74" t="s">
        <v>428</v>
      </c>
      <c r="Q67" s="172"/>
      <c r="R67" s="180"/>
      <c r="S67" s="225" t="s">
        <v>594</v>
      </c>
      <c r="T67" s="173" t="s">
        <v>431</v>
      </c>
      <c r="U67" s="180"/>
      <c r="V67" s="172" t="s">
        <v>595</v>
      </c>
      <c r="W67" s="180" t="s">
        <v>258</v>
      </c>
      <c r="X67" s="172" t="s">
        <v>596</v>
      </c>
      <c r="Y67" s="172" t="s">
        <v>458</v>
      </c>
      <c r="Z67" s="186">
        <v>2.06</v>
      </c>
      <c r="AA67" s="187">
        <f t="shared" si="6"/>
        <v>815.76</v>
      </c>
      <c r="AB67" s="187">
        <f t="shared" si="7"/>
        <v>6322.14</v>
      </c>
      <c r="AC67" s="231"/>
      <c r="AD67" s="172" t="s">
        <v>597</v>
      </c>
      <c r="AE67" s="172" t="str">
        <f>IFERROR(VLOOKUP(H67,名称!A:C,3,0),"")</f>
        <v>FNT</v>
      </c>
      <c r="AF67" s="172" t="str">
        <f t="shared" si="8"/>
        <v>DISTRIBUIDORA COMERCIAL IMEXPORTA 
LTDA</v>
      </c>
      <c r="AG67" s="172" t="str">
        <f t="shared" si="9"/>
        <v>智利</v>
      </c>
    </row>
    <row r="68" s="167" customFormat="1" customHeight="1" spans="1:33">
      <c r="A68" s="74">
        <v>46162</v>
      </c>
      <c r="B68" s="181" t="s">
        <v>490</v>
      </c>
      <c r="C68" s="172" t="s">
        <v>491</v>
      </c>
      <c r="D68" s="173" t="s">
        <v>492</v>
      </c>
      <c r="E68" s="172" t="s">
        <v>246</v>
      </c>
      <c r="F68" s="172"/>
      <c r="G68" s="172" t="s">
        <v>375</v>
      </c>
      <c r="H68" s="172" t="s">
        <v>153</v>
      </c>
      <c r="I68" s="221">
        <f>IFERROR(VLOOKUP(H68,名称!A:C,2,0),"")</f>
        <v>0</v>
      </c>
      <c r="J68" s="175">
        <v>3000</v>
      </c>
      <c r="K68" s="175">
        <f>VLOOKUP(H68,名称!A:D,4,0)</f>
        <v>4</v>
      </c>
      <c r="L68" s="203">
        <f t="shared" si="5"/>
        <v>750</v>
      </c>
      <c r="M68" s="183">
        <v>46195</v>
      </c>
      <c r="N68" s="183">
        <v>46195</v>
      </c>
      <c r="O68" s="278" t="s">
        <v>598</v>
      </c>
      <c r="P68" s="74" t="s">
        <v>428</v>
      </c>
      <c r="Q68" s="180"/>
      <c r="R68" s="172"/>
      <c r="S68" s="225" t="s">
        <v>599</v>
      </c>
      <c r="T68" s="173" t="s">
        <v>431</v>
      </c>
      <c r="U68" s="245" t="s">
        <v>462</v>
      </c>
      <c r="V68" s="279" t="s">
        <v>600</v>
      </c>
      <c r="W68" s="180" t="s">
        <v>258</v>
      </c>
      <c r="X68" s="172" t="s">
        <v>482</v>
      </c>
      <c r="Y68" s="172"/>
      <c r="Z68" s="186">
        <v>9.79</v>
      </c>
      <c r="AA68" s="187">
        <f t="shared" si="6"/>
        <v>29370</v>
      </c>
      <c r="AB68" s="187">
        <f t="shared" si="7"/>
        <v>227617.5</v>
      </c>
      <c r="AC68" s="101"/>
      <c r="AD68" s="227" t="s">
        <v>434</v>
      </c>
      <c r="AE68" s="172" t="str">
        <f>IFERROR(VLOOKUP(H68,名称!A:C,3,0),"")</f>
        <v>FNT</v>
      </c>
      <c r="AF68" s="172" t="str">
        <f t="shared" si="8"/>
        <v>M + F</v>
      </c>
      <c r="AG68" s="172" t="str">
        <f t="shared" si="9"/>
        <v>德国</v>
      </c>
    </row>
    <row r="69" s="168" customFormat="1" customHeight="1" spans="1:33">
      <c r="A69" s="74">
        <v>46149</v>
      </c>
      <c r="B69" s="181" t="s">
        <v>490</v>
      </c>
      <c r="C69" s="172" t="s">
        <v>491</v>
      </c>
      <c r="D69" s="173" t="s">
        <v>492</v>
      </c>
      <c r="E69" s="172" t="s">
        <v>246</v>
      </c>
      <c r="F69" s="172"/>
      <c r="G69" s="172" t="s">
        <v>372</v>
      </c>
      <c r="H69" s="172" t="s">
        <v>154</v>
      </c>
      <c r="I69" s="221">
        <f>IFERROR(VLOOKUP(H69,名称!A:C,2,0),"")</f>
        <v>0</v>
      </c>
      <c r="J69" s="175">
        <v>3000</v>
      </c>
      <c r="K69" s="175">
        <f>VLOOKUP(H69,名称!A:D,4,0)</f>
        <v>4</v>
      </c>
      <c r="L69" s="203">
        <f t="shared" si="5"/>
        <v>750</v>
      </c>
      <c r="M69" s="183">
        <v>46176</v>
      </c>
      <c r="N69" s="183">
        <v>46223</v>
      </c>
      <c r="O69" s="230" t="s">
        <v>480</v>
      </c>
      <c r="P69" s="74" t="s">
        <v>428</v>
      </c>
      <c r="Q69" s="172"/>
      <c r="R69" s="172"/>
      <c r="S69" s="225" t="s">
        <v>601</v>
      </c>
      <c r="T69" s="173" t="s">
        <v>431</v>
      </c>
      <c r="U69" s="226" t="s">
        <v>462</v>
      </c>
      <c r="V69" s="223" t="s">
        <v>602</v>
      </c>
      <c r="W69" s="180" t="s">
        <v>258</v>
      </c>
      <c r="X69" s="172" t="s">
        <v>485</v>
      </c>
      <c r="Y69" s="172"/>
      <c r="Z69" s="186">
        <v>14.55</v>
      </c>
      <c r="AA69" s="187">
        <f t="shared" si="6"/>
        <v>43650</v>
      </c>
      <c r="AB69" s="187">
        <f t="shared" si="7"/>
        <v>338287.5</v>
      </c>
      <c r="AC69" s="101"/>
      <c r="AD69" s="172" t="s">
        <v>463</v>
      </c>
      <c r="AE69" s="172" t="str">
        <f>IFERROR(VLOOKUP(H69,名称!A:C,3,0),"")</f>
        <v>FNT</v>
      </c>
      <c r="AF69" s="172" t="str">
        <f t="shared" si="8"/>
        <v>M + F</v>
      </c>
      <c r="AG69" s="172" t="str">
        <f t="shared" si="9"/>
        <v>德国</v>
      </c>
    </row>
    <row r="70" s="168" customFormat="1" customHeight="1" spans="1:33">
      <c r="A70" s="74">
        <v>46085</v>
      </c>
      <c r="B70" s="181" t="s">
        <v>515</v>
      </c>
      <c r="C70" s="172" t="s">
        <v>516</v>
      </c>
      <c r="D70" s="173" t="s">
        <v>506</v>
      </c>
      <c r="E70" s="172" t="s">
        <v>246</v>
      </c>
      <c r="F70" s="172"/>
      <c r="G70" s="172" t="s">
        <v>326</v>
      </c>
      <c r="H70" s="172" t="s">
        <v>70</v>
      </c>
      <c r="I70" s="221" t="str">
        <f>IFERROR(VLOOKUP(H70,名称!A:C,2,0),"")</f>
        <v>跳舞公仔</v>
      </c>
      <c r="J70" s="175">
        <v>800</v>
      </c>
      <c r="K70" s="175">
        <f>VLOOKUP(H70,名称!A:D,4,0)</f>
        <v>4</v>
      </c>
      <c r="L70" s="203">
        <f t="shared" si="5"/>
        <v>200</v>
      </c>
      <c r="M70" s="183">
        <v>46251</v>
      </c>
      <c r="N70" s="183">
        <v>46251</v>
      </c>
      <c r="O70" s="264" t="s">
        <v>561</v>
      </c>
      <c r="P70" s="74" t="s">
        <v>428</v>
      </c>
      <c r="Q70" s="172"/>
      <c r="R70" s="180"/>
      <c r="S70" s="173" t="s">
        <v>509</v>
      </c>
      <c r="T70" s="173" t="s">
        <v>431</v>
      </c>
      <c r="U70" s="226" t="s">
        <v>462</v>
      </c>
      <c r="V70" s="223"/>
      <c r="W70" s="180" t="s">
        <v>323</v>
      </c>
      <c r="X70" s="280"/>
      <c r="Y70" s="172"/>
      <c r="Z70" s="186">
        <v>13.42</v>
      </c>
      <c r="AA70" s="187">
        <f t="shared" si="6"/>
        <v>10736</v>
      </c>
      <c r="AB70" s="187">
        <f t="shared" si="7"/>
        <v>83204</v>
      </c>
      <c r="AC70" s="101"/>
      <c r="AD70" s="172" t="s">
        <v>434</v>
      </c>
      <c r="AE70" s="172" t="str">
        <f>IFERROR(VLOOKUP(H70,名称!A:C,3,0),"")</f>
        <v>CMW</v>
      </c>
      <c r="AF70" s="172" t="str">
        <f t="shared" si="8"/>
        <v>ARABIAN AL EKHA INTL FOR TRADE AND 
COMM.</v>
      </c>
      <c r="AG70" s="172" t="str">
        <f t="shared" si="9"/>
        <v>约旦</v>
      </c>
    </row>
    <row r="71" s="168" customFormat="1" customHeight="1" spans="1:33">
      <c r="A71" s="74">
        <v>46085</v>
      </c>
      <c r="B71" s="181" t="s">
        <v>515</v>
      </c>
      <c r="C71" s="172" t="s">
        <v>516</v>
      </c>
      <c r="D71" s="173" t="s">
        <v>506</v>
      </c>
      <c r="E71" s="172" t="s">
        <v>246</v>
      </c>
      <c r="F71" s="172"/>
      <c r="G71" s="172" t="s">
        <v>326</v>
      </c>
      <c r="H71" s="172" t="s">
        <v>25</v>
      </c>
      <c r="I71" s="221" t="str">
        <f>IFERROR(VLOOKUP(H71,名称!A:C,2,0),"")</f>
        <v>校车巴士</v>
      </c>
      <c r="J71" s="175">
        <v>900</v>
      </c>
      <c r="K71" s="175">
        <f>VLOOKUP(H71,名称!A:D,4,0)</f>
        <v>4</v>
      </c>
      <c r="L71" s="203">
        <f t="shared" si="5"/>
        <v>225</v>
      </c>
      <c r="M71" s="183">
        <v>46251</v>
      </c>
      <c r="N71" s="183">
        <v>46251</v>
      </c>
      <c r="O71" s="264" t="s">
        <v>561</v>
      </c>
      <c r="P71" s="74" t="s">
        <v>428</v>
      </c>
      <c r="Q71" s="172"/>
      <c r="R71" s="180"/>
      <c r="S71" s="173" t="s">
        <v>509</v>
      </c>
      <c r="T71" s="173" t="s">
        <v>431</v>
      </c>
      <c r="U71" s="226" t="s">
        <v>603</v>
      </c>
      <c r="V71" s="223"/>
      <c r="W71" s="226" t="s">
        <v>604</v>
      </c>
      <c r="X71" s="280"/>
      <c r="Y71" s="172"/>
      <c r="Z71" s="186">
        <v>4.42</v>
      </c>
      <c r="AA71" s="187">
        <f t="shared" si="6"/>
        <v>3978</v>
      </c>
      <c r="AB71" s="187">
        <f t="shared" si="7"/>
        <v>30829.5</v>
      </c>
      <c r="AC71" s="101"/>
      <c r="AD71" s="172" t="s">
        <v>434</v>
      </c>
      <c r="AE71" s="172" t="str">
        <f>IFERROR(VLOOKUP(H71,名称!A:C,3,0),"")</f>
        <v>CMW</v>
      </c>
      <c r="AF71" s="172" t="str">
        <f t="shared" si="8"/>
        <v>ARABIAN AL EKHA INTL FOR TRADE AND 
COMM.</v>
      </c>
      <c r="AG71" s="172" t="str">
        <f t="shared" si="9"/>
        <v>约旦</v>
      </c>
    </row>
    <row r="72" s="167" customFormat="1" customHeight="1" spans="1:33">
      <c r="A72" s="74">
        <v>46086</v>
      </c>
      <c r="B72" s="181" t="s">
        <v>590</v>
      </c>
      <c r="C72" s="172" t="s">
        <v>505</v>
      </c>
      <c r="D72" s="173" t="s">
        <v>506</v>
      </c>
      <c r="E72" s="172" t="s">
        <v>246</v>
      </c>
      <c r="F72" s="172"/>
      <c r="G72" s="172" t="s">
        <v>331</v>
      </c>
      <c r="H72" s="172" t="s">
        <v>25</v>
      </c>
      <c r="I72" s="221" t="str">
        <f>IFERROR(VLOOKUP(H72,名称!A:C,2,0),"")</f>
        <v>校车巴士</v>
      </c>
      <c r="J72" s="175">
        <v>1600</v>
      </c>
      <c r="K72" s="175">
        <f>VLOOKUP(H72,名称!A:D,4,0)</f>
        <v>4</v>
      </c>
      <c r="L72" s="203">
        <f t="shared" si="5"/>
        <v>400</v>
      </c>
      <c r="M72" s="183">
        <v>46280</v>
      </c>
      <c r="N72" s="183">
        <v>46280</v>
      </c>
      <c r="O72" s="254"/>
      <c r="P72" s="74" t="s">
        <v>428</v>
      </c>
      <c r="Q72" s="172"/>
      <c r="R72" s="180"/>
      <c r="S72" s="173" t="s">
        <v>541</v>
      </c>
      <c r="T72" s="173" t="s">
        <v>605</v>
      </c>
      <c r="U72" s="245" t="s">
        <v>606</v>
      </c>
      <c r="V72" s="223"/>
      <c r="W72" s="180" t="s">
        <v>323</v>
      </c>
      <c r="X72" s="172"/>
      <c r="Y72" s="279" t="s">
        <v>607</v>
      </c>
      <c r="Z72" s="186">
        <v>4.42</v>
      </c>
      <c r="AA72" s="187">
        <f t="shared" si="6"/>
        <v>7072</v>
      </c>
      <c r="AB72" s="187">
        <f t="shared" si="7"/>
        <v>54808</v>
      </c>
      <c r="AC72" s="101"/>
      <c r="AD72" s="172" t="s">
        <v>434</v>
      </c>
      <c r="AE72" s="172" t="str">
        <f>IFERROR(VLOOKUP(H72,名称!A:C,3,0),"")</f>
        <v>CMW</v>
      </c>
      <c r="AF72" s="172" t="str">
        <f t="shared" si="8"/>
        <v>TOYS BRAND TRADING CO. LTD</v>
      </c>
      <c r="AG72" s="172" t="str">
        <f t="shared" si="9"/>
        <v>阿拉伯</v>
      </c>
    </row>
    <row r="73" s="167" customFormat="1" customHeight="1" spans="1:33">
      <c r="A73" s="74">
        <v>46115</v>
      </c>
      <c r="B73" s="181" t="s">
        <v>515</v>
      </c>
      <c r="C73" s="172" t="s">
        <v>516</v>
      </c>
      <c r="D73" s="173" t="s">
        <v>506</v>
      </c>
      <c r="E73" s="172" t="s">
        <v>262</v>
      </c>
      <c r="F73" s="172"/>
      <c r="G73" s="172" t="s">
        <v>326</v>
      </c>
      <c r="H73" s="172" t="s">
        <v>88</v>
      </c>
      <c r="I73" s="221">
        <f>IFERROR(VLOOKUP(H73,名称!A:C,2,0),"")</f>
        <v>0</v>
      </c>
      <c r="J73" s="175">
        <v>300</v>
      </c>
      <c r="K73" s="175">
        <f>VLOOKUP(H73,名称!A:D,4,0)</f>
        <v>6</v>
      </c>
      <c r="L73" s="203">
        <f t="shared" si="5"/>
        <v>50</v>
      </c>
      <c r="M73" s="183">
        <v>46251</v>
      </c>
      <c r="N73" s="183">
        <v>46251</v>
      </c>
      <c r="O73" s="264" t="s">
        <v>561</v>
      </c>
      <c r="P73" s="74" t="s">
        <v>428</v>
      </c>
      <c r="Q73" s="172"/>
      <c r="R73" s="180"/>
      <c r="S73" s="173" t="s">
        <v>541</v>
      </c>
      <c r="T73" s="173" t="s">
        <v>431</v>
      </c>
      <c r="U73" s="281" t="s">
        <v>608</v>
      </c>
      <c r="V73" s="223"/>
      <c r="W73" s="180" t="s">
        <v>323</v>
      </c>
      <c r="X73" s="172"/>
      <c r="Y73" s="172"/>
      <c r="Z73" s="186">
        <v>3.27</v>
      </c>
      <c r="AA73" s="187">
        <f t="shared" si="6"/>
        <v>981</v>
      </c>
      <c r="AB73" s="187">
        <f t="shared" si="7"/>
        <v>7602.75</v>
      </c>
      <c r="AC73" s="101"/>
      <c r="AD73" s="172" t="s">
        <v>463</v>
      </c>
      <c r="AE73" s="172" t="str">
        <f>IFERROR(VLOOKUP(H73,名称!A:C,3,0),"")</f>
        <v>CMW</v>
      </c>
      <c r="AF73" s="172" t="str">
        <f t="shared" si="8"/>
        <v>ARABIAN AL EKHA INTL FOR TRADE AND 
COMM.</v>
      </c>
      <c r="AG73" s="172" t="str">
        <f t="shared" si="9"/>
        <v>约旦</v>
      </c>
    </row>
    <row r="74" s="168" customFormat="1" customHeight="1" spans="1:33">
      <c r="A74" s="74">
        <v>46043</v>
      </c>
      <c r="B74" s="181" t="s">
        <v>519</v>
      </c>
      <c r="C74" s="172" t="s">
        <v>520</v>
      </c>
      <c r="D74" s="173" t="s">
        <v>521</v>
      </c>
      <c r="E74" s="182" t="s">
        <v>259</v>
      </c>
      <c r="F74" s="172"/>
      <c r="G74" s="172" t="s">
        <v>317</v>
      </c>
      <c r="H74" s="172" t="s">
        <v>139</v>
      </c>
      <c r="I74" s="221" t="str">
        <f>IFERROR(VLOOKUP(H74,名称!A:C,2,0),"")</f>
        <v>橡皮糖鱼条</v>
      </c>
      <c r="J74" s="175">
        <v>1800</v>
      </c>
      <c r="K74" s="175">
        <f>VLOOKUP(H74,名称!A:D,4,0)</f>
        <v>6</v>
      </c>
      <c r="L74" s="203">
        <f t="shared" si="5"/>
        <v>300</v>
      </c>
      <c r="M74" s="183">
        <v>46188</v>
      </c>
      <c r="N74" s="183">
        <v>46218</v>
      </c>
      <c r="O74" s="183"/>
      <c r="P74" s="74" t="s">
        <v>428</v>
      </c>
      <c r="Q74" s="172"/>
      <c r="R74" s="180"/>
      <c r="S74" s="173" t="s">
        <v>609</v>
      </c>
      <c r="T74" s="173" t="s">
        <v>431</v>
      </c>
      <c r="U74" s="180"/>
      <c r="V74" s="172" t="s">
        <v>610</v>
      </c>
      <c r="W74" s="180" t="s">
        <v>258</v>
      </c>
      <c r="X74" s="172" t="s">
        <v>596</v>
      </c>
      <c r="Y74" s="172"/>
      <c r="Z74" s="186">
        <v>1.88</v>
      </c>
      <c r="AA74" s="187">
        <f t="shared" si="6"/>
        <v>3384</v>
      </c>
      <c r="AB74" s="187">
        <f t="shared" si="7"/>
        <v>26226</v>
      </c>
      <c r="AC74" s="101"/>
      <c r="AD74" s="172" t="s">
        <v>434</v>
      </c>
      <c r="AE74" s="172" t="str">
        <f>IFERROR(VLOOKUP(H74,名称!A:C,3,0),"")</f>
        <v>FNT</v>
      </c>
      <c r="AF74" s="172" t="str">
        <f t="shared" si="8"/>
        <v>IMPORT SERVICES</v>
      </c>
      <c r="AG74" s="172" t="str">
        <f t="shared" si="9"/>
        <v>英国</v>
      </c>
    </row>
    <row r="75" s="167" customFormat="1" customHeight="1" spans="1:33">
      <c r="A75" s="74">
        <v>46105</v>
      </c>
      <c r="B75" s="181" t="s">
        <v>519</v>
      </c>
      <c r="C75" s="172" t="s">
        <v>520</v>
      </c>
      <c r="D75" s="173" t="s">
        <v>521</v>
      </c>
      <c r="E75" s="172" t="s">
        <v>246</v>
      </c>
      <c r="F75" s="172"/>
      <c r="G75" s="172" t="s">
        <v>338</v>
      </c>
      <c r="H75" s="172" t="s">
        <v>153</v>
      </c>
      <c r="I75" s="221">
        <f>IFERROR(VLOOKUP(H75,名称!A:C,2,0),"")</f>
        <v>0</v>
      </c>
      <c r="J75" s="175">
        <v>3084</v>
      </c>
      <c r="K75" s="175">
        <f>VLOOKUP(H75,名称!A:D,4,0)</f>
        <v>4</v>
      </c>
      <c r="L75" s="203">
        <f t="shared" si="5"/>
        <v>771</v>
      </c>
      <c r="M75" s="183">
        <v>46190</v>
      </c>
      <c r="N75" s="183">
        <v>46254</v>
      </c>
      <c r="O75" s="278" t="s">
        <v>611</v>
      </c>
      <c r="P75" s="74" t="s">
        <v>428</v>
      </c>
      <c r="Q75" s="172"/>
      <c r="R75" s="180"/>
      <c r="S75" s="228" t="s">
        <v>524</v>
      </c>
      <c r="T75" s="173" t="s">
        <v>431</v>
      </c>
      <c r="U75" s="180"/>
      <c r="V75" s="279" t="s">
        <v>612</v>
      </c>
      <c r="W75" s="180" t="s">
        <v>258</v>
      </c>
      <c r="X75" s="172"/>
      <c r="Y75" s="172"/>
      <c r="Z75" s="186">
        <v>9.79</v>
      </c>
      <c r="AA75" s="187">
        <f t="shared" si="6"/>
        <v>30192.36</v>
      </c>
      <c r="AB75" s="187">
        <f t="shared" si="7"/>
        <v>233990.79</v>
      </c>
      <c r="AC75" s="101"/>
      <c r="AD75" s="227" t="s">
        <v>434</v>
      </c>
      <c r="AE75" s="172" t="str">
        <f>IFERROR(VLOOKUP(H75,名称!A:C,3,0),"")</f>
        <v>FNT</v>
      </c>
      <c r="AF75" s="172" t="str">
        <f t="shared" si="8"/>
        <v>IMPORT SERVICES</v>
      </c>
      <c r="AG75" s="172" t="str">
        <f t="shared" si="9"/>
        <v>英国</v>
      </c>
    </row>
    <row r="76" s="193" customFormat="1" customHeight="1" spans="1:33">
      <c r="A76" s="205">
        <v>46123</v>
      </c>
      <c r="B76" s="206" t="s">
        <v>519</v>
      </c>
      <c r="C76" s="211" t="s">
        <v>520</v>
      </c>
      <c r="D76" s="208" t="s">
        <v>521</v>
      </c>
      <c r="E76" s="211" t="s">
        <v>246</v>
      </c>
      <c r="F76" s="211"/>
      <c r="G76" s="211" t="s">
        <v>368</v>
      </c>
      <c r="H76" s="211" t="s">
        <v>155</v>
      </c>
      <c r="I76" s="212">
        <f>IFERROR(VLOOKUP(H76,名称!A:C,2,0),"")</f>
        <v>0</v>
      </c>
      <c r="J76" s="213">
        <v>3000</v>
      </c>
      <c r="K76" s="213">
        <f>VLOOKUP(H76,名称!A:D,4,0)</f>
        <v>4</v>
      </c>
      <c r="L76" s="214">
        <f t="shared" si="5"/>
        <v>750</v>
      </c>
      <c r="M76" s="215">
        <v>46242</v>
      </c>
      <c r="N76" s="215">
        <v>46242</v>
      </c>
      <c r="O76" s="282" t="s">
        <v>613</v>
      </c>
      <c r="P76" s="205" t="s">
        <v>428</v>
      </c>
      <c r="Q76" s="243" t="s">
        <v>429</v>
      </c>
      <c r="R76" s="283" t="s">
        <v>614</v>
      </c>
      <c r="S76" s="208" t="s">
        <v>524</v>
      </c>
      <c r="T76" s="208" t="s">
        <v>431</v>
      </c>
      <c r="U76" s="224"/>
      <c r="V76" s="211" t="s">
        <v>481</v>
      </c>
      <c r="W76" s="244" t="s">
        <v>525</v>
      </c>
      <c r="X76" s="224" t="s">
        <v>528</v>
      </c>
      <c r="Y76" s="211" t="s">
        <v>527</v>
      </c>
      <c r="Z76" s="217">
        <v>13.8</v>
      </c>
      <c r="AA76" s="218">
        <f t="shared" si="6"/>
        <v>41400</v>
      </c>
      <c r="AB76" s="218">
        <f t="shared" si="7"/>
        <v>320850</v>
      </c>
      <c r="AC76" s="219"/>
      <c r="AD76" s="243" t="s">
        <v>434</v>
      </c>
      <c r="AE76" s="211" t="str">
        <f>IFERROR(VLOOKUP(H76,名称!A:C,3,0),"")</f>
        <v>FNT</v>
      </c>
      <c r="AF76" s="211" t="str">
        <f t="shared" si="8"/>
        <v>IMPORT SERVICES</v>
      </c>
      <c r="AG76" s="211" t="str">
        <f t="shared" si="9"/>
        <v>英国</v>
      </c>
    </row>
    <row r="77" s="168" customFormat="1" customHeight="1" spans="1:33">
      <c r="A77" s="74">
        <v>46182</v>
      </c>
      <c r="B77" s="181" t="s">
        <v>519</v>
      </c>
      <c r="C77" s="172" t="s">
        <v>520</v>
      </c>
      <c r="D77" s="173" t="s">
        <v>521</v>
      </c>
      <c r="E77" s="172" t="s">
        <v>259</v>
      </c>
      <c r="F77" s="172"/>
      <c r="G77" s="172" t="s">
        <v>380</v>
      </c>
      <c r="H77" s="172" t="s">
        <v>149</v>
      </c>
      <c r="I77" s="221">
        <f>IFERROR(VLOOKUP(H77,名称!A:C,2,0),"")</f>
        <v>0</v>
      </c>
      <c r="J77" s="175">
        <f>8004-504</f>
        <v>7500</v>
      </c>
      <c r="K77" s="175">
        <f>VLOOKUP(H77,名称!A:D,4,0)</f>
        <v>6</v>
      </c>
      <c r="L77" s="203">
        <f t="shared" si="5"/>
        <v>1250</v>
      </c>
      <c r="M77" s="183">
        <v>46174</v>
      </c>
      <c r="N77" s="183">
        <v>46260</v>
      </c>
      <c r="O77" s="183"/>
      <c r="P77" s="74" t="s">
        <v>428</v>
      </c>
      <c r="Q77" s="172"/>
      <c r="R77" s="172"/>
      <c r="S77" s="225" t="s">
        <v>524</v>
      </c>
      <c r="T77" s="173" t="s">
        <v>431</v>
      </c>
      <c r="U77" s="180"/>
      <c r="V77" s="284" t="s">
        <v>497</v>
      </c>
      <c r="W77" s="180" t="s">
        <v>258</v>
      </c>
      <c r="X77" s="184" t="s">
        <v>615</v>
      </c>
      <c r="Y77" s="172" t="s">
        <v>573</v>
      </c>
      <c r="Z77" s="186">
        <v>3.883</v>
      </c>
      <c r="AA77" s="187">
        <f t="shared" si="6"/>
        <v>29122.5</v>
      </c>
      <c r="AB77" s="187">
        <f t="shared" si="7"/>
        <v>225699.38</v>
      </c>
      <c r="AC77" s="101"/>
      <c r="AD77" s="172" t="s">
        <v>463</v>
      </c>
      <c r="AE77" s="172" t="str">
        <f>IFERROR(VLOOKUP(H77,名称!A:C,3,0),"")</f>
        <v>FNT</v>
      </c>
      <c r="AF77" s="172" t="str">
        <f t="shared" si="8"/>
        <v>IMPORT SERVICES</v>
      </c>
      <c r="AG77" s="172" t="str">
        <f t="shared" si="9"/>
        <v>英国</v>
      </c>
    </row>
    <row r="78" s="167" customFormat="1" customHeight="1" spans="1:33">
      <c r="A78" s="74">
        <v>46188</v>
      </c>
      <c r="B78" s="258" t="s">
        <v>519</v>
      </c>
      <c r="C78" s="227" t="s">
        <v>520</v>
      </c>
      <c r="D78" s="225" t="s">
        <v>521</v>
      </c>
      <c r="E78" s="172" t="s">
        <v>246</v>
      </c>
      <c r="F78" s="172"/>
      <c r="G78" s="227" t="s">
        <v>384</v>
      </c>
      <c r="H78" s="227" t="s">
        <v>150</v>
      </c>
      <c r="I78" s="267">
        <f>IFERROR(VLOOKUP(H78,名称!A:C,2,0),"")</f>
        <v>0</v>
      </c>
      <c r="J78" s="175">
        <v>996</v>
      </c>
      <c r="K78" s="268">
        <f>VLOOKUP(H78,名称!A:D,4,0)</f>
        <v>6</v>
      </c>
      <c r="L78" s="269">
        <f t="shared" si="5"/>
        <v>166</v>
      </c>
      <c r="M78" s="183">
        <v>46249</v>
      </c>
      <c r="N78" s="183">
        <v>46260</v>
      </c>
      <c r="O78" s="183"/>
      <c r="P78" s="257" t="s">
        <v>428</v>
      </c>
      <c r="Q78" s="172"/>
      <c r="R78" s="172"/>
      <c r="S78" s="225" t="s">
        <v>524</v>
      </c>
      <c r="T78" s="173" t="s">
        <v>431</v>
      </c>
      <c r="U78" s="226" t="s">
        <v>462</v>
      </c>
      <c r="V78" s="233" t="s">
        <v>497</v>
      </c>
      <c r="W78" s="172" t="s">
        <v>258</v>
      </c>
      <c r="X78" s="226" t="s">
        <v>498</v>
      </c>
      <c r="Y78" s="172"/>
      <c r="Z78" s="186">
        <v>3.87</v>
      </c>
      <c r="AA78" s="187">
        <f t="shared" si="6"/>
        <v>3854.52</v>
      </c>
      <c r="AB78" s="187">
        <f t="shared" si="7"/>
        <v>29872.53</v>
      </c>
      <c r="AC78" s="101"/>
      <c r="AD78" s="261" t="s">
        <v>463</v>
      </c>
      <c r="AE78" s="172" t="str">
        <f>IFERROR(VLOOKUP(H78,名称!A:C,3,0),"")</f>
        <v>FNT</v>
      </c>
      <c r="AF78" s="261" t="str">
        <f t="shared" si="8"/>
        <v>IMPORT SERVICES</v>
      </c>
      <c r="AG78" s="261" t="str">
        <f t="shared" si="9"/>
        <v>英国</v>
      </c>
    </row>
    <row r="79" s="168" customFormat="1" customHeight="1" spans="1:33">
      <c r="A79" s="74">
        <v>46123</v>
      </c>
      <c r="B79" s="181" t="s">
        <v>616</v>
      </c>
      <c r="C79" s="172" t="s">
        <v>396</v>
      </c>
      <c r="D79" s="173" t="s">
        <v>617</v>
      </c>
      <c r="E79" s="172" t="s">
        <v>246</v>
      </c>
      <c r="F79" s="172" t="s">
        <v>369</v>
      </c>
      <c r="G79" s="172" t="s">
        <v>370</v>
      </c>
      <c r="H79" s="172" t="s">
        <v>148</v>
      </c>
      <c r="I79" s="221">
        <f>IFERROR(VLOOKUP(H79,名称!A:C,2,0),"")</f>
        <v>0</v>
      </c>
      <c r="J79" s="175">
        <v>14</v>
      </c>
      <c r="K79" s="175">
        <f>VLOOKUP(H79,名称!A:D,4,0)</f>
        <v>6</v>
      </c>
      <c r="L79" s="203">
        <f t="shared" si="5"/>
        <v>2.33333333333333</v>
      </c>
      <c r="M79" s="183">
        <v>46204</v>
      </c>
      <c r="N79" s="183">
        <v>46204</v>
      </c>
      <c r="O79" s="183"/>
      <c r="P79" s="74" t="s">
        <v>428</v>
      </c>
      <c r="Q79" s="172"/>
      <c r="R79" s="172"/>
      <c r="S79" s="173"/>
      <c r="T79" s="173" t="s">
        <v>431</v>
      </c>
      <c r="U79" s="180"/>
      <c r="V79" s="172" t="s">
        <v>471</v>
      </c>
      <c r="W79" s="180" t="s">
        <v>255</v>
      </c>
      <c r="X79" s="285" t="s">
        <v>618</v>
      </c>
      <c r="Y79" s="172"/>
      <c r="Z79" s="186">
        <v>2.69</v>
      </c>
      <c r="AA79" s="187">
        <f t="shared" si="6"/>
        <v>37.66</v>
      </c>
      <c r="AB79" s="187">
        <f t="shared" si="7"/>
        <v>291.87</v>
      </c>
      <c r="AC79" s="101"/>
      <c r="AD79" s="172" t="s">
        <v>464</v>
      </c>
      <c r="AE79" s="172" t="str">
        <f>IFERROR(VLOOKUP(H79,名称!A:C,3,0),"")</f>
        <v>FNT</v>
      </c>
      <c r="AF79" s="172" t="str">
        <f t="shared" si="8"/>
        <v>Jazwares, LLC</v>
      </c>
      <c r="AG79" s="172" t="str">
        <f t="shared" si="9"/>
        <v>美国</v>
      </c>
    </row>
    <row r="80" s="194" customFormat="1" ht="24.9" customHeight="1" spans="1:33">
      <c r="A80" s="286">
        <v>46013</v>
      </c>
      <c r="B80" s="287" t="s">
        <v>619</v>
      </c>
      <c r="C80" s="288" t="s">
        <v>396</v>
      </c>
      <c r="D80" s="289" t="s">
        <v>427</v>
      </c>
      <c r="E80" s="290" t="s">
        <v>259</v>
      </c>
      <c r="F80" s="291" t="s">
        <v>249</v>
      </c>
      <c r="G80" s="288" t="s">
        <v>307</v>
      </c>
      <c r="H80" s="288" t="s">
        <v>222</v>
      </c>
      <c r="I80" s="292" t="str">
        <f>IFERROR(VLOOKUP(H80,名称!A:C,2,0),"")</f>
        <v>蜘蛛侠配蜘蛛网套装</v>
      </c>
      <c r="J80" s="293">
        <f>1752</f>
        <v>1752</v>
      </c>
      <c r="K80" s="293">
        <f>VLOOKUP(H80,名称!A:D,4,0)</f>
        <v>6</v>
      </c>
      <c r="L80" s="294">
        <f t="shared" si="5"/>
        <v>292</v>
      </c>
      <c r="M80" s="295">
        <v>46288</v>
      </c>
      <c r="N80" s="295">
        <v>46288</v>
      </c>
      <c r="O80" s="296"/>
      <c r="P80" s="297" t="s">
        <v>428</v>
      </c>
      <c r="Q80" s="288"/>
      <c r="R80" s="288"/>
      <c r="S80" s="289" t="s">
        <v>556</v>
      </c>
      <c r="T80" s="289" t="s">
        <v>431</v>
      </c>
      <c r="U80" s="288"/>
      <c r="V80" s="298"/>
      <c r="W80" s="288" t="s">
        <v>276</v>
      </c>
      <c r="X80" s="288"/>
      <c r="Y80" s="288"/>
      <c r="Z80" s="299">
        <v>4.28</v>
      </c>
      <c r="AA80" s="300">
        <f t="shared" si="6"/>
        <v>7498.56</v>
      </c>
      <c r="AB80" s="300">
        <f t="shared" si="7"/>
        <v>58113.84</v>
      </c>
      <c r="AC80" s="301"/>
      <c r="AD80" s="291" t="s">
        <v>434</v>
      </c>
      <c r="AE80" s="288" t="str">
        <f>IFERROR(VLOOKUP(H80,名称!A:C,3,0),"")</f>
        <v>SNF</v>
      </c>
      <c r="AF80" s="302" t="str">
        <f t="shared" si="8"/>
        <v>JAZWARES - AMAZON US ECOM DTR</v>
      </c>
      <c r="AG80" s="303" t="str">
        <f t="shared" si="9"/>
        <v>美国</v>
      </c>
    </row>
    <row r="81" s="168" customFormat="1" customHeight="1" spans="1:33">
      <c r="A81" s="257"/>
      <c r="B81" s="304"/>
      <c r="C81" s="180"/>
      <c r="D81" s="228"/>
      <c r="E81" s="305"/>
      <c r="F81" s="180"/>
      <c r="G81" s="180"/>
      <c r="H81" s="180"/>
      <c r="I81" s="267"/>
      <c r="J81" s="268"/>
      <c r="K81" s="268"/>
      <c r="L81" s="269"/>
      <c r="M81" s="254"/>
      <c r="N81" s="254"/>
      <c r="O81" s="254"/>
      <c r="P81" s="257"/>
      <c r="Q81" s="180"/>
      <c r="R81" s="180"/>
      <c r="S81" s="228"/>
      <c r="T81" s="228"/>
      <c r="U81" s="180"/>
      <c r="V81" s="306"/>
      <c r="W81" s="180"/>
      <c r="X81" s="180"/>
      <c r="Y81" s="180"/>
      <c r="Z81" s="266"/>
      <c r="AA81" s="270">
        <f t="shared" si="6"/>
        <v>0</v>
      </c>
      <c r="AB81" s="270">
        <f t="shared" si="7"/>
        <v>0</v>
      </c>
      <c r="AC81" s="271"/>
      <c r="AD81" s="180"/>
      <c r="AE81" s="180" t="str">
        <f>IFERROR(VLOOKUP(H81,名称!A:C,3,0),"")</f>
        <v/>
      </c>
      <c r="AF81" s="180">
        <f t="shared" si="8"/>
        <v>0</v>
      </c>
      <c r="AG81" s="180">
        <f t="shared" si="9"/>
        <v>0</v>
      </c>
    </row>
    <row r="82" s="168" customFormat="1" customHeight="1" spans="1:33">
      <c r="A82" s="257"/>
      <c r="B82" s="304"/>
      <c r="C82" s="180"/>
      <c r="D82" s="228"/>
      <c r="E82" s="305"/>
      <c r="F82" s="180"/>
      <c r="G82" s="180"/>
      <c r="H82" s="180"/>
      <c r="I82" s="267"/>
      <c r="J82" s="268"/>
      <c r="K82" s="268"/>
      <c r="L82" s="269"/>
      <c r="M82" s="254"/>
      <c r="N82" s="254"/>
      <c r="O82" s="254"/>
      <c r="P82" s="257"/>
      <c r="Q82" s="180"/>
      <c r="R82" s="180"/>
      <c r="S82" s="228"/>
      <c r="T82" s="228"/>
      <c r="U82" s="180"/>
      <c r="V82" s="306"/>
      <c r="W82" s="180"/>
      <c r="X82" s="180"/>
      <c r="Y82" s="180"/>
      <c r="Z82" s="266"/>
      <c r="AA82" s="270">
        <f t="shared" si="6"/>
        <v>0</v>
      </c>
      <c r="AB82" s="270">
        <f t="shared" si="7"/>
        <v>0</v>
      </c>
      <c r="AC82" s="271"/>
      <c r="AD82" s="180"/>
      <c r="AE82" s="180" t="str">
        <f>IFERROR(VLOOKUP(H82,名称!A:C,3,0),"")</f>
        <v/>
      </c>
      <c r="AF82" s="180">
        <f t="shared" si="8"/>
        <v>0</v>
      </c>
      <c r="AG82" s="180">
        <f t="shared" si="9"/>
        <v>0</v>
      </c>
    </row>
    <row r="83" s="168" customFormat="1" customHeight="1" spans="1:33">
      <c r="A83" s="257"/>
      <c r="B83" s="304"/>
      <c r="C83" s="180"/>
      <c r="D83" s="228"/>
      <c r="E83" s="305"/>
      <c r="F83" s="180"/>
      <c r="G83" s="180"/>
      <c r="H83" s="180"/>
      <c r="I83" s="267"/>
      <c r="J83" s="268"/>
      <c r="K83" s="307"/>
      <c r="L83" s="268"/>
      <c r="M83" s="269"/>
      <c r="N83" s="254"/>
      <c r="O83" s="254"/>
      <c r="P83" s="257"/>
      <c r="Q83" s="180"/>
      <c r="R83" s="180"/>
      <c r="S83" s="228"/>
      <c r="T83" s="228"/>
      <c r="U83" s="180"/>
      <c r="V83" s="306"/>
      <c r="W83" s="180"/>
      <c r="X83" s="180"/>
      <c r="Y83" s="180"/>
      <c r="Z83" s="266"/>
      <c r="AA83" s="270">
        <f t="shared" si="6"/>
        <v>0</v>
      </c>
      <c r="AB83" s="270">
        <f t="shared" si="7"/>
        <v>0</v>
      </c>
      <c r="AC83" s="271"/>
      <c r="AD83" s="180"/>
      <c r="AE83" s="180" t="str">
        <f>IFERROR(VLOOKUP(H83,名称!A:C,3,0),"")</f>
        <v/>
      </c>
      <c r="AF83" s="180">
        <f t="shared" si="8"/>
        <v>0</v>
      </c>
      <c r="AG83" s="180">
        <f t="shared" si="9"/>
        <v>0</v>
      </c>
    </row>
    <row r="84" s="168" customFormat="1" customHeight="1" spans="1:33">
      <c r="A84" s="257"/>
      <c r="B84" s="304"/>
      <c r="C84" s="180"/>
      <c r="D84" s="228"/>
      <c r="E84" s="305"/>
      <c r="F84" s="180"/>
      <c r="G84" s="180"/>
      <c r="H84" s="180"/>
      <c r="I84" s="267"/>
      <c r="J84" s="268"/>
      <c r="K84" s="268"/>
      <c r="L84" s="269"/>
      <c r="M84" s="254"/>
      <c r="N84" s="254"/>
      <c r="O84" s="254"/>
      <c r="P84" s="257"/>
      <c r="Q84" s="180"/>
      <c r="R84" s="180"/>
      <c r="S84" s="228"/>
      <c r="T84" s="228"/>
      <c r="U84" s="180"/>
      <c r="V84" s="306"/>
      <c r="W84" s="180"/>
      <c r="X84" s="180"/>
      <c r="Y84" s="180"/>
      <c r="Z84" s="266"/>
      <c r="AA84" s="270">
        <f t="shared" si="6"/>
        <v>0</v>
      </c>
      <c r="AB84" s="270">
        <f t="shared" si="7"/>
        <v>0</v>
      </c>
      <c r="AC84" s="271"/>
      <c r="AD84" s="180"/>
      <c r="AE84" s="180" t="str">
        <f>IFERROR(VLOOKUP(H84,名称!A:C,3,0),"")</f>
        <v/>
      </c>
      <c r="AF84" s="180">
        <f t="shared" si="8"/>
        <v>0</v>
      </c>
      <c r="AG84" s="180">
        <f t="shared" si="9"/>
        <v>0</v>
      </c>
    </row>
    <row r="85" s="168" customFormat="1" customHeight="1" spans="1:33">
      <c r="A85" s="257"/>
      <c r="B85" s="304"/>
      <c r="C85" s="180"/>
      <c r="D85" s="228"/>
      <c r="E85" s="305"/>
      <c r="F85" s="180"/>
      <c r="G85" s="180"/>
      <c r="H85" s="180"/>
      <c r="I85" s="267"/>
      <c r="J85" s="268"/>
      <c r="K85" s="268"/>
      <c r="L85" s="269"/>
      <c r="M85" s="254"/>
      <c r="N85" s="254"/>
      <c r="O85" s="254"/>
      <c r="P85" s="257"/>
      <c r="Q85" s="180"/>
      <c r="R85" s="180"/>
      <c r="S85" s="228"/>
      <c r="T85" s="228"/>
      <c r="U85" s="180"/>
      <c r="V85" s="306"/>
      <c r="W85" s="180"/>
      <c r="X85" s="180"/>
      <c r="Y85" s="180"/>
      <c r="Z85" s="266"/>
      <c r="AA85" s="270">
        <f t="shared" si="6"/>
        <v>0</v>
      </c>
      <c r="AB85" s="270">
        <f t="shared" si="7"/>
        <v>0</v>
      </c>
      <c r="AC85" s="271"/>
      <c r="AD85" s="180"/>
      <c r="AE85" s="180" t="str">
        <f>IFERROR(VLOOKUP(H85,名称!A:C,3,0),"")</f>
        <v/>
      </c>
      <c r="AF85" s="265">
        <f t="shared" si="8"/>
        <v>0</v>
      </c>
      <c r="AG85" s="265">
        <f t="shared" si="9"/>
        <v>0</v>
      </c>
    </row>
    <row r="86" s="168" customFormat="1" customHeight="1" spans="1:33">
      <c r="A86" s="74"/>
      <c r="B86" s="181"/>
      <c r="C86" s="172"/>
      <c r="D86" s="173"/>
      <c r="E86" s="182"/>
      <c r="F86" s="172"/>
      <c r="G86" s="172"/>
      <c r="H86" s="172"/>
      <c r="I86" s="221"/>
      <c r="J86" s="175"/>
      <c r="K86" s="175"/>
      <c r="L86" s="203"/>
      <c r="M86" s="183"/>
      <c r="N86" s="183"/>
      <c r="O86" s="183"/>
      <c r="P86" s="74"/>
      <c r="Q86" s="172"/>
      <c r="R86" s="172"/>
      <c r="S86" s="173"/>
      <c r="T86" s="173"/>
      <c r="U86" s="172"/>
      <c r="V86" s="223"/>
      <c r="W86" s="172"/>
      <c r="X86" s="172"/>
      <c r="Y86" s="172"/>
      <c r="Z86" s="186"/>
      <c r="AA86" s="187">
        <f t="shared" si="6"/>
        <v>0</v>
      </c>
      <c r="AB86" s="187">
        <f t="shared" si="7"/>
        <v>0</v>
      </c>
      <c r="AC86" s="101"/>
      <c r="AD86" s="172"/>
      <c r="AE86" s="172" t="str">
        <f>IFERROR(VLOOKUP(H86,名称!A:C,3,0),"")</f>
        <v/>
      </c>
      <c r="AF86" s="172">
        <f t="shared" si="8"/>
        <v>0</v>
      </c>
      <c r="AG86" s="172">
        <f t="shared" si="9"/>
        <v>0</v>
      </c>
    </row>
    <row r="87" s="195" customFormat="1" customHeight="1" spans="1:33">
      <c r="A87" s="74"/>
      <c r="B87" s="172"/>
      <c r="C87" s="172"/>
      <c r="D87" s="172"/>
      <c r="E87" s="182"/>
      <c r="F87" s="172"/>
      <c r="G87" s="172"/>
      <c r="H87" s="172"/>
      <c r="I87" s="172" t="s">
        <v>620</v>
      </c>
      <c r="J87" s="175">
        <f>SUM(J2:J86)</f>
        <v>88796</v>
      </c>
      <c r="K87" s="172"/>
      <c r="L87" s="203"/>
      <c r="M87" s="183"/>
      <c r="N87" s="183"/>
      <c r="O87" s="181"/>
      <c r="P87" s="172"/>
      <c r="Q87" s="172"/>
      <c r="R87" s="308"/>
      <c r="S87" s="172"/>
      <c r="T87" s="173"/>
      <c r="U87" s="172"/>
      <c r="V87" s="223"/>
      <c r="W87" s="172"/>
      <c r="X87" s="172"/>
      <c r="Y87" s="172"/>
      <c r="Z87" s="186"/>
      <c r="AA87" s="187">
        <f>SUM(AA2:AA86)</f>
        <v>500405.2</v>
      </c>
      <c r="AB87" s="187">
        <f>SUM(AB2:AB86)</f>
        <v>3878140.36</v>
      </c>
      <c r="AC87" s="204"/>
      <c r="AD87" s="172"/>
      <c r="AE87" s="172"/>
      <c r="AF87" s="172">
        <f t="shared" si="8"/>
        <v>0</v>
      </c>
      <c r="AG87" s="172">
        <f t="shared" si="9"/>
        <v>0</v>
      </c>
    </row>
    <row r="88" s="168" customFormat="1" customHeight="1" spans="1:33">
      <c r="A88" s="196"/>
      <c r="J88" s="197"/>
      <c r="L88" s="198"/>
      <c r="M88" s="196"/>
      <c r="N88" s="199"/>
      <c r="R88" s="309"/>
      <c r="Z88" s="200"/>
      <c r="AA88" s="201"/>
      <c r="AB88" s="201"/>
      <c r="AC88" s="202"/>
    </row>
    <row r="89" s="168" customFormat="1" customHeight="1" spans="1:33">
      <c r="A89" s="196"/>
      <c r="J89" s="197"/>
      <c r="L89" s="198"/>
      <c r="M89" s="196"/>
      <c r="N89" s="199"/>
      <c r="W89" s="307"/>
      <c r="X89" s="168"/>
      <c r="Y89" s="192"/>
      <c r="Z89" s="200"/>
      <c r="AA89" s="201"/>
      <c r="AB89" s="201"/>
      <c r="AC89" s="202"/>
    </row>
    <row r="90" s="168" customFormat="1" customHeight="1" spans="1:33">
      <c r="A90" s="196"/>
      <c r="J90" s="197"/>
      <c r="L90" s="198"/>
      <c r="M90" s="196"/>
      <c r="N90" s="199"/>
      <c r="AC90" s="64"/>
    </row>
    <row r="91" customHeight="1" spans="1:33">
      <c r="A91" s="310" t="s">
        <v>621</v>
      </c>
      <c r="B91" s="311"/>
      <c r="F91" s="312"/>
      <c r="I91" s="196"/>
      <c r="O91" s="168" t="s">
        <v>403</v>
      </c>
    </row>
    <row r="92" customHeight="1" spans="1:33">
      <c r="A92" s="183" t="s">
        <v>622</v>
      </c>
      <c r="B92" s="172" t="s">
        <v>623</v>
      </c>
      <c r="M92" s="313"/>
      <c r="N92" s="196"/>
    </row>
    <row r="93" customHeight="1" spans="1:33">
      <c r="A93" s="314" t="s">
        <v>624</v>
      </c>
      <c r="B93" s="315" t="s">
        <v>625</v>
      </c>
    </row>
    <row r="94" customHeight="1" spans="1:33">
      <c r="A94" s="316" t="s">
        <v>626</v>
      </c>
      <c r="B94" s="317" t="s">
        <v>627</v>
      </c>
    </row>
    <row r="95" customHeight="1" spans="1:33">
      <c r="A95" s="318" t="s">
        <v>628</v>
      </c>
      <c r="B95" s="318" t="s">
        <v>629</v>
      </c>
      <c r="F95" s="309" t="s">
        <v>630</v>
      </c>
    </row>
    <row r="96" customHeight="1" spans="1:33">
      <c r="A96" s="112" t="s">
        <v>631</v>
      </c>
      <c r="B96" s="114" t="s">
        <v>632</v>
      </c>
    </row>
    <row r="97" customHeight="1" spans="1:13">
      <c r="A97" s="93" t="s">
        <v>633</v>
      </c>
      <c r="B97" s="85" t="s">
        <v>634</v>
      </c>
      <c r="G97" s="307"/>
      <c r="M97" s="313"/>
    </row>
    <row r="98" customHeight="1" spans="1:13">
      <c r="M98" s="313"/>
    </row>
    <row r="99" customHeight="1" spans="1:13">
      <c r="M99" s="313"/>
    </row>
    <row r="100" customHeight="1" spans="1:13">
      <c r="M100" s="313"/>
    </row>
    <row r="101" customHeight="1" spans="1:13">
      <c r="M101" s="313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T$1:U$1048576" name="Range2"/>
  </protectedRanges>
  <autoFilter xmlns:etc="http://www.wps.cn/officeDocument/2017/etCustomData" ref="A1:AG87" etc:filterBottomFollowUsedRange="0">
    <sortState ref="A1:AG87">
      <sortCondition ref="A1"/>
    </sortState>
    <extLst/>
  </autoFilter>
  <conditionalFormatting sqref="B8">
    <cfRule type="containsText" dxfId="0" priority="173" operator="between" text="TARGET">
      <formula>NOT(ISERROR(SEARCH("TARGET",B8)))</formula>
    </cfRule>
  </conditionalFormatting>
  <conditionalFormatting sqref="B9">
    <cfRule type="containsText" dxfId="0" priority="140" operator="between" text="TARGET">
      <formula>NOT(ISERROR(SEARCH("TARGET",B9)))</formula>
    </cfRule>
  </conditionalFormatting>
  <conditionalFormatting sqref="B10">
    <cfRule type="containsText" dxfId="0" priority="104" operator="between" text="TARGET">
      <formula>NOT(ISERROR(SEARCH("TARGET",B10)))</formula>
    </cfRule>
  </conditionalFormatting>
  <conditionalFormatting sqref="B11">
    <cfRule type="containsText" dxfId="0" priority="234" operator="between" text="TARGET">
      <formula>NOT(ISERROR(SEARCH("TARGET",B11)))</formula>
    </cfRule>
  </conditionalFormatting>
  <conditionalFormatting sqref="B14">
    <cfRule type="containsText" dxfId="0" priority="164" operator="between" text="TARGET">
      <formula>NOT(ISERROR(SEARCH("TARGET",B14)))</formula>
    </cfRule>
  </conditionalFormatting>
  <conditionalFormatting sqref="B15">
    <cfRule type="containsText" dxfId="0" priority="137" operator="between" text="TARGET">
      <formula>NOT(ISERROR(SEARCH("TARGET",B15)))</formula>
    </cfRule>
  </conditionalFormatting>
  <conditionalFormatting sqref="B16">
    <cfRule type="containsText" dxfId="0" priority="216" operator="between" text="TARGET">
      <formula>NOT(ISERROR(SEARCH("TARGET",B16)))</formula>
    </cfRule>
  </conditionalFormatting>
  <conditionalFormatting sqref="B17">
    <cfRule type="containsText" dxfId="0" priority="209" operator="between" text="TARGET">
      <formula>NOT(ISERROR(SEARCH("TARGET",B17)))</formula>
    </cfRule>
  </conditionalFormatting>
  <conditionalFormatting sqref="B20">
    <cfRule type="containsText" dxfId="0" priority="124" operator="between" text="TARGET">
      <formula>NOT(ISERROR(SEARCH("TARGET",B20)))</formula>
    </cfRule>
  </conditionalFormatting>
  <conditionalFormatting sqref="B23">
    <cfRule type="containsText" dxfId="0" priority="98" operator="between" text="TARGET">
      <formula>NOT(ISERROR(SEARCH("TARGET",B23)))</formula>
    </cfRule>
  </conditionalFormatting>
  <conditionalFormatting sqref="B24">
    <cfRule type="containsText" dxfId="0" priority="96" operator="between" text="TARGET">
      <formula>NOT(ISERROR(SEARCH("TARGET",B24)))</formula>
    </cfRule>
  </conditionalFormatting>
  <conditionalFormatting sqref="B25">
    <cfRule type="containsText" dxfId="0" priority="99" operator="between" text="TARGET">
      <formula>NOT(ISERROR(SEARCH("TARGET",B25)))</formula>
    </cfRule>
  </conditionalFormatting>
  <conditionalFormatting sqref="B26">
    <cfRule type="containsText" dxfId="0" priority="81" operator="between" text="TARGET">
      <formula>NOT(ISERROR(SEARCH("TARGET",B26)))</formula>
    </cfRule>
  </conditionalFormatting>
  <conditionalFormatting sqref="B27">
    <cfRule type="containsText" dxfId="0" priority="93" operator="between" text="TARGET">
      <formula>NOT(ISERROR(SEARCH("TARGET",B27)))</formula>
    </cfRule>
  </conditionalFormatting>
  <conditionalFormatting sqref="B28">
    <cfRule type="containsText" dxfId="0" priority="79" operator="between" text="TARGET">
      <formula>NOT(ISERROR(SEARCH("TARGET",B28)))</formula>
    </cfRule>
  </conditionalFormatting>
  <conditionalFormatting sqref="B29">
    <cfRule type="containsText" dxfId="0" priority="91" operator="between" text="TARGET">
      <formula>NOT(ISERROR(SEARCH("TARGET",B29)))</formula>
    </cfRule>
  </conditionalFormatting>
  <conditionalFormatting sqref="B30">
    <cfRule type="containsText" dxfId="0" priority="71" operator="between" text="TARGET">
      <formula>NOT(ISERROR(SEARCH("TARGET",B30)))</formula>
    </cfRule>
  </conditionalFormatting>
  <conditionalFormatting sqref="B31">
    <cfRule type="containsText" dxfId="0" priority="85" operator="between" text="TARGET">
      <formula>NOT(ISERROR(SEARCH("TARGET",B31)))</formula>
    </cfRule>
  </conditionalFormatting>
  <conditionalFormatting sqref="B37">
    <cfRule type="containsText" dxfId="0" priority="77" operator="between" text="TARGET">
      <formula>NOT(ISERROR(SEARCH("TARGET",B37)))</formula>
    </cfRule>
  </conditionalFormatting>
  <conditionalFormatting sqref="B38">
    <cfRule type="containsText" dxfId="0" priority="60" operator="between" text="TARGET">
      <formula>NOT(ISERROR(SEARCH("TARGET",B38)))</formula>
    </cfRule>
  </conditionalFormatting>
  <conditionalFormatting sqref="B39">
    <cfRule type="containsText" dxfId="0" priority="59" operator="between" text="TARGET">
      <formula>NOT(ISERROR(SEARCH("TARGET",B39)))</formula>
    </cfRule>
  </conditionalFormatting>
  <conditionalFormatting sqref="B40">
    <cfRule type="containsText" dxfId="0" priority="51" operator="between" text="TARGET">
      <formula>NOT(ISERROR(SEARCH("TARGET",B40)))</formula>
    </cfRule>
  </conditionalFormatting>
  <conditionalFormatting sqref="B41">
    <cfRule type="containsText" dxfId="0" priority="43" operator="between" text="TARGET">
      <formula>NOT(ISERROR(SEARCH("TARGET",B41)))</formula>
    </cfRule>
  </conditionalFormatting>
  <conditionalFormatting sqref="B42">
    <cfRule type="containsText" dxfId="0" priority="42" operator="between" text="TARGET">
      <formula>NOT(ISERROR(SEARCH("TARGET",B42)))</formula>
    </cfRule>
  </conditionalFormatting>
  <conditionalFormatting sqref="B43">
    <cfRule type="containsText" dxfId="0" priority="41" operator="between" text="TARGET">
      <formula>NOT(ISERROR(SEARCH("TARGET",B43)))</formula>
    </cfRule>
  </conditionalFormatting>
  <conditionalFormatting sqref="B45">
    <cfRule type="containsText" dxfId="0" priority="36" operator="between" text="TARGET">
      <formula>NOT(ISERROR(SEARCH("TARGET",B45)))</formula>
    </cfRule>
  </conditionalFormatting>
  <conditionalFormatting sqref="B47">
    <cfRule type="containsText" dxfId="0" priority="37" operator="between" text="TARGET">
      <formula>NOT(ISERROR(SEARCH("TARGET",B47)))</formula>
    </cfRule>
  </conditionalFormatting>
  <conditionalFormatting sqref="B48">
    <cfRule type="containsText" dxfId="0" priority="35" operator="between" text="TARGET">
      <formula>NOT(ISERROR(SEARCH("TARGET",B48)))</formula>
    </cfRule>
  </conditionalFormatting>
  <conditionalFormatting sqref="B56">
    <cfRule type="containsText" dxfId="0" priority="27" operator="between" text="TARGET">
      <formula>NOT(ISERROR(SEARCH("TARGET",B56)))</formula>
    </cfRule>
  </conditionalFormatting>
  <conditionalFormatting sqref="B57">
    <cfRule type="containsText" dxfId="0" priority="25" operator="between" text="TARGET">
      <formula>NOT(ISERROR(SEARCH("TARGET",B57)))</formula>
    </cfRule>
  </conditionalFormatting>
  <conditionalFormatting sqref="B58">
    <cfRule type="containsText" dxfId="0" priority="20" operator="between" text="TARGET">
      <formula>NOT(ISERROR(SEARCH("TARGET",B58)))</formula>
    </cfRule>
  </conditionalFormatting>
  <conditionalFormatting sqref="B59">
    <cfRule type="containsText" dxfId="0" priority="22" operator="between" text="TARGET">
      <formula>NOT(ISERROR(SEARCH("TARGET",B59)))</formula>
    </cfRule>
  </conditionalFormatting>
  <conditionalFormatting sqref="B60">
    <cfRule type="containsText" dxfId="0" priority="18" operator="between" text="TARGET">
      <formula>NOT(ISERROR(SEARCH("TARGET",B60)))</formula>
    </cfRule>
  </conditionalFormatting>
  <conditionalFormatting sqref="B61">
    <cfRule type="containsText" dxfId="0" priority="19" operator="between" text="TARGET">
      <formula>NOT(ISERROR(SEARCH("TARGET",B61)))</formula>
    </cfRule>
  </conditionalFormatting>
  <conditionalFormatting sqref="B62">
    <cfRule type="containsText" dxfId="0" priority="16" operator="between" text="TARGET">
      <formula>NOT(ISERROR(SEARCH("TARGET",B62)))</formula>
    </cfRule>
  </conditionalFormatting>
  <conditionalFormatting sqref="B63">
    <cfRule type="containsText" dxfId="0" priority="17" operator="between" text="TARGET">
      <formula>NOT(ISERROR(SEARCH("TARGET",B63)))</formula>
    </cfRule>
  </conditionalFormatting>
  <conditionalFormatting sqref="B64">
    <cfRule type="containsText" dxfId="0" priority="12" operator="between" text="TARGET">
      <formula>NOT(ISERROR(SEARCH("TARGET",B64)))</formula>
    </cfRule>
  </conditionalFormatting>
  <conditionalFormatting sqref="B65">
    <cfRule type="containsText" dxfId="0" priority="10" operator="between" text="TARGET">
      <formula>NOT(ISERROR(SEARCH("TARGET",B65)))</formula>
    </cfRule>
  </conditionalFormatting>
  <conditionalFormatting sqref="B66">
    <cfRule type="containsText" dxfId="0" priority="8" operator="between" text="TARGET">
      <formula>NOT(ISERROR(SEARCH("TARGET",B66)))</formula>
    </cfRule>
  </conditionalFormatting>
  <conditionalFormatting sqref="B67">
    <cfRule type="containsText" dxfId="0" priority="6" operator="between" text="TARGET">
      <formula>NOT(ISERROR(SEARCH("TARGET",B67)))</formula>
    </cfRule>
  </conditionalFormatting>
  <conditionalFormatting sqref="B68">
    <cfRule type="containsText" dxfId="0" priority="5" operator="between" text="TARGET">
      <formula>NOT(ISERROR(SEARCH("TARGET",B68)))</formula>
    </cfRule>
  </conditionalFormatting>
  <conditionalFormatting sqref="B69">
    <cfRule type="containsText" dxfId="0" priority="56" operator="between" text="TARGET">
      <formula>NOT(ISERROR(SEARCH("TARGET",B69)))</formula>
    </cfRule>
  </conditionalFormatting>
  <conditionalFormatting sqref="B70">
    <cfRule type="containsText" dxfId="0" priority="3" operator="between" text="TARGET">
      <formula>NOT(ISERROR(SEARCH("TARGET",B70)))</formula>
    </cfRule>
  </conditionalFormatting>
  <conditionalFormatting sqref="B80">
    <cfRule type="containsText" dxfId="0" priority="1" operator="between" text="TARGET">
      <formula>NOT(ISERROR(SEARCH("TARGET",B80)))</formula>
    </cfRule>
  </conditionalFormatting>
  <conditionalFormatting sqref="B12:B13">
    <cfRule type="containsText" dxfId="0" priority="168" operator="between" text="TARGET">
      <formula>NOT(ISERROR(SEARCH("TARGET",B12)))</formula>
    </cfRule>
  </conditionalFormatting>
  <conditionalFormatting sqref="B18:B19">
    <cfRule type="containsText" dxfId="0" priority="138" operator="between" text="TARGET">
      <formula>NOT(ISERROR(SEARCH("TARGET",B18)))</formula>
    </cfRule>
  </conditionalFormatting>
  <conditionalFormatting sqref="B21:B22">
    <cfRule type="containsText" dxfId="0" priority="117" operator="between" text="TARGET">
      <formula>NOT(ISERROR(SEARCH("TARGET",B21)))</formula>
    </cfRule>
  </conditionalFormatting>
  <conditionalFormatting sqref="B32:B33">
    <cfRule type="containsText" dxfId="0" priority="82" operator="between" text="TARGET">
      <formula>NOT(ISERROR(SEARCH("TARGET",B32)))</formula>
    </cfRule>
  </conditionalFormatting>
  <conditionalFormatting sqref="B34:B36">
    <cfRule type="containsText" dxfId="0" priority="74" operator="between" text="TARGET">
      <formula>NOT(ISERROR(SEARCH("TARGET",B34)))</formula>
    </cfRule>
  </conditionalFormatting>
  <conditionalFormatting sqref="B49:B53">
    <cfRule type="containsText" dxfId="0" priority="34" operator="between" text="TARGET">
      <formula>NOT(ISERROR(SEARCH("TARGET",B49)))</formula>
    </cfRule>
  </conditionalFormatting>
  <conditionalFormatting sqref="B54:B55">
    <cfRule type="containsText" dxfId="0" priority="31" operator="between" text="TARGET">
      <formula>NOT(ISERROR(SEARCH("TARGET",B54)))</formula>
    </cfRule>
  </conditionalFormatting>
  <conditionalFormatting sqref="B1:B7 B86:B1048576">
    <cfRule type="containsText" dxfId="0" priority="258" operator="between" text="TARGET">
      <formula>NOT(ISERROR(SEARCH("TARGET",B1)))</formula>
    </cfRule>
  </conditionalFormatting>
  <conditionalFormatting sqref="B44 B46">
    <cfRule type="containsText" dxfId="0" priority="47" operator="between" text="TARGET">
      <formula>NOT(ISERROR(SEARCH("TARGET",B44)))</formula>
    </cfRule>
  </conditionalFormatting>
  <conditionalFormatting sqref="B72:B79 B81:B85">
    <cfRule type="containsText" dxfId="0" priority="32" operator="between" text="TARGET">
      <formula>NOT(ISERROR(SEARCH("TARGET",B72)))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5"/>
  <sheetViews>
    <sheetView workbookViewId="0">
      <pane xSplit="10" ySplit="1" topLeftCell="X4" activePane="bottomRight" state="frozen"/>
      <selection/>
      <selection pane="topRight"/>
      <selection pane="bottomLeft"/>
      <selection pane="bottomRight" activeCell="X24" sqref="X24"/>
    </sheetView>
  </sheetViews>
  <sheetFormatPr defaultColWidth="9" defaultRowHeight="24.9" customHeight="1"/>
  <cols>
    <col min="1" max="2" width="12.6" style="45" customWidth="1"/>
    <col min="3" max="3" width="8.625" style="45" customWidth="1"/>
    <col min="4" max="4" width="6.625" style="45" customWidth="1"/>
    <col min="5" max="5" width="5.6" style="45" customWidth="1"/>
    <col min="6" max="6" width="10.6" style="45" customWidth="1"/>
    <col min="7" max="8" width="12.6" style="45" customWidth="1"/>
    <col min="9" max="9" width="15.625" style="45" customWidth="1"/>
    <col min="10" max="10" width="6.625" style="169" customWidth="1"/>
    <col min="11" max="12" width="5.6" style="169" customWidth="1"/>
    <col min="13" max="15" width="12.6" style="45" customWidth="1"/>
    <col min="16" max="17" width="8.6" style="45" customWidth="1"/>
    <col min="18" max="18" width="14.2" style="45" customWidth="1"/>
    <col min="19" max="19" width="12.625" style="45" customWidth="1"/>
    <col min="20" max="22" width="8.6" style="45" customWidth="1"/>
    <col min="23" max="23" width="15.625" style="45" customWidth="1"/>
    <col min="24" max="24" width="18.3" style="45" customWidth="1"/>
    <col min="25" max="25" width="15.6" style="45" customWidth="1"/>
    <col min="26" max="26" width="8.6" style="68" customWidth="1"/>
    <col min="27" max="28" width="12.6" style="69" customWidth="1"/>
    <col min="29" max="29" width="8.6" style="170" customWidth="1"/>
    <col min="30" max="30" width="8.6" style="45" customWidth="1"/>
    <col min="31" max="31" width="5.6" style="45" customWidth="1"/>
    <col min="32" max="32" width="8.625" style="45" customWidth="1"/>
    <col min="33" max="33" width="9" style="45" customWidth="1"/>
    <col min="34" max="16384" width="9" style="45"/>
  </cols>
  <sheetData>
    <row r="1" s="167" customFormat="1" customHeight="1" spans="1:33">
      <c r="A1" s="56" t="s">
        <v>231</v>
      </c>
      <c r="B1" s="56" t="s">
        <v>407</v>
      </c>
      <c r="C1" s="56" t="s">
        <v>408</v>
      </c>
      <c r="D1" s="56" t="s">
        <v>409</v>
      </c>
      <c r="E1" s="56" t="s">
        <v>410</v>
      </c>
      <c r="F1" s="56" t="s">
        <v>234</v>
      </c>
      <c r="G1" s="56" t="s">
        <v>235</v>
      </c>
      <c r="H1" s="56" t="s">
        <v>236</v>
      </c>
      <c r="I1" s="56" t="s">
        <v>411</v>
      </c>
      <c r="J1" s="171" t="s">
        <v>237</v>
      </c>
      <c r="K1" s="56" t="s">
        <v>3</v>
      </c>
      <c r="L1" s="56" t="s">
        <v>412</v>
      </c>
      <c r="M1" s="56" t="s">
        <v>413</v>
      </c>
      <c r="N1" s="56" t="s">
        <v>232</v>
      </c>
      <c r="O1" s="56" t="s">
        <v>414</v>
      </c>
      <c r="P1" s="56" t="s">
        <v>415</v>
      </c>
      <c r="Q1" s="56" t="s">
        <v>416</v>
      </c>
      <c r="R1" s="56" t="s">
        <v>417</v>
      </c>
      <c r="S1" s="56" t="s">
        <v>418</v>
      </c>
      <c r="T1" s="56" t="s">
        <v>419</v>
      </c>
      <c r="U1" s="56" t="s">
        <v>420</v>
      </c>
      <c r="V1" s="56" t="s">
        <v>635</v>
      </c>
      <c r="W1" s="56" t="s">
        <v>238</v>
      </c>
      <c r="X1" s="56" t="s">
        <v>422</v>
      </c>
      <c r="Y1" s="56" t="s">
        <v>423</v>
      </c>
      <c r="Z1" s="71" t="s">
        <v>243</v>
      </c>
      <c r="AA1" s="72" t="s">
        <v>244</v>
      </c>
      <c r="AB1" s="72" t="s">
        <v>245</v>
      </c>
      <c r="AC1" s="106" t="s">
        <v>424</v>
      </c>
      <c r="AD1" s="56" t="s">
        <v>425</v>
      </c>
      <c r="AE1" s="56" t="s">
        <v>239</v>
      </c>
      <c r="AF1" s="56" t="str">
        <f t="shared" ref="AF1:AF15" si="0">B1</f>
        <v>第三客户名称</v>
      </c>
      <c r="AG1" s="172" t="str">
        <f t="shared" ref="AG1:AG15" si="1">C1</f>
        <v>国家</v>
      </c>
    </row>
    <row r="2" s="167" customFormat="1" customHeight="1" spans="1:33">
      <c r="A2" s="74">
        <v>45947</v>
      </c>
      <c r="B2" s="13" t="s">
        <v>636</v>
      </c>
      <c r="C2" s="172" t="s">
        <v>396</v>
      </c>
      <c r="D2" s="173" t="s">
        <v>427</v>
      </c>
      <c r="E2" s="172" t="s">
        <v>246</v>
      </c>
      <c r="F2" s="14">
        <v>10001441544</v>
      </c>
      <c r="G2" s="14" t="s">
        <v>274</v>
      </c>
      <c r="H2" s="14" t="s">
        <v>205</v>
      </c>
      <c r="I2" s="174" t="str">
        <f>IFERROR(VLOOKUP(H2,名称!A:C,2,0),"")</f>
        <v>蜘蛛侠喷水公仔5只装</v>
      </c>
      <c r="J2" s="171">
        <f>4101-1200+399-501</f>
        <v>2799</v>
      </c>
      <c r="K2" s="175">
        <f>VLOOKUP(H2,名称!A:D,4,0)</f>
        <v>3</v>
      </c>
      <c r="L2" s="14">
        <f>J2/K2</f>
        <v>933</v>
      </c>
      <c r="M2" s="56">
        <v>45964</v>
      </c>
      <c r="N2" s="56">
        <v>45853</v>
      </c>
      <c r="O2" s="56"/>
      <c r="P2" s="176" t="s">
        <v>428</v>
      </c>
      <c r="Q2" s="14"/>
      <c r="R2" s="14" t="s">
        <v>637</v>
      </c>
      <c r="S2" s="173" t="s">
        <v>445</v>
      </c>
      <c r="T2" s="173" t="s">
        <v>453</v>
      </c>
      <c r="U2" s="14" t="s">
        <v>638</v>
      </c>
      <c r="V2" s="177"/>
      <c r="W2" s="172" t="s">
        <v>258</v>
      </c>
      <c r="X2" s="14"/>
      <c r="Y2" s="14" t="s">
        <v>639</v>
      </c>
      <c r="Z2" s="71">
        <v>3.64</v>
      </c>
      <c r="AA2" s="72">
        <f t="shared" ref="AA2:AA14" si="2">J2*Z2</f>
        <v>10188.36</v>
      </c>
      <c r="AB2" s="72">
        <f t="shared" ref="AB2:AB14" si="3">AA2*7.75</f>
        <v>78959.79</v>
      </c>
      <c r="AC2" s="178"/>
      <c r="AD2" s="172" t="s">
        <v>434</v>
      </c>
      <c r="AE2" s="172" t="str">
        <f>IFERROR(VLOOKUP(H2,名称!A:C,3,0),"")</f>
        <v>SNF</v>
      </c>
      <c r="AF2" s="179" t="str">
        <f t="shared" si="0"/>
        <v>TARGET IMPORT</v>
      </c>
      <c r="AG2" s="180" t="str">
        <f t="shared" si="1"/>
        <v>美国</v>
      </c>
    </row>
    <row r="3" s="167" customFormat="1" customHeight="1" spans="1:33">
      <c r="A3" s="74">
        <v>46009</v>
      </c>
      <c r="B3" s="181" t="s">
        <v>636</v>
      </c>
      <c r="C3" s="172" t="s">
        <v>396</v>
      </c>
      <c r="D3" s="173" t="s">
        <v>427</v>
      </c>
      <c r="E3" s="182" t="s">
        <v>246</v>
      </c>
      <c r="F3" s="14">
        <v>10001431532</v>
      </c>
      <c r="G3" s="14" t="s">
        <v>274</v>
      </c>
      <c r="H3" s="14" t="s">
        <v>205</v>
      </c>
      <c r="I3" s="174" t="str">
        <f>IFERROR(VLOOKUP(H3,名称!A:C,2,0),"")</f>
        <v>蜘蛛侠喷水公仔5只装</v>
      </c>
      <c r="J3" s="171">
        <v>1200</v>
      </c>
      <c r="K3" s="175">
        <f>VLOOKUP(H3,名称!A:D,4,0)</f>
        <v>3</v>
      </c>
      <c r="L3" s="14">
        <f>J3/K3</f>
        <v>400</v>
      </c>
      <c r="M3" s="183">
        <v>46125</v>
      </c>
      <c r="N3" s="56">
        <v>45853</v>
      </c>
      <c r="O3" s="56"/>
      <c r="P3" s="176" t="s">
        <v>428</v>
      </c>
      <c r="Q3" s="14"/>
      <c r="R3" s="172" t="s">
        <v>640</v>
      </c>
      <c r="S3" s="173" t="s">
        <v>445</v>
      </c>
      <c r="T3" s="173" t="s">
        <v>453</v>
      </c>
      <c r="U3" s="14" t="s">
        <v>638</v>
      </c>
      <c r="V3" s="172"/>
      <c r="W3" s="172" t="s">
        <v>258</v>
      </c>
      <c r="X3" s="14"/>
      <c r="Y3" s="14" t="s">
        <v>639</v>
      </c>
      <c r="Z3" s="71">
        <v>3.64</v>
      </c>
      <c r="AA3" s="72">
        <f t="shared" si="2"/>
        <v>4368</v>
      </c>
      <c r="AB3" s="72">
        <f t="shared" si="3"/>
        <v>33852</v>
      </c>
      <c r="AC3" s="178"/>
      <c r="AD3" s="172" t="s">
        <v>434</v>
      </c>
      <c r="AE3" s="172" t="str">
        <f>IFERROR(VLOOKUP(H3,名称!A:C,3,0),"")</f>
        <v>SNF</v>
      </c>
      <c r="AF3" s="179" t="str">
        <f t="shared" si="0"/>
        <v>TARGET IMPORT</v>
      </c>
      <c r="AG3" s="180" t="str">
        <f t="shared" si="1"/>
        <v>美国</v>
      </c>
    </row>
    <row r="4" s="167" customFormat="1" customHeight="1" spans="1:33">
      <c r="A4" s="56">
        <v>46056</v>
      </c>
      <c r="B4" s="13" t="s">
        <v>641</v>
      </c>
      <c r="C4" s="14" t="s">
        <v>642</v>
      </c>
      <c r="D4" s="173" t="s">
        <v>427</v>
      </c>
      <c r="E4" s="182" t="s">
        <v>277</v>
      </c>
      <c r="F4" s="14"/>
      <c r="G4" s="14">
        <v>2500251210</v>
      </c>
      <c r="H4" s="14" t="s">
        <v>127</v>
      </c>
      <c r="I4" s="174" t="str">
        <f>IFERROR(VLOOKUP(H4,名称!A:C,2,0),"")</f>
        <v>混装配比I</v>
      </c>
      <c r="J4" s="171">
        <v>3600</v>
      </c>
      <c r="K4" s="175">
        <f>VLOOKUP(H4,名称!A:D,4,0)</f>
        <v>6</v>
      </c>
      <c r="L4" s="14">
        <f>J4/K4</f>
        <v>600</v>
      </c>
      <c r="M4" s="56">
        <v>46113</v>
      </c>
      <c r="N4" s="56">
        <v>45853</v>
      </c>
      <c r="O4" s="56"/>
      <c r="P4" s="176" t="s">
        <v>428</v>
      </c>
      <c r="Q4" s="14"/>
      <c r="R4" s="14" t="s">
        <v>643</v>
      </c>
      <c r="S4" s="173" t="s">
        <v>556</v>
      </c>
      <c r="T4" s="173" t="s">
        <v>431</v>
      </c>
      <c r="U4" s="14" t="s">
        <v>462</v>
      </c>
      <c r="V4" s="172" t="s">
        <v>471</v>
      </c>
      <c r="W4" s="172" t="s">
        <v>559</v>
      </c>
      <c r="X4" s="184" t="s">
        <v>644</v>
      </c>
      <c r="Y4" s="172" t="s">
        <v>474</v>
      </c>
      <c r="Z4" s="71">
        <v>2.315</v>
      </c>
      <c r="AA4" s="72">
        <f t="shared" si="2"/>
        <v>8334</v>
      </c>
      <c r="AB4" s="72">
        <f t="shared" si="3"/>
        <v>64588.5</v>
      </c>
      <c r="AC4" s="178"/>
      <c r="AD4" s="172" t="s">
        <v>463</v>
      </c>
      <c r="AE4" s="172" t="str">
        <f>IFERROR(VLOOKUP(H4,名称!A:C,3,0),"")</f>
        <v>FNT</v>
      </c>
      <c r="AF4" s="179" t="str">
        <f t="shared" si="0"/>
        <v>SUCKOT S.A.C</v>
      </c>
      <c r="AG4" s="180" t="str">
        <f t="shared" si="1"/>
        <v>秘鲁</v>
      </c>
    </row>
    <row r="5" s="168" customFormat="1" ht="25" customHeight="1" spans="1:33">
      <c r="A5" s="56">
        <v>46080</v>
      </c>
      <c r="B5" s="13" t="s">
        <v>426</v>
      </c>
      <c r="C5" s="14" t="s">
        <v>396</v>
      </c>
      <c r="D5" s="173" t="s">
        <v>427</v>
      </c>
      <c r="E5" s="172" t="s">
        <v>246</v>
      </c>
      <c r="F5" s="57"/>
      <c r="G5" s="14" t="s">
        <v>321</v>
      </c>
      <c r="H5" s="14" t="s">
        <v>127</v>
      </c>
      <c r="I5" s="174" t="str">
        <f>IFERROR(VLOOKUP(H5,名称!A:C,2,0),"")</f>
        <v>混装配比I</v>
      </c>
      <c r="J5" s="171">
        <f>3600-1146-1200</f>
        <v>1254</v>
      </c>
      <c r="K5" s="175">
        <f>VLOOKUP(H5,名称!A:D,4,0)</f>
        <v>6</v>
      </c>
      <c r="L5" s="172">
        <f>J5/K5</f>
        <v>209</v>
      </c>
      <c r="M5" s="56">
        <v>46113</v>
      </c>
      <c r="N5" s="56">
        <v>45853</v>
      </c>
      <c r="O5" s="56"/>
      <c r="P5" s="74" t="s">
        <v>428</v>
      </c>
      <c r="Q5" s="14"/>
      <c r="R5" s="14"/>
      <c r="S5" s="173" t="s">
        <v>556</v>
      </c>
      <c r="T5" s="173" t="s">
        <v>431</v>
      </c>
      <c r="U5" s="14"/>
      <c r="V5" s="172" t="s">
        <v>471</v>
      </c>
      <c r="W5" s="172" t="s">
        <v>559</v>
      </c>
      <c r="X5" s="185" t="s">
        <v>644</v>
      </c>
      <c r="Y5" s="172" t="s">
        <v>474</v>
      </c>
      <c r="Z5" s="71">
        <v>2.315</v>
      </c>
      <c r="AA5" s="72">
        <f t="shared" si="2"/>
        <v>2903.01</v>
      </c>
      <c r="AB5" s="72">
        <f t="shared" si="3"/>
        <v>22498.33</v>
      </c>
      <c r="AC5" s="178"/>
      <c r="AD5" s="14"/>
      <c r="AE5" s="172" t="str">
        <f>IFERROR(VLOOKUP(H5,名称!A:C,3,0),"")</f>
        <v>FNT</v>
      </c>
      <c r="AF5" s="179" t="str">
        <f t="shared" si="0"/>
        <v>JAZWARES</v>
      </c>
      <c r="AG5" s="180" t="str">
        <f t="shared" si="1"/>
        <v>美国</v>
      </c>
    </row>
    <row r="6" s="167" customFormat="1" ht="25" customHeight="1" spans="1:33">
      <c r="A6" s="74">
        <v>46107</v>
      </c>
      <c r="B6" s="181" t="s">
        <v>502</v>
      </c>
      <c r="C6" s="172" t="s">
        <v>396</v>
      </c>
      <c r="D6" s="173" t="s">
        <v>427</v>
      </c>
      <c r="E6" s="172" t="s">
        <v>246</v>
      </c>
      <c r="F6" s="172"/>
      <c r="G6" s="172" t="s">
        <v>344</v>
      </c>
      <c r="H6" s="172" t="s">
        <v>129</v>
      </c>
      <c r="I6" s="174" t="str">
        <f>IFERROR(VLOOKUP(H6,名称!A:C,2,0),"")</f>
        <v>混装配比K</v>
      </c>
      <c r="J6" s="175">
        <f>18000-3000-900-4854-912-1200+1200-3600-864</f>
        <v>3870</v>
      </c>
      <c r="K6" s="175">
        <f>VLOOKUP(H6,名称!A:D,4,0)</f>
        <v>6</v>
      </c>
      <c r="L6" s="172">
        <f>J6/K6</f>
        <v>645</v>
      </c>
      <c r="M6" s="183">
        <v>46188</v>
      </c>
      <c r="N6" s="56">
        <v>45853</v>
      </c>
      <c r="O6" s="183"/>
      <c r="P6" s="74" t="s">
        <v>428</v>
      </c>
      <c r="Q6" s="172"/>
      <c r="R6" s="172"/>
      <c r="S6" s="173" t="s">
        <v>556</v>
      </c>
      <c r="T6" s="173" t="s">
        <v>431</v>
      </c>
      <c r="U6" s="172"/>
      <c r="V6" s="172" t="s">
        <v>471</v>
      </c>
      <c r="W6" s="172" t="s">
        <v>258</v>
      </c>
      <c r="X6" s="185" t="s">
        <v>644</v>
      </c>
      <c r="Y6" s="172" t="s">
        <v>558</v>
      </c>
      <c r="Z6" s="186">
        <v>2.283</v>
      </c>
      <c r="AA6" s="187">
        <f t="shared" si="2"/>
        <v>8835.21</v>
      </c>
      <c r="AB6" s="187">
        <f t="shared" si="3"/>
        <v>68472.88</v>
      </c>
      <c r="AC6" s="101"/>
      <c r="AD6" s="172"/>
      <c r="AE6" s="172" t="str">
        <f>IFERROR(VLOOKUP(H6,名称!A:C,3,0),"")</f>
        <v>FNT</v>
      </c>
      <c r="AF6" s="179" t="str">
        <f t="shared" si="0"/>
        <v>JAZWARES INTERNATIONAL</v>
      </c>
      <c r="AG6" s="180" t="str">
        <f t="shared" si="1"/>
        <v>美国</v>
      </c>
    </row>
    <row r="7" s="167" customFormat="1" customHeight="1" spans="1:33">
      <c r="A7" s="56"/>
      <c r="B7" s="13"/>
      <c r="C7" s="14"/>
      <c r="D7" s="188"/>
      <c r="E7" s="189"/>
      <c r="F7" s="14"/>
      <c r="G7" s="14"/>
      <c r="H7" s="14"/>
      <c r="I7" s="174"/>
      <c r="J7" s="171"/>
      <c r="K7" s="171"/>
      <c r="L7" s="171"/>
      <c r="M7" s="56"/>
      <c r="N7" s="56"/>
      <c r="O7" s="56"/>
      <c r="P7" s="13"/>
      <c r="Q7" s="14"/>
      <c r="R7" s="14"/>
      <c r="S7" s="188"/>
      <c r="T7" s="188"/>
      <c r="U7" s="14"/>
      <c r="V7" s="177"/>
      <c r="W7" s="14"/>
      <c r="X7" s="14"/>
      <c r="Y7" s="14"/>
      <c r="Z7" s="71"/>
      <c r="AA7" s="72">
        <f t="shared" si="2"/>
        <v>0</v>
      </c>
      <c r="AB7" s="72">
        <f t="shared" si="3"/>
        <v>0</v>
      </c>
      <c r="AC7" s="178"/>
      <c r="AD7" s="14"/>
      <c r="AE7" s="172" t="str">
        <f>IFERROR(VLOOKUP(H7,名称!A:C,3,0),"")</f>
        <v/>
      </c>
      <c r="AF7" s="179">
        <f t="shared" si="0"/>
        <v>0</v>
      </c>
      <c r="AG7" s="180">
        <f t="shared" si="1"/>
        <v>0</v>
      </c>
    </row>
    <row r="8" s="167" customFormat="1" customHeight="1" spans="1:33">
      <c r="A8" s="56"/>
      <c r="B8" s="13"/>
      <c r="C8" s="14"/>
      <c r="D8" s="188"/>
      <c r="E8" s="189"/>
      <c r="F8" s="14"/>
      <c r="G8" s="14"/>
      <c r="H8" s="14"/>
      <c r="I8" s="174"/>
      <c r="J8" s="171"/>
      <c r="K8" s="171"/>
      <c r="L8" s="171"/>
      <c r="M8" s="56"/>
      <c r="N8" s="56"/>
      <c r="O8" s="56"/>
      <c r="P8" s="13"/>
      <c r="Q8" s="14"/>
      <c r="R8" s="14"/>
      <c r="S8" s="188"/>
      <c r="T8" s="188"/>
      <c r="U8" s="14"/>
      <c r="V8" s="177"/>
      <c r="W8" s="14"/>
      <c r="X8" s="14"/>
      <c r="Y8" s="14"/>
      <c r="Z8" s="71"/>
      <c r="AA8" s="72">
        <f t="shared" si="2"/>
        <v>0</v>
      </c>
      <c r="AB8" s="72">
        <f t="shared" si="3"/>
        <v>0</v>
      </c>
      <c r="AC8" s="178"/>
      <c r="AD8" s="14"/>
      <c r="AE8" s="172" t="str">
        <f>IFERROR(VLOOKUP(H8,名称!A:C,3,0),"")</f>
        <v/>
      </c>
      <c r="AF8" s="179">
        <f t="shared" si="0"/>
        <v>0</v>
      </c>
      <c r="AG8" s="180">
        <f t="shared" si="1"/>
        <v>0</v>
      </c>
    </row>
    <row r="9" s="167" customFormat="1" customHeight="1" spans="1:33">
      <c r="A9" s="56"/>
      <c r="B9" s="13"/>
      <c r="C9" s="14"/>
      <c r="D9" s="188"/>
      <c r="E9" s="189"/>
      <c r="F9" s="14"/>
      <c r="G9" s="14"/>
      <c r="H9" s="14"/>
      <c r="I9" s="174"/>
      <c r="J9" s="171"/>
      <c r="K9" s="171"/>
      <c r="L9" s="171"/>
      <c r="M9" s="56"/>
      <c r="N9" s="56"/>
      <c r="O9" s="56"/>
      <c r="P9" s="13"/>
      <c r="Q9" s="14"/>
      <c r="R9" s="14"/>
      <c r="S9" s="188"/>
      <c r="T9" s="188"/>
      <c r="U9" s="14"/>
      <c r="V9" s="177"/>
      <c r="W9" s="14"/>
      <c r="X9" s="14"/>
      <c r="Y9" s="14"/>
      <c r="Z9" s="71"/>
      <c r="AA9" s="72">
        <f t="shared" si="2"/>
        <v>0</v>
      </c>
      <c r="AB9" s="72">
        <f t="shared" si="3"/>
        <v>0</v>
      </c>
      <c r="AC9" s="178"/>
      <c r="AD9" s="14"/>
      <c r="AE9" s="172" t="str">
        <f>IFERROR(VLOOKUP(H9,名称!A:C,3,0),"")</f>
        <v/>
      </c>
      <c r="AF9" s="179">
        <f t="shared" si="0"/>
        <v>0</v>
      </c>
      <c r="AG9" s="180">
        <f t="shared" si="1"/>
        <v>0</v>
      </c>
    </row>
    <row r="10" s="167" customFormat="1" customHeight="1" spans="1:33">
      <c r="A10" s="56"/>
      <c r="B10" s="13"/>
      <c r="C10" s="14"/>
      <c r="D10" s="188"/>
      <c r="E10" s="189"/>
      <c r="F10" s="14"/>
      <c r="G10" s="14"/>
      <c r="H10" s="14"/>
      <c r="I10" s="174"/>
      <c r="J10" s="171"/>
      <c r="K10" s="171"/>
      <c r="L10" s="171"/>
      <c r="M10" s="56"/>
      <c r="N10" s="56"/>
      <c r="O10" s="56"/>
      <c r="P10" s="13"/>
      <c r="Q10" s="14"/>
      <c r="R10" s="14"/>
      <c r="S10" s="188"/>
      <c r="T10" s="188"/>
      <c r="U10" s="14"/>
      <c r="V10" s="177"/>
      <c r="W10" s="14"/>
      <c r="X10" s="14"/>
      <c r="Y10" s="14"/>
      <c r="Z10" s="71"/>
      <c r="AA10" s="72">
        <f t="shared" si="2"/>
        <v>0</v>
      </c>
      <c r="AB10" s="72">
        <f t="shared" si="3"/>
        <v>0</v>
      </c>
      <c r="AC10" s="178"/>
      <c r="AD10" s="14"/>
      <c r="AE10" s="172" t="str">
        <f>IFERROR(VLOOKUP(H10,名称!A:C,3,0),"")</f>
        <v/>
      </c>
      <c r="AF10" s="179">
        <f t="shared" si="0"/>
        <v>0</v>
      </c>
      <c r="AG10" s="180">
        <f t="shared" si="1"/>
        <v>0</v>
      </c>
    </row>
    <row r="11" s="167" customFormat="1" customHeight="1" spans="1:33">
      <c r="A11" s="56"/>
      <c r="B11" s="13"/>
      <c r="C11" s="14"/>
      <c r="D11" s="188"/>
      <c r="E11" s="189"/>
      <c r="F11" s="14"/>
      <c r="G11" s="14"/>
      <c r="H11" s="14"/>
      <c r="I11" s="174"/>
      <c r="J11" s="171"/>
      <c r="K11" s="171"/>
      <c r="L11" s="171"/>
      <c r="M11" s="56"/>
      <c r="N11" s="56"/>
      <c r="O11" s="56"/>
      <c r="P11" s="13"/>
      <c r="Q11" s="14"/>
      <c r="R11" s="14"/>
      <c r="S11" s="188"/>
      <c r="T11" s="188"/>
      <c r="U11" s="14"/>
      <c r="V11" s="177"/>
      <c r="W11" s="14"/>
      <c r="X11" s="14"/>
      <c r="Y11" s="14"/>
      <c r="Z11" s="71"/>
      <c r="AA11" s="72">
        <f t="shared" si="2"/>
        <v>0</v>
      </c>
      <c r="AB11" s="72">
        <f t="shared" si="3"/>
        <v>0</v>
      </c>
      <c r="AC11" s="178"/>
      <c r="AD11" s="14"/>
      <c r="AE11" s="172" t="str">
        <f>IFERROR(VLOOKUP(H11,名称!A:C,3,0),"")</f>
        <v/>
      </c>
      <c r="AF11" s="179">
        <f t="shared" si="0"/>
        <v>0</v>
      </c>
      <c r="AG11" s="180">
        <f t="shared" si="1"/>
        <v>0</v>
      </c>
    </row>
    <row r="12" s="167" customFormat="1" customHeight="1" spans="1:33">
      <c r="A12" s="56"/>
      <c r="B12" s="13"/>
      <c r="C12" s="14"/>
      <c r="D12" s="188"/>
      <c r="E12" s="189"/>
      <c r="F12" s="14"/>
      <c r="G12" s="14"/>
      <c r="H12" s="14"/>
      <c r="I12" s="174"/>
      <c r="J12" s="171"/>
      <c r="K12" s="171"/>
      <c r="L12" s="171"/>
      <c r="M12" s="56"/>
      <c r="N12" s="56"/>
      <c r="O12" s="56"/>
      <c r="P12" s="13"/>
      <c r="Q12" s="14"/>
      <c r="R12" s="14"/>
      <c r="S12" s="188"/>
      <c r="T12" s="188"/>
      <c r="U12" s="14"/>
      <c r="V12" s="177"/>
      <c r="W12" s="14"/>
      <c r="X12" s="14"/>
      <c r="Y12" s="14"/>
      <c r="Z12" s="71"/>
      <c r="AA12" s="72">
        <f t="shared" si="2"/>
        <v>0</v>
      </c>
      <c r="AB12" s="72">
        <f t="shared" si="3"/>
        <v>0</v>
      </c>
      <c r="AC12" s="178"/>
      <c r="AD12" s="14"/>
      <c r="AE12" s="172" t="str">
        <f>IFERROR(VLOOKUP(H12,名称!A:C,3,0),"")</f>
        <v/>
      </c>
      <c r="AF12" s="179">
        <f t="shared" si="0"/>
        <v>0</v>
      </c>
      <c r="AG12" s="180">
        <f t="shared" si="1"/>
        <v>0</v>
      </c>
    </row>
    <row r="13" s="167" customFormat="1" customHeight="1" spans="1:33">
      <c r="A13" s="56"/>
      <c r="B13" s="13"/>
      <c r="C13" s="14"/>
      <c r="D13" s="188"/>
      <c r="E13" s="189"/>
      <c r="F13" s="14"/>
      <c r="G13" s="14"/>
      <c r="H13" s="14"/>
      <c r="I13" s="174"/>
      <c r="J13" s="171"/>
      <c r="K13" s="171"/>
      <c r="L13" s="171"/>
      <c r="M13" s="56"/>
      <c r="N13" s="56"/>
      <c r="O13" s="56"/>
      <c r="P13" s="13"/>
      <c r="Q13" s="14"/>
      <c r="R13" s="14"/>
      <c r="S13" s="188"/>
      <c r="T13" s="188"/>
      <c r="U13" s="14"/>
      <c r="V13" s="177"/>
      <c r="W13" s="14"/>
      <c r="X13" s="14"/>
      <c r="Y13" s="14"/>
      <c r="Z13" s="71"/>
      <c r="AA13" s="72">
        <f t="shared" si="2"/>
        <v>0</v>
      </c>
      <c r="AB13" s="72">
        <f t="shared" si="3"/>
        <v>0</v>
      </c>
      <c r="AC13" s="178"/>
      <c r="AD13" s="14"/>
      <c r="AE13" s="172" t="str">
        <f>IFERROR(VLOOKUP(H13,名称!A:C,3,0),"")</f>
        <v/>
      </c>
      <c r="AF13" s="179">
        <f t="shared" si="0"/>
        <v>0</v>
      </c>
      <c r="AG13" s="180">
        <f t="shared" si="1"/>
        <v>0</v>
      </c>
    </row>
    <row r="14" s="167" customFormat="1" customHeight="1" spans="1:33">
      <c r="A14" s="56"/>
      <c r="B14" s="13"/>
      <c r="C14" s="14"/>
      <c r="D14" s="188"/>
      <c r="E14" s="189"/>
      <c r="F14" s="14"/>
      <c r="G14" s="14"/>
      <c r="H14" s="14"/>
      <c r="I14" s="174"/>
      <c r="J14" s="171"/>
      <c r="K14" s="171"/>
      <c r="L14" s="171"/>
      <c r="M14" s="56"/>
      <c r="N14" s="56"/>
      <c r="O14" s="56"/>
      <c r="P14" s="13"/>
      <c r="Q14" s="14"/>
      <c r="R14" s="14"/>
      <c r="S14" s="188"/>
      <c r="T14" s="188"/>
      <c r="U14" s="14"/>
      <c r="V14" s="177"/>
      <c r="W14" s="14"/>
      <c r="X14" s="14"/>
      <c r="Y14" s="14"/>
      <c r="Z14" s="71"/>
      <c r="AA14" s="72">
        <f t="shared" si="2"/>
        <v>0</v>
      </c>
      <c r="AB14" s="72">
        <f t="shared" si="3"/>
        <v>0</v>
      </c>
      <c r="AC14" s="178"/>
      <c r="AD14" s="14"/>
      <c r="AE14" s="172" t="str">
        <f>IFERROR(VLOOKUP(H14,名称!A:C,3,0),"")</f>
        <v/>
      </c>
      <c r="AF14" s="179">
        <f t="shared" si="0"/>
        <v>0</v>
      </c>
      <c r="AG14" s="180">
        <f t="shared" si="1"/>
        <v>0</v>
      </c>
    </row>
    <row r="15" s="167" customFormat="1" customHeight="1" spans="1:33">
      <c r="A15" s="56"/>
      <c r="B15" s="13"/>
      <c r="C15" s="14"/>
      <c r="D15" s="188"/>
      <c r="E15" s="189"/>
      <c r="F15" s="57"/>
      <c r="G15" s="14"/>
      <c r="H15" s="174"/>
      <c r="I15" s="174"/>
      <c r="J15" s="171">
        <f>SUM(J2:J14)</f>
        <v>12723</v>
      </c>
      <c r="K15" s="171"/>
      <c r="L15" s="171"/>
      <c r="M15" s="56"/>
      <c r="N15" s="56"/>
      <c r="O15" s="56"/>
      <c r="P15" s="13"/>
      <c r="Q15" s="14"/>
      <c r="R15" s="14"/>
      <c r="S15" s="188"/>
      <c r="T15" s="188"/>
      <c r="U15" s="14"/>
      <c r="V15" s="177"/>
      <c r="W15" s="14"/>
      <c r="X15" s="14"/>
      <c r="Y15" s="14"/>
      <c r="Z15" s="71"/>
      <c r="AA15" s="72">
        <f>SUM(AA2:AA14)</f>
        <v>34628.58</v>
      </c>
      <c r="AB15" s="72">
        <f>SUM(AB2:AB14)</f>
        <v>268371.5</v>
      </c>
      <c r="AC15" s="178"/>
      <c r="AD15" s="14"/>
      <c r="AE15" s="14"/>
      <c r="AF15" s="179">
        <f t="shared" si="0"/>
        <v>0</v>
      </c>
      <c r="AG15" s="180">
        <f t="shared" si="1"/>
        <v>0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T$1:U$1048576" name="Range2"/>
  </protectedRanges>
  <autoFilter xmlns:etc="http://www.wps.cn/officeDocument/2017/etCustomData" ref="A1:AE16" etc:filterBottomFollowUsedRange="0">
    <sortState ref="A1:AE16">
      <sortCondition ref="A1"/>
    </sortState>
    <extLst/>
  </autoFilter>
  <conditionalFormatting sqref="B2">
    <cfRule type="containsText" dxfId="0" priority="3" operator="between" text="TARGET">
      <formula>NOT(ISERROR(SEARCH("TARGET",B2)))</formula>
    </cfRule>
  </conditionalFormatting>
  <conditionalFormatting sqref="B3">
    <cfRule type="containsText" dxfId="0" priority="17" operator="between" text="TARGET">
      <formula>NOT(ISERROR(SEARCH("TARGET",B3)))</formula>
    </cfRule>
  </conditionalFormatting>
  <conditionalFormatting sqref="B4">
    <cfRule type="containsText" dxfId="0" priority="13" operator="between" text="TARGET">
      <formula>NOT(ISERROR(SEARCH("TARGET",B4)))</formula>
    </cfRule>
  </conditionalFormatting>
  <conditionalFormatting sqref="B5">
    <cfRule type="containsText" dxfId="0" priority="10" operator="between" text="TARGET">
      <formula>NOT(ISERROR(SEARCH("TARGET",B5)))</formula>
    </cfRule>
  </conditionalFormatting>
  <conditionalFormatting sqref="B6">
    <cfRule type="containsText" dxfId="0" priority="6" operator="between" text="TARGET">
      <formula>NOT(ISERROR(SEARCH("TARGET",B6)))</formula>
    </cfRule>
  </conditionalFormatting>
  <conditionalFormatting sqref="B7">
    <cfRule type="containsText" dxfId="0" priority="1" operator="between" text="TARGET">
      <formula>NOT(ISERROR(SEARCH("TARGET",B7)))</formula>
    </cfRule>
  </conditionalFormatting>
  <conditionalFormatting sqref="B10">
    <cfRule type="containsText" dxfId="0" priority="19" operator="between" text="TARGET">
      <formula>NOT(ISERROR(SEARCH("TARGET",B10)))</formula>
    </cfRule>
  </conditionalFormatting>
  <conditionalFormatting sqref="B8:B9">
    <cfRule type="containsText" dxfId="0" priority="2" operator="between" text="TARGET">
      <formula>NOT(ISERROR(SEARCH("TARGET",B8)))</formula>
    </cfRule>
  </conditionalFormatting>
  <conditionalFormatting sqref="B1 B11:B1048576">
    <cfRule type="containsText" dxfId="0" priority="33" operator="between" text="TARGET">
      <formula>NOT(ISERROR(SEARCH("TARGET",B1)))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00FF"/>
  </sheetPr>
  <dimension ref="A1:AG114"/>
  <sheetViews>
    <sheetView workbookViewId="0">
      <pane xSplit="13" ySplit="1" topLeftCell="AF2" activePane="bottomRight" state="frozen"/>
      <selection/>
      <selection pane="topRight"/>
      <selection pane="bottomLeft"/>
      <selection pane="bottomRight" activeCell="A103" sqref="$A103:$XFD103"/>
    </sheetView>
  </sheetViews>
  <sheetFormatPr defaultColWidth="8.7" defaultRowHeight="24.9" customHeight="1"/>
  <cols>
    <col min="1" max="2" width="12.6" style="109" customWidth="1"/>
    <col min="3" max="3" width="8.6" style="109" customWidth="1"/>
    <col min="4" max="4" width="6.6" style="109" customWidth="1"/>
    <col min="5" max="5" width="5.6" style="109" customWidth="1"/>
    <col min="6" max="6" width="10.6" style="109" customWidth="1"/>
    <col min="7" max="7" width="12.625" style="109" customWidth="1"/>
    <col min="8" max="8" width="10.6" style="109" customWidth="1"/>
    <col min="9" max="9" width="15.625" style="109" customWidth="1"/>
    <col min="10" max="10" width="6.625" style="109" customWidth="1"/>
    <col min="11" max="12" width="5.6" style="109" customWidth="1"/>
    <col min="13" max="13" width="12.6" style="109" hidden="1" customWidth="1"/>
    <col min="14" max="14" width="12.6" style="109" customWidth="1"/>
    <col min="15" max="15" width="12.6" style="109" hidden="1" customWidth="1"/>
    <col min="16" max="17" width="8.6" style="109" hidden="1" customWidth="1"/>
    <col min="18" max="18" width="12.625" style="109" customWidth="1"/>
    <col min="19" max="22" width="8.6" style="109" hidden="1" customWidth="1"/>
    <col min="23" max="23" width="15.625" style="109" customWidth="1"/>
    <col min="24" max="24" width="17.6" style="109" customWidth="1"/>
    <col min="25" max="25" width="20.625" style="109" customWidth="1"/>
    <col min="26" max="26" width="8.6" style="109" customWidth="1"/>
    <col min="27" max="28" width="12.6" style="109" customWidth="1"/>
    <col min="29" max="29" width="8.7" style="110"/>
    <col min="30" max="30" width="8.7" style="109"/>
    <col min="31" max="31" width="5.6" style="109" customWidth="1"/>
    <col min="32" max="16384" width="8.7" style="109"/>
  </cols>
  <sheetData>
    <row r="1" s="45" customFormat="1" customHeight="1" spans="1:33">
      <c r="A1" s="56" t="s">
        <v>231</v>
      </c>
      <c r="B1" s="14" t="s">
        <v>407</v>
      </c>
      <c r="C1" s="14" t="s">
        <v>408</v>
      </c>
      <c r="D1" s="14" t="s">
        <v>409</v>
      </c>
      <c r="E1" s="14" t="s">
        <v>410</v>
      </c>
      <c r="F1" s="14" t="s">
        <v>234</v>
      </c>
      <c r="G1" s="14" t="s">
        <v>235</v>
      </c>
      <c r="H1" s="14" t="s">
        <v>236</v>
      </c>
      <c r="I1" s="14" t="s">
        <v>411</v>
      </c>
      <c r="J1" s="14" t="s">
        <v>237</v>
      </c>
      <c r="K1" s="14" t="s">
        <v>3</v>
      </c>
      <c r="L1" s="14" t="s">
        <v>412</v>
      </c>
      <c r="M1" s="56" t="s">
        <v>413</v>
      </c>
      <c r="N1" s="56" t="s">
        <v>232</v>
      </c>
      <c r="O1" s="56" t="s">
        <v>414</v>
      </c>
      <c r="P1" s="14" t="s">
        <v>415</v>
      </c>
      <c r="Q1" s="14" t="s">
        <v>416</v>
      </c>
      <c r="R1" s="14" t="s">
        <v>417</v>
      </c>
      <c r="S1" s="14" t="s">
        <v>418</v>
      </c>
      <c r="T1" s="14" t="s">
        <v>419</v>
      </c>
      <c r="U1" s="14" t="s">
        <v>420</v>
      </c>
      <c r="V1" s="14" t="s">
        <v>635</v>
      </c>
      <c r="W1" s="14" t="s">
        <v>238</v>
      </c>
      <c r="X1" s="14" t="s">
        <v>422</v>
      </c>
      <c r="Y1" s="14" t="s">
        <v>423</v>
      </c>
      <c r="Z1" s="71" t="s">
        <v>243</v>
      </c>
      <c r="AA1" s="72" t="s">
        <v>244</v>
      </c>
      <c r="AB1" s="72" t="s">
        <v>245</v>
      </c>
      <c r="AC1" s="111" t="s">
        <v>424</v>
      </c>
      <c r="AD1" s="14" t="s">
        <v>425</v>
      </c>
      <c r="AE1" s="14" t="s">
        <v>239</v>
      </c>
      <c r="AF1" s="14" t="str">
        <f t="shared" ref="AF1:AF64" si="0">B1</f>
        <v>第三客户名称</v>
      </c>
      <c r="AG1" s="14" t="str">
        <f t="shared" ref="AG1:AG64" si="1">C1</f>
        <v>国家</v>
      </c>
    </row>
    <row r="2" s="107" customFormat="1" ht="25" hidden="1" customHeight="1" spans="1:33">
      <c r="A2" s="112">
        <v>45947</v>
      </c>
      <c r="B2" s="113" t="s">
        <v>645</v>
      </c>
      <c r="C2" s="114" t="s">
        <v>396</v>
      </c>
      <c r="D2" s="115" t="s">
        <v>646</v>
      </c>
      <c r="E2" s="116" t="s">
        <v>262</v>
      </c>
      <c r="F2" s="114" t="s">
        <v>279</v>
      </c>
      <c r="G2" s="114">
        <v>60255937</v>
      </c>
      <c r="H2" s="114" t="s">
        <v>29</v>
      </c>
      <c r="I2" s="117" t="str">
        <f>IFERROR(VLOOKUP(H2,名称!A:C,2,0),"")</f>
        <v>搪胶鱼</v>
      </c>
      <c r="J2" s="118">
        <v>2394</v>
      </c>
      <c r="K2" s="118">
        <f>VLOOKUP(H2,名称!A:D,4,0)</f>
        <v>9</v>
      </c>
      <c r="L2" s="118">
        <f t="shared" ref="L2:L65" si="2">J2/K2</f>
        <v>266</v>
      </c>
      <c r="M2" s="112">
        <v>46020</v>
      </c>
      <c r="N2" s="112">
        <v>46020</v>
      </c>
      <c r="O2" s="112">
        <v>46009</v>
      </c>
      <c r="P2" s="119" t="s">
        <v>428</v>
      </c>
      <c r="Q2" s="114" t="s">
        <v>429</v>
      </c>
      <c r="R2" s="114" t="s">
        <v>647</v>
      </c>
      <c r="S2" s="115" t="s">
        <v>648</v>
      </c>
      <c r="T2" s="120" t="s">
        <v>431</v>
      </c>
      <c r="U2" s="114"/>
      <c r="V2" s="121"/>
      <c r="W2" s="114" t="s">
        <v>255</v>
      </c>
      <c r="X2" s="114"/>
      <c r="Y2" s="114" t="s">
        <v>649</v>
      </c>
      <c r="Z2" s="122">
        <v>1.408</v>
      </c>
      <c r="AA2" s="123">
        <f t="shared" ref="AA2:AA65" si="3">J2*Z2</f>
        <v>3370.75</v>
      </c>
      <c r="AB2" s="123">
        <f t="shared" ref="AB2:AB65" si="4">AA2*7.75</f>
        <v>26123.31</v>
      </c>
      <c r="AC2" s="124">
        <v>60365</v>
      </c>
      <c r="AD2" s="114" t="s">
        <v>434</v>
      </c>
      <c r="AE2" s="114" t="str">
        <f>IFERROR(VLOOKUP(H2,名称!A:C,3,0),"")</f>
        <v>CMW</v>
      </c>
      <c r="AF2" s="114" t="str">
        <f t="shared" si="0"/>
        <v>ROSS FOB</v>
      </c>
      <c r="AG2" s="114" t="str">
        <f t="shared" si="1"/>
        <v>美国</v>
      </c>
    </row>
    <row r="3" s="107" customFormat="1" ht="25" hidden="1" customHeight="1" spans="1:33">
      <c r="A3" s="119">
        <v>45864</v>
      </c>
      <c r="B3" s="113" t="s">
        <v>515</v>
      </c>
      <c r="C3" s="114" t="s">
        <v>516</v>
      </c>
      <c r="D3" s="115" t="s">
        <v>506</v>
      </c>
      <c r="E3" s="116" t="s">
        <v>246</v>
      </c>
      <c r="F3" s="114"/>
      <c r="G3" s="114" t="s">
        <v>266</v>
      </c>
      <c r="H3" s="114" t="s">
        <v>25</v>
      </c>
      <c r="I3" s="117" t="str">
        <f>IFERROR(VLOOKUP(H3,名称!A:C,2,0),"")</f>
        <v>校车巴士</v>
      </c>
      <c r="J3" s="118">
        <v>360</v>
      </c>
      <c r="K3" s="118">
        <f>VLOOKUP(H3,名称!A:D,4,0)</f>
        <v>4</v>
      </c>
      <c r="L3" s="118">
        <f t="shared" si="2"/>
        <v>90</v>
      </c>
      <c r="M3" s="112">
        <v>45894</v>
      </c>
      <c r="N3" s="112">
        <v>45926</v>
      </c>
      <c r="O3" s="112">
        <v>45930</v>
      </c>
      <c r="P3" s="119" t="s">
        <v>428</v>
      </c>
      <c r="Q3" s="114" t="s">
        <v>450</v>
      </c>
      <c r="R3" s="114" t="s">
        <v>650</v>
      </c>
      <c r="S3" s="120" t="s">
        <v>651</v>
      </c>
      <c r="T3" s="115" t="s">
        <v>431</v>
      </c>
      <c r="U3" s="114"/>
      <c r="V3" s="121"/>
      <c r="W3" s="114" t="s">
        <v>258</v>
      </c>
      <c r="X3" s="114"/>
      <c r="Y3" s="114"/>
      <c r="Z3" s="122">
        <v>4.26</v>
      </c>
      <c r="AA3" s="123">
        <f t="shared" si="3"/>
        <v>1533.6</v>
      </c>
      <c r="AB3" s="123">
        <f t="shared" si="4"/>
        <v>11885.4</v>
      </c>
      <c r="AC3" s="124">
        <v>60366</v>
      </c>
      <c r="AD3" s="114" t="s">
        <v>434</v>
      </c>
      <c r="AE3" s="114" t="str">
        <f>IFERROR(VLOOKUP(H3,名称!A:C,3,0),"")</f>
        <v>CMW</v>
      </c>
      <c r="AF3" s="114" t="str">
        <f t="shared" si="0"/>
        <v>ARABIAN AL EKHA INTL FOR TRADE AND 
COMM.</v>
      </c>
      <c r="AG3" s="114" t="str">
        <f t="shared" si="1"/>
        <v>约旦</v>
      </c>
    </row>
    <row r="4" s="108" customFormat="1" hidden="1" customHeight="1" spans="1:33">
      <c r="A4" s="119">
        <v>45950</v>
      </c>
      <c r="B4" s="113" t="s">
        <v>537</v>
      </c>
      <c r="C4" s="114" t="s">
        <v>396</v>
      </c>
      <c r="D4" s="115" t="s">
        <v>538</v>
      </c>
      <c r="E4" s="114" t="s">
        <v>246</v>
      </c>
      <c r="F4" s="125" t="s">
        <v>280</v>
      </c>
      <c r="G4" s="125" t="s">
        <v>284</v>
      </c>
      <c r="H4" s="125" t="s">
        <v>222</v>
      </c>
      <c r="I4" s="117" t="str">
        <f>IFERROR(VLOOKUP(H4,名称!A:C,2,0),"")</f>
        <v>蜘蛛侠配蜘蛛网套装</v>
      </c>
      <c r="J4" s="126">
        <v>330</v>
      </c>
      <c r="K4" s="118">
        <f>VLOOKUP(H4,名称!A:D,4,0)</f>
        <v>6</v>
      </c>
      <c r="L4" s="118">
        <f t="shared" si="2"/>
        <v>55</v>
      </c>
      <c r="M4" s="127">
        <v>46017</v>
      </c>
      <c r="N4" s="127">
        <v>46017</v>
      </c>
      <c r="O4" s="127">
        <v>46017</v>
      </c>
      <c r="P4" s="119" t="s">
        <v>428</v>
      </c>
      <c r="Q4" s="114" t="s">
        <v>429</v>
      </c>
      <c r="R4" s="125" t="s">
        <v>652</v>
      </c>
      <c r="S4" s="115" t="s">
        <v>452</v>
      </c>
      <c r="T4" s="115" t="s">
        <v>453</v>
      </c>
      <c r="U4" s="120" t="s">
        <v>653</v>
      </c>
      <c r="V4" s="128"/>
      <c r="W4" s="125" t="s">
        <v>276</v>
      </c>
      <c r="X4" s="125"/>
      <c r="Y4" s="125"/>
      <c r="Z4" s="129">
        <v>4.28</v>
      </c>
      <c r="AA4" s="130">
        <f t="shared" si="3"/>
        <v>1412.4</v>
      </c>
      <c r="AB4" s="130">
        <f t="shared" si="4"/>
        <v>10946.1</v>
      </c>
      <c r="AC4" s="124">
        <v>60367</v>
      </c>
      <c r="AD4" s="125" t="s">
        <v>434</v>
      </c>
      <c r="AE4" s="114" t="str">
        <f>IFERROR(VLOOKUP(H4,名称!A:C,3,0),"")</f>
        <v>SNF</v>
      </c>
      <c r="AF4" s="125" t="str">
        <f t="shared" si="0"/>
        <v>AMAZON MDDP</v>
      </c>
      <c r="AG4" s="125" t="str">
        <f t="shared" si="1"/>
        <v>美国</v>
      </c>
    </row>
    <row r="5" s="108" customFormat="1" hidden="1" customHeight="1" spans="1:33">
      <c r="A5" s="119">
        <v>45950</v>
      </c>
      <c r="B5" s="113" t="s">
        <v>537</v>
      </c>
      <c r="C5" s="114" t="s">
        <v>396</v>
      </c>
      <c r="D5" s="115" t="s">
        <v>538</v>
      </c>
      <c r="E5" s="114" t="s">
        <v>246</v>
      </c>
      <c r="F5" s="125" t="s">
        <v>280</v>
      </c>
      <c r="G5" s="125" t="s">
        <v>285</v>
      </c>
      <c r="H5" s="125" t="s">
        <v>222</v>
      </c>
      <c r="I5" s="117" t="str">
        <f>IFERROR(VLOOKUP(H5,名称!A:C,2,0),"")</f>
        <v>蜘蛛侠配蜘蛛网套装</v>
      </c>
      <c r="J5" s="126">
        <v>504</v>
      </c>
      <c r="K5" s="118">
        <f>VLOOKUP(H5,名称!A:D,4,0)</f>
        <v>6</v>
      </c>
      <c r="L5" s="118">
        <f t="shared" si="2"/>
        <v>84</v>
      </c>
      <c r="M5" s="127">
        <v>46017</v>
      </c>
      <c r="N5" s="127">
        <v>46017</v>
      </c>
      <c r="O5" s="127">
        <v>46017</v>
      </c>
      <c r="P5" s="119" t="s">
        <v>428</v>
      </c>
      <c r="Q5" s="114" t="s">
        <v>429</v>
      </c>
      <c r="R5" s="125" t="s">
        <v>654</v>
      </c>
      <c r="S5" s="115" t="s">
        <v>452</v>
      </c>
      <c r="T5" s="115" t="s">
        <v>453</v>
      </c>
      <c r="U5" s="120" t="s">
        <v>653</v>
      </c>
      <c r="V5" s="128"/>
      <c r="W5" s="125" t="s">
        <v>276</v>
      </c>
      <c r="X5" s="125"/>
      <c r="Y5" s="125"/>
      <c r="Z5" s="129">
        <v>4.28</v>
      </c>
      <c r="AA5" s="130">
        <f t="shared" si="3"/>
        <v>2157.12</v>
      </c>
      <c r="AB5" s="130">
        <f t="shared" si="4"/>
        <v>16717.68</v>
      </c>
      <c r="AC5" s="124">
        <v>60368</v>
      </c>
      <c r="AD5" s="125" t="s">
        <v>434</v>
      </c>
      <c r="AE5" s="114" t="str">
        <f>IFERROR(VLOOKUP(H5,名称!A:C,3,0),"")</f>
        <v>SNF</v>
      </c>
      <c r="AF5" s="125" t="str">
        <f t="shared" si="0"/>
        <v>AMAZON MDDP</v>
      </c>
      <c r="AG5" s="125" t="str">
        <f t="shared" si="1"/>
        <v>美国</v>
      </c>
    </row>
    <row r="6" s="107" customFormat="1" ht="25" hidden="1" customHeight="1" spans="1:33">
      <c r="A6" s="119">
        <v>45887</v>
      </c>
      <c r="B6" s="113" t="s">
        <v>519</v>
      </c>
      <c r="C6" s="114" t="s">
        <v>520</v>
      </c>
      <c r="D6" s="115" t="s">
        <v>521</v>
      </c>
      <c r="E6" s="116" t="s">
        <v>246</v>
      </c>
      <c r="F6" s="114"/>
      <c r="G6" s="114" t="s">
        <v>267</v>
      </c>
      <c r="H6" s="114" t="s">
        <v>141</v>
      </c>
      <c r="I6" s="117" t="str">
        <f>IFERROR(VLOOKUP(H6,名称!A:C,2,0),"")</f>
        <v>访问者</v>
      </c>
      <c r="J6" s="118">
        <v>240</v>
      </c>
      <c r="K6" s="118">
        <f>VLOOKUP(H6,名称!A:D,4,0)</f>
        <v>6</v>
      </c>
      <c r="L6" s="118">
        <f t="shared" si="2"/>
        <v>40</v>
      </c>
      <c r="M6" s="112">
        <v>45992</v>
      </c>
      <c r="N6" s="112">
        <v>45992</v>
      </c>
      <c r="O6" s="112">
        <v>45989</v>
      </c>
      <c r="P6" s="119" t="s">
        <v>428</v>
      </c>
      <c r="Q6" s="114" t="s">
        <v>429</v>
      </c>
      <c r="R6" s="114" t="s">
        <v>655</v>
      </c>
      <c r="S6" s="120" t="s">
        <v>609</v>
      </c>
      <c r="T6" s="115" t="s">
        <v>431</v>
      </c>
      <c r="U6" s="114"/>
      <c r="V6" s="121" t="s">
        <v>467</v>
      </c>
      <c r="W6" s="114" t="s">
        <v>258</v>
      </c>
      <c r="X6" s="114"/>
      <c r="Y6" s="114"/>
      <c r="Z6" s="122">
        <v>2.12</v>
      </c>
      <c r="AA6" s="123">
        <f t="shared" si="3"/>
        <v>508.8</v>
      </c>
      <c r="AB6" s="123">
        <f t="shared" si="4"/>
        <v>3943.2</v>
      </c>
      <c r="AC6" s="124">
        <v>60369</v>
      </c>
      <c r="AD6" s="114" t="s">
        <v>463</v>
      </c>
      <c r="AE6" s="114" t="str">
        <f>IFERROR(VLOOKUP(H6,名称!A:C,3,0),"")</f>
        <v>FNT</v>
      </c>
      <c r="AF6" s="114" t="str">
        <f t="shared" si="0"/>
        <v>IMPORT SERVICES</v>
      </c>
      <c r="AG6" s="114" t="str">
        <f t="shared" si="1"/>
        <v>英国</v>
      </c>
    </row>
    <row r="7" s="107" customFormat="1" ht="25" hidden="1" customHeight="1" spans="1:33">
      <c r="A7" s="119">
        <v>45975</v>
      </c>
      <c r="B7" s="113" t="s">
        <v>519</v>
      </c>
      <c r="C7" s="114" t="s">
        <v>520</v>
      </c>
      <c r="D7" s="115" t="s">
        <v>521</v>
      </c>
      <c r="E7" s="114" t="s">
        <v>246</v>
      </c>
      <c r="F7" s="114"/>
      <c r="G7" s="114" t="s">
        <v>295</v>
      </c>
      <c r="H7" s="114" t="s">
        <v>143</v>
      </c>
      <c r="I7" s="117">
        <f>IFERROR(VLOOKUP(H7,名称!A:C,2,0),"")</f>
        <v>0</v>
      </c>
      <c r="J7" s="118">
        <v>600</v>
      </c>
      <c r="K7" s="118">
        <f>VLOOKUP(H7,名称!A:D,4,0)</f>
        <v>4</v>
      </c>
      <c r="L7" s="114">
        <f t="shared" si="2"/>
        <v>150</v>
      </c>
      <c r="M7" s="112">
        <v>46034</v>
      </c>
      <c r="N7" s="112">
        <v>46032</v>
      </c>
      <c r="O7" s="112">
        <v>46034</v>
      </c>
      <c r="P7" s="119" t="s">
        <v>428</v>
      </c>
      <c r="Q7" s="114"/>
      <c r="R7" s="114" t="s">
        <v>656</v>
      </c>
      <c r="S7" s="120" t="s">
        <v>609</v>
      </c>
      <c r="T7" s="115" t="s">
        <v>431</v>
      </c>
      <c r="U7" s="114"/>
      <c r="V7" s="121" t="s">
        <v>657</v>
      </c>
      <c r="W7" s="114" t="s">
        <v>258</v>
      </c>
      <c r="X7" s="114"/>
      <c r="Y7" s="114"/>
      <c r="Z7" s="122">
        <v>7.86</v>
      </c>
      <c r="AA7" s="123">
        <f t="shared" si="3"/>
        <v>4716</v>
      </c>
      <c r="AB7" s="123">
        <f t="shared" si="4"/>
        <v>36549</v>
      </c>
      <c r="AC7" s="124">
        <v>60370</v>
      </c>
      <c r="AD7" s="114" t="s">
        <v>434</v>
      </c>
      <c r="AE7" s="114" t="str">
        <f>IFERROR(VLOOKUP(H7,名称!A:C,3,0),"")</f>
        <v>FNT</v>
      </c>
      <c r="AF7" s="114" t="str">
        <f t="shared" si="0"/>
        <v>IMPORT SERVICES</v>
      </c>
      <c r="AG7" s="114" t="str">
        <f t="shared" si="1"/>
        <v>英国</v>
      </c>
    </row>
    <row r="8" s="107" customFormat="1" ht="25" hidden="1" customHeight="1" spans="1:33">
      <c r="A8" s="119">
        <v>45981</v>
      </c>
      <c r="B8" s="113" t="s">
        <v>658</v>
      </c>
      <c r="C8" s="114" t="s">
        <v>396</v>
      </c>
      <c r="D8" s="115" t="s">
        <v>659</v>
      </c>
      <c r="E8" s="114" t="s">
        <v>246</v>
      </c>
      <c r="F8" s="114"/>
      <c r="G8" s="114">
        <v>4560812600</v>
      </c>
      <c r="H8" s="114" t="s">
        <v>204</v>
      </c>
      <c r="I8" s="117" t="str">
        <f>IFERROR(VLOOKUP(H8,名称!A:C,2,0),"")</f>
        <v>蜘蛛侠喷水公仔3只装</v>
      </c>
      <c r="J8" s="118">
        <v>4113</v>
      </c>
      <c r="K8" s="118">
        <f>VLOOKUP(H8,名称!A:D,4,0)</f>
        <v>3</v>
      </c>
      <c r="L8" s="114">
        <f t="shared" si="2"/>
        <v>1371</v>
      </c>
      <c r="M8" s="112">
        <v>46029</v>
      </c>
      <c r="N8" s="112">
        <v>46035</v>
      </c>
      <c r="O8" s="112">
        <v>46032</v>
      </c>
      <c r="P8" s="119" t="s">
        <v>428</v>
      </c>
      <c r="Q8" s="114" t="s">
        <v>429</v>
      </c>
      <c r="R8" s="114" t="s">
        <v>660</v>
      </c>
      <c r="S8" s="115" t="s">
        <v>661</v>
      </c>
      <c r="T8" s="115" t="s">
        <v>431</v>
      </c>
      <c r="U8" s="114"/>
      <c r="V8" s="121"/>
      <c r="W8" s="114" t="s">
        <v>255</v>
      </c>
      <c r="X8" s="114" t="s">
        <v>662</v>
      </c>
      <c r="Y8" s="114"/>
      <c r="Z8" s="122">
        <v>2.22</v>
      </c>
      <c r="AA8" s="123">
        <f t="shared" si="3"/>
        <v>9130.86</v>
      </c>
      <c r="AB8" s="123">
        <f t="shared" si="4"/>
        <v>70764.17</v>
      </c>
      <c r="AC8" s="124">
        <v>60371</v>
      </c>
      <c r="AD8" s="114" t="s">
        <v>434</v>
      </c>
      <c r="AE8" s="114" t="str">
        <f>IFERROR(VLOOKUP(H8,名称!A:C,3,0),"")</f>
        <v>SNF</v>
      </c>
      <c r="AF8" s="114" t="str">
        <f t="shared" si="0"/>
        <v>WALGREENS MDDP</v>
      </c>
      <c r="AG8" s="114" t="str">
        <f t="shared" si="1"/>
        <v>美国</v>
      </c>
    </row>
    <row r="9" s="107" customFormat="1" ht="25" hidden="1" customHeight="1" spans="1:33">
      <c r="A9" s="119">
        <v>45981</v>
      </c>
      <c r="B9" s="113" t="s">
        <v>658</v>
      </c>
      <c r="C9" s="114" t="s">
        <v>396</v>
      </c>
      <c r="D9" s="115" t="s">
        <v>659</v>
      </c>
      <c r="E9" s="114" t="s">
        <v>246</v>
      </c>
      <c r="F9" s="114"/>
      <c r="G9" s="114">
        <v>4560812771</v>
      </c>
      <c r="H9" s="114" t="s">
        <v>204</v>
      </c>
      <c r="I9" s="117" t="str">
        <f>IFERROR(VLOOKUP(H9,名称!A:C,2,0),"")</f>
        <v>蜘蛛侠喷水公仔3只装</v>
      </c>
      <c r="J9" s="118">
        <v>3531</v>
      </c>
      <c r="K9" s="118">
        <f>VLOOKUP(H9,名称!A:D,4,0)</f>
        <v>3</v>
      </c>
      <c r="L9" s="114">
        <f t="shared" si="2"/>
        <v>1177</v>
      </c>
      <c r="M9" s="112">
        <v>46029</v>
      </c>
      <c r="N9" s="112">
        <v>46035</v>
      </c>
      <c r="O9" s="112">
        <v>46032</v>
      </c>
      <c r="P9" s="119" t="s">
        <v>428</v>
      </c>
      <c r="Q9" s="114" t="s">
        <v>429</v>
      </c>
      <c r="R9" s="114" t="s">
        <v>660</v>
      </c>
      <c r="S9" s="115" t="s">
        <v>661</v>
      </c>
      <c r="T9" s="115" t="s">
        <v>431</v>
      </c>
      <c r="U9" s="114"/>
      <c r="V9" s="121"/>
      <c r="W9" s="114" t="s">
        <v>255</v>
      </c>
      <c r="X9" s="114" t="s">
        <v>662</v>
      </c>
      <c r="Y9" s="114"/>
      <c r="Z9" s="122">
        <v>2.22</v>
      </c>
      <c r="AA9" s="123">
        <f t="shared" si="3"/>
        <v>7838.82</v>
      </c>
      <c r="AB9" s="123">
        <f t="shared" si="4"/>
        <v>60750.86</v>
      </c>
      <c r="AC9" s="124">
        <v>60372</v>
      </c>
      <c r="AD9" s="114" t="s">
        <v>434</v>
      </c>
      <c r="AE9" s="114" t="str">
        <f>IFERROR(VLOOKUP(H9,名称!A:C,3,0),"")</f>
        <v>SNF</v>
      </c>
      <c r="AF9" s="114" t="str">
        <f t="shared" si="0"/>
        <v>WALGREENS MDDP</v>
      </c>
      <c r="AG9" s="114" t="str">
        <f t="shared" si="1"/>
        <v>美国</v>
      </c>
    </row>
    <row r="10" s="107" customFormat="1" ht="25" hidden="1" customHeight="1" spans="1:33">
      <c r="A10" s="119">
        <v>45981</v>
      </c>
      <c r="B10" s="113" t="s">
        <v>658</v>
      </c>
      <c r="C10" s="114" t="s">
        <v>396</v>
      </c>
      <c r="D10" s="115" t="s">
        <v>659</v>
      </c>
      <c r="E10" s="114" t="s">
        <v>246</v>
      </c>
      <c r="F10" s="114"/>
      <c r="G10" s="114">
        <v>4560812829</v>
      </c>
      <c r="H10" s="114" t="s">
        <v>204</v>
      </c>
      <c r="I10" s="117" t="str">
        <f>IFERROR(VLOOKUP(H10,名称!A:C,2,0),"")</f>
        <v>蜘蛛侠喷水公仔3只装</v>
      </c>
      <c r="J10" s="118">
        <v>2994</v>
      </c>
      <c r="K10" s="118">
        <f>VLOOKUP(H10,名称!A:D,4,0)</f>
        <v>3</v>
      </c>
      <c r="L10" s="114">
        <f t="shared" si="2"/>
        <v>998</v>
      </c>
      <c r="M10" s="112">
        <v>46029</v>
      </c>
      <c r="N10" s="112">
        <v>46035</v>
      </c>
      <c r="O10" s="112">
        <v>46032</v>
      </c>
      <c r="P10" s="119" t="s">
        <v>428</v>
      </c>
      <c r="Q10" s="114" t="s">
        <v>429</v>
      </c>
      <c r="R10" s="114" t="s">
        <v>660</v>
      </c>
      <c r="S10" s="115" t="s">
        <v>661</v>
      </c>
      <c r="T10" s="115" t="s">
        <v>431</v>
      </c>
      <c r="U10" s="114"/>
      <c r="V10" s="121"/>
      <c r="W10" s="114" t="s">
        <v>255</v>
      </c>
      <c r="X10" s="114" t="s">
        <v>663</v>
      </c>
      <c r="Y10" s="114"/>
      <c r="Z10" s="122">
        <v>2.22</v>
      </c>
      <c r="AA10" s="123">
        <f t="shared" si="3"/>
        <v>6646.68</v>
      </c>
      <c r="AB10" s="123">
        <f t="shared" si="4"/>
        <v>51511.77</v>
      </c>
      <c r="AC10" s="124">
        <v>60373</v>
      </c>
      <c r="AD10" s="114" t="s">
        <v>434</v>
      </c>
      <c r="AE10" s="114" t="str">
        <f>IFERROR(VLOOKUP(H10,名称!A:C,3,0),"")</f>
        <v>SNF</v>
      </c>
      <c r="AF10" s="114" t="str">
        <f t="shared" si="0"/>
        <v>WALGREENS MDDP</v>
      </c>
      <c r="AG10" s="114" t="str">
        <f t="shared" si="1"/>
        <v>美国</v>
      </c>
    </row>
    <row r="11" s="107" customFormat="1" ht="25" hidden="1" customHeight="1" spans="1:33">
      <c r="A11" s="119">
        <v>45981</v>
      </c>
      <c r="B11" s="113" t="s">
        <v>658</v>
      </c>
      <c r="C11" s="114" t="s">
        <v>396</v>
      </c>
      <c r="D11" s="115" t="s">
        <v>659</v>
      </c>
      <c r="E11" s="114" t="s">
        <v>246</v>
      </c>
      <c r="F11" s="114"/>
      <c r="G11" s="114">
        <v>4560812863</v>
      </c>
      <c r="H11" s="114" t="s">
        <v>204</v>
      </c>
      <c r="I11" s="117" t="str">
        <f>IFERROR(VLOOKUP(H11,名称!A:C,2,0),"")</f>
        <v>蜘蛛侠喷水公仔3只装</v>
      </c>
      <c r="J11" s="118">
        <v>3402</v>
      </c>
      <c r="K11" s="118">
        <f>VLOOKUP(H11,名称!A:D,4,0)</f>
        <v>3</v>
      </c>
      <c r="L11" s="114">
        <f t="shared" si="2"/>
        <v>1134</v>
      </c>
      <c r="M11" s="112">
        <v>46029</v>
      </c>
      <c r="N11" s="112">
        <v>46035</v>
      </c>
      <c r="O11" s="112">
        <v>46032</v>
      </c>
      <c r="P11" s="119" t="s">
        <v>428</v>
      </c>
      <c r="Q11" s="114" t="s">
        <v>429</v>
      </c>
      <c r="R11" s="114" t="s">
        <v>660</v>
      </c>
      <c r="S11" s="115" t="s">
        <v>661</v>
      </c>
      <c r="T11" s="115" t="s">
        <v>431</v>
      </c>
      <c r="U11" s="114"/>
      <c r="V11" s="121"/>
      <c r="W11" s="114" t="s">
        <v>255</v>
      </c>
      <c r="X11" s="114" t="s">
        <v>663</v>
      </c>
      <c r="Y11" s="114"/>
      <c r="Z11" s="122">
        <v>2.22</v>
      </c>
      <c r="AA11" s="123">
        <f t="shared" si="3"/>
        <v>7552.44</v>
      </c>
      <c r="AB11" s="123">
        <f t="shared" si="4"/>
        <v>58531.41</v>
      </c>
      <c r="AC11" s="124">
        <v>60374</v>
      </c>
      <c r="AD11" s="114" t="s">
        <v>434</v>
      </c>
      <c r="AE11" s="114" t="str">
        <f>IFERROR(VLOOKUP(H11,名称!A:C,3,0),"")</f>
        <v>SNF</v>
      </c>
      <c r="AF11" s="114" t="str">
        <f t="shared" si="0"/>
        <v>WALGREENS MDDP</v>
      </c>
      <c r="AG11" s="114" t="str">
        <f t="shared" si="1"/>
        <v>美国</v>
      </c>
    </row>
    <row r="12" s="107" customFormat="1" ht="25" hidden="1" customHeight="1" spans="1:33">
      <c r="A12" s="119">
        <v>45981</v>
      </c>
      <c r="B12" s="113" t="s">
        <v>658</v>
      </c>
      <c r="C12" s="114" t="s">
        <v>396</v>
      </c>
      <c r="D12" s="115" t="s">
        <v>659</v>
      </c>
      <c r="E12" s="114" t="s">
        <v>246</v>
      </c>
      <c r="F12" s="114"/>
      <c r="G12" s="114">
        <v>4560812876</v>
      </c>
      <c r="H12" s="114" t="s">
        <v>204</v>
      </c>
      <c r="I12" s="117" t="str">
        <f>IFERROR(VLOOKUP(H12,名称!A:C,2,0),"")</f>
        <v>蜘蛛侠喷水公仔3只装</v>
      </c>
      <c r="J12" s="118">
        <v>3954</v>
      </c>
      <c r="K12" s="118">
        <f>VLOOKUP(H12,名称!A:D,4,0)</f>
        <v>3</v>
      </c>
      <c r="L12" s="114">
        <f t="shared" si="2"/>
        <v>1318</v>
      </c>
      <c r="M12" s="112">
        <v>46029</v>
      </c>
      <c r="N12" s="112">
        <v>46035</v>
      </c>
      <c r="O12" s="112">
        <v>46032</v>
      </c>
      <c r="P12" s="119" t="s">
        <v>428</v>
      </c>
      <c r="Q12" s="114" t="s">
        <v>429</v>
      </c>
      <c r="R12" s="114" t="s">
        <v>660</v>
      </c>
      <c r="S12" s="115" t="s">
        <v>661</v>
      </c>
      <c r="T12" s="115" t="s">
        <v>431</v>
      </c>
      <c r="U12" s="114"/>
      <c r="V12" s="121"/>
      <c r="W12" s="114" t="s">
        <v>255</v>
      </c>
      <c r="X12" s="114" t="s">
        <v>663</v>
      </c>
      <c r="Y12" s="114"/>
      <c r="Z12" s="122">
        <v>2.22</v>
      </c>
      <c r="AA12" s="123">
        <f t="shared" si="3"/>
        <v>8777.88</v>
      </c>
      <c r="AB12" s="123">
        <f t="shared" si="4"/>
        <v>68028.57</v>
      </c>
      <c r="AC12" s="124">
        <v>60375</v>
      </c>
      <c r="AD12" s="114" t="s">
        <v>434</v>
      </c>
      <c r="AE12" s="114" t="str">
        <f>IFERROR(VLOOKUP(H12,名称!A:C,3,0),"")</f>
        <v>SNF</v>
      </c>
      <c r="AF12" s="114" t="str">
        <f t="shared" si="0"/>
        <v>WALGREENS MDDP</v>
      </c>
      <c r="AG12" s="114" t="str">
        <f t="shared" si="1"/>
        <v>美国</v>
      </c>
    </row>
    <row r="13" s="107" customFormat="1" ht="25" hidden="1" customHeight="1" spans="1:33">
      <c r="A13" s="119">
        <v>45981</v>
      </c>
      <c r="B13" s="113" t="s">
        <v>658</v>
      </c>
      <c r="C13" s="114" t="s">
        <v>396</v>
      </c>
      <c r="D13" s="115" t="s">
        <v>659</v>
      </c>
      <c r="E13" s="114" t="s">
        <v>246</v>
      </c>
      <c r="F13" s="114"/>
      <c r="G13" s="114">
        <v>4560812888</v>
      </c>
      <c r="H13" s="114" t="s">
        <v>204</v>
      </c>
      <c r="I13" s="117" t="str">
        <f>IFERROR(VLOOKUP(H13,名称!A:C,2,0),"")</f>
        <v>蜘蛛侠喷水公仔3只装</v>
      </c>
      <c r="J13" s="118">
        <v>5106</v>
      </c>
      <c r="K13" s="118">
        <f>VLOOKUP(H13,名称!A:D,4,0)</f>
        <v>3</v>
      </c>
      <c r="L13" s="114">
        <f t="shared" si="2"/>
        <v>1702</v>
      </c>
      <c r="M13" s="112">
        <v>46029</v>
      </c>
      <c r="N13" s="112">
        <v>46035</v>
      </c>
      <c r="O13" s="112">
        <v>46032</v>
      </c>
      <c r="P13" s="119" t="s">
        <v>428</v>
      </c>
      <c r="Q13" s="114" t="s">
        <v>429</v>
      </c>
      <c r="R13" s="114" t="s">
        <v>660</v>
      </c>
      <c r="S13" s="115" t="s">
        <v>661</v>
      </c>
      <c r="T13" s="115" t="s">
        <v>431</v>
      </c>
      <c r="U13" s="114"/>
      <c r="V13" s="121"/>
      <c r="W13" s="114" t="s">
        <v>255</v>
      </c>
      <c r="X13" s="114" t="s">
        <v>664</v>
      </c>
      <c r="Y13" s="114"/>
      <c r="Z13" s="122">
        <v>2.22</v>
      </c>
      <c r="AA13" s="123">
        <f t="shared" si="3"/>
        <v>11335.32</v>
      </c>
      <c r="AB13" s="123">
        <f t="shared" si="4"/>
        <v>87848.73</v>
      </c>
      <c r="AC13" s="124">
        <v>60376</v>
      </c>
      <c r="AD13" s="114" t="s">
        <v>434</v>
      </c>
      <c r="AE13" s="114" t="str">
        <f>IFERROR(VLOOKUP(H13,名称!A:C,3,0),"")</f>
        <v>SNF</v>
      </c>
      <c r="AF13" s="114" t="str">
        <f t="shared" si="0"/>
        <v>WALGREENS MDDP</v>
      </c>
      <c r="AG13" s="114" t="str">
        <f t="shared" si="1"/>
        <v>美国</v>
      </c>
    </row>
    <row r="14" s="108" customFormat="1" ht="25" hidden="1" customHeight="1" spans="1:33">
      <c r="A14" s="119">
        <v>45981</v>
      </c>
      <c r="B14" s="113" t="s">
        <v>658</v>
      </c>
      <c r="C14" s="114" t="s">
        <v>396</v>
      </c>
      <c r="D14" s="115" t="s">
        <v>659</v>
      </c>
      <c r="E14" s="114" t="s">
        <v>246</v>
      </c>
      <c r="F14" s="114"/>
      <c r="G14" s="114">
        <v>4560812940</v>
      </c>
      <c r="H14" s="114" t="s">
        <v>204</v>
      </c>
      <c r="I14" s="117" t="str">
        <f>IFERROR(VLOOKUP(H14,名称!A:C,2,0),"")</f>
        <v>蜘蛛侠喷水公仔3只装</v>
      </c>
      <c r="J14" s="118">
        <v>3261</v>
      </c>
      <c r="K14" s="118">
        <f>VLOOKUP(H14,名称!A:D,4,0)</f>
        <v>3</v>
      </c>
      <c r="L14" s="114">
        <f t="shared" si="2"/>
        <v>1087</v>
      </c>
      <c r="M14" s="112">
        <v>46029</v>
      </c>
      <c r="N14" s="112">
        <v>46035</v>
      </c>
      <c r="O14" s="112">
        <v>46032</v>
      </c>
      <c r="P14" s="119" t="s">
        <v>428</v>
      </c>
      <c r="Q14" s="114" t="s">
        <v>429</v>
      </c>
      <c r="R14" s="114" t="s">
        <v>660</v>
      </c>
      <c r="S14" s="115" t="s">
        <v>661</v>
      </c>
      <c r="T14" s="115" t="s">
        <v>431</v>
      </c>
      <c r="U14" s="114"/>
      <c r="V14" s="121"/>
      <c r="W14" s="114" t="s">
        <v>255</v>
      </c>
      <c r="X14" s="114" t="s">
        <v>664</v>
      </c>
      <c r="Y14" s="114"/>
      <c r="Z14" s="122">
        <v>2.22</v>
      </c>
      <c r="AA14" s="123">
        <f t="shared" si="3"/>
        <v>7239.42</v>
      </c>
      <c r="AB14" s="123">
        <f t="shared" si="4"/>
        <v>56105.51</v>
      </c>
      <c r="AC14" s="124">
        <v>60377</v>
      </c>
      <c r="AD14" s="114" t="s">
        <v>434</v>
      </c>
      <c r="AE14" s="114" t="str">
        <f>IFERROR(VLOOKUP(H14,名称!A:C,3,0),"")</f>
        <v>SNF</v>
      </c>
      <c r="AF14" s="114" t="str">
        <f t="shared" si="0"/>
        <v>WALGREENS MDDP</v>
      </c>
      <c r="AG14" s="114" t="str">
        <f t="shared" si="1"/>
        <v>美国</v>
      </c>
    </row>
    <row r="15" s="108" customFormat="1" ht="25" hidden="1" customHeight="1" spans="1:33">
      <c r="A15" s="119">
        <v>45981</v>
      </c>
      <c r="B15" s="113" t="s">
        <v>658</v>
      </c>
      <c r="C15" s="114" t="s">
        <v>396</v>
      </c>
      <c r="D15" s="115" t="s">
        <v>659</v>
      </c>
      <c r="E15" s="114" t="s">
        <v>246</v>
      </c>
      <c r="F15" s="114"/>
      <c r="G15" s="114">
        <v>4560812954</v>
      </c>
      <c r="H15" s="114" t="s">
        <v>204</v>
      </c>
      <c r="I15" s="117" t="str">
        <f>IFERROR(VLOOKUP(H15,名称!A:C,2,0),"")</f>
        <v>蜘蛛侠喷水公仔3只装</v>
      </c>
      <c r="J15" s="118">
        <v>2700</v>
      </c>
      <c r="K15" s="118">
        <f>VLOOKUP(H15,名称!A:D,4,0)</f>
        <v>3</v>
      </c>
      <c r="L15" s="114">
        <f t="shared" si="2"/>
        <v>900</v>
      </c>
      <c r="M15" s="112">
        <v>46029</v>
      </c>
      <c r="N15" s="112">
        <v>46035</v>
      </c>
      <c r="O15" s="112">
        <v>46032</v>
      </c>
      <c r="P15" s="119" t="s">
        <v>428</v>
      </c>
      <c r="Q15" s="114" t="s">
        <v>429</v>
      </c>
      <c r="R15" s="114" t="s">
        <v>660</v>
      </c>
      <c r="S15" s="115" t="s">
        <v>661</v>
      </c>
      <c r="T15" s="115" t="s">
        <v>431</v>
      </c>
      <c r="U15" s="114"/>
      <c r="V15" s="121"/>
      <c r="W15" s="114" t="s">
        <v>255</v>
      </c>
      <c r="X15" s="114" t="s">
        <v>665</v>
      </c>
      <c r="Y15" s="114"/>
      <c r="Z15" s="122">
        <v>2.22</v>
      </c>
      <c r="AA15" s="123">
        <f t="shared" si="3"/>
        <v>5994</v>
      </c>
      <c r="AB15" s="123">
        <f t="shared" si="4"/>
        <v>46453.5</v>
      </c>
      <c r="AC15" s="124">
        <v>60378</v>
      </c>
      <c r="AD15" s="114" t="s">
        <v>434</v>
      </c>
      <c r="AE15" s="114" t="str">
        <f>IFERROR(VLOOKUP(H15,名称!A:C,3,0),"")</f>
        <v>SNF</v>
      </c>
      <c r="AF15" s="114" t="str">
        <f t="shared" si="0"/>
        <v>WALGREENS MDDP</v>
      </c>
      <c r="AG15" s="114" t="str">
        <f t="shared" si="1"/>
        <v>美国</v>
      </c>
    </row>
    <row r="16" s="107" customFormat="1" ht="25" hidden="1" customHeight="1" spans="1:33">
      <c r="A16" s="119">
        <v>45981</v>
      </c>
      <c r="B16" s="113" t="s">
        <v>658</v>
      </c>
      <c r="C16" s="114" t="s">
        <v>396</v>
      </c>
      <c r="D16" s="115" t="s">
        <v>659</v>
      </c>
      <c r="E16" s="114" t="s">
        <v>246</v>
      </c>
      <c r="F16" s="114"/>
      <c r="G16" s="114">
        <v>4560813082</v>
      </c>
      <c r="H16" s="114" t="s">
        <v>204</v>
      </c>
      <c r="I16" s="117" t="str">
        <f>IFERROR(VLOOKUP(H16,名称!A:C,2,0),"")</f>
        <v>蜘蛛侠喷水公仔3只装</v>
      </c>
      <c r="J16" s="118">
        <f>3513+3</f>
        <v>3516</v>
      </c>
      <c r="K16" s="118">
        <f>VLOOKUP(H16,名称!A:D,4,0)</f>
        <v>3</v>
      </c>
      <c r="L16" s="114">
        <f t="shared" si="2"/>
        <v>1172</v>
      </c>
      <c r="M16" s="112">
        <v>46029</v>
      </c>
      <c r="N16" s="112">
        <v>46035</v>
      </c>
      <c r="O16" s="112">
        <v>46032</v>
      </c>
      <c r="P16" s="119" t="s">
        <v>428</v>
      </c>
      <c r="Q16" s="114" t="s">
        <v>429</v>
      </c>
      <c r="R16" s="114" t="s">
        <v>660</v>
      </c>
      <c r="S16" s="115" t="s">
        <v>661</v>
      </c>
      <c r="T16" s="115" t="s">
        <v>431</v>
      </c>
      <c r="U16" s="114"/>
      <c r="V16" s="121"/>
      <c r="W16" s="114" t="s">
        <v>255</v>
      </c>
      <c r="X16" s="114" t="s">
        <v>665</v>
      </c>
      <c r="Y16" s="114"/>
      <c r="Z16" s="122">
        <v>2.22</v>
      </c>
      <c r="AA16" s="123">
        <f t="shared" si="3"/>
        <v>7805.52</v>
      </c>
      <c r="AB16" s="123">
        <f t="shared" si="4"/>
        <v>60492.78</v>
      </c>
      <c r="AC16" s="124">
        <v>60379</v>
      </c>
      <c r="AD16" s="114" t="s">
        <v>434</v>
      </c>
      <c r="AE16" s="114" t="str">
        <f>IFERROR(VLOOKUP(H16,名称!A:C,3,0),"")</f>
        <v>SNF</v>
      </c>
      <c r="AF16" s="114" t="str">
        <f t="shared" si="0"/>
        <v>WALGREENS MDDP</v>
      </c>
      <c r="AG16" s="114" t="str">
        <f t="shared" si="1"/>
        <v>美国</v>
      </c>
    </row>
    <row r="17" s="107" customFormat="1" ht="25" hidden="1" customHeight="1" spans="1:33">
      <c r="A17" s="119">
        <v>45961</v>
      </c>
      <c r="B17" s="113" t="s">
        <v>569</v>
      </c>
      <c r="C17" s="114" t="s">
        <v>570</v>
      </c>
      <c r="D17" s="115" t="s">
        <v>521</v>
      </c>
      <c r="E17" s="114" t="s">
        <v>246</v>
      </c>
      <c r="F17" s="114"/>
      <c r="G17" s="114" t="s">
        <v>288</v>
      </c>
      <c r="H17" s="114" t="s">
        <v>149</v>
      </c>
      <c r="I17" s="117">
        <f>IFERROR(VLOOKUP(H17,名称!A:C,2,0),"")</f>
        <v>0</v>
      </c>
      <c r="J17" s="118">
        <v>1200</v>
      </c>
      <c r="K17" s="118">
        <f>VLOOKUP(H17,名称!A:D,4,0)</f>
        <v>6</v>
      </c>
      <c r="L17" s="114">
        <f t="shared" si="2"/>
        <v>200</v>
      </c>
      <c r="M17" s="112">
        <v>45992</v>
      </c>
      <c r="N17" s="112">
        <v>46027</v>
      </c>
      <c r="O17" s="112" t="s">
        <v>666</v>
      </c>
      <c r="P17" s="119" t="s">
        <v>428</v>
      </c>
      <c r="Q17" s="114" t="s">
        <v>429</v>
      </c>
      <c r="R17" s="114" t="s">
        <v>667</v>
      </c>
      <c r="S17" s="115" t="s">
        <v>668</v>
      </c>
      <c r="T17" s="115" t="s">
        <v>431</v>
      </c>
      <c r="U17" s="114" t="s">
        <v>669</v>
      </c>
      <c r="V17" s="121" t="s">
        <v>670</v>
      </c>
      <c r="W17" s="114" t="s">
        <v>255</v>
      </c>
      <c r="X17" s="114"/>
      <c r="Y17" s="114" t="s">
        <v>671</v>
      </c>
      <c r="Z17" s="122">
        <v>3.87</v>
      </c>
      <c r="AA17" s="123">
        <f t="shared" si="3"/>
        <v>4644</v>
      </c>
      <c r="AB17" s="123">
        <f t="shared" si="4"/>
        <v>35991</v>
      </c>
      <c r="AC17" s="124">
        <v>60384</v>
      </c>
      <c r="AD17" s="114" t="s">
        <v>463</v>
      </c>
      <c r="AE17" s="114" t="str">
        <f>IFERROR(VLOOKUP(H17,名称!A:C,3,0),"")</f>
        <v>FNT</v>
      </c>
      <c r="AF17" s="114" t="str">
        <f t="shared" si="0"/>
        <v>MAKI A/S</v>
      </c>
      <c r="AG17" s="114" t="str">
        <f t="shared" si="1"/>
        <v>丹麦</v>
      </c>
    </row>
    <row r="18" s="107" customFormat="1" ht="25" hidden="1" customHeight="1" spans="1:33">
      <c r="A18" s="119">
        <v>45975</v>
      </c>
      <c r="B18" s="113" t="s">
        <v>569</v>
      </c>
      <c r="C18" s="114" t="s">
        <v>570</v>
      </c>
      <c r="D18" s="115" t="s">
        <v>521</v>
      </c>
      <c r="E18" s="114" t="s">
        <v>246</v>
      </c>
      <c r="F18" s="114"/>
      <c r="G18" s="114" t="s">
        <v>288</v>
      </c>
      <c r="H18" s="114" t="s">
        <v>143</v>
      </c>
      <c r="I18" s="117">
        <f>IFERROR(VLOOKUP(H18,名称!A:C,2,0),"")</f>
        <v>0</v>
      </c>
      <c r="J18" s="118">
        <v>1000</v>
      </c>
      <c r="K18" s="118">
        <f>VLOOKUP(H18,名称!A:D,4,0)</f>
        <v>4</v>
      </c>
      <c r="L18" s="114">
        <f t="shared" si="2"/>
        <v>250</v>
      </c>
      <c r="M18" s="112">
        <v>46036</v>
      </c>
      <c r="N18" s="112">
        <v>46036</v>
      </c>
      <c r="O18" s="112">
        <v>46037</v>
      </c>
      <c r="P18" s="119" t="s">
        <v>428</v>
      </c>
      <c r="Q18" s="114" t="s">
        <v>429</v>
      </c>
      <c r="R18" s="114" t="s">
        <v>672</v>
      </c>
      <c r="S18" s="115" t="s">
        <v>668</v>
      </c>
      <c r="T18" s="115" t="s">
        <v>431</v>
      </c>
      <c r="U18" s="114" t="s">
        <v>669</v>
      </c>
      <c r="V18" s="114" t="s">
        <v>657</v>
      </c>
      <c r="W18" s="114" t="s">
        <v>258</v>
      </c>
      <c r="X18" s="114"/>
      <c r="Y18" s="114"/>
      <c r="Z18" s="122">
        <v>7.86</v>
      </c>
      <c r="AA18" s="123">
        <f t="shared" si="3"/>
        <v>7860</v>
      </c>
      <c r="AB18" s="123">
        <f t="shared" si="4"/>
        <v>60915</v>
      </c>
      <c r="AC18" s="124">
        <v>60384</v>
      </c>
      <c r="AD18" s="114" t="s">
        <v>434</v>
      </c>
      <c r="AE18" s="114" t="str">
        <f>IFERROR(VLOOKUP(H18,名称!A:C,3,0),"")</f>
        <v>FNT</v>
      </c>
      <c r="AF18" s="114" t="str">
        <f t="shared" si="0"/>
        <v>MAKI A/S</v>
      </c>
      <c r="AG18" s="114" t="str">
        <f t="shared" si="1"/>
        <v>丹麦</v>
      </c>
    </row>
    <row r="19" s="107" customFormat="1" ht="25" hidden="1" customHeight="1" spans="1:33">
      <c r="A19" s="119">
        <v>45964</v>
      </c>
      <c r="B19" s="113" t="s">
        <v>636</v>
      </c>
      <c r="C19" s="114" t="s">
        <v>396</v>
      </c>
      <c r="D19" s="115" t="s">
        <v>673</v>
      </c>
      <c r="E19" s="114" t="s">
        <v>246</v>
      </c>
      <c r="F19" s="114"/>
      <c r="G19" s="114">
        <v>10001431523</v>
      </c>
      <c r="H19" s="114" t="s">
        <v>205</v>
      </c>
      <c r="I19" s="117" t="str">
        <f>IFERROR(VLOOKUP(H19,名称!A:C,2,0),"")</f>
        <v>蜘蛛侠喷水公仔5只装</v>
      </c>
      <c r="J19" s="118">
        <v>2796</v>
      </c>
      <c r="K19" s="118">
        <f>VLOOKUP(H19,名称!A:D,4,0)</f>
        <v>3</v>
      </c>
      <c r="L19" s="114">
        <f t="shared" si="2"/>
        <v>932</v>
      </c>
      <c r="M19" s="112">
        <v>46041</v>
      </c>
      <c r="N19" s="112">
        <v>46041</v>
      </c>
      <c r="O19" s="112">
        <v>46038</v>
      </c>
      <c r="P19" s="119" t="s">
        <v>428</v>
      </c>
      <c r="Q19" s="114" t="s">
        <v>429</v>
      </c>
      <c r="R19" s="114" t="s">
        <v>674</v>
      </c>
      <c r="S19" s="115" t="s">
        <v>445</v>
      </c>
      <c r="T19" s="115" t="s">
        <v>453</v>
      </c>
      <c r="U19" s="114" t="s">
        <v>675</v>
      </c>
      <c r="V19" s="121"/>
      <c r="W19" s="114" t="s">
        <v>255</v>
      </c>
      <c r="X19" s="114"/>
      <c r="Y19" s="114"/>
      <c r="Z19" s="122">
        <v>3.64</v>
      </c>
      <c r="AA19" s="123">
        <f t="shared" si="3"/>
        <v>10177.44</v>
      </c>
      <c r="AB19" s="123">
        <f t="shared" si="4"/>
        <v>78875.16</v>
      </c>
      <c r="AC19" s="124">
        <v>60385</v>
      </c>
      <c r="AD19" s="114" t="s">
        <v>434</v>
      </c>
      <c r="AE19" s="114" t="str">
        <f>IFERROR(VLOOKUP(H19,名称!A:C,3,0),"")</f>
        <v>SNF</v>
      </c>
      <c r="AF19" s="114" t="str">
        <f t="shared" si="0"/>
        <v>TARGET IMPORT</v>
      </c>
      <c r="AG19" s="114" t="str">
        <f t="shared" si="1"/>
        <v>美国</v>
      </c>
    </row>
    <row r="20" s="107" customFormat="1" ht="25" hidden="1" customHeight="1" spans="1:33">
      <c r="A20" s="119">
        <v>45887</v>
      </c>
      <c r="B20" s="113" t="s">
        <v>519</v>
      </c>
      <c r="C20" s="114" t="s">
        <v>520</v>
      </c>
      <c r="D20" s="115" t="s">
        <v>521</v>
      </c>
      <c r="E20" s="116" t="s">
        <v>246</v>
      </c>
      <c r="F20" s="114"/>
      <c r="G20" s="114" t="s">
        <v>268</v>
      </c>
      <c r="H20" s="114" t="s">
        <v>135</v>
      </c>
      <c r="I20" s="117" t="str">
        <f>IFERROR(VLOOKUP(H20,名称!A:C,2,0),"")</f>
        <v>迈达斯</v>
      </c>
      <c r="J20" s="118">
        <v>900</v>
      </c>
      <c r="K20" s="118">
        <f>VLOOKUP(H20,名称!A:D,4,0)</f>
        <v>6</v>
      </c>
      <c r="L20" s="118">
        <f t="shared" si="2"/>
        <v>150</v>
      </c>
      <c r="M20" s="112">
        <v>46028</v>
      </c>
      <c r="N20" s="112">
        <v>46022</v>
      </c>
      <c r="O20" s="112">
        <v>46028</v>
      </c>
      <c r="P20" s="119" t="s">
        <v>428</v>
      </c>
      <c r="Q20" s="114" t="s">
        <v>429</v>
      </c>
      <c r="R20" s="114" t="s">
        <v>676</v>
      </c>
      <c r="S20" s="120" t="s">
        <v>609</v>
      </c>
      <c r="T20" s="115" t="s">
        <v>431</v>
      </c>
      <c r="U20" s="114"/>
      <c r="V20" s="121" t="s">
        <v>467</v>
      </c>
      <c r="W20" s="114" t="s">
        <v>258</v>
      </c>
      <c r="X20" s="114"/>
      <c r="Y20" s="114"/>
      <c r="Z20" s="122">
        <v>2.13</v>
      </c>
      <c r="AA20" s="123">
        <f t="shared" si="3"/>
        <v>1917</v>
      </c>
      <c r="AB20" s="123">
        <f t="shared" si="4"/>
        <v>14856.75</v>
      </c>
      <c r="AC20" s="124">
        <v>60386</v>
      </c>
      <c r="AD20" s="114" t="s">
        <v>434</v>
      </c>
      <c r="AE20" s="114" t="str">
        <f>IFERROR(VLOOKUP(H20,名称!A:C,3,0),"")</f>
        <v>FNT</v>
      </c>
      <c r="AF20" s="114" t="str">
        <f t="shared" si="0"/>
        <v>IMPORT SERVICES</v>
      </c>
      <c r="AG20" s="114" t="str">
        <f t="shared" si="1"/>
        <v>英国</v>
      </c>
    </row>
    <row r="21" s="107" customFormat="1" ht="25" hidden="1" customHeight="1" spans="1:33">
      <c r="A21" s="119">
        <v>45887</v>
      </c>
      <c r="B21" s="113" t="s">
        <v>519</v>
      </c>
      <c r="C21" s="114" t="s">
        <v>520</v>
      </c>
      <c r="D21" s="115" t="s">
        <v>521</v>
      </c>
      <c r="E21" s="116" t="s">
        <v>246</v>
      </c>
      <c r="F21" s="114"/>
      <c r="G21" s="114" t="s">
        <v>268</v>
      </c>
      <c r="H21" s="114" t="s">
        <v>139</v>
      </c>
      <c r="I21" s="117" t="str">
        <f>IFERROR(VLOOKUP(H21,名称!A:C,2,0),"")</f>
        <v>橡皮糖鱼条</v>
      </c>
      <c r="J21" s="118">
        <v>1002</v>
      </c>
      <c r="K21" s="118">
        <f>VLOOKUP(H21,名称!A:D,4,0)</f>
        <v>6</v>
      </c>
      <c r="L21" s="118">
        <f t="shared" si="2"/>
        <v>167</v>
      </c>
      <c r="M21" s="112">
        <v>46028</v>
      </c>
      <c r="N21" s="112">
        <v>46021</v>
      </c>
      <c r="O21" s="112">
        <v>46028</v>
      </c>
      <c r="P21" s="119" t="s">
        <v>428</v>
      </c>
      <c r="Q21" s="114" t="s">
        <v>429</v>
      </c>
      <c r="R21" s="114" t="s">
        <v>676</v>
      </c>
      <c r="S21" s="120" t="s">
        <v>609</v>
      </c>
      <c r="T21" s="115" t="s">
        <v>431</v>
      </c>
      <c r="U21" s="114"/>
      <c r="V21" s="121" t="s">
        <v>467</v>
      </c>
      <c r="W21" s="114" t="s">
        <v>258</v>
      </c>
      <c r="X21" s="114"/>
      <c r="Y21" s="114"/>
      <c r="Z21" s="122">
        <v>1.88</v>
      </c>
      <c r="AA21" s="123">
        <f t="shared" si="3"/>
        <v>1883.76</v>
      </c>
      <c r="AB21" s="123">
        <f t="shared" si="4"/>
        <v>14599.14</v>
      </c>
      <c r="AC21" s="124">
        <v>60386</v>
      </c>
      <c r="AD21" s="114" t="s">
        <v>434</v>
      </c>
      <c r="AE21" s="114" t="str">
        <f>IFERROR(VLOOKUP(H21,名称!A:C,3,0),"")</f>
        <v>FNT</v>
      </c>
      <c r="AF21" s="114" t="str">
        <f t="shared" si="0"/>
        <v>IMPORT SERVICES</v>
      </c>
      <c r="AG21" s="114" t="str">
        <f t="shared" si="1"/>
        <v>英国</v>
      </c>
    </row>
    <row r="22" s="107" customFormat="1" ht="25" hidden="1" customHeight="1" spans="1:33">
      <c r="A22" s="119">
        <v>45960</v>
      </c>
      <c r="B22" s="113" t="s">
        <v>519</v>
      </c>
      <c r="C22" s="114" t="s">
        <v>520</v>
      </c>
      <c r="D22" s="115" t="s">
        <v>521</v>
      </c>
      <c r="E22" s="114" t="s">
        <v>246</v>
      </c>
      <c r="F22" s="114"/>
      <c r="G22" s="114" t="s">
        <v>286</v>
      </c>
      <c r="H22" s="114" t="s">
        <v>149</v>
      </c>
      <c r="I22" s="117">
        <f>IFERROR(VLOOKUP(H22,名称!A:C,2,0),"")</f>
        <v>0</v>
      </c>
      <c r="J22" s="118">
        <v>7998</v>
      </c>
      <c r="K22" s="118">
        <f>VLOOKUP(H22,名称!A:D,4,0)</f>
        <v>6</v>
      </c>
      <c r="L22" s="114">
        <f t="shared" si="2"/>
        <v>1333</v>
      </c>
      <c r="M22" s="112">
        <v>46028</v>
      </c>
      <c r="N22" s="112">
        <v>46028</v>
      </c>
      <c r="O22" s="112">
        <v>46038</v>
      </c>
      <c r="P22" s="119" t="s">
        <v>428</v>
      </c>
      <c r="Q22" s="114" t="s">
        <v>429</v>
      </c>
      <c r="R22" s="114" t="s">
        <v>676</v>
      </c>
      <c r="S22" s="120" t="s">
        <v>609</v>
      </c>
      <c r="T22" s="115" t="s">
        <v>431</v>
      </c>
      <c r="U22" s="114"/>
      <c r="V22" s="121" t="s">
        <v>670</v>
      </c>
      <c r="W22" s="114" t="s">
        <v>255</v>
      </c>
      <c r="X22" s="114"/>
      <c r="Y22" s="114" t="s">
        <v>671</v>
      </c>
      <c r="Z22" s="122">
        <v>3.87</v>
      </c>
      <c r="AA22" s="123">
        <f t="shared" si="3"/>
        <v>30952.26</v>
      </c>
      <c r="AB22" s="123">
        <f t="shared" si="4"/>
        <v>239880.02</v>
      </c>
      <c r="AC22" s="124">
        <v>60387</v>
      </c>
      <c r="AD22" s="114" t="s">
        <v>463</v>
      </c>
      <c r="AE22" s="114" t="str">
        <f>IFERROR(VLOOKUP(H22,名称!A:C,3,0),"")</f>
        <v>FNT</v>
      </c>
      <c r="AF22" s="114" t="str">
        <f t="shared" si="0"/>
        <v>IMPORT SERVICES</v>
      </c>
      <c r="AG22" s="114" t="str">
        <f t="shared" si="1"/>
        <v>英国</v>
      </c>
    </row>
    <row r="23" s="107" customFormat="1" ht="25" hidden="1" customHeight="1" spans="1:33">
      <c r="A23" s="119">
        <v>45887</v>
      </c>
      <c r="B23" s="113" t="s">
        <v>519</v>
      </c>
      <c r="C23" s="114" t="s">
        <v>520</v>
      </c>
      <c r="D23" s="115" t="s">
        <v>521</v>
      </c>
      <c r="E23" s="116" t="s">
        <v>246</v>
      </c>
      <c r="F23" s="114"/>
      <c r="G23" s="114" t="s">
        <v>269</v>
      </c>
      <c r="H23" s="114" t="s">
        <v>139</v>
      </c>
      <c r="I23" s="117" t="str">
        <f>IFERROR(VLOOKUP(H23,名称!A:C,2,0),"")</f>
        <v>橡皮糖鱼条</v>
      </c>
      <c r="J23" s="118">
        <v>1002</v>
      </c>
      <c r="K23" s="118">
        <f>VLOOKUP(H23,名称!A:D,4,0)</f>
        <v>6</v>
      </c>
      <c r="L23" s="118">
        <f t="shared" si="2"/>
        <v>167</v>
      </c>
      <c r="M23" s="112">
        <v>46028</v>
      </c>
      <c r="N23" s="112">
        <v>46028</v>
      </c>
      <c r="O23" s="112">
        <v>46035</v>
      </c>
      <c r="P23" s="119" t="s">
        <v>428</v>
      </c>
      <c r="Q23" s="114" t="s">
        <v>429</v>
      </c>
      <c r="R23" s="114" t="s">
        <v>676</v>
      </c>
      <c r="S23" s="120" t="s">
        <v>609</v>
      </c>
      <c r="T23" s="115" t="s">
        <v>431</v>
      </c>
      <c r="U23" s="114"/>
      <c r="V23" s="121" t="s">
        <v>467</v>
      </c>
      <c r="W23" s="114" t="s">
        <v>258</v>
      </c>
      <c r="X23" s="114"/>
      <c r="Y23" s="114"/>
      <c r="Z23" s="122">
        <v>1.88</v>
      </c>
      <c r="AA23" s="123">
        <f t="shared" si="3"/>
        <v>1883.76</v>
      </c>
      <c r="AB23" s="123">
        <f t="shared" si="4"/>
        <v>14599.14</v>
      </c>
      <c r="AC23" s="124">
        <v>60388</v>
      </c>
      <c r="AD23" s="114" t="s">
        <v>434</v>
      </c>
      <c r="AE23" s="114" t="str">
        <f>IFERROR(VLOOKUP(H23,名称!A:C,3,0),"")</f>
        <v>FNT</v>
      </c>
      <c r="AF23" s="114" t="str">
        <f t="shared" si="0"/>
        <v>IMPORT SERVICES</v>
      </c>
      <c r="AG23" s="114" t="str">
        <f t="shared" si="1"/>
        <v>英国</v>
      </c>
    </row>
    <row r="24" s="107" customFormat="1" ht="25" hidden="1" customHeight="1" spans="1:33">
      <c r="A24" s="119">
        <v>45887</v>
      </c>
      <c r="B24" s="113" t="s">
        <v>519</v>
      </c>
      <c r="C24" s="114" t="s">
        <v>520</v>
      </c>
      <c r="D24" s="115" t="s">
        <v>521</v>
      </c>
      <c r="E24" s="116" t="s">
        <v>246</v>
      </c>
      <c r="F24" s="114"/>
      <c r="G24" s="114" t="s">
        <v>269</v>
      </c>
      <c r="H24" s="114" t="s">
        <v>137</v>
      </c>
      <c r="I24" s="117" t="str">
        <f>IFERROR(VLOOKUP(H24,名称!A:C,2,0),"")</f>
        <v>骨头老板</v>
      </c>
      <c r="J24" s="118">
        <v>1002</v>
      </c>
      <c r="K24" s="118">
        <f>VLOOKUP(H24,名称!A:D,4,0)</f>
        <v>6</v>
      </c>
      <c r="L24" s="118">
        <f t="shared" si="2"/>
        <v>167</v>
      </c>
      <c r="M24" s="112">
        <v>46028</v>
      </c>
      <c r="N24" s="112">
        <v>46028</v>
      </c>
      <c r="O24" s="112">
        <v>46035</v>
      </c>
      <c r="P24" s="119" t="s">
        <v>428</v>
      </c>
      <c r="Q24" s="114" t="s">
        <v>429</v>
      </c>
      <c r="R24" s="114" t="s">
        <v>676</v>
      </c>
      <c r="S24" s="120" t="s">
        <v>609</v>
      </c>
      <c r="T24" s="115" t="s">
        <v>431</v>
      </c>
      <c r="U24" s="114"/>
      <c r="V24" s="121" t="s">
        <v>467</v>
      </c>
      <c r="W24" s="114" t="s">
        <v>258</v>
      </c>
      <c r="X24" s="114"/>
      <c r="Y24" s="114"/>
      <c r="Z24" s="122">
        <v>2.18</v>
      </c>
      <c r="AA24" s="123">
        <f t="shared" si="3"/>
        <v>2184.36</v>
      </c>
      <c r="AB24" s="123">
        <f t="shared" si="4"/>
        <v>16928.79</v>
      </c>
      <c r="AC24" s="124">
        <v>60388</v>
      </c>
      <c r="AD24" s="114" t="s">
        <v>434</v>
      </c>
      <c r="AE24" s="114" t="str">
        <f>IFERROR(VLOOKUP(H24,名称!A:C,3,0),"")</f>
        <v>FNT</v>
      </c>
      <c r="AF24" s="114" t="str">
        <f t="shared" si="0"/>
        <v>IMPORT SERVICES</v>
      </c>
      <c r="AG24" s="114" t="str">
        <f t="shared" si="1"/>
        <v>英国</v>
      </c>
    </row>
    <row r="25" s="107" customFormat="1" ht="25" hidden="1" customHeight="1" spans="1:33">
      <c r="A25" s="119">
        <v>45887</v>
      </c>
      <c r="B25" s="113" t="s">
        <v>519</v>
      </c>
      <c r="C25" s="114" t="s">
        <v>520</v>
      </c>
      <c r="D25" s="115" t="s">
        <v>521</v>
      </c>
      <c r="E25" s="116" t="s">
        <v>246</v>
      </c>
      <c r="F25" s="114"/>
      <c r="G25" s="114" t="s">
        <v>267</v>
      </c>
      <c r="H25" s="114" t="s">
        <v>141</v>
      </c>
      <c r="I25" s="117" t="str">
        <f>IFERROR(VLOOKUP(H25,名称!A:C,2,0),"")</f>
        <v>访问者</v>
      </c>
      <c r="J25" s="118">
        <f>804+240+480+480-804-240-480</f>
        <v>480</v>
      </c>
      <c r="K25" s="118">
        <f>VLOOKUP(H25,名称!A:D,4,0)</f>
        <v>6</v>
      </c>
      <c r="L25" s="118">
        <f t="shared" si="2"/>
        <v>80</v>
      </c>
      <c r="M25" s="112">
        <v>45992</v>
      </c>
      <c r="N25" s="112">
        <v>45992</v>
      </c>
      <c r="O25" s="112">
        <v>45989</v>
      </c>
      <c r="P25" s="119" t="s">
        <v>428</v>
      </c>
      <c r="Q25" s="114" t="s">
        <v>429</v>
      </c>
      <c r="R25" s="114" t="s">
        <v>655</v>
      </c>
      <c r="S25" s="120" t="s">
        <v>609</v>
      </c>
      <c r="T25" s="115" t="s">
        <v>431</v>
      </c>
      <c r="U25" s="114"/>
      <c r="V25" s="121" t="s">
        <v>467</v>
      </c>
      <c r="W25" s="114" t="s">
        <v>258</v>
      </c>
      <c r="X25" s="114"/>
      <c r="Y25" s="114"/>
      <c r="Z25" s="122">
        <v>2.12</v>
      </c>
      <c r="AA25" s="123">
        <f t="shared" si="3"/>
        <v>1017.6</v>
      </c>
      <c r="AB25" s="123">
        <f t="shared" si="4"/>
        <v>7886.4</v>
      </c>
      <c r="AC25" s="124">
        <v>60389</v>
      </c>
      <c r="AD25" s="114" t="s">
        <v>463</v>
      </c>
      <c r="AE25" s="114" t="str">
        <f>IFERROR(VLOOKUP(H25,名称!A:C,3,0),"")</f>
        <v>FNT</v>
      </c>
      <c r="AF25" s="114" t="str">
        <f t="shared" si="0"/>
        <v>IMPORT SERVICES</v>
      </c>
      <c r="AG25" s="114" t="str">
        <f t="shared" si="1"/>
        <v>英国</v>
      </c>
    </row>
    <row r="26" s="107" customFormat="1" ht="25" hidden="1" customHeight="1" spans="1:33">
      <c r="A26" s="119">
        <v>45975</v>
      </c>
      <c r="B26" s="113" t="s">
        <v>519</v>
      </c>
      <c r="C26" s="114" t="s">
        <v>520</v>
      </c>
      <c r="D26" s="115" t="s">
        <v>521</v>
      </c>
      <c r="E26" s="114" t="s">
        <v>246</v>
      </c>
      <c r="F26" s="114"/>
      <c r="G26" s="114" t="s">
        <v>295</v>
      </c>
      <c r="H26" s="114" t="s">
        <v>143</v>
      </c>
      <c r="I26" s="117">
        <f>IFERROR(VLOOKUP(H26,名称!A:C,2,0),"")</f>
        <v>0</v>
      </c>
      <c r="J26" s="118">
        <v>1200</v>
      </c>
      <c r="K26" s="118">
        <f>VLOOKUP(H26,名称!A:D,4,0)</f>
        <v>4</v>
      </c>
      <c r="L26" s="114">
        <f t="shared" si="2"/>
        <v>300</v>
      </c>
      <c r="M26" s="112">
        <v>46034</v>
      </c>
      <c r="N26" s="112">
        <v>46032</v>
      </c>
      <c r="O26" s="112">
        <v>46034</v>
      </c>
      <c r="P26" s="119" t="s">
        <v>428</v>
      </c>
      <c r="Q26" s="114" t="s">
        <v>429</v>
      </c>
      <c r="R26" s="114" t="s">
        <v>656</v>
      </c>
      <c r="S26" s="120" t="s">
        <v>609</v>
      </c>
      <c r="T26" s="115" t="s">
        <v>431</v>
      </c>
      <c r="U26" s="114"/>
      <c r="V26" s="121" t="s">
        <v>657</v>
      </c>
      <c r="W26" s="114" t="s">
        <v>258</v>
      </c>
      <c r="X26" s="114"/>
      <c r="Y26" s="114"/>
      <c r="Z26" s="122">
        <v>7.86</v>
      </c>
      <c r="AA26" s="123">
        <f t="shared" si="3"/>
        <v>9432</v>
      </c>
      <c r="AB26" s="123">
        <f t="shared" si="4"/>
        <v>73098</v>
      </c>
      <c r="AC26" s="124">
        <v>60390</v>
      </c>
      <c r="AD26" s="114" t="s">
        <v>434</v>
      </c>
      <c r="AE26" s="114" t="str">
        <f>IFERROR(VLOOKUP(H26,名称!A:C,3,0),"")</f>
        <v>FNT</v>
      </c>
      <c r="AF26" s="114" t="str">
        <f t="shared" si="0"/>
        <v>IMPORT SERVICES</v>
      </c>
      <c r="AG26" s="114" t="str">
        <f t="shared" si="1"/>
        <v>英国</v>
      </c>
    </row>
    <row r="27" s="107" customFormat="1" ht="25" hidden="1" customHeight="1" spans="1:33">
      <c r="A27" s="119">
        <v>45981</v>
      </c>
      <c r="B27" s="113" t="s">
        <v>658</v>
      </c>
      <c r="C27" s="114" t="s">
        <v>396</v>
      </c>
      <c r="D27" s="115" t="s">
        <v>659</v>
      </c>
      <c r="E27" s="114" t="s">
        <v>246</v>
      </c>
      <c r="F27" s="114"/>
      <c r="G27" s="114">
        <v>4560812894</v>
      </c>
      <c r="H27" s="114" t="s">
        <v>204</v>
      </c>
      <c r="I27" s="117" t="str">
        <f>IFERROR(VLOOKUP(H27,名称!A:C,2,0),"")</f>
        <v>蜘蛛侠喷水公仔3只装</v>
      </c>
      <c r="J27" s="118">
        <v>828</v>
      </c>
      <c r="K27" s="118">
        <f>VLOOKUP(H27,名称!A:D,4,0)</f>
        <v>3</v>
      </c>
      <c r="L27" s="114">
        <f t="shared" si="2"/>
        <v>276</v>
      </c>
      <c r="M27" s="112">
        <v>46029</v>
      </c>
      <c r="N27" s="112">
        <v>46035</v>
      </c>
      <c r="O27" s="112">
        <v>46032</v>
      </c>
      <c r="P27" s="119" t="s">
        <v>428</v>
      </c>
      <c r="Q27" s="114" t="s">
        <v>429</v>
      </c>
      <c r="R27" s="114" t="s">
        <v>677</v>
      </c>
      <c r="S27" s="115" t="s">
        <v>661</v>
      </c>
      <c r="T27" s="115" t="s">
        <v>431</v>
      </c>
      <c r="U27" s="114"/>
      <c r="V27" s="121"/>
      <c r="W27" s="114" t="s">
        <v>255</v>
      </c>
      <c r="X27" s="114" t="s">
        <v>664</v>
      </c>
      <c r="Y27" s="114"/>
      <c r="Z27" s="122">
        <v>2.22</v>
      </c>
      <c r="AA27" s="123">
        <f t="shared" si="3"/>
        <v>1838.16</v>
      </c>
      <c r="AB27" s="123">
        <f t="shared" si="4"/>
        <v>14245.74</v>
      </c>
      <c r="AC27" s="124">
        <v>60391</v>
      </c>
      <c r="AD27" s="114" t="s">
        <v>434</v>
      </c>
      <c r="AE27" s="114" t="str">
        <f>IFERROR(VLOOKUP(H27,名称!A:C,3,0),"")</f>
        <v>SNF</v>
      </c>
      <c r="AF27" s="114" t="str">
        <f t="shared" si="0"/>
        <v>WALGREENS MDDP</v>
      </c>
      <c r="AG27" s="114" t="str">
        <f t="shared" si="1"/>
        <v>美国</v>
      </c>
    </row>
    <row r="28" s="107" customFormat="1" ht="25" hidden="1" customHeight="1" spans="1:33">
      <c r="A28" s="119">
        <v>45982</v>
      </c>
      <c r="B28" s="113" t="s">
        <v>678</v>
      </c>
      <c r="C28" s="114" t="s">
        <v>396</v>
      </c>
      <c r="D28" s="115" t="s">
        <v>679</v>
      </c>
      <c r="E28" s="114" t="s">
        <v>246</v>
      </c>
      <c r="F28" s="114"/>
      <c r="G28" s="114" t="s">
        <v>296</v>
      </c>
      <c r="H28" s="114" t="s">
        <v>214</v>
      </c>
      <c r="I28" s="117" t="str">
        <f>IFERROR(VLOOKUP(H28,名称!A:C,2,0),"")</f>
        <v>红人蜘蛛侠</v>
      </c>
      <c r="J28" s="118">
        <v>3600</v>
      </c>
      <c r="K28" s="118">
        <f>VLOOKUP(H28,名称!A:D,4,0)</f>
        <v>6</v>
      </c>
      <c r="L28" s="114">
        <f t="shared" si="2"/>
        <v>600</v>
      </c>
      <c r="M28" s="112">
        <v>46042</v>
      </c>
      <c r="N28" s="112">
        <v>46042</v>
      </c>
      <c r="O28" s="112">
        <v>46038</v>
      </c>
      <c r="P28" s="119" t="s">
        <v>428</v>
      </c>
      <c r="Q28" s="114" t="s">
        <v>429</v>
      </c>
      <c r="R28" s="114" t="s">
        <v>680</v>
      </c>
      <c r="S28" s="115" t="s">
        <v>681</v>
      </c>
      <c r="T28" s="115" t="s">
        <v>431</v>
      </c>
      <c r="U28" s="114"/>
      <c r="V28" s="121"/>
      <c r="W28" s="114" t="s">
        <v>255</v>
      </c>
      <c r="X28" s="114"/>
      <c r="Y28" s="114"/>
      <c r="Z28" s="122">
        <v>0.94</v>
      </c>
      <c r="AA28" s="123">
        <f t="shared" si="3"/>
        <v>3384</v>
      </c>
      <c r="AB28" s="123">
        <f t="shared" si="4"/>
        <v>26226</v>
      </c>
      <c r="AC28" s="124">
        <v>60392</v>
      </c>
      <c r="AD28" s="114" t="s">
        <v>434</v>
      </c>
      <c r="AE28" s="114" t="str">
        <f>IFERROR(VLOOKUP(H28,名称!A:C,3,0),"")</f>
        <v>SNF</v>
      </c>
      <c r="AF28" s="114" t="str">
        <f t="shared" si="0"/>
        <v>HOBBY LOBBY FOB</v>
      </c>
      <c r="AG28" s="114" t="str">
        <f t="shared" si="1"/>
        <v>美国</v>
      </c>
    </row>
    <row r="29" s="107" customFormat="1" ht="25" hidden="1" customHeight="1" spans="1:33">
      <c r="A29" s="119">
        <v>45967</v>
      </c>
      <c r="B29" s="113" t="s">
        <v>490</v>
      </c>
      <c r="C29" s="114" t="s">
        <v>491</v>
      </c>
      <c r="D29" s="115" t="s">
        <v>492</v>
      </c>
      <c r="E29" s="114" t="s">
        <v>246</v>
      </c>
      <c r="F29" s="114"/>
      <c r="G29" s="114" t="s">
        <v>290</v>
      </c>
      <c r="H29" s="114" t="s">
        <v>139</v>
      </c>
      <c r="I29" s="117" t="str">
        <f>IFERROR(VLOOKUP(H29,名称!A:C,2,0),"")</f>
        <v>橡皮糖鱼条</v>
      </c>
      <c r="J29" s="118">
        <v>1200</v>
      </c>
      <c r="K29" s="118">
        <f>VLOOKUP(H29,名称!A:D,4,0)</f>
        <v>6</v>
      </c>
      <c r="L29" s="114">
        <f t="shared" si="2"/>
        <v>200</v>
      </c>
      <c r="M29" s="112">
        <v>46006</v>
      </c>
      <c r="N29" s="112">
        <v>46052</v>
      </c>
      <c r="O29" s="112">
        <v>46032</v>
      </c>
      <c r="P29" s="119" t="s">
        <v>428</v>
      </c>
      <c r="Q29" s="114" t="s">
        <v>429</v>
      </c>
      <c r="R29" s="114" t="s">
        <v>682</v>
      </c>
      <c r="S29" s="115" t="s">
        <v>494</v>
      </c>
      <c r="T29" s="115" t="s">
        <v>431</v>
      </c>
      <c r="U29" s="114"/>
      <c r="V29" s="114" t="s">
        <v>683</v>
      </c>
      <c r="W29" s="114" t="s">
        <v>258</v>
      </c>
      <c r="X29" s="114"/>
      <c r="Y29" s="114"/>
      <c r="Z29" s="122">
        <v>1.68</v>
      </c>
      <c r="AA29" s="123">
        <f t="shared" si="3"/>
        <v>2016</v>
      </c>
      <c r="AB29" s="123">
        <f t="shared" si="4"/>
        <v>15624</v>
      </c>
      <c r="AC29" s="124">
        <v>60393</v>
      </c>
      <c r="AD29" s="114" t="s">
        <v>434</v>
      </c>
      <c r="AE29" s="114" t="str">
        <f>IFERROR(VLOOKUP(H29,名称!A:C,3,0),"")</f>
        <v>FNT</v>
      </c>
      <c r="AF29" s="114" t="str">
        <f t="shared" si="0"/>
        <v>M + F</v>
      </c>
      <c r="AG29" s="114" t="str">
        <f t="shared" si="1"/>
        <v>德国</v>
      </c>
    </row>
    <row r="30" s="107" customFormat="1" ht="25" hidden="1" customHeight="1" spans="1:33">
      <c r="A30" s="119">
        <v>45887</v>
      </c>
      <c r="B30" s="113" t="s">
        <v>519</v>
      </c>
      <c r="C30" s="114" t="s">
        <v>520</v>
      </c>
      <c r="D30" s="115" t="s">
        <v>521</v>
      </c>
      <c r="E30" s="116" t="s">
        <v>246</v>
      </c>
      <c r="F30" s="114"/>
      <c r="G30" s="114" t="s">
        <v>267</v>
      </c>
      <c r="H30" s="114" t="s">
        <v>141</v>
      </c>
      <c r="I30" s="117" t="str">
        <f>IFERROR(VLOOKUP(H30,名称!A:C,2,0),"")</f>
        <v>访问者</v>
      </c>
      <c r="J30" s="118">
        <f>804+240+480+480-804-240-480</f>
        <v>480</v>
      </c>
      <c r="K30" s="118">
        <f>VLOOKUP(H30,名称!A:D,4,0)</f>
        <v>6</v>
      </c>
      <c r="L30" s="118">
        <f t="shared" si="2"/>
        <v>80</v>
      </c>
      <c r="M30" s="112">
        <v>45992</v>
      </c>
      <c r="N30" s="112">
        <v>45992</v>
      </c>
      <c r="O30" s="112">
        <v>45989</v>
      </c>
      <c r="P30" s="119" t="s">
        <v>428</v>
      </c>
      <c r="Q30" s="114" t="s">
        <v>429</v>
      </c>
      <c r="R30" s="114" t="s">
        <v>655</v>
      </c>
      <c r="S30" s="120" t="s">
        <v>609</v>
      </c>
      <c r="T30" s="115" t="s">
        <v>431</v>
      </c>
      <c r="U30" s="114"/>
      <c r="V30" s="121" t="s">
        <v>467</v>
      </c>
      <c r="W30" s="114" t="s">
        <v>258</v>
      </c>
      <c r="X30" s="114"/>
      <c r="Y30" s="114"/>
      <c r="Z30" s="122">
        <v>2.12</v>
      </c>
      <c r="AA30" s="123">
        <f t="shared" si="3"/>
        <v>1017.6</v>
      </c>
      <c r="AB30" s="123">
        <f t="shared" si="4"/>
        <v>7886.4</v>
      </c>
      <c r="AC30" s="124">
        <v>60394</v>
      </c>
      <c r="AD30" s="114" t="s">
        <v>463</v>
      </c>
      <c r="AE30" s="114" t="str">
        <f>IFERROR(VLOOKUP(H30,名称!A:C,3,0),"")</f>
        <v>FNT</v>
      </c>
      <c r="AF30" s="114" t="str">
        <f t="shared" si="0"/>
        <v>IMPORT SERVICES</v>
      </c>
      <c r="AG30" s="114" t="str">
        <f t="shared" si="1"/>
        <v>英国</v>
      </c>
    </row>
    <row r="31" s="107" customFormat="1" ht="25" hidden="1" customHeight="1" spans="1:33">
      <c r="A31" s="119">
        <v>45975</v>
      </c>
      <c r="B31" s="113" t="s">
        <v>519</v>
      </c>
      <c r="C31" s="114" t="s">
        <v>520</v>
      </c>
      <c r="D31" s="115" t="s">
        <v>521</v>
      </c>
      <c r="E31" s="114" t="s">
        <v>246</v>
      </c>
      <c r="F31" s="114"/>
      <c r="G31" s="114" t="s">
        <v>295</v>
      </c>
      <c r="H31" s="114" t="s">
        <v>143</v>
      </c>
      <c r="I31" s="117">
        <f>IFERROR(VLOOKUP(H31,名称!A:C,2,0),"")</f>
        <v>0</v>
      </c>
      <c r="J31" s="118">
        <f>600+1200+1200-600-1200</f>
        <v>1200</v>
      </c>
      <c r="K31" s="118">
        <f>VLOOKUP(H31,名称!A:D,4,0)</f>
        <v>4</v>
      </c>
      <c r="L31" s="114">
        <f t="shared" si="2"/>
        <v>300</v>
      </c>
      <c r="M31" s="112">
        <v>46034</v>
      </c>
      <c r="N31" s="112">
        <v>46032</v>
      </c>
      <c r="O31" s="112">
        <v>46034</v>
      </c>
      <c r="P31" s="119" t="s">
        <v>428</v>
      </c>
      <c r="Q31" s="114" t="s">
        <v>429</v>
      </c>
      <c r="R31" s="114" t="s">
        <v>656</v>
      </c>
      <c r="S31" s="120" t="s">
        <v>609</v>
      </c>
      <c r="T31" s="115" t="s">
        <v>431</v>
      </c>
      <c r="U31" s="114"/>
      <c r="V31" s="121" t="s">
        <v>657</v>
      </c>
      <c r="W31" s="114" t="s">
        <v>258</v>
      </c>
      <c r="X31" s="114"/>
      <c r="Y31" s="114"/>
      <c r="Z31" s="122">
        <v>7.86</v>
      </c>
      <c r="AA31" s="123">
        <f t="shared" si="3"/>
        <v>9432</v>
      </c>
      <c r="AB31" s="123">
        <f t="shared" si="4"/>
        <v>73098</v>
      </c>
      <c r="AC31" s="124">
        <v>60395</v>
      </c>
      <c r="AD31" s="114" t="s">
        <v>434</v>
      </c>
      <c r="AE31" s="114" t="str">
        <f>IFERROR(VLOOKUP(H31,名称!A:C,3,0),"")</f>
        <v>FNT</v>
      </c>
      <c r="AF31" s="114" t="str">
        <f t="shared" si="0"/>
        <v>IMPORT SERVICES</v>
      </c>
      <c r="AG31" s="114" t="str">
        <f t="shared" si="1"/>
        <v>英国</v>
      </c>
    </row>
    <row r="32" s="107" customFormat="1" ht="25" hidden="1" customHeight="1" spans="1:33">
      <c r="A32" s="119">
        <v>45950</v>
      </c>
      <c r="B32" s="113" t="s">
        <v>537</v>
      </c>
      <c r="C32" s="114" t="s">
        <v>396</v>
      </c>
      <c r="D32" s="115" t="s">
        <v>538</v>
      </c>
      <c r="E32" s="114" t="s">
        <v>246</v>
      </c>
      <c r="F32" s="125" t="s">
        <v>280</v>
      </c>
      <c r="G32" s="125" t="s">
        <v>281</v>
      </c>
      <c r="H32" s="125" t="s">
        <v>222</v>
      </c>
      <c r="I32" s="117" t="str">
        <f>IFERROR(VLOOKUP(H32,名称!A:C,2,0),"")</f>
        <v>蜘蛛侠配蜘蛛网套装</v>
      </c>
      <c r="J32" s="126">
        <v>336</v>
      </c>
      <c r="K32" s="118">
        <f>VLOOKUP(H32,名称!A:D,4,0)</f>
        <v>6</v>
      </c>
      <c r="L32" s="118">
        <f t="shared" si="2"/>
        <v>56</v>
      </c>
      <c r="M32" s="127">
        <v>46024</v>
      </c>
      <c r="N32" s="127">
        <v>46024</v>
      </c>
      <c r="O32" s="127">
        <v>46017</v>
      </c>
      <c r="P32" s="119" t="s">
        <v>428</v>
      </c>
      <c r="Q32" s="114" t="s">
        <v>429</v>
      </c>
      <c r="R32" s="125" t="s">
        <v>684</v>
      </c>
      <c r="S32" s="115" t="s">
        <v>452</v>
      </c>
      <c r="T32" s="115" t="s">
        <v>453</v>
      </c>
      <c r="U32" s="120" t="s">
        <v>685</v>
      </c>
      <c r="V32" s="128"/>
      <c r="W32" s="125" t="s">
        <v>276</v>
      </c>
      <c r="X32" s="125"/>
      <c r="Y32" s="125"/>
      <c r="Z32" s="129">
        <v>4.28</v>
      </c>
      <c r="AA32" s="130">
        <f t="shared" si="3"/>
        <v>1438.08</v>
      </c>
      <c r="AB32" s="130">
        <f t="shared" si="4"/>
        <v>11145.12</v>
      </c>
      <c r="AC32" s="124">
        <v>60397</v>
      </c>
      <c r="AD32" s="125" t="s">
        <v>434</v>
      </c>
      <c r="AE32" s="114" t="str">
        <f>IFERROR(VLOOKUP(H32,名称!A:C,3,0),"")</f>
        <v>SNF</v>
      </c>
      <c r="AF32" s="125" t="str">
        <f t="shared" si="0"/>
        <v>AMAZON MDDP</v>
      </c>
      <c r="AG32" s="125" t="str">
        <f t="shared" si="1"/>
        <v>美国</v>
      </c>
    </row>
    <row r="33" s="107" customFormat="1" ht="25" hidden="1" customHeight="1" spans="1:33">
      <c r="A33" s="119">
        <v>45950</v>
      </c>
      <c r="B33" s="113" t="s">
        <v>537</v>
      </c>
      <c r="C33" s="114" t="s">
        <v>396</v>
      </c>
      <c r="D33" s="115" t="s">
        <v>538</v>
      </c>
      <c r="E33" s="114" t="s">
        <v>246</v>
      </c>
      <c r="F33" s="125" t="s">
        <v>280</v>
      </c>
      <c r="G33" s="125" t="s">
        <v>282</v>
      </c>
      <c r="H33" s="125" t="s">
        <v>222</v>
      </c>
      <c r="I33" s="117" t="str">
        <f>IFERROR(VLOOKUP(H33,名称!A:C,2,0),"")</f>
        <v>蜘蛛侠配蜘蛛网套装</v>
      </c>
      <c r="J33" s="126">
        <v>348</v>
      </c>
      <c r="K33" s="118">
        <f>VLOOKUP(H33,名称!A:D,4,0)</f>
        <v>6</v>
      </c>
      <c r="L33" s="118">
        <f t="shared" si="2"/>
        <v>58</v>
      </c>
      <c r="M33" s="127">
        <v>46024</v>
      </c>
      <c r="N33" s="127">
        <v>46024</v>
      </c>
      <c r="O33" s="127">
        <v>46017</v>
      </c>
      <c r="P33" s="119" t="s">
        <v>428</v>
      </c>
      <c r="Q33" s="114" t="s">
        <v>429</v>
      </c>
      <c r="R33" s="125" t="s">
        <v>676</v>
      </c>
      <c r="S33" s="115" t="s">
        <v>452</v>
      </c>
      <c r="T33" s="115" t="s">
        <v>453</v>
      </c>
      <c r="U33" s="120" t="s">
        <v>685</v>
      </c>
      <c r="V33" s="128"/>
      <c r="W33" s="125" t="s">
        <v>276</v>
      </c>
      <c r="X33" s="125"/>
      <c r="Y33" s="125"/>
      <c r="Z33" s="129">
        <v>4.28</v>
      </c>
      <c r="AA33" s="130">
        <f t="shared" si="3"/>
        <v>1489.44</v>
      </c>
      <c r="AB33" s="130">
        <f t="shared" si="4"/>
        <v>11543.16</v>
      </c>
      <c r="AC33" s="124">
        <v>60398</v>
      </c>
      <c r="AD33" s="125" t="s">
        <v>434</v>
      </c>
      <c r="AE33" s="114" t="str">
        <f>IFERROR(VLOOKUP(H33,名称!A:C,3,0),"")</f>
        <v>SNF</v>
      </c>
      <c r="AF33" s="125" t="str">
        <f t="shared" si="0"/>
        <v>AMAZON MDDP</v>
      </c>
      <c r="AG33" s="125" t="str">
        <f t="shared" si="1"/>
        <v>美国</v>
      </c>
    </row>
    <row r="34" s="107" customFormat="1" ht="25" hidden="1" customHeight="1" spans="1:33">
      <c r="A34" s="119">
        <v>45950</v>
      </c>
      <c r="B34" s="113" t="s">
        <v>537</v>
      </c>
      <c r="C34" s="114" t="s">
        <v>396</v>
      </c>
      <c r="D34" s="115" t="s">
        <v>538</v>
      </c>
      <c r="E34" s="114" t="s">
        <v>246</v>
      </c>
      <c r="F34" s="125" t="s">
        <v>280</v>
      </c>
      <c r="G34" s="125" t="s">
        <v>283</v>
      </c>
      <c r="H34" s="125" t="s">
        <v>222</v>
      </c>
      <c r="I34" s="117" t="str">
        <f>IFERROR(VLOOKUP(H34,名称!A:C,2,0),"")</f>
        <v>蜘蛛侠配蜘蛛网套装</v>
      </c>
      <c r="J34" s="126">
        <v>480</v>
      </c>
      <c r="K34" s="118">
        <f>VLOOKUP(H34,名称!A:D,4,0)</f>
        <v>6</v>
      </c>
      <c r="L34" s="118">
        <f t="shared" si="2"/>
        <v>80</v>
      </c>
      <c r="M34" s="127">
        <v>46024</v>
      </c>
      <c r="N34" s="127">
        <v>46024</v>
      </c>
      <c r="O34" s="127">
        <v>46017</v>
      </c>
      <c r="P34" s="119" t="s">
        <v>428</v>
      </c>
      <c r="Q34" s="114" t="s">
        <v>429</v>
      </c>
      <c r="R34" s="125" t="s">
        <v>676</v>
      </c>
      <c r="S34" s="115" t="s">
        <v>452</v>
      </c>
      <c r="T34" s="115" t="s">
        <v>453</v>
      </c>
      <c r="U34" s="120" t="s">
        <v>685</v>
      </c>
      <c r="V34" s="128"/>
      <c r="W34" s="125" t="s">
        <v>276</v>
      </c>
      <c r="X34" s="125"/>
      <c r="Y34" s="125"/>
      <c r="Z34" s="129">
        <v>4.28</v>
      </c>
      <c r="AA34" s="130">
        <f t="shared" si="3"/>
        <v>2054.4</v>
      </c>
      <c r="AB34" s="130">
        <f t="shared" si="4"/>
        <v>15921.6</v>
      </c>
      <c r="AC34" s="124">
        <v>60399</v>
      </c>
      <c r="AD34" s="125" t="s">
        <v>434</v>
      </c>
      <c r="AE34" s="114" t="str">
        <f>IFERROR(VLOOKUP(H34,名称!A:C,3,0),"")</f>
        <v>SNF</v>
      </c>
      <c r="AF34" s="125" t="str">
        <f t="shared" si="0"/>
        <v>AMAZON MDDP</v>
      </c>
      <c r="AG34" s="125" t="str">
        <f t="shared" si="1"/>
        <v>美国</v>
      </c>
    </row>
    <row r="35" s="107" customFormat="1" ht="25" hidden="1" customHeight="1" spans="1:33">
      <c r="A35" s="119">
        <v>45887</v>
      </c>
      <c r="B35" s="113" t="s">
        <v>519</v>
      </c>
      <c r="C35" s="114" t="s">
        <v>520</v>
      </c>
      <c r="D35" s="115" t="s">
        <v>521</v>
      </c>
      <c r="E35" s="116" t="s">
        <v>246</v>
      </c>
      <c r="F35" s="114"/>
      <c r="G35" s="114" t="s">
        <v>269</v>
      </c>
      <c r="H35" s="114" t="s">
        <v>135</v>
      </c>
      <c r="I35" s="117" t="str">
        <f>IFERROR(VLOOKUP(H35,名称!A:C,2,0),"")</f>
        <v>迈达斯</v>
      </c>
      <c r="J35" s="118">
        <v>1302</v>
      </c>
      <c r="K35" s="118">
        <f>VLOOKUP(H35,名称!A:D,4,0)</f>
        <v>6</v>
      </c>
      <c r="L35" s="118">
        <f t="shared" si="2"/>
        <v>217</v>
      </c>
      <c r="M35" s="112">
        <v>46028</v>
      </c>
      <c r="N35" s="112">
        <v>46028</v>
      </c>
      <c r="O35" s="112">
        <v>46035</v>
      </c>
      <c r="P35" s="119" t="s">
        <v>428</v>
      </c>
      <c r="Q35" s="114" t="s">
        <v>429</v>
      </c>
      <c r="R35" s="114" t="s">
        <v>686</v>
      </c>
      <c r="S35" s="120" t="s">
        <v>609</v>
      </c>
      <c r="T35" s="115" t="s">
        <v>431</v>
      </c>
      <c r="U35" s="114"/>
      <c r="V35" s="121" t="s">
        <v>467</v>
      </c>
      <c r="W35" s="114" t="s">
        <v>258</v>
      </c>
      <c r="X35" s="114"/>
      <c r="Y35" s="114"/>
      <c r="Z35" s="122">
        <v>2.13</v>
      </c>
      <c r="AA35" s="123">
        <f t="shared" si="3"/>
        <v>2773.26</v>
      </c>
      <c r="AB35" s="123">
        <f t="shared" si="4"/>
        <v>21492.77</v>
      </c>
      <c r="AC35" s="124">
        <v>60400</v>
      </c>
      <c r="AD35" s="114" t="s">
        <v>434</v>
      </c>
      <c r="AE35" s="114" t="str">
        <f>IFERROR(VLOOKUP(H35,名称!A:C,3,0),"")</f>
        <v>FNT</v>
      </c>
      <c r="AF35" s="114" t="str">
        <f t="shared" si="0"/>
        <v>IMPORT SERVICES</v>
      </c>
      <c r="AG35" s="114" t="str">
        <f t="shared" si="1"/>
        <v>英国</v>
      </c>
    </row>
    <row r="36" s="107" customFormat="1" ht="25" hidden="1" customHeight="1" spans="1:33">
      <c r="A36" s="119">
        <v>45887</v>
      </c>
      <c r="B36" s="113" t="s">
        <v>519</v>
      </c>
      <c r="C36" s="114" t="s">
        <v>520</v>
      </c>
      <c r="D36" s="115" t="s">
        <v>521</v>
      </c>
      <c r="E36" s="116" t="s">
        <v>246</v>
      </c>
      <c r="F36" s="114"/>
      <c r="G36" s="114" t="s">
        <v>270</v>
      </c>
      <c r="H36" s="114" t="s">
        <v>135</v>
      </c>
      <c r="I36" s="117" t="str">
        <f>IFERROR(VLOOKUP(H36,名称!A:C,2,0),"")</f>
        <v>迈达斯</v>
      </c>
      <c r="J36" s="118">
        <f>900-402</f>
        <v>498</v>
      </c>
      <c r="K36" s="118">
        <f>VLOOKUP(H36,名称!A:D,4,0)</f>
        <v>6</v>
      </c>
      <c r="L36" s="118">
        <f t="shared" si="2"/>
        <v>83</v>
      </c>
      <c r="M36" s="112">
        <v>46006</v>
      </c>
      <c r="N36" s="112">
        <v>45948</v>
      </c>
      <c r="O36" s="112">
        <v>46003</v>
      </c>
      <c r="P36" s="119" t="s">
        <v>428</v>
      </c>
      <c r="Q36" s="114" t="s">
        <v>429</v>
      </c>
      <c r="R36" s="114" t="s">
        <v>687</v>
      </c>
      <c r="S36" s="120" t="s">
        <v>609</v>
      </c>
      <c r="T36" s="115" t="s">
        <v>431</v>
      </c>
      <c r="U36" s="114"/>
      <c r="V36" s="121" t="s">
        <v>467</v>
      </c>
      <c r="W36" s="114" t="s">
        <v>258</v>
      </c>
      <c r="X36" s="114"/>
      <c r="Y36" s="114"/>
      <c r="Z36" s="122">
        <v>2.13</v>
      </c>
      <c r="AA36" s="123">
        <f t="shared" si="3"/>
        <v>1060.74</v>
      </c>
      <c r="AB36" s="123">
        <f t="shared" si="4"/>
        <v>8220.74</v>
      </c>
      <c r="AC36" s="124">
        <v>60401</v>
      </c>
      <c r="AD36" s="114" t="s">
        <v>434</v>
      </c>
      <c r="AE36" s="114" t="str">
        <f>IFERROR(VLOOKUP(H36,名称!A:C,3,0),"")</f>
        <v>FNT</v>
      </c>
      <c r="AF36" s="114" t="str">
        <f t="shared" si="0"/>
        <v>IMPORT SERVICES</v>
      </c>
      <c r="AG36" s="114" t="str">
        <f t="shared" si="1"/>
        <v>英国</v>
      </c>
    </row>
    <row r="37" s="107" customFormat="1" ht="25" hidden="1" customHeight="1" spans="1:33">
      <c r="A37" s="119">
        <v>45940</v>
      </c>
      <c r="B37" s="113" t="s">
        <v>688</v>
      </c>
      <c r="C37" s="114" t="s">
        <v>578</v>
      </c>
      <c r="D37" s="115" t="s">
        <v>689</v>
      </c>
      <c r="E37" s="116" t="s">
        <v>277</v>
      </c>
      <c r="F37" s="114" t="s">
        <v>263</v>
      </c>
      <c r="G37" s="114" t="s">
        <v>278</v>
      </c>
      <c r="H37" s="114" t="s">
        <v>123</v>
      </c>
      <c r="I37" s="117" t="str">
        <f>IFERROR(VLOOKUP(H37,名称!A:C,2,0),"")</f>
        <v>混装配比G</v>
      </c>
      <c r="J37" s="118">
        <v>1800</v>
      </c>
      <c r="K37" s="118">
        <f>VLOOKUP(H37,名称!A:D,4,0)</f>
        <v>6</v>
      </c>
      <c r="L37" s="118">
        <f t="shared" si="2"/>
        <v>300</v>
      </c>
      <c r="M37" s="112">
        <v>45960</v>
      </c>
      <c r="N37" s="112">
        <v>45960</v>
      </c>
      <c r="O37" s="112">
        <v>45959</v>
      </c>
      <c r="P37" s="119" t="s">
        <v>428</v>
      </c>
      <c r="Q37" s="114" t="s">
        <v>429</v>
      </c>
      <c r="R37" s="114" t="s">
        <v>690</v>
      </c>
      <c r="S37" s="120" t="s">
        <v>691</v>
      </c>
      <c r="T37" s="115" t="s">
        <v>431</v>
      </c>
      <c r="U37" s="114" t="s">
        <v>692</v>
      </c>
      <c r="V37" s="121" t="s">
        <v>693</v>
      </c>
      <c r="W37" s="114" t="s">
        <v>255</v>
      </c>
      <c r="X37" s="114"/>
      <c r="Y37" s="114" t="s">
        <v>694</v>
      </c>
      <c r="Z37" s="122">
        <v>2.06</v>
      </c>
      <c r="AA37" s="123">
        <f t="shared" si="3"/>
        <v>3708</v>
      </c>
      <c r="AB37" s="123">
        <f t="shared" si="4"/>
        <v>28737</v>
      </c>
      <c r="AC37" s="124">
        <v>60402</v>
      </c>
      <c r="AD37" s="114" t="s">
        <v>434</v>
      </c>
      <c r="AE37" s="114" t="str">
        <f>IFERROR(VLOOKUP(H37,名称!A:C,3,0),"")</f>
        <v>FNT</v>
      </c>
      <c r="AF37" s="114" t="str">
        <f t="shared" si="0"/>
        <v>NECO DIS TICARET OYUNCAK PAZARLAMA SAN.</v>
      </c>
      <c r="AG37" s="114" t="str">
        <f t="shared" si="1"/>
        <v>土耳其</v>
      </c>
    </row>
    <row r="38" s="107" customFormat="1" ht="25" hidden="1" customHeight="1" spans="1:33">
      <c r="A38" s="119">
        <v>45964</v>
      </c>
      <c r="B38" s="113" t="s">
        <v>636</v>
      </c>
      <c r="C38" s="114" t="s">
        <v>396</v>
      </c>
      <c r="D38" s="115" t="s">
        <v>673</v>
      </c>
      <c r="E38" s="114" t="s">
        <v>246</v>
      </c>
      <c r="F38" s="114"/>
      <c r="G38" s="114">
        <v>10001431524</v>
      </c>
      <c r="H38" s="114" t="s">
        <v>205</v>
      </c>
      <c r="I38" s="117" t="str">
        <f>IFERROR(VLOOKUP(H38,名称!A:C,2,0),"")</f>
        <v>蜘蛛侠喷水公仔5只装</v>
      </c>
      <c r="J38" s="118">
        <v>1002</v>
      </c>
      <c r="K38" s="118">
        <f>VLOOKUP(H38,名称!A:D,4,0)</f>
        <v>3</v>
      </c>
      <c r="L38" s="114">
        <f t="shared" si="2"/>
        <v>334</v>
      </c>
      <c r="M38" s="112">
        <v>46055</v>
      </c>
      <c r="N38" s="112">
        <v>46055</v>
      </c>
      <c r="O38" s="112">
        <v>46052</v>
      </c>
      <c r="P38" s="119" t="s">
        <v>428</v>
      </c>
      <c r="Q38" s="114" t="s">
        <v>429</v>
      </c>
      <c r="R38" s="114" t="s">
        <v>695</v>
      </c>
      <c r="S38" s="115" t="s">
        <v>445</v>
      </c>
      <c r="T38" s="115" t="s">
        <v>453</v>
      </c>
      <c r="U38" s="114" t="s">
        <v>675</v>
      </c>
      <c r="V38" s="121"/>
      <c r="W38" s="114" t="s">
        <v>255</v>
      </c>
      <c r="X38" s="114" t="s">
        <v>696</v>
      </c>
      <c r="Y38" s="114"/>
      <c r="Z38" s="122">
        <v>3.64</v>
      </c>
      <c r="AA38" s="123">
        <f t="shared" si="3"/>
        <v>3647.28</v>
      </c>
      <c r="AB38" s="123">
        <f t="shared" si="4"/>
        <v>28266.42</v>
      </c>
      <c r="AC38" s="124">
        <v>62008</v>
      </c>
      <c r="AD38" s="114" t="s">
        <v>434</v>
      </c>
      <c r="AE38" s="114" t="str">
        <f>IFERROR(VLOOKUP(H38,名称!A:C,3,0),"")</f>
        <v>SNF</v>
      </c>
      <c r="AF38" s="114" t="str">
        <f t="shared" si="0"/>
        <v>TARGET IMPORT</v>
      </c>
      <c r="AG38" s="114" t="str">
        <f t="shared" si="1"/>
        <v>美国</v>
      </c>
    </row>
    <row r="39" s="107" customFormat="1" ht="25" hidden="1" customHeight="1" spans="1:33">
      <c r="A39" s="119">
        <v>45964</v>
      </c>
      <c r="B39" s="113" t="s">
        <v>636</v>
      </c>
      <c r="C39" s="114" t="s">
        <v>396</v>
      </c>
      <c r="D39" s="115" t="s">
        <v>673</v>
      </c>
      <c r="E39" s="114" t="s">
        <v>246</v>
      </c>
      <c r="F39" s="114"/>
      <c r="G39" s="114">
        <v>10001431527</v>
      </c>
      <c r="H39" s="114" t="s">
        <v>205</v>
      </c>
      <c r="I39" s="117" t="str">
        <f>IFERROR(VLOOKUP(H39,名称!A:C,2,0),"")</f>
        <v>蜘蛛侠喷水公仔5只装</v>
      </c>
      <c r="J39" s="118">
        <v>1398</v>
      </c>
      <c r="K39" s="118">
        <f>VLOOKUP(H39,名称!A:D,4,0)</f>
        <v>3</v>
      </c>
      <c r="L39" s="114">
        <f t="shared" si="2"/>
        <v>466</v>
      </c>
      <c r="M39" s="112">
        <v>46055</v>
      </c>
      <c r="N39" s="112">
        <v>46055</v>
      </c>
      <c r="O39" s="112">
        <v>46052</v>
      </c>
      <c r="P39" s="119" t="s">
        <v>428</v>
      </c>
      <c r="Q39" s="114" t="s">
        <v>429</v>
      </c>
      <c r="R39" s="114" t="s">
        <v>697</v>
      </c>
      <c r="S39" s="115" t="s">
        <v>445</v>
      </c>
      <c r="T39" s="115" t="s">
        <v>453</v>
      </c>
      <c r="U39" s="114" t="s">
        <v>675</v>
      </c>
      <c r="V39" s="121"/>
      <c r="W39" s="114" t="s">
        <v>255</v>
      </c>
      <c r="X39" s="114" t="s">
        <v>696</v>
      </c>
      <c r="Y39" s="114"/>
      <c r="Z39" s="122">
        <v>3.64</v>
      </c>
      <c r="AA39" s="123">
        <f t="shared" si="3"/>
        <v>5088.72</v>
      </c>
      <c r="AB39" s="123">
        <f t="shared" si="4"/>
        <v>39437.58</v>
      </c>
      <c r="AC39" s="124">
        <v>62009</v>
      </c>
      <c r="AD39" s="114" t="s">
        <v>434</v>
      </c>
      <c r="AE39" s="114" t="str">
        <f>IFERROR(VLOOKUP(H39,名称!A:C,3,0),"")</f>
        <v>SNF</v>
      </c>
      <c r="AF39" s="114" t="str">
        <f t="shared" si="0"/>
        <v>TARGET IMPORT</v>
      </c>
      <c r="AG39" s="114" t="str">
        <f t="shared" si="1"/>
        <v>美国</v>
      </c>
    </row>
    <row r="40" s="107" customFormat="1" ht="25" hidden="1" customHeight="1" spans="1:33">
      <c r="A40" s="119">
        <v>45898</v>
      </c>
      <c r="B40" s="113" t="s">
        <v>490</v>
      </c>
      <c r="C40" s="114" t="s">
        <v>491</v>
      </c>
      <c r="D40" s="115" t="s">
        <v>492</v>
      </c>
      <c r="E40" s="116" t="s">
        <v>246</v>
      </c>
      <c r="F40" s="114"/>
      <c r="G40" s="114" t="s">
        <v>271</v>
      </c>
      <c r="H40" s="114" t="s">
        <v>125</v>
      </c>
      <c r="I40" s="117" t="str">
        <f>IFERROR(VLOOKUP(H40,名称!A:C,2,0),"")</f>
        <v>混装配比H</v>
      </c>
      <c r="J40" s="118">
        <v>2814</v>
      </c>
      <c r="K40" s="118">
        <f>VLOOKUP(H40,名称!A:D,4,0)</f>
        <v>6</v>
      </c>
      <c r="L40" s="118">
        <f t="shared" si="2"/>
        <v>469</v>
      </c>
      <c r="M40" s="112">
        <v>45870</v>
      </c>
      <c r="N40" s="112">
        <v>46056</v>
      </c>
      <c r="O40" s="112">
        <v>46037</v>
      </c>
      <c r="P40" s="119" t="s">
        <v>428</v>
      </c>
      <c r="Q40" s="114" t="s">
        <v>429</v>
      </c>
      <c r="R40" s="114" t="s">
        <v>698</v>
      </c>
      <c r="S40" s="120" t="s">
        <v>494</v>
      </c>
      <c r="T40" s="115" t="s">
        <v>431</v>
      </c>
      <c r="U40" s="120"/>
      <c r="V40" s="121" t="s">
        <v>467</v>
      </c>
      <c r="W40" s="114" t="s">
        <v>258</v>
      </c>
      <c r="X40" s="114"/>
      <c r="Y40" s="120" t="s">
        <v>699</v>
      </c>
      <c r="Z40" s="129">
        <v>2.1</v>
      </c>
      <c r="AA40" s="123">
        <f t="shared" si="3"/>
        <v>5909.4</v>
      </c>
      <c r="AB40" s="123">
        <f t="shared" si="4"/>
        <v>45797.85</v>
      </c>
      <c r="AC40" s="124">
        <v>62012</v>
      </c>
      <c r="AD40" s="114"/>
      <c r="AE40" s="114" t="str">
        <f>IFERROR(VLOOKUP(H40,名称!A:C,3,0),"")</f>
        <v>FNT</v>
      </c>
      <c r="AF40" s="114" t="str">
        <f t="shared" si="0"/>
        <v>M + F</v>
      </c>
      <c r="AG40" s="114" t="str">
        <f t="shared" si="1"/>
        <v>德国</v>
      </c>
    </row>
    <row r="41" s="107" customFormat="1" ht="25" hidden="1" customHeight="1" spans="1:33">
      <c r="A41" s="119">
        <v>45951</v>
      </c>
      <c r="B41" s="113" t="s">
        <v>586</v>
      </c>
      <c r="C41" s="114" t="s">
        <v>575</v>
      </c>
      <c r="D41" s="115" t="s">
        <v>532</v>
      </c>
      <c r="E41" s="116" t="s">
        <v>262</v>
      </c>
      <c r="F41" s="114" t="s">
        <v>263</v>
      </c>
      <c r="G41" s="114">
        <v>6000063660</v>
      </c>
      <c r="H41" s="114" t="s">
        <v>123</v>
      </c>
      <c r="I41" s="117" t="str">
        <f>IFERROR(VLOOKUP(H41,名称!A:C,2,0),"")</f>
        <v>混装配比G</v>
      </c>
      <c r="J41" s="118">
        <v>804</v>
      </c>
      <c r="K41" s="118">
        <f>VLOOKUP(H41,名称!A:D,4,0)</f>
        <v>6</v>
      </c>
      <c r="L41" s="118">
        <f t="shared" si="2"/>
        <v>134</v>
      </c>
      <c r="M41" s="112">
        <v>46001</v>
      </c>
      <c r="N41" s="112">
        <v>46022</v>
      </c>
      <c r="O41" s="112">
        <v>46027</v>
      </c>
      <c r="P41" s="119" t="s">
        <v>428</v>
      </c>
      <c r="Q41" s="114" t="s">
        <v>429</v>
      </c>
      <c r="R41" s="114" t="s">
        <v>700</v>
      </c>
      <c r="S41" s="120" t="s">
        <v>701</v>
      </c>
      <c r="T41" s="115" t="s">
        <v>453</v>
      </c>
      <c r="U41" s="120"/>
      <c r="V41" s="121" t="s">
        <v>467</v>
      </c>
      <c r="W41" s="114" t="s">
        <v>255</v>
      </c>
      <c r="X41" s="114" t="s">
        <v>702</v>
      </c>
      <c r="Y41" s="120" t="s">
        <v>703</v>
      </c>
      <c r="Z41" s="129">
        <v>2.06</v>
      </c>
      <c r="AA41" s="123">
        <f t="shared" si="3"/>
        <v>1656.24</v>
      </c>
      <c r="AB41" s="123">
        <f t="shared" si="4"/>
        <v>12835.86</v>
      </c>
      <c r="AC41" s="124">
        <v>62013</v>
      </c>
      <c r="AD41" s="114" t="s">
        <v>434</v>
      </c>
      <c r="AE41" s="114" t="str">
        <f>IFERROR(VLOOKUP(H41,名称!A:C,3,0),"")</f>
        <v>FNT</v>
      </c>
      <c r="AF41" s="114" t="str">
        <f t="shared" si="0"/>
        <v>SUBURBIA, S. DE R. L. DE C. V.</v>
      </c>
      <c r="AG41" s="114" t="str">
        <f t="shared" si="1"/>
        <v>墨西哥</v>
      </c>
    </row>
    <row r="42" s="107" customFormat="1" ht="25" hidden="1" customHeight="1" spans="1:33">
      <c r="A42" s="119">
        <v>45964</v>
      </c>
      <c r="B42" s="113" t="s">
        <v>636</v>
      </c>
      <c r="C42" s="114" t="s">
        <v>396</v>
      </c>
      <c r="D42" s="115" t="s">
        <v>673</v>
      </c>
      <c r="E42" s="114" t="s">
        <v>246</v>
      </c>
      <c r="F42" s="114"/>
      <c r="G42" s="114">
        <v>10001431519</v>
      </c>
      <c r="H42" s="114" t="s">
        <v>205</v>
      </c>
      <c r="I42" s="117" t="str">
        <f>IFERROR(VLOOKUP(H42,名称!A:C,2,0),"")</f>
        <v>蜘蛛侠喷水公仔5只装</v>
      </c>
      <c r="J42" s="118">
        <v>1800</v>
      </c>
      <c r="K42" s="118">
        <f>VLOOKUP(H42,名称!A:D,4,0)</f>
        <v>3</v>
      </c>
      <c r="L42" s="114">
        <f t="shared" si="2"/>
        <v>600</v>
      </c>
      <c r="M42" s="112">
        <v>46097</v>
      </c>
      <c r="N42" s="112">
        <v>46097</v>
      </c>
      <c r="O42" s="112">
        <v>46094</v>
      </c>
      <c r="P42" s="119" t="s">
        <v>428</v>
      </c>
      <c r="Q42" s="114"/>
      <c r="R42" s="116" t="s">
        <v>704</v>
      </c>
      <c r="S42" s="115" t="s">
        <v>445</v>
      </c>
      <c r="T42" s="115" t="s">
        <v>453</v>
      </c>
      <c r="U42" s="114" t="s">
        <v>675</v>
      </c>
      <c r="V42" s="121"/>
      <c r="W42" s="114" t="s">
        <v>255</v>
      </c>
      <c r="X42" s="114" t="s">
        <v>705</v>
      </c>
      <c r="Y42" s="114"/>
      <c r="Z42" s="122">
        <v>3.64</v>
      </c>
      <c r="AA42" s="123">
        <f t="shared" si="3"/>
        <v>6552</v>
      </c>
      <c r="AB42" s="123">
        <f t="shared" si="4"/>
        <v>50778</v>
      </c>
      <c r="AC42" s="124">
        <v>62020</v>
      </c>
      <c r="AD42" s="114" t="s">
        <v>434</v>
      </c>
      <c r="AE42" s="114" t="str">
        <f>IFERROR(VLOOKUP(H42,名称!A:C,3,0),"")</f>
        <v>SNF</v>
      </c>
      <c r="AF42" s="114" t="str">
        <f t="shared" si="0"/>
        <v>TARGET IMPORT</v>
      </c>
      <c r="AG42" s="114" t="str">
        <f t="shared" si="1"/>
        <v>美国</v>
      </c>
    </row>
    <row r="43" s="107" customFormat="1" ht="25" hidden="1" customHeight="1" spans="1:33">
      <c r="A43" s="119">
        <v>45964</v>
      </c>
      <c r="B43" s="113" t="s">
        <v>636</v>
      </c>
      <c r="C43" s="114" t="s">
        <v>396</v>
      </c>
      <c r="D43" s="115" t="s">
        <v>673</v>
      </c>
      <c r="E43" s="114" t="s">
        <v>246</v>
      </c>
      <c r="F43" s="114"/>
      <c r="G43" s="114">
        <v>10001431518</v>
      </c>
      <c r="H43" s="114" t="s">
        <v>205</v>
      </c>
      <c r="I43" s="117" t="str">
        <f>IFERROR(VLOOKUP(H43,名称!A:C,2,0),"")</f>
        <v>蜘蛛侠喷水公仔5只装</v>
      </c>
      <c r="J43" s="118">
        <v>1500</v>
      </c>
      <c r="K43" s="118">
        <f>VLOOKUP(H43,名称!A:D,4,0)</f>
        <v>3</v>
      </c>
      <c r="L43" s="114">
        <f t="shared" si="2"/>
        <v>500</v>
      </c>
      <c r="M43" s="112">
        <v>46111</v>
      </c>
      <c r="N43" s="112">
        <v>46111</v>
      </c>
      <c r="O43" s="112">
        <v>46094</v>
      </c>
      <c r="P43" s="119" t="s">
        <v>428</v>
      </c>
      <c r="Q43" s="114"/>
      <c r="R43" s="114" t="s">
        <v>706</v>
      </c>
      <c r="S43" s="115" t="s">
        <v>445</v>
      </c>
      <c r="T43" s="115" t="s">
        <v>453</v>
      </c>
      <c r="U43" s="114" t="s">
        <v>675</v>
      </c>
      <c r="V43" s="121"/>
      <c r="W43" s="114" t="s">
        <v>255</v>
      </c>
      <c r="X43" s="114" t="s">
        <v>705</v>
      </c>
      <c r="Y43" s="114"/>
      <c r="Z43" s="122">
        <v>3.64</v>
      </c>
      <c r="AA43" s="123">
        <f t="shared" si="3"/>
        <v>5460</v>
      </c>
      <c r="AB43" s="123">
        <f t="shared" si="4"/>
        <v>42315</v>
      </c>
      <c r="AC43" s="124">
        <v>62021</v>
      </c>
      <c r="AD43" s="114" t="s">
        <v>434</v>
      </c>
      <c r="AE43" s="114" t="str">
        <f>IFERROR(VLOOKUP(H43,名称!A:C,3,0),"")</f>
        <v>SNF</v>
      </c>
      <c r="AF43" s="114" t="str">
        <f t="shared" si="0"/>
        <v>TARGET IMPORT</v>
      </c>
      <c r="AG43" s="114" t="str">
        <f t="shared" si="1"/>
        <v>美国</v>
      </c>
    </row>
    <row r="44" s="107" customFormat="1" ht="25" hidden="1" customHeight="1" spans="1:33">
      <c r="A44" s="119">
        <v>46043</v>
      </c>
      <c r="B44" s="113" t="s">
        <v>519</v>
      </c>
      <c r="C44" s="114" t="s">
        <v>520</v>
      </c>
      <c r="D44" s="115" t="s">
        <v>521</v>
      </c>
      <c r="E44" s="116" t="s">
        <v>259</v>
      </c>
      <c r="F44" s="114"/>
      <c r="G44" s="114" t="s">
        <v>316</v>
      </c>
      <c r="H44" s="114" t="s">
        <v>139</v>
      </c>
      <c r="I44" s="117" t="str">
        <f>IFERROR(VLOOKUP(H44,名称!A:C,2,0),"")</f>
        <v>橡皮糖鱼条</v>
      </c>
      <c r="J44" s="118">
        <v>1200</v>
      </c>
      <c r="K44" s="118">
        <f>VLOOKUP(H44,名称!A:D,4,0)</f>
        <v>6</v>
      </c>
      <c r="L44" s="125">
        <f t="shared" si="2"/>
        <v>200</v>
      </c>
      <c r="M44" s="112">
        <v>46113</v>
      </c>
      <c r="N44" s="112">
        <v>46127</v>
      </c>
      <c r="O44" s="112">
        <v>46125</v>
      </c>
      <c r="P44" s="131" t="s">
        <v>428</v>
      </c>
      <c r="Q44" s="114" t="s">
        <v>429</v>
      </c>
      <c r="R44" s="114" t="s">
        <v>707</v>
      </c>
      <c r="S44" s="115" t="s">
        <v>556</v>
      </c>
      <c r="T44" s="115" t="s">
        <v>431</v>
      </c>
      <c r="U44" s="125" t="s">
        <v>462</v>
      </c>
      <c r="V44" s="121" t="s">
        <v>708</v>
      </c>
      <c r="W44" s="114" t="s">
        <v>258</v>
      </c>
      <c r="X44" s="114"/>
      <c r="Y44" s="114"/>
      <c r="Z44" s="122">
        <v>1.88</v>
      </c>
      <c r="AA44" s="123">
        <f t="shared" si="3"/>
        <v>2256</v>
      </c>
      <c r="AB44" s="123">
        <f t="shared" si="4"/>
        <v>17484</v>
      </c>
      <c r="AC44" s="124">
        <v>62023</v>
      </c>
      <c r="AD44" s="114" t="s">
        <v>434</v>
      </c>
      <c r="AE44" s="132" t="str">
        <f>IFERROR(VLOOKUP(H44,名称!A:C,3,0),"")</f>
        <v>FNT</v>
      </c>
      <c r="AF44" s="114" t="str">
        <f t="shared" si="0"/>
        <v>IMPORT SERVICES</v>
      </c>
      <c r="AG44" s="114" t="str">
        <f t="shared" si="1"/>
        <v>英国</v>
      </c>
    </row>
    <row r="45" s="107" customFormat="1" ht="25" hidden="1" customHeight="1" spans="1:33">
      <c r="A45" s="119">
        <v>46030</v>
      </c>
      <c r="B45" s="113" t="s">
        <v>537</v>
      </c>
      <c r="C45" s="114" t="s">
        <v>396</v>
      </c>
      <c r="D45" s="115" t="s">
        <v>538</v>
      </c>
      <c r="E45" s="116" t="s">
        <v>246</v>
      </c>
      <c r="F45" s="125"/>
      <c r="G45" s="114" t="s">
        <v>314</v>
      </c>
      <c r="H45" s="114" t="s">
        <v>222</v>
      </c>
      <c r="I45" s="117" t="str">
        <f>IFERROR(VLOOKUP(H45,名称!A:C,2,0),"")</f>
        <v>蜘蛛侠配蜘蛛网套装</v>
      </c>
      <c r="J45" s="118">
        <v>666</v>
      </c>
      <c r="K45" s="118">
        <f>VLOOKUP(H45,名称!A:D,4,0)</f>
        <v>6</v>
      </c>
      <c r="L45" s="125">
        <f t="shared" si="2"/>
        <v>111</v>
      </c>
      <c r="M45" s="112">
        <v>46089</v>
      </c>
      <c r="N45" s="112">
        <v>46103</v>
      </c>
      <c r="O45" s="112">
        <v>46099</v>
      </c>
      <c r="P45" s="131" t="s">
        <v>428</v>
      </c>
      <c r="Q45" s="131" t="s">
        <v>450</v>
      </c>
      <c r="R45" s="114"/>
      <c r="S45" s="115" t="s">
        <v>452</v>
      </c>
      <c r="T45" s="115" t="s">
        <v>453</v>
      </c>
      <c r="U45" s="114" t="s">
        <v>709</v>
      </c>
      <c r="V45" s="121"/>
      <c r="W45" s="114" t="s">
        <v>276</v>
      </c>
      <c r="X45" s="114"/>
      <c r="Y45" s="114"/>
      <c r="Z45" s="122">
        <v>4.28</v>
      </c>
      <c r="AA45" s="123">
        <f t="shared" si="3"/>
        <v>2850.48</v>
      </c>
      <c r="AB45" s="123">
        <f t="shared" si="4"/>
        <v>22091.22</v>
      </c>
      <c r="AC45" s="124">
        <v>62035</v>
      </c>
      <c r="AD45" s="133" t="s">
        <v>434</v>
      </c>
      <c r="AE45" s="134" t="str">
        <f>IFERROR(VLOOKUP(H45,名称!A:C,3,0),"")</f>
        <v>SNF</v>
      </c>
      <c r="AF45" s="133" t="str">
        <f t="shared" si="0"/>
        <v>AMAZON MDDP</v>
      </c>
      <c r="AG45" s="133" t="str">
        <f t="shared" si="1"/>
        <v>美国</v>
      </c>
    </row>
    <row r="46" s="107" customFormat="1" ht="25" hidden="1" customHeight="1" spans="1:33">
      <c r="A46" s="119">
        <v>46030</v>
      </c>
      <c r="B46" s="113" t="s">
        <v>537</v>
      </c>
      <c r="C46" s="114" t="s">
        <v>396</v>
      </c>
      <c r="D46" s="115" t="s">
        <v>538</v>
      </c>
      <c r="E46" s="116" t="s">
        <v>246</v>
      </c>
      <c r="F46" s="125"/>
      <c r="G46" s="114" t="s">
        <v>313</v>
      </c>
      <c r="H46" s="114" t="s">
        <v>222</v>
      </c>
      <c r="I46" s="117" t="str">
        <f>IFERROR(VLOOKUP(H46,名称!A:C,2,0),"")</f>
        <v>蜘蛛侠配蜘蛛网套装</v>
      </c>
      <c r="J46" s="118">
        <v>510</v>
      </c>
      <c r="K46" s="118">
        <f>VLOOKUP(H46,名称!A:D,4,0)</f>
        <v>6</v>
      </c>
      <c r="L46" s="125">
        <f t="shared" si="2"/>
        <v>85</v>
      </c>
      <c r="M46" s="112">
        <v>46096</v>
      </c>
      <c r="N46" s="112">
        <v>46103</v>
      </c>
      <c r="O46" s="112">
        <v>46099</v>
      </c>
      <c r="P46" s="131" t="s">
        <v>428</v>
      </c>
      <c r="Q46" s="131" t="s">
        <v>450</v>
      </c>
      <c r="R46" s="114" t="s">
        <v>710</v>
      </c>
      <c r="S46" s="115" t="s">
        <v>452</v>
      </c>
      <c r="T46" s="115" t="s">
        <v>453</v>
      </c>
      <c r="U46" s="114" t="s">
        <v>709</v>
      </c>
      <c r="V46" s="121"/>
      <c r="W46" s="114" t="s">
        <v>276</v>
      </c>
      <c r="X46" s="114"/>
      <c r="Y46" s="114"/>
      <c r="Z46" s="122">
        <v>4.28</v>
      </c>
      <c r="AA46" s="123">
        <f t="shared" si="3"/>
        <v>2182.8</v>
      </c>
      <c r="AB46" s="123">
        <f t="shared" si="4"/>
        <v>16916.7</v>
      </c>
      <c r="AC46" s="124">
        <v>62036</v>
      </c>
      <c r="AD46" s="133" t="s">
        <v>434</v>
      </c>
      <c r="AE46" s="134" t="str">
        <f>IFERROR(VLOOKUP(H46,名称!A:C,3,0),"")</f>
        <v>SNF</v>
      </c>
      <c r="AF46" s="133" t="str">
        <f t="shared" si="0"/>
        <v>AMAZON MDDP</v>
      </c>
      <c r="AG46" s="133" t="str">
        <f t="shared" si="1"/>
        <v>美国</v>
      </c>
    </row>
    <row r="47" s="107" customFormat="1" ht="25" hidden="1" customHeight="1" spans="1:33">
      <c r="A47" s="119">
        <v>46105</v>
      </c>
      <c r="B47" s="113" t="s">
        <v>519</v>
      </c>
      <c r="C47" s="114" t="s">
        <v>520</v>
      </c>
      <c r="D47" s="115" t="s">
        <v>521</v>
      </c>
      <c r="E47" s="114" t="s">
        <v>246</v>
      </c>
      <c r="F47" s="114"/>
      <c r="G47" s="114" t="s">
        <v>337</v>
      </c>
      <c r="H47" s="114" t="s">
        <v>143</v>
      </c>
      <c r="I47" s="120">
        <f>IFERROR(VLOOKUP(H47,名称!A:C,2,0),"")</f>
        <v>0</v>
      </c>
      <c r="J47" s="118">
        <v>360</v>
      </c>
      <c r="K47" s="118">
        <f>VLOOKUP(H47,名称!A:D,4,0)</f>
        <v>4</v>
      </c>
      <c r="L47" s="135">
        <f t="shared" si="2"/>
        <v>90</v>
      </c>
      <c r="M47" s="112">
        <v>46181</v>
      </c>
      <c r="N47" s="112">
        <v>46181</v>
      </c>
      <c r="O47" s="112" t="s">
        <v>711</v>
      </c>
      <c r="P47" s="119" t="s">
        <v>428</v>
      </c>
      <c r="Q47" s="114"/>
      <c r="R47" s="114" t="s">
        <v>712</v>
      </c>
      <c r="S47" s="115" t="s">
        <v>609</v>
      </c>
      <c r="T47" s="115" t="s">
        <v>431</v>
      </c>
      <c r="U47" s="115" t="s">
        <v>462</v>
      </c>
      <c r="V47" s="121" t="s">
        <v>713</v>
      </c>
      <c r="W47" s="114" t="s">
        <v>258</v>
      </c>
      <c r="X47" s="114" t="s">
        <v>714</v>
      </c>
      <c r="Y47" s="114"/>
      <c r="Z47" s="122">
        <v>7.86</v>
      </c>
      <c r="AA47" s="123">
        <f t="shared" si="3"/>
        <v>2829.6</v>
      </c>
      <c r="AB47" s="123">
        <f t="shared" si="4"/>
        <v>21929.4</v>
      </c>
      <c r="AC47" s="136">
        <v>62208</v>
      </c>
      <c r="AD47" s="133" t="s">
        <v>434</v>
      </c>
      <c r="AE47" s="134" t="str">
        <f>IFERROR(VLOOKUP(H47,名称!A:C,3,0),"")</f>
        <v>FNT</v>
      </c>
      <c r="AF47" s="133" t="str">
        <f t="shared" si="0"/>
        <v>IMPORT SERVICES</v>
      </c>
      <c r="AG47" s="133" t="str">
        <f t="shared" si="1"/>
        <v>英国</v>
      </c>
    </row>
    <row r="48" s="107" customFormat="1" ht="25" hidden="1" customHeight="1" spans="1:33">
      <c r="A48" s="119">
        <v>45967</v>
      </c>
      <c r="B48" s="113" t="s">
        <v>569</v>
      </c>
      <c r="C48" s="114" t="s">
        <v>570</v>
      </c>
      <c r="D48" s="115" t="s">
        <v>521</v>
      </c>
      <c r="E48" s="114" t="s">
        <v>246</v>
      </c>
      <c r="F48" s="114"/>
      <c r="G48" s="114" t="s">
        <v>288</v>
      </c>
      <c r="H48" s="114" t="s">
        <v>123</v>
      </c>
      <c r="I48" s="120" t="str">
        <f>IFERROR(VLOOKUP(H48,名称!A:C,2,0),"")</f>
        <v>混装配比G</v>
      </c>
      <c r="J48" s="118">
        <v>3000</v>
      </c>
      <c r="K48" s="118">
        <f>VLOOKUP(H48,名称!A:D,4,0)</f>
        <v>6</v>
      </c>
      <c r="L48" s="135">
        <f t="shared" si="2"/>
        <v>500</v>
      </c>
      <c r="M48" s="112">
        <v>45992</v>
      </c>
      <c r="N48" s="112">
        <v>46203</v>
      </c>
      <c r="O48" s="112" t="s">
        <v>715</v>
      </c>
      <c r="P48" s="119" t="s">
        <v>428</v>
      </c>
      <c r="Q48" s="114" t="s">
        <v>429</v>
      </c>
      <c r="R48" s="114" t="s">
        <v>716</v>
      </c>
      <c r="S48" s="115" t="s">
        <v>668</v>
      </c>
      <c r="T48" s="115" t="s">
        <v>431</v>
      </c>
      <c r="U48" s="114" t="s">
        <v>669</v>
      </c>
      <c r="V48" s="114" t="s">
        <v>610</v>
      </c>
      <c r="W48" s="114" t="s">
        <v>258</v>
      </c>
      <c r="X48" s="114" t="s">
        <v>596</v>
      </c>
      <c r="Y48" s="114" t="s">
        <v>717</v>
      </c>
      <c r="Z48" s="122">
        <v>2.06</v>
      </c>
      <c r="AA48" s="123">
        <f t="shared" si="3"/>
        <v>6180</v>
      </c>
      <c r="AB48" s="123">
        <f t="shared" si="4"/>
        <v>47895</v>
      </c>
      <c r="AC48" s="124">
        <v>62209</v>
      </c>
      <c r="AD48" s="133" t="s">
        <v>434</v>
      </c>
      <c r="AE48" s="134" t="str">
        <f>IFERROR(VLOOKUP(H48,名称!A:C,3,0),"")</f>
        <v>FNT</v>
      </c>
      <c r="AF48" s="133" t="str">
        <f t="shared" si="0"/>
        <v>MAKI A/S</v>
      </c>
      <c r="AG48" s="133" t="str">
        <f t="shared" si="1"/>
        <v>丹麦</v>
      </c>
    </row>
    <row r="49" s="107" customFormat="1" ht="25" hidden="1" customHeight="1" spans="1:33">
      <c r="A49" s="119">
        <v>46105</v>
      </c>
      <c r="B49" s="113" t="s">
        <v>519</v>
      </c>
      <c r="C49" s="114" t="s">
        <v>520</v>
      </c>
      <c r="D49" s="115" t="s">
        <v>521</v>
      </c>
      <c r="E49" s="114" t="s">
        <v>246</v>
      </c>
      <c r="F49" s="114"/>
      <c r="G49" s="114" t="s">
        <v>337</v>
      </c>
      <c r="H49" s="114" t="s">
        <v>143</v>
      </c>
      <c r="I49" s="120">
        <f>IFERROR(VLOOKUP(H49,名称!A:C,2,0),"")</f>
        <v>0</v>
      </c>
      <c r="J49" s="118">
        <f>4000-360</f>
        <v>3640</v>
      </c>
      <c r="K49" s="118">
        <f>VLOOKUP(H49,名称!A:D,4,0)</f>
        <v>4</v>
      </c>
      <c r="L49" s="135">
        <f t="shared" si="2"/>
        <v>910</v>
      </c>
      <c r="M49" s="112">
        <v>46181</v>
      </c>
      <c r="N49" s="112">
        <v>46181</v>
      </c>
      <c r="O49" s="137" t="s">
        <v>711</v>
      </c>
      <c r="P49" s="119" t="s">
        <v>428</v>
      </c>
      <c r="Q49" s="125" t="s">
        <v>429</v>
      </c>
      <c r="R49" s="125" t="s">
        <v>718</v>
      </c>
      <c r="S49" s="115" t="s">
        <v>609</v>
      </c>
      <c r="T49" s="115" t="s">
        <v>431</v>
      </c>
      <c r="U49" s="115"/>
      <c r="V49" s="121" t="s">
        <v>713</v>
      </c>
      <c r="W49" s="114" t="s">
        <v>258</v>
      </c>
      <c r="X49" s="114" t="s">
        <v>714</v>
      </c>
      <c r="Y49" s="114"/>
      <c r="Z49" s="122">
        <v>7.86</v>
      </c>
      <c r="AA49" s="123">
        <f t="shared" si="3"/>
        <v>28610.4</v>
      </c>
      <c r="AB49" s="123">
        <f t="shared" si="4"/>
        <v>221730.6</v>
      </c>
      <c r="AC49" s="138">
        <v>62285</v>
      </c>
      <c r="AD49" s="133" t="s">
        <v>434</v>
      </c>
      <c r="AE49" s="134" t="str">
        <f>IFERROR(VLOOKUP(H49,名称!A:C,3,0),"")</f>
        <v>FNT</v>
      </c>
      <c r="AF49" s="133" t="str">
        <f t="shared" si="0"/>
        <v>IMPORT SERVICES</v>
      </c>
      <c r="AG49" s="133" t="str">
        <f t="shared" si="1"/>
        <v>英国</v>
      </c>
    </row>
    <row r="50" s="107" customFormat="1" ht="25" hidden="1" customHeight="1" spans="1:33">
      <c r="A50" s="112">
        <v>46055</v>
      </c>
      <c r="B50" s="113" t="s">
        <v>519</v>
      </c>
      <c r="C50" s="114" t="s">
        <v>520</v>
      </c>
      <c r="D50" s="115" t="s">
        <v>521</v>
      </c>
      <c r="E50" s="116" t="s">
        <v>246</v>
      </c>
      <c r="F50" s="114" t="s">
        <v>318</v>
      </c>
      <c r="G50" s="114" t="s">
        <v>319</v>
      </c>
      <c r="H50" s="114" t="s">
        <v>123</v>
      </c>
      <c r="I50" s="120" t="str">
        <f>IFERROR(VLOOKUP(H50,名称!A:C,2,0),"")</f>
        <v>混装配比G</v>
      </c>
      <c r="J50" s="118">
        <v>930</v>
      </c>
      <c r="K50" s="118">
        <f>VLOOKUP(H50,名称!A:D,4,0)</f>
        <v>6</v>
      </c>
      <c r="L50" s="135">
        <f t="shared" si="2"/>
        <v>155</v>
      </c>
      <c r="M50" s="112">
        <v>46091</v>
      </c>
      <c r="N50" s="112">
        <v>46133</v>
      </c>
      <c r="O50" s="112" t="s">
        <v>719</v>
      </c>
      <c r="P50" s="119" t="s">
        <v>428</v>
      </c>
      <c r="Q50" s="114"/>
      <c r="R50" s="125" t="s">
        <v>718</v>
      </c>
      <c r="S50" s="115" t="s">
        <v>609</v>
      </c>
      <c r="T50" s="115" t="s">
        <v>431</v>
      </c>
      <c r="U50" s="114" t="s">
        <v>431</v>
      </c>
      <c r="V50" s="114" t="s">
        <v>610</v>
      </c>
      <c r="W50" s="114" t="s">
        <v>258</v>
      </c>
      <c r="X50" s="114"/>
      <c r="Y50" s="114" t="s">
        <v>458</v>
      </c>
      <c r="Z50" s="122">
        <v>2.06</v>
      </c>
      <c r="AA50" s="123">
        <f t="shared" si="3"/>
        <v>1915.8</v>
      </c>
      <c r="AB50" s="123">
        <f t="shared" si="4"/>
        <v>14847.45</v>
      </c>
      <c r="AC50" s="138">
        <v>62286</v>
      </c>
      <c r="AD50" s="133" t="s">
        <v>597</v>
      </c>
      <c r="AE50" s="134" t="str">
        <f>IFERROR(VLOOKUP(H50,名称!A:C,3,0),"")</f>
        <v>FNT</v>
      </c>
      <c r="AF50" s="133" t="str">
        <f t="shared" si="0"/>
        <v>IMPORT SERVICES</v>
      </c>
      <c r="AG50" s="133" t="str">
        <f t="shared" si="1"/>
        <v>英国</v>
      </c>
    </row>
    <row r="51" s="107" customFormat="1" ht="25" hidden="1" customHeight="1" spans="1:33">
      <c r="A51" s="119">
        <v>46115</v>
      </c>
      <c r="B51" s="113" t="s">
        <v>720</v>
      </c>
      <c r="C51" s="114" t="s">
        <v>721</v>
      </c>
      <c r="D51" s="115" t="s">
        <v>506</v>
      </c>
      <c r="E51" s="116" t="s">
        <v>246</v>
      </c>
      <c r="F51" s="114" t="s">
        <v>298</v>
      </c>
      <c r="G51" s="114" t="s">
        <v>357</v>
      </c>
      <c r="H51" s="114" t="s">
        <v>123</v>
      </c>
      <c r="I51" s="120" t="str">
        <f>IFERROR(VLOOKUP(H51,名称!A:C,2,0),"")</f>
        <v>混装配比G</v>
      </c>
      <c r="J51" s="118">
        <v>1200</v>
      </c>
      <c r="K51" s="118">
        <f>VLOOKUP(H51,名称!A:D,4,0)</f>
        <v>6</v>
      </c>
      <c r="L51" s="135">
        <f t="shared" si="2"/>
        <v>200</v>
      </c>
      <c r="M51" s="112">
        <v>46183</v>
      </c>
      <c r="N51" s="112">
        <v>46203</v>
      </c>
      <c r="O51" s="137" t="s">
        <v>722</v>
      </c>
      <c r="P51" s="119" t="s">
        <v>428</v>
      </c>
      <c r="Q51" s="114" t="s">
        <v>429</v>
      </c>
      <c r="R51" s="114" t="s">
        <v>723</v>
      </c>
      <c r="S51" s="115" t="s">
        <v>724</v>
      </c>
      <c r="T51" s="115" t="s">
        <v>431</v>
      </c>
      <c r="U51" s="114" t="s">
        <v>725</v>
      </c>
      <c r="V51" s="114" t="s">
        <v>595</v>
      </c>
      <c r="W51" s="114" t="s">
        <v>258</v>
      </c>
      <c r="X51" s="114" t="s">
        <v>596</v>
      </c>
      <c r="Y51" s="114" t="s">
        <v>458</v>
      </c>
      <c r="Z51" s="122">
        <v>2.06</v>
      </c>
      <c r="AA51" s="123">
        <f t="shared" si="3"/>
        <v>2472</v>
      </c>
      <c r="AB51" s="123">
        <f t="shared" si="4"/>
        <v>19158</v>
      </c>
      <c r="AC51" s="138">
        <v>62287</v>
      </c>
      <c r="AD51" s="133" t="s">
        <v>597</v>
      </c>
      <c r="AE51" s="134" t="str">
        <f>IFERROR(VLOOKUP(H51,名称!A:C,3,0),"")</f>
        <v>FNT</v>
      </c>
      <c r="AF51" s="133" t="str">
        <f t="shared" si="0"/>
        <v>NASA ZONA LIBRE PANAMA S.A.</v>
      </c>
      <c r="AG51" s="133" t="str">
        <f t="shared" si="1"/>
        <v>巴拿马</v>
      </c>
    </row>
    <row r="52" s="107" customFormat="1" ht="25" hidden="1" customHeight="1" spans="1:33">
      <c r="A52" s="119">
        <v>46087</v>
      </c>
      <c r="B52" s="113" t="s">
        <v>726</v>
      </c>
      <c r="C52" s="114" t="s">
        <v>727</v>
      </c>
      <c r="D52" s="115" t="s">
        <v>689</v>
      </c>
      <c r="E52" s="114" t="s">
        <v>246</v>
      </c>
      <c r="F52" s="114"/>
      <c r="G52" s="114" t="s">
        <v>333</v>
      </c>
      <c r="H52" s="114" t="s">
        <v>25</v>
      </c>
      <c r="I52" s="120" t="str">
        <f>IFERROR(VLOOKUP(H52,名称!A:C,2,0),"")</f>
        <v>校车巴士</v>
      </c>
      <c r="J52" s="118">
        <v>480</v>
      </c>
      <c r="K52" s="118">
        <f>VLOOKUP(H52,名称!A:D,4,0)</f>
        <v>4</v>
      </c>
      <c r="L52" s="135">
        <f t="shared" si="2"/>
        <v>120</v>
      </c>
      <c r="M52" s="112">
        <v>46191</v>
      </c>
      <c r="N52" s="112">
        <v>46191</v>
      </c>
      <c r="O52" s="137" t="s">
        <v>728</v>
      </c>
      <c r="P52" s="119" t="s">
        <v>428</v>
      </c>
      <c r="Q52" s="114"/>
      <c r="R52" s="114" t="s">
        <v>729</v>
      </c>
      <c r="S52" s="115" t="s">
        <v>730</v>
      </c>
      <c r="T52" s="115" t="s">
        <v>431</v>
      </c>
      <c r="U52" s="114" t="s">
        <v>731</v>
      </c>
      <c r="V52" s="121"/>
      <c r="W52" s="125" t="s">
        <v>323</v>
      </c>
      <c r="X52" s="114"/>
      <c r="Y52" s="114"/>
      <c r="Z52" s="122">
        <v>4.42</v>
      </c>
      <c r="AA52" s="123">
        <f t="shared" si="3"/>
        <v>2121.6</v>
      </c>
      <c r="AB52" s="123">
        <f t="shared" si="4"/>
        <v>16442.4</v>
      </c>
      <c r="AC52" s="138">
        <v>62288</v>
      </c>
      <c r="AD52" s="133" t="s">
        <v>434</v>
      </c>
      <c r="AE52" s="134" t="str">
        <f>IFERROR(VLOOKUP(H52,名称!A:C,3,0),"")</f>
        <v>CMW</v>
      </c>
      <c r="AF52" s="133" t="str">
        <f t="shared" si="0"/>
        <v>LITT TAK SDN BHD</v>
      </c>
      <c r="AG52" s="133" t="str">
        <f t="shared" si="1"/>
        <v>马来西亚</v>
      </c>
    </row>
    <row r="53" s="107" customFormat="1" ht="25" hidden="1" customHeight="1" spans="1:33">
      <c r="A53" s="119">
        <v>46090</v>
      </c>
      <c r="B53" s="113" t="s">
        <v>645</v>
      </c>
      <c r="C53" s="114" t="s">
        <v>396</v>
      </c>
      <c r="D53" s="115" t="s">
        <v>646</v>
      </c>
      <c r="E53" s="114" t="s">
        <v>246</v>
      </c>
      <c r="F53" s="114"/>
      <c r="G53" s="114">
        <v>60285102</v>
      </c>
      <c r="H53" s="114" t="s">
        <v>197</v>
      </c>
      <c r="I53" s="120" t="str">
        <f>IFERROR(VLOOKUP(H53,名称!A:C,2,0),"")</f>
        <v>蜘蛛侠喷水公仔3只装</v>
      </c>
      <c r="J53" s="118">
        <f>3798+3996+3996</f>
        <v>11790</v>
      </c>
      <c r="K53" s="118">
        <f>VLOOKUP(H53,名称!A:D,4,0)</f>
        <v>6</v>
      </c>
      <c r="L53" s="135">
        <f t="shared" si="2"/>
        <v>1965</v>
      </c>
      <c r="M53" s="112">
        <v>46190</v>
      </c>
      <c r="N53" s="112">
        <v>46190</v>
      </c>
      <c r="O53" s="139" t="s">
        <v>732</v>
      </c>
      <c r="P53" s="119" t="s">
        <v>428</v>
      </c>
      <c r="Q53" s="114"/>
      <c r="R53" s="114" t="s">
        <v>733</v>
      </c>
      <c r="S53" s="115" t="s">
        <v>734</v>
      </c>
      <c r="T53" s="115" t="s">
        <v>431</v>
      </c>
      <c r="U53" s="114" t="s">
        <v>605</v>
      </c>
      <c r="V53" s="121"/>
      <c r="W53" s="140" t="s">
        <v>255</v>
      </c>
      <c r="X53" s="114" t="s">
        <v>735</v>
      </c>
      <c r="Y53" s="141" t="s">
        <v>736</v>
      </c>
      <c r="Z53" s="122">
        <v>2.25</v>
      </c>
      <c r="AA53" s="123">
        <f t="shared" si="3"/>
        <v>26527.5</v>
      </c>
      <c r="AB53" s="123">
        <f t="shared" si="4"/>
        <v>205588.13</v>
      </c>
      <c r="AC53" s="138">
        <v>62336</v>
      </c>
      <c r="AD53" s="114" t="s">
        <v>434</v>
      </c>
      <c r="AE53" s="114" t="str">
        <f>IFERROR(VLOOKUP(H53,名称!A:C,3,0),"")</f>
        <v>SNF</v>
      </c>
      <c r="AF53" s="114" t="str">
        <f t="shared" si="0"/>
        <v>ROSS FOB</v>
      </c>
      <c r="AG53" s="114" t="str">
        <f t="shared" si="1"/>
        <v>美国</v>
      </c>
    </row>
    <row r="54" s="107" customFormat="1" ht="25" hidden="1" customHeight="1" spans="1:33">
      <c r="A54" s="119">
        <v>46090</v>
      </c>
      <c r="B54" s="113" t="s">
        <v>645</v>
      </c>
      <c r="C54" s="114" t="s">
        <v>396</v>
      </c>
      <c r="D54" s="115" t="s">
        <v>646</v>
      </c>
      <c r="E54" s="114" t="s">
        <v>246</v>
      </c>
      <c r="F54" s="114"/>
      <c r="G54" s="114">
        <v>60285211</v>
      </c>
      <c r="H54" s="114" t="s">
        <v>197</v>
      </c>
      <c r="I54" s="120" t="str">
        <f>IFERROR(VLOOKUP(H54,名称!A:C,2,0),"")</f>
        <v>蜘蛛侠喷水公仔3只装</v>
      </c>
      <c r="J54" s="118">
        <f>1998+2598+1998+1998+2598</f>
        <v>11190</v>
      </c>
      <c r="K54" s="118">
        <f>VLOOKUP(H54,名称!A:D,4,0)</f>
        <v>6</v>
      </c>
      <c r="L54" s="135">
        <f t="shared" si="2"/>
        <v>1865</v>
      </c>
      <c r="M54" s="112">
        <v>46190</v>
      </c>
      <c r="N54" s="112">
        <v>46190</v>
      </c>
      <c r="O54" s="139" t="s">
        <v>732</v>
      </c>
      <c r="P54" s="119" t="s">
        <v>428</v>
      </c>
      <c r="Q54" s="114"/>
      <c r="R54" s="114" t="s">
        <v>733</v>
      </c>
      <c r="S54" s="115" t="s">
        <v>734</v>
      </c>
      <c r="T54" s="115" t="s">
        <v>431</v>
      </c>
      <c r="U54" s="114" t="s">
        <v>605</v>
      </c>
      <c r="V54" s="121"/>
      <c r="W54" s="140" t="s">
        <v>255</v>
      </c>
      <c r="X54" s="114" t="s">
        <v>737</v>
      </c>
      <c r="Y54" s="142" t="s">
        <v>738</v>
      </c>
      <c r="Z54" s="122">
        <v>2.25</v>
      </c>
      <c r="AA54" s="123">
        <f t="shared" si="3"/>
        <v>25177.5</v>
      </c>
      <c r="AB54" s="123">
        <f t="shared" si="4"/>
        <v>195125.63</v>
      </c>
      <c r="AC54" s="138">
        <v>62337</v>
      </c>
      <c r="AD54" s="114" t="s">
        <v>434</v>
      </c>
      <c r="AE54" s="114" t="str">
        <f>IFERROR(VLOOKUP(H54,名称!A:C,3,0),"")</f>
        <v>SNF</v>
      </c>
      <c r="AF54" s="114" t="str">
        <f t="shared" si="0"/>
        <v>ROSS FOB</v>
      </c>
      <c r="AG54" s="114" t="str">
        <f t="shared" si="1"/>
        <v>美国</v>
      </c>
    </row>
    <row r="55" s="107" customFormat="1" ht="25" hidden="1" customHeight="1" spans="1:33">
      <c r="A55" s="119">
        <v>46090</v>
      </c>
      <c r="B55" s="113" t="s">
        <v>645</v>
      </c>
      <c r="C55" s="114" t="s">
        <v>396</v>
      </c>
      <c r="D55" s="115" t="s">
        <v>646</v>
      </c>
      <c r="E55" s="114" t="s">
        <v>246</v>
      </c>
      <c r="F55" s="114"/>
      <c r="G55" s="114">
        <v>60285216</v>
      </c>
      <c r="H55" s="114" t="s">
        <v>197</v>
      </c>
      <c r="I55" s="120" t="str">
        <f>IFERROR(VLOOKUP(H55,名称!A:C,2,0),"")</f>
        <v>蜘蛛侠喷水公仔3只装</v>
      </c>
      <c r="J55" s="118">
        <v>1998</v>
      </c>
      <c r="K55" s="118">
        <f>VLOOKUP(H55,名称!A:D,4,0)</f>
        <v>6</v>
      </c>
      <c r="L55" s="135">
        <f t="shared" si="2"/>
        <v>333</v>
      </c>
      <c r="M55" s="112">
        <v>46190</v>
      </c>
      <c r="N55" s="112">
        <v>46190</v>
      </c>
      <c r="O55" s="139" t="s">
        <v>732</v>
      </c>
      <c r="P55" s="119" t="s">
        <v>428</v>
      </c>
      <c r="Q55" s="114"/>
      <c r="R55" s="114" t="s">
        <v>733</v>
      </c>
      <c r="S55" s="115" t="s">
        <v>734</v>
      </c>
      <c r="T55" s="115" t="s">
        <v>431</v>
      </c>
      <c r="U55" s="114" t="s">
        <v>605</v>
      </c>
      <c r="V55" s="121"/>
      <c r="W55" s="140" t="s">
        <v>255</v>
      </c>
      <c r="X55" s="114" t="s">
        <v>739</v>
      </c>
      <c r="Y55" s="368" t="s">
        <v>740</v>
      </c>
      <c r="Z55" s="122">
        <v>2.25</v>
      </c>
      <c r="AA55" s="123">
        <f t="shared" si="3"/>
        <v>4495.5</v>
      </c>
      <c r="AB55" s="123">
        <f t="shared" si="4"/>
        <v>34840.13</v>
      </c>
      <c r="AC55" s="138">
        <v>62338</v>
      </c>
      <c r="AD55" s="114" t="s">
        <v>434</v>
      </c>
      <c r="AE55" s="114" t="str">
        <f>IFERROR(VLOOKUP(H55,名称!A:C,3,0),"")</f>
        <v>SNF</v>
      </c>
      <c r="AF55" s="114" t="str">
        <f t="shared" si="0"/>
        <v>ROSS FOB</v>
      </c>
      <c r="AG55" s="114" t="str">
        <f t="shared" si="1"/>
        <v>美国</v>
      </c>
    </row>
    <row r="56" s="107" customFormat="1" ht="25" hidden="1" customHeight="1" spans="1:33">
      <c r="A56" s="119">
        <v>46185</v>
      </c>
      <c r="B56" s="113" t="s">
        <v>447</v>
      </c>
      <c r="C56" s="114" t="s">
        <v>448</v>
      </c>
      <c r="D56" s="115" t="s">
        <v>449</v>
      </c>
      <c r="E56" s="114" t="s">
        <v>246</v>
      </c>
      <c r="F56" s="114" t="s">
        <v>382</v>
      </c>
      <c r="G56" s="125" t="s">
        <v>383</v>
      </c>
      <c r="H56" s="114" t="s">
        <v>222</v>
      </c>
      <c r="I56" s="120" t="str">
        <f>IFERROR(VLOOKUP(H56,名称!A:C,2,0),"")</f>
        <v>蜘蛛侠配蜘蛛网套装</v>
      </c>
      <c r="J56" s="118">
        <f>252+48</f>
        <v>300</v>
      </c>
      <c r="K56" s="118">
        <f>VLOOKUP(H56,名称!A:D,4,0)</f>
        <v>6</v>
      </c>
      <c r="L56" s="135">
        <f t="shared" si="2"/>
        <v>50</v>
      </c>
      <c r="M56" s="112">
        <v>46188</v>
      </c>
      <c r="N56" s="112">
        <v>46188</v>
      </c>
      <c r="O56" s="112">
        <v>46186</v>
      </c>
      <c r="P56" s="119" t="s">
        <v>428</v>
      </c>
      <c r="Q56" s="119"/>
      <c r="R56" s="125" t="s">
        <v>741</v>
      </c>
      <c r="S56" s="115" t="s">
        <v>452</v>
      </c>
      <c r="T56" s="115" t="s">
        <v>453</v>
      </c>
      <c r="U56" s="114"/>
      <c r="V56" s="121"/>
      <c r="W56" s="114" t="s">
        <v>276</v>
      </c>
      <c r="X56" s="114"/>
      <c r="Y56" s="114"/>
      <c r="Z56" s="122">
        <v>4.28</v>
      </c>
      <c r="AA56" s="123">
        <f t="shared" si="3"/>
        <v>1284</v>
      </c>
      <c r="AB56" s="123">
        <f t="shared" si="4"/>
        <v>9951</v>
      </c>
      <c r="AC56" s="138">
        <v>62339</v>
      </c>
      <c r="AD56" s="125" t="s">
        <v>742</v>
      </c>
      <c r="AE56" s="114" t="str">
        <f>IFERROR(VLOOKUP(H56,名称!A:C,3,0),"")</f>
        <v>SNF</v>
      </c>
      <c r="AF56" s="125" t="str">
        <f t="shared" si="0"/>
        <v>AMAZON CANADA</v>
      </c>
      <c r="AG56" s="125" t="str">
        <f t="shared" si="1"/>
        <v>加拿大</v>
      </c>
    </row>
    <row r="57" s="107" customFormat="1" ht="25" hidden="1" customHeight="1" spans="1:33">
      <c r="A57" s="119">
        <v>46098</v>
      </c>
      <c r="B57" s="113" t="s">
        <v>743</v>
      </c>
      <c r="C57" s="114" t="s">
        <v>396</v>
      </c>
      <c r="D57" s="115" t="s">
        <v>646</v>
      </c>
      <c r="E57" s="114" t="s">
        <v>246</v>
      </c>
      <c r="F57" s="114"/>
      <c r="G57" s="114">
        <v>70086115</v>
      </c>
      <c r="H57" s="114" t="s">
        <v>197</v>
      </c>
      <c r="I57" s="120" t="str">
        <f>IFERROR(VLOOKUP(H57,名称!A:C,2,0),"")</f>
        <v>蜘蛛侠喷水公仔3只装</v>
      </c>
      <c r="J57" s="118">
        <v>1596</v>
      </c>
      <c r="K57" s="118">
        <f>VLOOKUP(H57,名称!A:D,4,0)</f>
        <v>6</v>
      </c>
      <c r="L57" s="143">
        <f t="shared" si="2"/>
        <v>266</v>
      </c>
      <c r="M57" s="112">
        <v>46190</v>
      </c>
      <c r="N57" s="112">
        <v>46190</v>
      </c>
      <c r="O57" s="139" t="s">
        <v>732</v>
      </c>
      <c r="P57" s="119" t="s">
        <v>428</v>
      </c>
      <c r="Q57" s="114"/>
      <c r="R57" s="125" t="s">
        <v>733</v>
      </c>
      <c r="S57" s="115" t="s">
        <v>734</v>
      </c>
      <c r="T57" s="115" t="s">
        <v>431</v>
      </c>
      <c r="U57" s="140" t="s">
        <v>744</v>
      </c>
      <c r="V57" s="121"/>
      <c r="W57" s="140" t="s">
        <v>255</v>
      </c>
      <c r="X57" s="114" t="s">
        <v>739</v>
      </c>
      <c r="Y57" s="368" t="s">
        <v>745</v>
      </c>
      <c r="Z57" s="122">
        <v>2.25</v>
      </c>
      <c r="AA57" s="123">
        <f t="shared" si="3"/>
        <v>3591</v>
      </c>
      <c r="AB57" s="123">
        <f t="shared" si="4"/>
        <v>27830.25</v>
      </c>
      <c r="AC57" s="138">
        <v>62345</v>
      </c>
      <c r="AD57" s="114" t="s">
        <v>434</v>
      </c>
      <c r="AE57" s="114" t="str">
        <f>IFERROR(VLOOKUP(H57,名称!A:C,3,0),"")</f>
        <v>SNF</v>
      </c>
      <c r="AF57" s="114" t="str">
        <f t="shared" si="0"/>
        <v>DD'S FOB</v>
      </c>
      <c r="AG57" s="114" t="str">
        <f t="shared" si="1"/>
        <v>美国</v>
      </c>
    </row>
    <row r="58" s="107" customFormat="1" ht="25" hidden="1" customHeight="1" spans="1:33">
      <c r="A58" s="119">
        <v>46098</v>
      </c>
      <c r="B58" s="113" t="s">
        <v>743</v>
      </c>
      <c r="C58" s="114" t="s">
        <v>396</v>
      </c>
      <c r="D58" s="115" t="s">
        <v>646</v>
      </c>
      <c r="E58" s="114" t="s">
        <v>246</v>
      </c>
      <c r="F58" s="114"/>
      <c r="G58" s="114">
        <v>70086128</v>
      </c>
      <c r="H58" s="114" t="s">
        <v>197</v>
      </c>
      <c r="I58" s="120" t="str">
        <f>IFERROR(VLOOKUP(H58,名称!A:C,2,0),"")</f>
        <v>蜘蛛侠喷水公仔3只装</v>
      </c>
      <c r="J58" s="118">
        <v>996</v>
      </c>
      <c r="K58" s="118">
        <f>VLOOKUP(H58,名称!A:D,4,0)</f>
        <v>6</v>
      </c>
      <c r="L58" s="143">
        <f t="shared" si="2"/>
        <v>166</v>
      </c>
      <c r="M58" s="112">
        <v>46190</v>
      </c>
      <c r="N58" s="112">
        <v>46190</v>
      </c>
      <c r="O58" s="139" t="s">
        <v>732</v>
      </c>
      <c r="P58" s="119" t="s">
        <v>428</v>
      </c>
      <c r="Q58" s="114"/>
      <c r="R58" s="144" t="s">
        <v>733</v>
      </c>
      <c r="S58" s="115" t="s">
        <v>734</v>
      </c>
      <c r="T58" s="115" t="s">
        <v>431</v>
      </c>
      <c r="U58" s="140" t="s">
        <v>744</v>
      </c>
      <c r="V58" s="121"/>
      <c r="W58" s="140" t="s">
        <v>255</v>
      </c>
      <c r="X58" s="114" t="s">
        <v>739</v>
      </c>
      <c r="Y58" s="141" t="s">
        <v>746</v>
      </c>
      <c r="Z58" s="122">
        <v>2.25</v>
      </c>
      <c r="AA58" s="123">
        <f t="shared" si="3"/>
        <v>2241</v>
      </c>
      <c r="AB58" s="123">
        <f t="shared" si="4"/>
        <v>17367.75</v>
      </c>
      <c r="AC58" s="138">
        <v>62346</v>
      </c>
      <c r="AD58" s="114" t="s">
        <v>434</v>
      </c>
      <c r="AE58" s="114" t="str">
        <f>IFERROR(VLOOKUP(H58,名称!A:C,3,0),"")</f>
        <v>SNF</v>
      </c>
      <c r="AF58" s="114" t="str">
        <f t="shared" si="0"/>
        <v>DD'S FOB</v>
      </c>
      <c r="AG58" s="114" t="str">
        <f t="shared" si="1"/>
        <v>美国</v>
      </c>
    </row>
    <row r="59" s="107" customFormat="1" ht="25" hidden="1" customHeight="1" spans="1:33">
      <c r="A59" s="119">
        <v>46098</v>
      </c>
      <c r="B59" s="113" t="s">
        <v>743</v>
      </c>
      <c r="C59" s="114" t="s">
        <v>396</v>
      </c>
      <c r="D59" s="115" t="s">
        <v>646</v>
      </c>
      <c r="E59" s="114" t="s">
        <v>246</v>
      </c>
      <c r="F59" s="114"/>
      <c r="G59" s="114">
        <v>70086139</v>
      </c>
      <c r="H59" s="114" t="s">
        <v>197</v>
      </c>
      <c r="I59" s="120" t="str">
        <f>IFERROR(VLOOKUP(H59,名称!A:C,2,0),"")</f>
        <v>蜘蛛侠喷水公仔3只装</v>
      </c>
      <c r="J59" s="118">
        <v>1200</v>
      </c>
      <c r="K59" s="118">
        <f>VLOOKUP(H59,名称!A:D,4,0)</f>
        <v>6</v>
      </c>
      <c r="L59" s="143">
        <f t="shared" si="2"/>
        <v>200</v>
      </c>
      <c r="M59" s="112">
        <v>46190</v>
      </c>
      <c r="N59" s="112">
        <v>46190</v>
      </c>
      <c r="O59" s="139" t="s">
        <v>732</v>
      </c>
      <c r="P59" s="119" t="s">
        <v>428</v>
      </c>
      <c r="Q59" s="114"/>
      <c r="R59" s="144" t="s">
        <v>733</v>
      </c>
      <c r="S59" s="115" t="s">
        <v>734</v>
      </c>
      <c r="T59" s="115" t="s">
        <v>431</v>
      </c>
      <c r="U59" s="140" t="s">
        <v>744</v>
      </c>
      <c r="V59" s="121"/>
      <c r="W59" s="140" t="s">
        <v>255</v>
      </c>
      <c r="X59" s="114" t="s">
        <v>739</v>
      </c>
      <c r="Y59" s="141" t="s">
        <v>747</v>
      </c>
      <c r="Z59" s="122">
        <v>2.25</v>
      </c>
      <c r="AA59" s="123">
        <f t="shared" si="3"/>
        <v>2700</v>
      </c>
      <c r="AB59" s="123">
        <f t="shared" si="4"/>
        <v>20925</v>
      </c>
      <c r="AC59" s="138">
        <v>62347</v>
      </c>
      <c r="AD59" s="114" t="s">
        <v>434</v>
      </c>
      <c r="AE59" s="114" t="str">
        <f>IFERROR(VLOOKUP(H59,名称!A:C,3,0),"")</f>
        <v>SNF</v>
      </c>
      <c r="AF59" s="114" t="str">
        <f t="shared" si="0"/>
        <v>DD'S FOB</v>
      </c>
      <c r="AG59" s="114" t="str">
        <f t="shared" si="1"/>
        <v>美国</v>
      </c>
    </row>
    <row r="60" s="107" customFormat="1" ht="25" hidden="1" customHeight="1" spans="1:33">
      <c r="A60" s="119">
        <v>46098</v>
      </c>
      <c r="B60" s="113" t="s">
        <v>743</v>
      </c>
      <c r="C60" s="114" t="s">
        <v>396</v>
      </c>
      <c r="D60" s="115" t="s">
        <v>646</v>
      </c>
      <c r="E60" s="114" t="s">
        <v>246</v>
      </c>
      <c r="F60" s="114"/>
      <c r="G60" s="114">
        <v>70086147</v>
      </c>
      <c r="H60" s="114" t="s">
        <v>197</v>
      </c>
      <c r="I60" s="120" t="str">
        <f>IFERROR(VLOOKUP(H60,名称!A:C,2,0),"")</f>
        <v>蜘蛛侠喷水公仔3只装</v>
      </c>
      <c r="J60" s="118">
        <v>600</v>
      </c>
      <c r="K60" s="118">
        <f>VLOOKUP(H60,名称!A:D,4,0)</f>
        <v>6</v>
      </c>
      <c r="L60" s="143">
        <f t="shared" si="2"/>
        <v>100</v>
      </c>
      <c r="M60" s="112">
        <v>46190</v>
      </c>
      <c r="N60" s="112">
        <v>46190</v>
      </c>
      <c r="O60" s="139" t="s">
        <v>732</v>
      </c>
      <c r="P60" s="119" t="s">
        <v>428</v>
      </c>
      <c r="Q60" s="114"/>
      <c r="R60" s="144" t="s">
        <v>733</v>
      </c>
      <c r="S60" s="115" t="s">
        <v>734</v>
      </c>
      <c r="T60" s="115" t="s">
        <v>431</v>
      </c>
      <c r="U60" s="140" t="s">
        <v>744</v>
      </c>
      <c r="V60" s="121"/>
      <c r="W60" s="140" t="s">
        <v>255</v>
      </c>
      <c r="X60" s="114" t="s">
        <v>739</v>
      </c>
      <c r="Y60" s="141" t="s">
        <v>748</v>
      </c>
      <c r="Z60" s="122">
        <v>2.25</v>
      </c>
      <c r="AA60" s="123">
        <f t="shared" si="3"/>
        <v>1350</v>
      </c>
      <c r="AB60" s="123">
        <f t="shared" si="4"/>
        <v>10462.5</v>
      </c>
      <c r="AC60" s="138">
        <v>62348</v>
      </c>
      <c r="AD60" s="114" t="s">
        <v>434</v>
      </c>
      <c r="AE60" s="114" t="str">
        <f>IFERROR(VLOOKUP(H60,名称!A:C,3,0),"")</f>
        <v>SNF</v>
      </c>
      <c r="AF60" s="114" t="str">
        <f t="shared" si="0"/>
        <v>DD'S FOB</v>
      </c>
      <c r="AG60" s="114" t="str">
        <f t="shared" si="1"/>
        <v>美国</v>
      </c>
    </row>
    <row r="61" s="107" customFormat="1" ht="25" hidden="1" customHeight="1" spans="1:33">
      <c r="A61" s="119">
        <v>46098</v>
      </c>
      <c r="B61" s="113" t="s">
        <v>743</v>
      </c>
      <c r="C61" s="114" t="s">
        <v>396</v>
      </c>
      <c r="D61" s="115" t="s">
        <v>646</v>
      </c>
      <c r="E61" s="114" t="s">
        <v>246</v>
      </c>
      <c r="F61" s="114"/>
      <c r="G61" s="114">
        <v>70086157</v>
      </c>
      <c r="H61" s="114" t="s">
        <v>197</v>
      </c>
      <c r="I61" s="120" t="str">
        <f>IFERROR(VLOOKUP(H61,名称!A:C,2,0),"")</f>
        <v>蜘蛛侠喷水公仔3只装</v>
      </c>
      <c r="J61" s="118">
        <v>600</v>
      </c>
      <c r="K61" s="118">
        <f>VLOOKUP(H61,名称!A:D,4,0)</f>
        <v>6</v>
      </c>
      <c r="L61" s="143">
        <f t="shared" si="2"/>
        <v>100</v>
      </c>
      <c r="M61" s="112">
        <v>46190</v>
      </c>
      <c r="N61" s="112">
        <v>46190</v>
      </c>
      <c r="O61" s="139" t="s">
        <v>732</v>
      </c>
      <c r="P61" s="119" t="s">
        <v>428</v>
      </c>
      <c r="Q61" s="114"/>
      <c r="R61" s="144" t="s">
        <v>733</v>
      </c>
      <c r="S61" s="115" t="s">
        <v>734</v>
      </c>
      <c r="T61" s="115" t="s">
        <v>431</v>
      </c>
      <c r="U61" s="140" t="s">
        <v>744</v>
      </c>
      <c r="V61" s="121"/>
      <c r="W61" s="140" t="s">
        <v>255</v>
      </c>
      <c r="X61" s="114" t="s">
        <v>739</v>
      </c>
      <c r="Y61" s="141" t="s">
        <v>749</v>
      </c>
      <c r="Z61" s="122">
        <v>2.25</v>
      </c>
      <c r="AA61" s="123">
        <f t="shared" si="3"/>
        <v>1350</v>
      </c>
      <c r="AB61" s="123">
        <f t="shared" si="4"/>
        <v>10462.5</v>
      </c>
      <c r="AC61" s="138">
        <v>62349</v>
      </c>
      <c r="AD61" s="114" t="s">
        <v>434</v>
      </c>
      <c r="AE61" s="114" t="str">
        <f>IFERROR(VLOOKUP(H61,名称!A:C,3,0),"")</f>
        <v>SNF</v>
      </c>
      <c r="AF61" s="114" t="str">
        <f t="shared" si="0"/>
        <v>DD'S FOB</v>
      </c>
      <c r="AG61" s="114" t="str">
        <f t="shared" si="1"/>
        <v>美国</v>
      </c>
    </row>
    <row r="62" s="107" customFormat="1" ht="25" hidden="1" customHeight="1" spans="1:33">
      <c r="A62" s="119">
        <v>46091</v>
      </c>
      <c r="B62" s="113" t="s">
        <v>519</v>
      </c>
      <c r="C62" s="114" t="s">
        <v>520</v>
      </c>
      <c r="D62" s="115" t="s">
        <v>521</v>
      </c>
      <c r="E62" s="114" t="s">
        <v>246</v>
      </c>
      <c r="F62" s="114"/>
      <c r="G62" s="114" t="s">
        <v>335</v>
      </c>
      <c r="H62" s="114" t="s">
        <v>143</v>
      </c>
      <c r="I62" s="120">
        <f>IFERROR(VLOOKUP(H62,名称!A:C,2,0),"")</f>
        <v>0</v>
      </c>
      <c r="J62" s="118">
        <v>260</v>
      </c>
      <c r="K62" s="118">
        <f>VLOOKUP(H62,名称!A:D,4,0)</f>
        <v>4</v>
      </c>
      <c r="L62" s="143">
        <f t="shared" si="2"/>
        <v>65</v>
      </c>
      <c r="M62" s="112">
        <v>46196</v>
      </c>
      <c r="N62" s="112">
        <v>46196</v>
      </c>
      <c r="O62" s="139" t="s">
        <v>750</v>
      </c>
      <c r="P62" s="119" t="s">
        <v>428</v>
      </c>
      <c r="Q62" s="125"/>
      <c r="R62" s="125" t="s">
        <v>751</v>
      </c>
      <c r="S62" s="115" t="s">
        <v>609</v>
      </c>
      <c r="T62" s="115" t="s">
        <v>431</v>
      </c>
      <c r="U62" s="140" t="s">
        <v>462</v>
      </c>
      <c r="V62" s="121" t="s">
        <v>713</v>
      </c>
      <c r="W62" s="140" t="s">
        <v>258</v>
      </c>
      <c r="X62" s="114" t="s">
        <v>714</v>
      </c>
      <c r="Y62" s="114"/>
      <c r="Z62" s="122">
        <v>7.86</v>
      </c>
      <c r="AA62" s="123">
        <f t="shared" si="3"/>
        <v>2043.6</v>
      </c>
      <c r="AB62" s="123">
        <f t="shared" si="4"/>
        <v>15837.9</v>
      </c>
      <c r="AC62" s="138">
        <v>62351</v>
      </c>
      <c r="AD62" s="114" t="s">
        <v>434</v>
      </c>
      <c r="AE62" s="114" t="str">
        <f>IFERROR(VLOOKUP(H62,名称!A:C,3,0),"")</f>
        <v>FNT</v>
      </c>
      <c r="AF62" s="114" t="str">
        <f t="shared" si="0"/>
        <v>IMPORT SERVICES</v>
      </c>
      <c r="AG62" s="114" t="str">
        <f t="shared" si="1"/>
        <v>英国</v>
      </c>
    </row>
    <row r="63" s="107" customFormat="1" ht="25" hidden="1" customHeight="1" spans="1:33">
      <c r="A63" s="112">
        <v>46114</v>
      </c>
      <c r="B63" s="113" t="s">
        <v>752</v>
      </c>
      <c r="C63" s="114" t="s">
        <v>753</v>
      </c>
      <c r="D63" s="115" t="s">
        <v>754</v>
      </c>
      <c r="E63" s="114" t="s">
        <v>259</v>
      </c>
      <c r="F63" s="114" t="s">
        <v>298</v>
      </c>
      <c r="G63" s="114" t="s">
        <v>354</v>
      </c>
      <c r="H63" s="114" t="s">
        <v>123</v>
      </c>
      <c r="I63" s="120" t="str">
        <f>IFERROR(VLOOKUP(H63,名称!A:C,2,0),"")</f>
        <v>混装配比G</v>
      </c>
      <c r="J63" s="118">
        <v>1200</v>
      </c>
      <c r="K63" s="118">
        <f>VLOOKUP(H63,名称!A:D,4,0)</f>
        <v>6</v>
      </c>
      <c r="L63" s="143">
        <f t="shared" si="2"/>
        <v>200</v>
      </c>
      <c r="M63" s="112">
        <v>46193</v>
      </c>
      <c r="N63" s="112">
        <v>46213</v>
      </c>
      <c r="O63" s="139" t="s">
        <v>755</v>
      </c>
      <c r="P63" s="119" t="s">
        <v>428</v>
      </c>
      <c r="Q63" s="114"/>
      <c r="R63" s="125" t="s">
        <v>756</v>
      </c>
      <c r="S63" s="115" t="s">
        <v>757</v>
      </c>
      <c r="T63" s="115" t="s">
        <v>431</v>
      </c>
      <c r="U63" s="145" t="s">
        <v>758</v>
      </c>
      <c r="V63" s="125" t="s">
        <v>759</v>
      </c>
      <c r="W63" s="140" t="s">
        <v>559</v>
      </c>
      <c r="X63" s="114" t="s">
        <v>596</v>
      </c>
      <c r="Y63" s="114" t="s">
        <v>458</v>
      </c>
      <c r="Z63" s="122">
        <v>2.32</v>
      </c>
      <c r="AA63" s="123">
        <f t="shared" si="3"/>
        <v>2784</v>
      </c>
      <c r="AB63" s="123">
        <f t="shared" si="4"/>
        <v>21576</v>
      </c>
      <c r="AC63" s="138">
        <v>62352</v>
      </c>
      <c r="AD63" s="114" t="s">
        <v>463</v>
      </c>
      <c r="AE63" s="114" t="str">
        <f>IFERROR(VLOOKUP(H63,名称!A:C,3,0),"")</f>
        <v>FNT</v>
      </c>
      <c r="AF63" s="114" t="str">
        <f t="shared" si="0"/>
        <v>REI TOYS SRL</v>
      </c>
      <c r="AG63" s="114" t="str">
        <f t="shared" si="1"/>
        <v>意大利</v>
      </c>
    </row>
    <row r="64" s="107" customFormat="1" ht="25" hidden="1" customHeight="1" spans="1:33">
      <c r="A64" s="119">
        <v>46085</v>
      </c>
      <c r="B64" s="113" t="s">
        <v>504</v>
      </c>
      <c r="C64" s="114" t="s">
        <v>505</v>
      </c>
      <c r="D64" s="115" t="s">
        <v>506</v>
      </c>
      <c r="E64" s="114" t="s">
        <v>259</v>
      </c>
      <c r="F64" s="114"/>
      <c r="G64" s="114" t="s">
        <v>324</v>
      </c>
      <c r="H64" s="114" t="s">
        <v>70</v>
      </c>
      <c r="I64" s="120" t="str">
        <f>IFERROR(VLOOKUP(H64,名称!A:C,2,0),"")</f>
        <v>跳舞公仔</v>
      </c>
      <c r="J64" s="118">
        <v>720</v>
      </c>
      <c r="K64" s="118">
        <f>VLOOKUP(H64,名称!A:D,4,0)</f>
        <v>4</v>
      </c>
      <c r="L64" s="143">
        <f t="shared" si="2"/>
        <v>180</v>
      </c>
      <c r="M64" s="112">
        <v>46193</v>
      </c>
      <c r="N64" s="112">
        <v>46203</v>
      </c>
      <c r="O64" s="127" t="s">
        <v>507</v>
      </c>
      <c r="P64" s="119" t="s">
        <v>428</v>
      </c>
      <c r="Q64" s="125" t="s">
        <v>429</v>
      </c>
      <c r="R64" s="144" t="s">
        <v>508</v>
      </c>
      <c r="S64" s="115" t="s">
        <v>509</v>
      </c>
      <c r="T64" s="115" t="s">
        <v>431</v>
      </c>
      <c r="U64" s="144" t="s">
        <v>510</v>
      </c>
      <c r="V64" s="121"/>
      <c r="W64" s="140" t="s">
        <v>323</v>
      </c>
      <c r="X64" s="114"/>
      <c r="Y64" s="114"/>
      <c r="Z64" s="122">
        <v>13.42</v>
      </c>
      <c r="AA64" s="123">
        <f t="shared" si="3"/>
        <v>9662.4</v>
      </c>
      <c r="AB64" s="123">
        <f t="shared" si="4"/>
        <v>74883.6</v>
      </c>
      <c r="AC64" s="138">
        <v>62375</v>
      </c>
      <c r="AD64" s="114" t="s">
        <v>434</v>
      </c>
      <c r="AE64" s="114" t="str">
        <f>IFERROR(VLOOKUP(H64,名称!A:C,3,0),"")</f>
        <v>CMW</v>
      </c>
      <c r="AF64" s="114" t="str">
        <f t="shared" si="0"/>
        <v>A LIUSIE GENERAL TRADING LLC</v>
      </c>
      <c r="AG64" s="114" t="str">
        <f t="shared" si="1"/>
        <v>阿拉伯</v>
      </c>
    </row>
    <row r="65" s="107" customFormat="1" ht="25" hidden="1" customHeight="1" spans="1:33">
      <c r="A65" s="119">
        <v>46091</v>
      </c>
      <c r="B65" s="113" t="s">
        <v>519</v>
      </c>
      <c r="C65" s="114" t="s">
        <v>520</v>
      </c>
      <c r="D65" s="115" t="s">
        <v>521</v>
      </c>
      <c r="E65" s="114" t="s">
        <v>246</v>
      </c>
      <c r="F65" s="114"/>
      <c r="G65" s="114" t="s">
        <v>335</v>
      </c>
      <c r="H65" s="114" t="s">
        <v>143</v>
      </c>
      <c r="I65" s="120">
        <f>IFERROR(VLOOKUP(H65,名称!A:C,2,0),"")</f>
        <v>0</v>
      </c>
      <c r="J65" s="118">
        <f>260+5852-260</f>
        <v>5852</v>
      </c>
      <c r="K65" s="118">
        <f>VLOOKUP(H65,名称!A:D,4,0)</f>
        <v>4</v>
      </c>
      <c r="L65" s="143">
        <f t="shared" si="2"/>
        <v>1463</v>
      </c>
      <c r="M65" s="112">
        <v>46196</v>
      </c>
      <c r="N65" s="112">
        <v>46196</v>
      </c>
      <c r="O65" s="139" t="s">
        <v>750</v>
      </c>
      <c r="P65" s="119" t="s">
        <v>428</v>
      </c>
      <c r="Q65" s="125" t="s">
        <v>429</v>
      </c>
      <c r="R65" s="144" t="s">
        <v>751</v>
      </c>
      <c r="S65" s="115" t="s">
        <v>609</v>
      </c>
      <c r="T65" s="115" t="s">
        <v>431</v>
      </c>
      <c r="U65" s="140" t="s">
        <v>462</v>
      </c>
      <c r="V65" s="121" t="s">
        <v>713</v>
      </c>
      <c r="W65" s="140" t="s">
        <v>258</v>
      </c>
      <c r="X65" s="114" t="s">
        <v>714</v>
      </c>
      <c r="Y65" s="114"/>
      <c r="Z65" s="122">
        <v>7.86</v>
      </c>
      <c r="AA65" s="123">
        <f t="shared" si="3"/>
        <v>45996.72</v>
      </c>
      <c r="AB65" s="123">
        <f t="shared" si="4"/>
        <v>356474.58</v>
      </c>
      <c r="AC65" s="138">
        <v>62376</v>
      </c>
      <c r="AD65" s="114" t="s">
        <v>434</v>
      </c>
      <c r="AE65" s="114" t="str">
        <f>IFERROR(VLOOKUP(H65,名称!A:C,3,0),"")</f>
        <v>FNT</v>
      </c>
      <c r="AF65" s="114" t="str">
        <f t="shared" ref="AF65:AF106" si="5">B65</f>
        <v>IMPORT SERVICES</v>
      </c>
      <c r="AG65" s="114" t="str">
        <f t="shared" ref="AG65:AG83" si="6">C65</f>
        <v>英国</v>
      </c>
    </row>
    <row r="66" s="107" customFormat="1" ht="25" hidden="1" customHeight="1" spans="1:33">
      <c r="A66" s="119">
        <v>45967</v>
      </c>
      <c r="B66" s="113" t="s">
        <v>760</v>
      </c>
      <c r="C66" s="114" t="s">
        <v>575</v>
      </c>
      <c r="D66" s="115" t="s">
        <v>532</v>
      </c>
      <c r="E66" s="114" t="s">
        <v>259</v>
      </c>
      <c r="F66" s="114"/>
      <c r="G66" s="114" t="s">
        <v>289</v>
      </c>
      <c r="H66" s="114" t="s">
        <v>152</v>
      </c>
      <c r="I66" s="120" t="str">
        <f>IFERROR(VLOOKUP(H66,名称!A:C,2,0),"")</f>
        <v>混装配比G</v>
      </c>
      <c r="J66" s="118">
        <v>4968</v>
      </c>
      <c r="K66" s="118">
        <f>VLOOKUP(H66,名称!A:D,4,0)</f>
        <v>6</v>
      </c>
      <c r="L66" s="143">
        <f t="shared" ref="L66:L106" si="7">J66/K66</f>
        <v>828</v>
      </c>
      <c r="M66" s="112">
        <v>45957</v>
      </c>
      <c r="N66" s="112">
        <v>46203</v>
      </c>
      <c r="O66" s="127" t="s">
        <v>761</v>
      </c>
      <c r="P66" s="119" t="s">
        <v>428</v>
      </c>
      <c r="Q66" s="125" t="s">
        <v>429</v>
      </c>
      <c r="R66" s="144" t="s">
        <v>762</v>
      </c>
      <c r="S66" s="115" t="s">
        <v>763</v>
      </c>
      <c r="T66" s="115" t="s">
        <v>431</v>
      </c>
      <c r="U66" s="115" t="s">
        <v>431</v>
      </c>
      <c r="V66" s="114" t="s">
        <v>610</v>
      </c>
      <c r="W66" s="114" t="s">
        <v>255</v>
      </c>
      <c r="X66" s="114" t="s">
        <v>596</v>
      </c>
      <c r="Y66" s="114" t="s">
        <v>458</v>
      </c>
      <c r="Z66" s="122">
        <v>2.06</v>
      </c>
      <c r="AA66" s="123">
        <f t="shared" ref="AA66:AA100" si="8">J66*Z66</f>
        <v>10234.08</v>
      </c>
      <c r="AB66" s="123">
        <f t="shared" ref="AB66:AB100" si="9">AA66*7.75</f>
        <v>79314.12</v>
      </c>
      <c r="AC66" s="138">
        <v>62380</v>
      </c>
      <c r="AD66" s="114" t="s">
        <v>463</v>
      </c>
      <c r="AE66" s="114" t="str">
        <f>IFERROR(VLOOKUP(H66,名称!A:C,3,0),"")</f>
        <v>FNT</v>
      </c>
      <c r="AF66" s="114" t="str">
        <f t="shared" si="5"/>
        <v>JAZ MX - WALMART DOM</v>
      </c>
      <c r="AG66" s="114" t="str">
        <f t="shared" si="6"/>
        <v>墨西哥</v>
      </c>
    </row>
    <row r="67" s="107" customFormat="1" ht="25" hidden="1" customHeight="1" spans="1:33">
      <c r="A67" s="119">
        <v>45968</v>
      </c>
      <c r="B67" s="113" t="s">
        <v>760</v>
      </c>
      <c r="C67" s="114" t="s">
        <v>575</v>
      </c>
      <c r="D67" s="115" t="s">
        <v>532</v>
      </c>
      <c r="E67" s="114" t="s">
        <v>246</v>
      </c>
      <c r="F67" s="114"/>
      <c r="G67" s="114" t="s">
        <v>294</v>
      </c>
      <c r="H67" s="114" t="s">
        <v>152</v>
      </c>
      <c r="I67" s="120" t="str">
        <f>IFERROR(VLOOKUP(H67,名称!A:C,2,0),"")</f>
        <v>混装配比G</v>
      </c>
      <c r="J67" s="118">
        <v>1800</v>
      </c>
      <c r="K67" s="118">
        <f>VLOOKUP(H67,名称!A:D,4,0)</f>
        <v>6</v>
      </c>
      <c r="L67" s="143">
        <f t="shared" si="7"/>
        <v>300</v>
      </c>
      <c r="M67" s="112">
        <v>46028</v>
      </c>
      <c r="N67" s="112">
        <v>46203</v>
      </c>
      <c r="O67" s="139" t="s">
        <v>761</v>
      </c>
      <c r="P67" s="119" t="s">
        <v>428</v>
      </c>
      <c r="Q67" s="125" t="s">
        <v>429</v>
      </c>
      <c r="R67" s="144" t="s">
        <v>762</v>
      </c>
      <c r="S67" s="115" t="s">
        <v>763</v>
      </c>
      <c r="T67" s="115" t="s">
        <v>431</v>
      </c>
      <c r="U67" s="146" t="s">
        <v>431</v>
      </c>
      <c r="V67" s="114" t="s">
        <v>610</v>
      </c>
      <c r="W67" s="114" t="s">
        <v>258</v>
      </c>
      <c r="X67" s="114" t="s">
        <v>596</v>
      </c>
      <c r="Y67" s="114" t="s">
        <v>458</v>
      </c>
      <c r="Z67" s="122">
        <v>2.06</v>
      </c>
      <c r="AA67" s="123">
        <f t="shared" si="8"/>
        <v>3708</v>
      </c>
      <c r="AB67" s="123">
        <f t="shared" si="9"/>
        <v>28737</v>
      </c>
      <c r="AC67" s="138">
        <v>62381</v>
      </c>
      <c r="AD67" s="114" t="s">
        <v>434</v>
      </c>
      <c r="AE67" s="114" t="str">
        <f>IFERROR(VLOOKUP(H67,名称!A:C,3,0),"")</f>
        <v>FNT</v>
      </c>
      <c r="AF67" s="114" t="str">
        <f t="shared" si="5"/>
        <v>JAZ MX - WALMART DOM</v>
      </c>
      <c r="AG67" s="114" t="str">
        <f t="shared" si="6"/>
        <v>墨西哥</v>
      </c>
    </row>
    <row r="68" s="107" customFormat="1" ht="25" hidden="1" customHeight="1" spans="1:33">
      <c r="A68" s="119">
        <v>45988</v>
      </c>
      <c r="B68" s="113" t="s">
        <v>760</v>
      </c>
      <c r="C68" s="114" t="s">
        <v>575</v>
      </c>
      <c r="D68" s="115" t="s">
        <v>532</v>
      </c>
      <c r="E68" s="114" t="s">
        <v>246</v>
      </c>
      <c r="F68" s="114"/>
      <c r="G68" s="114" t="s">
        <v>297</v>
      </c>
      <c r="H68" s="114" t="s">
        <v>123</v>
      </c>
      <c r="I68" s="120" t="str">
        <f>IFERROR(VLOOKUP(H68,名称!A:C,2,0),"")</f>
        <v>混装配比G</v>
      </c>
      <c r="J68" s="118">
        <v>3126</v>
      </c>
      <c r="K68" s="118">
        <f>VLOOKUP(H68,名称!A:D,4,0)</f>
        <v>6</v>
      </c>
      <c r="L68" s="143">
        <f t="shared" si="7"/>
        <v>521</v>
      </c>
      <c r="M68" s="112">
        <v>45992</v>
      </c>
      <c r="N68" s="112">
        <v>46203</v>
      </c>
      <c r="O68" s="139" t="s">
        <v>761</v>
      </c>
      <c r="P68" s="119" t="s">
        <v>428</v>
      </c>
      <c r="Q68" s="144" t="s">
        <v>429</v>
      </c>
      <c r="R68" s="144" t="s">
        <v>762</v>
      </c>
      <c r="S68" s="115" t="s">
        <v>701</v>
      </c>
      <c r="T68" s="115" t="s">
        <v>431</v>
      </c>
      <c r="U68" s="114" t="s">
        <v>764</v>
      </c>
      <c r="V68" s="114" t="s">
        <v>610</v>
      </c>
      <c r="W68" s="114" t="s">
        <v>258</v>
      </c>
      <c r="X68" s="114" t="s">
        <v>596</v>
      </c>
      <c r="Y68" s="114" t="s">
        <v>458</v>
      </c>
      <c r="Z68" s="122">
        <v>2.06</v>
      </c>
      <c r="AA68" s="123">
        <f t="shared" si="8"/>
        <v>6439.56</v>
      </c>
      <c r="AB68" s="123">
        <f t="shared" si="9"/>
        <v>49906.59</v>
      </c>
      <c r="AC68" s="138">
        <v>62382</v>
      </c>
      <c r="AD68" s="114" t="s">
        <v>434</v>
      </c>
      <c r="AE68" s="114" t="str">
        <f>IFERROR(VLOOKUP(H68,名称!A:C,3,0),"")</f>
        <v>FNT</v>
      </c>
      <c r="AF68" s="114" t="str">
        <f t="shared" si="5"/>
        <v>JAZ MX - WALMART DOM</v>
      </c>
      <c r="AG68" s="114" t="str">
        <f t="shared" si="6"/>
        <v>墨西哥</v>
      </c>
    </row>
    <row r="69" s="107" customFormat="1" ht="25" hidden="1" customHeight="1" spans="1:33">
      <c r="A69" s="119">
        <v>45967</v>
      </c>
      <c r="B69" s="113" t="s">
        <v>490</v>
      </c>
      <c r="C69" s="114" t="s">
        <v>491</v>
      </c>
      <c r="D69" s="115" t="s">
        <v>492</v>
      </c>
      <c r="E69" s="114" t="s">
        <v>246</v>
      </c>
      <c r="F69" s="114"/>
      <c r="G69" s="114" t="s">
        <v>291</v>
      </c>
      <c r="H69" s="114" t="s">
        <v>123</v>
      </c>
      <c r="I69" s="120" t="str">
        <f>IFERROR(VLOOKUP(H69,名称!A:C,2,0),"")</f>
        <v>混装配比G</v>
      </c>
      <c r="J69" s="118">
        <f>600+2604</f>
        <v>3204</v>
      </c>
      <c r="K69" s="118">
        <f>VLOOKUP(H69,名称!A:D,4,0)</f>
        <v>6</v>
      </c>
      <c r="L69" s="143">
        <f t="shared" si="7"/>
        <v>534</v>
      </c>
      <c r="M69" s="112">
        <v>45955</v>
      </c>
      <c r="N69" s="112">
        <v>46203</v>
      </c>
      <c r="O69" s="127" t="s">
        <v>765</v>
      </c>
      <c r="P69" s="119" t="s">
        <v>428</v>
      </c>
      <c r="Q69" s="125" t="s">
        <v>429</v>
      </c>
      <c r="R69" s="125" t="s">
        <v>766</v>
      </c>
      <c r="S69" s="115" t="s">
        <v>494</v>
      </c>
      <c r="T69" s="115" t="s">
        <v>431</v>
      </c>
      <c r="U69" s="147" t="s">
        <v>767</v>
      </c>
      <c r="V69" s="114" t="s">
        <v>610</v>
      </c>
      <c r="W69" s="114" t="s">
        <v>258</v>
      </c>
      <c r="X69" s="114" t="s">
        <v>596</v>
      </c>
      <c r="Y69" s="114" t="s">
        <v>717</v>
      </c>
      <c r="Z69" s="122">
        <v>2.06</v>
      </c>
      <c r="AA69" s="123">
        <f t="shared" si="8"/>
        <v>6600.24</v>
      </c>
      <c r="AB69" s="123">
        <f t="shared" si="9"/>
        <v>51151.86</v>
      </c>
      <c r="AC69" s="138">
        <v>62386</v>
      </c>
      <c r="AD69" s="114" t="s">
        <v>434</v>
      </c>
      <c r="AE69" s="114" t="str">
        <f>IFERROR(VLOOKUP(H69,名称!A:C,3,0),"")</f>
        <v>FNT</v>
      </c>
      <c r="AF69" s="114" t="str">
        <f t="shared" si="5"/>
        <v>M + F</v>
      </c>
      <c r="AG69" s="114" t="str">
        <f t="shared" si="6"/>
        <v>德国</v>
      </c>
    </row>
    <row r="70" s="107" customFormat="1" ht="25" hidden="1" customHeight="1" spans="1:33">
      <c r="A70" s="119">
        <v>45967</v>
      </c>
      <c r="B70" s="113" t="s">
        <v>490</v>
      </c>
      <c r="C70" s="114" t="s">
        <v>491</v>
      </c>
      <c r="D70" s="115" t="s">
        <v>492</v>
      </c>
      <c r="E70" s="114" t="s">
        <v>246</v>
      </c>
      <c r="F70" s="114"/>
      <c r="G70" s="114" t="s">
        <v>292</v>
      </c>
      <c r="H70" s="114" t="s">
        <v>123</v>
      </c>
      <c r="I70" s="120" t="str">
        <f>IFERROR(VLOOKUP(H70,名称!A:C,2,0),"")</f>
        <v>混装配比G</v>
      </c>
      <c r="J70" s="118">
        <v>1500</v>
      </c>
      <c r="K70" s="118">
        <f>VLOOKUP(H70,名称!A:D,4,0)</f>
        <v>6</v>
      </c>
      <c r="L70" s="143">
        <f t="shared" si="7"/>
        <v>250</v>
      </c>
      <c r="M70" s="112">
        <v>45996</v>
      </c>
      <c r="N70" s="112">
        <v>46203</v>
      </c>
      <c r="O70" s="139" t="s">
        <v>765</v>
      </c>
      <c r="P70" s="119" t="s">
        <v>428</v>
      </c>
      <c r="Q70" s="144" t="s">
        <v>429</v>
      </c>
      <c r="R70" s="144" t="s">
        <v>766</v>
      </c>
      <c r="S70" s="115" t="s">
        <v>494</v>
      </c>
      <c r="T70" s="115" t="s">
        <v>431</v>
      </c>
      <c r="U70" s="148" t="s">
        <v>767</v>
      </c>
      <c r="V70" s="114" t="s">
        <v>610</v>
      </c>
      <c r="W70" s="114" t="s">
        <v>258</v>
      </c>
      <c r="X70" s="114" t="s">
        <v>596</v>
      </c>
      <c r="Y70" s="114" t="s">
        <v>717</v>
      </c>
      <c r="Z70" s="122">
        <v>2.06</v>
      </c>
      <c r="AA70" s="123">
        <f t="shared" si="8"/>
        <v>3090</v>
      </c>
      <c r="AB70" s="123">
        <f t="shared" si="9"/>
        <v>23947.5</v>
      </c>
      <c r="AC70" s="138">
        <v>62387</v>
      </c>
      <c r="AD70" s="114" t="s">
        <v>434</v>
      </c>
      <c r="AE70" s="114" t="str">
        <f>IFERROR(VLOOKUP(H70,名称!A:C,3,0),"")</f>
        <v>FNT</v>
      </c>
      <c r="AF70" s="114" t="str">
        <f t="shared" si="5"/>
        <v>M + F</v>
      </c>
      <c r="AG70" s="114" t="str">
        <f t="shared" si="6"/>
        <v>德国</v>
      </c>
    </row>
    <row r="71" s="107" customFormat="1" ht="25" hidden="1" customHeight="1" spans="1:33">
      <c r="A71" s="119">
        <v>45967</v>
      </c>
      <c r="B71" s="113" t="s">
        <v>490</v>
      </c>
      <c r="C71" s="114" t="s">
        <v>491</v>
      </c>
      <c r="D71" s="115" t="s">
        <v>492</v>
      </c>
      <c r="E71" s="114" t="s">
        <v>246</v>
      </c>
      <c r="F71" s="114"/>
      <c r="G71" s="114" t="s">
        <v>293</v>
      </c>
      <c r="H71" s="114" t="s">
        <v>123</v>
      </c>
      <c r="I71" s="120" t="str">
        <f>IFERROR(VLOOKUP(H71,名称!A:C,2,0),"")</f>
        <v>混装配比G</v>
      </c>
      <c r="J71" s="118">
        <v>900</v>
      </c>
      <c r="K71" s="118">
        <f>VLOOKUP(H71,名称!A:D,4,0)</f>
        <v>6</v>
      </c>
      <c r="L71" s="143">
        <f t="shared" si="7"/>
        <v>150</v>
      </c>
      <c r="M71" s="112">
        <v>45996</v>
      </c>
      <c r="N71" s="112">
        <v>46203</v>
      </c>
      <c r="O71" s="139" t="s">
        <v>765</v>
      </c>
      <c r="P71" s="119" t="s">
        <v>428</v>
      </c>
      <c r="Q71" s="114"/>
      <c r="R71" s="144" t="s">
        <v>766</v>
      </c>
      <c r="S71" s="115" t="s">
        <v>494</v>
      </c>
      <c r="T71" s="115" t="s">
        <v>431</v>
      </c>
      <c r="U71" s="148" t="s">
        <v>767</v>
      </c>
      <c r="V71" s="114" t="s">
        <v>610</v>
      </c>
      <c r="W71" s="114" t="s">
        <v>258</v>
      </c>
      <c r="X71" s="114" t="s">
        <v>596</v>
      </c>
      <c r="Y71" s="114" t="s">
        <v>717</v>
      </c>
      <c r="Z71" s="122">
        <v>2.06</v>
      </c>
      <c r="AA71" s="123">
        <f t="shared" si="8"/>
        <v>1854</v>
      </c>
      <c r="AB71" s="123">
        <f t="shared" si="9"/>
        <v>14368.5</v>
      </c>
      <c r="AC71" s="138">
        <v>62388</v>
      </c>
      <c r="AD71" s="114" t="s">
        <v>434</v>
      </c>
      <c r="AE71" s="114" t="str">
        <f>IFERROR(VLOOKUP(H71,名称!A:C,3,0),"")</f>
        <v>FNT</v>
      </c>
      <c r="AF71" s="114" t="str">
        <f t="shared" si="5"/>
        <v>M + F</v>
      </c>
      <c r="AG71" s="114" t="str">
        <f t="shared" si="6"/>
        <v>德国</v>
      </c>
    </row>
    <row r="72" s="107" customFormat="1" ht="25" customHeight="1" spans="1:33">
      <c r="A72" s="119">
        <v>46107</v>
      </c>
      <c r="B72" s="113" t="s">
        <v>490</v>
      </c>
      <c r="C72" s="114" t="s">
        <v>491</v>
      </c>
      <c r="D72" s="115" t="s">
        <v>492</v>
      </c>
      <c r="E72" s="114" t="s">
        <v>246</v>
      </c>
      <c r="F72" s="114"/>
      <c r="G72" s="114" t="s">
        <v>347</v>
      </c>
      <c r="H72" s="114" t="s">
        <v>144</v>
      </c>
      <c r="I72" s="120">
        <f>IFERROR(VLOOKUP(H72,名称!A:C,2,0),"")</f>
        <v>0</v>
      </c>
      <c r="J72" s="118">
        <v>300</v>
      </c>
      <c r="K72" s="118">
        <f>VLOOKUP(H72,名称!A:D,4,0)</f>
        <v>6</v>
      </c>
      <c r="L72" s="143">
        <f t="shared" si="7"/>
        <v>50</v>
      </c>
      <c r="M72" s="112">
        <v>46174</v>
      </c>
      <c r="N72" s="112">
        <v>46174</v>
      </c>
      <c r="O72" s="139" t="s">
        <v>768</v>
      </c>
      <c r="P72" s="119" t="s">
        <v>428</v>
      </c>
      <c r="Q72" s="114"/>
      <c r="R72" s="144" t="s">
        <v>766</v>
      </c>
      <c r="S72" s="115" t="s">
        <v>494</v>
      </c>
      <c r="T72" s="115" t="s">
        <v>431</v>
      </c>
      <c r="U72" s="144" t="s">
        <v>431</v>
      </c>
      <c r="V72" s="114" t="s">
        <v>471</v>
      </c>
      <c r="W72" s="144" t="s">
        <v>387</v>
      </c>
      <c r="X72" s="114" t="s">
        <v>476</v>
      </c>
      <c r="Y72" s="114"/>
      <c r="Z72" s="122">
        <v>2.17</v>
      </c>
      <c r="AA72" s="123">
        <f t="shared" si="8"/>
        <v>651</v>
      </c>
      <c r="AB72" s="123">
        <f t="shared" si="9"/>
        <v>5045.25</v>
      </c>
      <c r="AC72" s="138">
        <v>62389</v>
      </c>
      <c r="AD72" s="114" t="s">
        <v>463</v>
      </c>
      <c r="AE72" s="114" t="str">
        <f>IFERROR(VLOOKUP(H72,名称!A:C,3,0),"")</f>
        <v>FNT</v>
      </c>
      <c r="AF72" s="114" t="str">
        <f t="shared" si="5"/>
        <v>M + F</v>
      </c>
      <c r="AG72" s="114" t="str">
        <f t="shared" si="6"/>
        <v>德国</v>
      </c>
    </row>
    <row r="73" s="107" customFormat="1" ht="25" hidden="1" customHeight="1" spans="1:33">
      <c r="A73" s="119">
        <v>46107</v>
      </c>
      <c r="B73" s="113" t="s">
        <v>490</v>
      </c>
      <c r="C73" s="114" t="s">
        <v>491</v>
      </c>
      <c r="D73" s="115" t="s">
        <v>492</v>
      </c>
      <c r="E73" s="114" t="s">
        <v>246</v>
      </c>
      <c r="F73" s="114"/>
      <c r="G73" s="114" t="s">
        <v>348</v>
      </c>
      <c r="H73" s="114" t="s">
        <v>147</v>
      </c>
      <c r="I73" s="120">
        <f>IFERROR(VLOOKUP(H73,名称!A:C,2,0),"")</f>
        <v>0</v>
      </c>
      <c r="J73" s="118">
        <v>1002</v>
      </c>
      <c r="K73" s="118">
        <f>VLOOKUP(H73,名称!A:D,4,0)</f>
        <v>6</v>
      </c>
      <c r="L73" s="143">
        <f t="shared" si="7"/>
        <v>167</v>
      </c>
      <c r="M73" s="112">
        <v>46174</v>
      </c>
      <c r="N73" s="112">
        <v>46174</v>
      </c>
      <c r="O73" s="139" t="s">
        <v>769</v>
      </c>
      <c r="P73" s="119" t="s">
        <v>428</v>
      </c>
      <c r="Q73" s="114"/>
      <c r="R73" s="144" t="s">
        <v>766</v>
      </c>
      <c r="S73" s="115" t="s">
        <v>494</v>
      </c>
      <c r="T73" s="115" t="s">
        <v>431</v>
      </c>
      <c r="U73" s="144" t="s">
        <v>431</v>
      </c>
      <c r="V73" s="114" t="s">
        <v>471</v>
      </c>
      <c r="W73" s="144" t="s">
        <v>387</v>
      </c>
      <c r="X73" s="114" t="s">
        <v>479</v>
      </c>
      <c r="Y73" s="114"/>
      <c r="Z73" s="122">
        <v>2.7</v>
      </c>
      <c r="AA73" s="123">
        <f t="shared" si="8"/>
        <v>2705.4</v>
      </c>
      <c r="AB73" s="123">
        <f t="shared" si="9"/>
        <v>20966.85</v>
      </c>
      <c r="AC73" s="138">
        <v>62390</v>
      </c>
      <c r="AD73" s="114" t="s">
        <v>463</v>
      </c>
      <c r="AE73" s="114" t="str">
        <f>IFERROR(VLOOKUP(H73,名称!A:C,3,0),"")</f>
        <v>FNT</v>
      </c>
      <c r="AF73" s="114" t="str">
        <f t="shared" si="5"/>
        <v>M + F</v>
      </c>
      <c r="AG73" s="114" t="str">
        <f t="shared" si="6"/>
        <v>德国</v>
      </c>
    </row>
    <row r="74" s="107" customFormat="1" ht="25" customHeight="1" spans="1:33">
      <c r="A74" s="119">
        <v>46107</v>
      </c>
      <c r="B74" s="113" t="s">
        <v>490</v>
      </c>
      <c r="C74" s="114" t="s">
        <v>491</v>
      </c>
      <c r="D74" s="115" t="s">
        <v>492</v>
      </c>
      <c r="E74" s="114" t="s">
        <v>246</v>
      </c>
      <c r="F74" s="114"/>
      <c r="G74" s="114" t="s">
        <v>345</v>
      </c>
      <c r="H74" s="114" t="s">
        <v>144</v>
      </c>
      <c r="I74" s="120">
        <f>IFERROR(VLOOKUP(H74,名称!A:C,2,0),"")</f>
        <v>0</v>
      </c>
      <c r="J74" s="118">
        <v>240</v>
      </c>
      <c r="K74" s="118">
        <f>VLOOKUP(H74,名称!A:D,4,0)</f>
        <v>6</v>
      </c>
      <c r="L74" s="143">
        <f t="shared" si="7"/>
        <v>40</v>
      </c>
      <c r="M74" s="112">
        <v>46174</v>
      </c>
      <c r="N74" s="112">
        <v>46174</v>
      </c>
      <c r="O74" s="149" t="s">
        <v>768</v>
      </c>
      <c r="P74" s="119" t="s">
        <v>428</v>
      </c>
      <c r="Q74" s="114"/>
      <c r="R74" s="144" t="s">
        <v>770</v>
      </c>
      <c r="S74" s="115" t="s">
        <v>494</v>
      </c>
      <c r="T74" s="115" t="s">
        <v>431</v>
      </c>
      <c r="U74" s="144" t="s">
        <v>431</v>
      </c>
      <c r="V74" s="114" t="s">
        <v>471</v>
      </c>
      <c r="W74" s="144" t="s">
        <v>387</v>
      </c>
      <c r="X74" s="114" t="s">
        <v>476</v>
      </c>
      <c r="Y74" s="114"/>
      <c r="Z74" s="122">
        <v>2.17</v>
      </c>
      <c r="AA74" s="123">
        <f t="shared" si="8"/>
        <v>520.8</v>
      </c>
      <c r="AB74" s="123">
        <f t="shared" si="9"/>
        <v>4036.2</v>
      </c>
      <c r="AC74" s="138">
        <v>62391</v>
      </c>
      <c r="AD74" s="114" t="s">
        <v>463</v>
      </c>
      <c r="AE74" s="114" t="str">
        <f>IFERROR(VLOOKUP(H74,名称!A:C,3,0),"")</f>
        <v>FNT</v>
      </c>
      <c r="AF74" s="114" t="str">
        <f t="shared" si="5"/>
        <v>M + F</v>
      </c>
      <c r="AG74" s="114" t="str">
        <f t="shared" si="6"/>
        <v>德国</v>
      </c>
    </row>
    <row r="75" s="107" customFormat="1" ht="25" hidden="1" customHeight="1" spans="1:33">
      <c r="A75" s="119">
        <v>46107</v>
      </c>
      <c r="B75" s="113" t="s">
        <v>490</v>
      </c>
      <c r="C75" s="114" t="s">
        <v>491</v>
      </c>
      <c r="D75" s="115" t="s">
        <v>492</v>
      </c>
      <c r="E75" s="114" t="s">
        <v>246</v>
      </c>
      <c r="F75" s="114"/>
      <c r="G75" s="114" t="s">
        <v>349</v>
      </c>
      <c r="H75" s="114" t="s">
        <v>147</v>
      </c>
      <c r="I75" s="120">
        <f>IFERROR(VLOOKUP(H75,名称!A:C,2,0),"")</f>
        <v>0</v>
      </c>
      <c r="J75" s="118">
        <f>900+1104</f>
        <v>2004</v>
      </c>
      <c r="K75" s="118">
        <f>VLOOKUP(H75,名称!A:D,4,0)</f>
        <v>6</v>
      </c>
      <c r="L75" s="143">
        <f t="shared" si="7"/>
        <v>334</v>
      </c>
      <c r="M75" s="112">
        <v>46143</v>
      </c>
      <c r="N75" s="112">
        <v>46157</v>
      </c>
      <c r="O75" s="149" t="s">
        <v>769</v>
      </c>
      <c r="P75" s="119" t="s">
        <v>428</v>
      </c>
      <c r="Q75" s="114"/>
      <c r="R75" s="144" t="s">
        <v>770</v>
      </c>
      <c r="S75" s="115" t="s">
        <v>494</v>
      </c>
      <c r="T75" s="115" t="s">
        <v>431</v>
      </c>
      <c r="U75" s="144" t="s">
        <v>431</v>
      </c>
      <c r="V75" s="114" t="s">
        <v>471</v>
      </c>
      <c r="W75" s="144" t="s">
        <v>387</v>
      </c>
      <c r="X75" s="114" t="s">
        <v>479</v>
      </c>
      <c r="Y75" s="114"/>
      <c r="Z75" s="122">
        <v>2.7</v>
      </c>
      <c r="AA75" s="123">
        <f t="shared" si="8"/>
        <v>5410.8</v>
      </c>
      <c r="AB75" s="123">
        <f t="shared" si="9"/>
        <v>41933.7</v>
      </c>
      <c r="AC75" s="138">
        <v>62392</v>
      </c>
      <c r="AD75" s="114" t="s">
        <v>463</v>
      </c>
      <c r="AE75" s="114" t="str">
        <f>IFERROR(VLOOKUP(H75,名称!A:C,3,0),"")</f>
        <v>FNT</v>
      </c>
      <c r="AF75" s="114" t="str">
        <f t="shared" si="5"/>
        <v>M + F</v>
      </c>
      <c r="AG75" s="114" t="str">
        <f t="shared" si="6"/>
        <v>德国</v>
      </c>
    </row>
    <row r="76" s="107" customFormat="1" ht="25" customHeight="1" spans="1:33">
      <c r="A76" s="119">
        <v>46115</v>
      </c>
      <c r="B76" s="113" t="s">
        <v>490</v>
      </c>
      <c r="C76" s="114" t="s">
        <v>491</v>
      </c>
      <c r="D76" s="114" t="s">
        <v>492</v>
      </c>
      <c r="E76" s="116" t="s">
        <v>246</v>
      </c>
      <c r="F76" s="114" t="s">
        <v>316</v>
      </c>
      <c r="G76" s="114" t="s">
        <v>358</v>
      </c>
      <c r="H76" s="114" t="s">
        <v>144</v>
      </c>
      <c r="I76" s="120">
        <f>IFERROR(VLOOKUP(H76,名称!A:C,2,0),"")</f>
        <v>0</v>
      </c>
      <c r="J76" s="118">
        <v>654</v>
      </c>
      <c r="K76" s="118">
        <f>VLOOKUP(H76,名称!A:D,4,0)</f>
        <v>6</v>
      </c>
      <c r="L76" s="143">
        <f t="shared" si="7"/>
        <v>109</v>
      </c>
      <c r="M76" s="112">
        <v>46204</v>
      </c>
      <c r="N76" s="112">
        <v>46204</v>
      </c>
      <c r="O76" s="149" t="s">
        <v>768</v>
      </c>
      <c r="P76" s="119" t="s">
        <v>428</v>
      </c>
      <c r="Q76" s="114"/>
      <c r="R76" s="144" t="s">
        <v>770</v>
      </c>
      <c r="S76" s="115" t="s">
        <v>494</v>
      </c>
      <c r="T76" s="115" t="s">
        <v>431</v>
      </c>
      <c r="U76" s="144" t="s">
        <v>431</v>
      </c>
      <c r="V76" s="114" t="s">
        <v>471</v>
      </c>
      <c r="W76" s="144" t="s">
        <v>387</v>
      </c>
      <c r="X76" s="114" t="s">
        <v>476</v>
      </c>
      <c r="Y76" s="114"/>
      <c r="Z76" s="122">
        <v>2.17</v>
      </c>
      <c r="AA76" s="123">
        <f t="shared" si="8"/>
        <v>1419.18</v>
      </c>
      <c r="AB76" s="123">
        <f t="shared" si="9"/>
        <v>10998.65</v>
      </c>
      <c r="AC76" s="138">
        <v>62393</v>
      </c>
      <c r="AD76" s="114" t="s">
        <v>463</v>
      </c>
      <c r="AE76" s="114" t="str">
        <f>IFERROR(VLOOKUP(H76,名称!A:C,3,0),"")</f>
        <v>FNT</v>
      </c>
      <c r="AF76" s="114" t="str">
        <f t="shared" si="5"/>
        <v>M + F</v>
      </c>
      <c r="AG76" s="114" t="str">
        <f t="shared" si="6"/>
        <v>德国</v>
      </c>
    </row>
    <row r="77" s="107" customFormat="1" ht="25" customHeight="1" spans="1:33">
      <c r="A77" s="119">
        <v>46107</v>
      </c>
      <c r="B77" s="113" t="s">
        <v>490</v>
      </c>
      <c r="C77" s="114" t="s">
        <v>491</v>
      </c>
      <c r="D77" s="115" t="s">
        <v>492</v>
      </c>
      <c r="E77" s="114" t="s">
        <v>246</v>
      </c>
      <c r="F77" s="114"/>
      <c r="G77" s="114" t="s">
        <v>346</v>
      </c>
      <c r="H77" s="114" t="s">
        <v>144</v>
      </c>
      <c r="I77" s="120">
        <f>IFERROR(VLOOKUP(H77,名称!A:C,2,0),"")</f>
        <v>0</v>
      </c>
      <c r="J77" s="118">
        <v>264</v>
      </c>
      <c r="K77" s="118">
        <f>VLOOKUP(H77,名称!A:D,4,0)</f>
        <v>6</v>
      </c>
      <c r="L77" s="143">
        <f t="shared" si="7"/>
        <v>44</v>
      </c>
      <c r="M77" s="112">
        <v>46174</v>
      </c>
      <c r="N77" s="112">
        <v>46174</v>
      </c>
      <c r="O77" s="149" t="s">
        <v>768</v>
      </c>
      <c r="P77" s="119" t="s">
        <v>428</v>
      </c>
      <c r="Q77" s="114"/>
      <c r="R77" s="144" t="s">
        <v>770</v>
      </c>
      <c r="S77" s="115" t="s">
        <v>494</v>
      </c>
      <c r="T77" s="115" t="s">
        <v>431</v>
      </c>
      <c r="U77" s="144" t="s">
        <v>431</v>
      </c>
      <c r="V77" s="114" t="s">
        <v>471</v>
      </c>
      <c r="W77" s="144" t="s">
        <v>387</v>
      </c>
      <c r="X77" s="114" t="s">
        <v>476</v>
      </c>
      <c r="Y77" s="114"/>
      <c r="Z77" s="122">
        <v>2.17</v>
      </c>
      <c r="AA77" s="123">
        <f t="shared" si="8"/>
        <v>572.88</v>
      </c>
      <c r="AB77" s="123">
        <f t="shared" si="9"/>
        <v>4439.82</v>
      </c>
      <c r="AC77" s="138">
        <v>62394</v>
      </c>
      <c r="AD77" s="114" t="s">
        <v>463</v>
      </c>
      <c r="AE77" s="114" t="str">
        <f>IFERROR(VLOOKUP(H77,名称!A:C,3,0),"")</f>
        <v>FNT</v>
      </c>
      <c r="AF77" s="114" t="str">
        <f t="shared" si="5"/>
        <v>M + F</v>
      </c>
      <c r="AG77" s="114" t="str">
        <f t="shared" si="6"/>
        <v>德国</v>
      </c>
    </row>
    <row r="78" s="107" customFormat="1" ht="25" hidden="1" customHeight="1" spans="1:33">
      <c r="A78" s="112">
        <v>46016</v>
      </c>
      <c r="B78" s="113" t="s">
        <v>515</v>
      </c>
      <c r="C78" s="114" t="s">
        <v>396</v>
      </c>
      <c r="D78" s="115" t="s">
        <v>506</v>
      </c>
      <c r="E78" s="116" t="s">
        <v>246</v>
      </c>
      <c r="F78" s="114" t="s">
        <v>298</v>
      </c>
      <c r="G78" s="114" t="s">
        <v>308</v>
      </c>
      <c r="H78" s="114" t="s">
        <v>123</v>
      </c>
      <c r="I78" s="120" t="str">
        <f>IFERROR(VLOOKUP(H78,名称!A:C,2,0),"")</f>
        <v>混装配比G</v>
      </c>
      <c r="J78" s="118">
        <v>1200</v>
      </c>
      <c r="K78" s="118">
        <f>VLOOKUP(H78,名称!A:D,4,0)</f>
        <v>6</v>
      </c>
      <c r="L78" s="143">
        <f t="shared" si="7"/>
        <v>200</v>
      </c>
      <c r="M78" s="112">
        <v>46113</v>
      </c>
      <c r="N78" s="112">
        <v>46113</v>
      </c>
      <c r="O78" s="112" t="s">
        <v>722</v>
      </c>
      <c r="P78" s="119" t="s">
        <v>428</v>
      </c>
      <c r="Q78" s="114" t="s">
        <v>429</v>
      </c>
      <c r="R78" s="144" t="s">
        <v>771</v>
      </c>
      <c r="S78" s="115" t="s">
        <v>772</v>
      </c>
      <c r="T78" s="115" t="s">
        <v>431</v>
      </c>
      <c r="U78" s="140" t="s">
        <v>773</v>
      </c>
      <c r="V78" s="114" t="s">
        <v>610</v>
      </c>
      <c r="W78" s="140" t="s">
        <v>258</v>
      </c>
      <c r="X78" s="114" t="s">
        <v>596</v>
      </c>
      <c r="Y78" s="114" t="s">
        <v>458</v>
      </c>
      <c r="Z78" s="122">
        <v>2.06</v>
      </c>
      <c r="AA78" s="123">
        <f t="shared" si="8"/>
        <v>2472</v>
      </c>
      <c r="AB78" s="123">
        <f t="shared" si="9"/>
        <v>19158</v>
      </c>
      <c r="AC78" s="138">
        <v>62403</v>
      </c>
      <c r="AD78" s="114" t="s">
        <v>434</v>
      </c>
      <c r="AE78" s="114" t="str">
        <f>IFERROR(VLOOKUP(H78,名称!A:C,3,0),"")</f>
        <v>FNT</v>
      </c>
      <c r="AF78" s="114" t="str">
        <f t="shared" si="5"/>
        <v>ARABIAN AL EKHA INTL FOR TRADE AND 
COMM.</v>
      </c>
      <c r="AG78" s="114" t="str">
        <f t="shared" si="6"/>
        <v>美国</v>
      </c>
    </row>
    <row r="79" s="107" customFormat="1" ht="25" hidden="1" customHeight="1" spans="1:33">
      <c r="A79" s="119">
        <v>46085</v>
      </c>
      <c r="B79" s="113" t="s">
        <v>515</v>
      </c>
      <c r="C79" s="114" t="s">
        <v>516</v>
      </c>
      <c r="D79" s="115" t="s">
        <v>506</v>
      </c>
      <c r="E79" s="114" t="s">
        <v>246</v>
      </c>
      <c r="F79" s="114"/>
      <c r="G79" s="114" t="s">
        <v>329</v>
      </c>
      <c r="H79" s="114" t="s">
        <v>70</v>
      </c>
      <c r="I79" s="120" t="str">
        <f>IFERROR(VLOOKUP(H79,名称!A:C,2,0),"")</f>
        <v>跳舞公仔</v>
      </c>
      <c r="J79" s="118">
        <v>400</v>
      </c>
      <c r="K79" s="118">
        <f>VLOOKUP(H79,名称!A:D,4,0)</f>
        <v>4</v>
      </c>
      <c r="L79" s="143">
        <f t="shared" si="7"/>
        <v>100</v>
      </c>
      <c r="M79" s="112">
        <v>46193</v>
      </c>
      <c r="N79" s="112">
        <v>46203</v>
      </c>
      <c r="O79" s="150" t="s">
        <v>517</v>
      </c>
      <c r="P79" s="119" t="s">
        <v>428</v>
      </c>
      <c r="Q79" s="125" t="s">
        <v>450</v>
      </c>
      <c r="R79" s="144" t="s">
        <v>774</v>
      </c>
      <c r="S79" s="115" t="s">
        <v>509</v>
      </c>
      <c r="T79" s="115" t="s">
        <v>431</v>
      </c>
      <c r="U79" s="144" t="s">
        <v>605</v>
      </c>
      <c r="V79" s="121"/>
      <c r="W79" s="140" t="s">
        <v>323</v>
      </c>
      <c r="X79" s="114"/>
      <c r="Y79" s="114"/>
      <c r="Z79" s="122">
        <v>13.42</v>
      </c>
      <c r="AA79" s="123">
        <f t="shared" si="8"/>
        <v>5368</v>
      </c>
      <c r="AB79" s="123">
        <f t="shared" si="9"/>
        <v>41602</v>
      </c>
      <c r="AC79" s="138">
        <v>62404</v>
      </c>
      <c r="AD79" s="114" t="s">
        <v>434</v>
      </c>
      <c r="AE79" s="114" t="str">
        <f>IFERROR(VLOOKUP(H79,名称!A:C,3,0),"")</f>
        <v>CMW</v>
      </c>
      <c r="AF79" s="114" t="str">
        <f t="shared" si="5"/>
        <v>ARABIAN AL EKHA INTL FOR TRADE AND 
COMM.</v>
      </c>
      <c r="AG79" s="114" t="str">
        <f t="shared" si="6"/>
        <v>约旦</v>
      </c>
    </row>
    <row r="80" s="107" customFormat="1" ht="25" hidden="1" customHeight="1" spans="1:33">
      <c r="A80" s="119">
        <v>46086</v>
      </c>
      <c r="B80" s="113" t="s">
        <v>515</v>
      </c>
      <c r="C80" s="114" t="s">
        <v>516</v>
      </c>
      <c r="D80" s="115" t="s">
        <v>506</v>
      </c>
      <c r="E80" s="114" t="s">
        <v>246</v>
      </c>
      <c r="F80" s="114" t="s">
        <v>330</v>
      </c>
      <c r="G80" s="114" t="s">
        <v>329</v>
      </c>
      <c r="H80" s="114" t="s">
        <v>25</v>
      </c>
      <c r="I80" s="120" t="str">
        <f>IFERROR(VLOOKUP(H80,名称!A:C,2,0),"")</f>
        <v>校车巴士</v>
      </c>
      <c r="J80" s="118">
        <f>900-560</f>
        <v>340</v>
      </c>
      <c r="K80" s="118">
        <f>VLOOKUP(H80,名称!A:D,4,0)</f>
        <v>4</v>
      </c>
      <c r="L80" s="143">
        <f t="shared" si="7"/>
        <v>85</v>
      </c>
      <c r="M80" s="112">
        <v>46193</v>
      </c>
      <c r="N80" s="112">
        <v>46193</v>
      </c>
      <c r="O80" s="139" t="s">
        <v>775</v>
      </c>
      <c r="P80" s="119" t="s">
        <v>428</v>
      </c>
      <c r="Q80" s="125" t="s">
        <v>450</v>
      </c>
      <c r="R80" s="144" t="s">
        <v>776</v>
      </c>
      <c r="S80" s="115" t="s">
        <v>509</v>
      </c>
      <c r="T80" s="115" t="s">
        <v>431</v>
      </c>
      <c r="U80" s="144" t="s">
        <v>605</v>
      </c>
      <c r="V80" s="121"/>
      <c r="W80" s="144" t="s">
        <v>323</v>
      </c>
      <c r="X80" s="114"/>
      <c r="Y80" s="125" t="s">
        <v>777</v>
      </c>
      <c r="Z80" s="122">
        <v>4.42</v>
      </c>
      <c r="AA80" s="123">
        <f t="shared" si="8"/>
        <v>1502.8</v>
      </c>
      <c r="AB80" s="123">
        <f t="shared" si="9"/>
        <v>11646.7</v>
      </c>
      <c r="AC80" s="138">
        <v>62404</v>
      </c>
      <c r="AD80" s="114" t="s">
        <v>434</v>
      </c>
      <c r="AE80" s="114" t="str">
        <f>IFERROR(VLOOKUP(H80,名称!A:C,3,0),"")</f>
        <v>CMW</v>
      </c>
      <c r="AF80" s="114" t="str">
        <f t="shared" si="5"/>
        <v>ARABIAN AL EKHA INTL FOR TRADE AND 
COMM.</v>
      </c>
      <c r="AG80" s="114" t="str">
        <f t="shared" si="6"/>
        <v>约旦</v>
      </c>
    </row>
    <row r="81" s="107" customFormat="1" ht="25" hidden="1" customHeight="1" spans="1:33">
      <c r="A81" s="119">
        <v>46086</v>
      </c>
      <c r="B81" s="113" t="s">
        <v>515</v>
      </c>
      <c r="C81" s="114" t="s">
        <v>516</v>
      </c>
      <c r="D81" s="115" t="s">
        <v>506</v>
      </c>
      <c r="E81" s="114" t="s">
        <v>246</v>
      </c>
      <c r="F81" s="114"/>
      <c r="G81" s="114" t="s">
        <v>329</v>
      </c>
      <c r="H81" s="114" t="s">
        <v>25</v>
      </c>
      <c r="I81" s="120" t="str">
        <f>IFERROR(VLOOKUP(H81,名称!A:C,2,0),"")</f>
        <v>校车巴士</v>
      </c>
      <c r="J81" s="118">
        <v>560</v>
      </c>
      <c r="K81" s="118">
        <f>VLOOKUP(H81,名称!A:D,4,0)</f>
        <v>4</v>
      </c>
      <c r="L81" s="143">
        <f t="shared" si="7"/>
        <v>140</v>
      </c>
      <c r="M81" s="112">
        <v>46193</v>
      </c>
      <c r="N81" s="112">
        <v>46193</v>
      </c>
      <c r="O81" s="139" t="s">
        <v>775</v>
      </c>
      <c r="P81" s="119" t="s">
        <v>428</v>
      </c>
      <c r="Q81" s="125" t="s">
        <v>450</v>
      </c>
      <c r="R81" s="144" t="s">
        <v>774</v>
      </c>
      <c r="S81" s="115" t="s">
        <v>509</v>
      </c>
      <c r="T81" s="115" t="s">
        <v>431</v>
      </c>
      <c r="U81" s="144" t="s">
        <v>605</v>
      </c>
      <c r="V81" s="121"/>
      <c r="W81" s="144" t="s">
        <v>553</v>
      </c>
      <c r="X81" s="114"/>
      <c r="Y81" s="114"/>
      <c r="Z81" s="122">
        <v>4.42</v>
      </c>
      <c r="AA81" s="123">
        <f t="shared" si="8"/>
        <v>2475.2</v>
      </c>
      <c r="AB81" s="123">
        <f t="shared" si="9"/>
        <v>19182.8</v>
      </c>
      <c r="AC81" s="138">
        <v>62404</v>
      </c>
      <c r="AD81" s="114" t="s">
        <v>434</v>
      </c>
      <c r="AE81" s="114" t="str">
        <f>IFERROR(VLOOKUP(H81,名称!A:C,3,0),"")</f>
        <v>CMW</v>
      </c>
      <c r="AF81" s="114" t="str">
        <f t="shared" si="5"/>
        <v>ARABIAN AL EKHA INTL FOR TRADE AND 
COMM.</v>
      </c>
      <c r="AG81" s="114" t="str">
        <f t="shared" si="6"/>
        <v>约旦</v>
      </c>
    </row>
    <row r="82" s="107" customFormat="1" ht="25" hidden="1" customHeight="1" spans="1:33">
      <c r="A82" s="119">
        <v>46115</v>
      </c>
      <c r="B82" s="113" t="s">
        <v>515</v>
      </c>
      <c r="C82" s="114" t="s">
        <v>516</v>
      </c>
      <c r="D82" s="115" t="s">
        <v>506</v>
      </c>
      <c r="E82" s="114" t="s">
        <v>259</v>
      </c>
      <c r="F82" s="114"/>
      <c r="G82" s="114" t="s">
        <v>329</v>
      </c>
      <c r="H82" s="114" t="s">
        <v>88</v>
      </c>
      <c r="I82" s="120">
        <f>IFERROR(VLOOKUP(H82,名称!A:C,2,0),"")</f>
        <v>0</v>
      </c>
      <c r="J82" s="118">
        <v>300</v>
      </c>
      <c r="K82" s="118">
        <f>VLOOKUP(H82,名称!A:D,4,0)</f>
        <v>6</v>
      </c>
      <c r="L82" s="143">
        <f t="shared" si="7"/>
        <v>50</v>
      </c>
      <c r="M82" s="112">
        <v>46193</v>
      </c>
      <c r="N82" s="112">
        <v>46193</v>
      </c>
      <c r="O82" s="139" t="s">
        <v>517</v>
      </c>
      <c r="P82" s="119" t="s">
        <v>428</v>
      </c>
      <c r="Q82" s="125" t="s">
        <v>450</v>
      </c>
      <c r="R82" s="144" t="s">
        <v>774</v>
      </c>
      <c r="S82" s="115" t="s">
        <v>541</v>
      </c>
      <c r="T82" s="115" t="s">
        <v>431</v>
      </c>
      <c r="U82" s="144" t="s">
        <v>605</v>
      </c>
      <c r="V82" s="121"/>
      <c r="W82" s="140" t="s">
        <v>323</v>
      </c>
      <c r="X82" s="114"/>
      <c r="Y82" s="114"/>
      <c r="Z82" s="122">
        <v>3.27</v>
      </c>
      <c r="AA82" s="123">
        <f t="shared" si="8"/>
        <v>981</v>
      </c>
      <c r="AB82" s="123">
        <f t="shared" si="9"/>
        <v>7602.75</v>
      </c>
      <c r="AC82" s="138">
        <v>62404</v>
      </c>
      <c r="AD82" s="114" t="s">
        <v>463</v>
      </c>
      <c r="AE82" s="114" t="str">
        <f>IFERROR(VLOOKUP(H82,名称!A:C,3,0),"")</f>
        <v>CMW</v>
      </c>
      <c r="AF82" s="114" t="str">
        <f t="shared" si="5"/>
        <v>ARABIAN AL EKHA INTL FOR TRADE AND 
COMM.</v>
      </c>
      <c r="AG82" s="114" t="str">
        <f t="shared" si="6"/>
        <v>约旦</v>
      </c>
    </row>
    <row r="83" s="107" customFormat="1" ht="25" hidden="1" customHeight="1" spans="1:33">
      <c r="A83" s="119">
        <v>45996</v>
      </c>
      <c r="B83" s="113" t="s">
        <v>519</v>
      </c>
      <c r="C83" s="114" t="s">
        <v>520</v>
      </c>
      <c r="D83" s="115" t="s">
        <v>521</v>
      </c>
      <c r="E83" s="116" t="s">
        <v>246</v>
      </c>
      <c r="F83" s="114"/>
      <c r="G83" s="114" t="s">
        <v>300</v>
      </c>
      <c r="H83" s="114" t="s">
        <v>127</v>
      </c>
      <c r="I83" s="120" t="str">
        <f>IFERROR(VLOOKUP(H83,名称!A:C,2,0),"")</f>
        <v>混装配比I</v>
      </c>
      <c r="J83" s="118">
        <v>12600</v>
      </c>
      <c r="K83" s="118">
        <f>VLOOKUP(H83,名称!A:D,4,0)</f>
        <v>6</v>
      </c>
      <c r="L83" s="143">
        <f t="shared" si="7"/>
        <v>2100</v>
      </c>
      <c r="M83" s="112">
        <v>46143</v>
      </c>
      <c r="N83" s="112">
        <v>46213</v>
      </c>
      <c r="O83" s="127" t="s">
        <v>778</v>
      </c>
      <c r="P83" s="119" t="s">
        <v>428</v>
      </c>
      <c r="Q83" s="114"/>
      <c r="R83" s="144" t="s">
        <v>779</v>
      </c>
      <c r="S83" s="115" t="s">
        <v>609</v>
      </c>
      <c r="T83" s="115" t="s">
        <v>431</v>
      </c>
      <c r="U83" s="140" t="s">
        <v>462</v>
      </c>
      <c r="V83" s="114" t="s">
        <v>471</v>
      </c>
      <c r="W83" s="144" t="s">
        <v>780</v>
      </c>
      <c r="X83" s="114" t="s">
        <v>473</v>
      </c>
      <c r="Y83" s="114" t="s">
        <v>474</v>
      </c>
      <c r="Z83" s="122">
        <v>2.315</v>
      </c>
      <c r="AA83" s="123">
        <f t="shared" si="8"/>
        <v>29169</v>
      </c>
      <c r="AB83" s="123">
        <f t="shared" si="9"/>
        <v>226059.75</v>
      </c>
      <c r="AC83" s="138">
        <v>62405</v>
      </c>
      <c r="AD83" s="125" t="s">
        <v>434</v>
      </c>
      <c r="AE83" s="114" t="str">
        <f>IFERROR(VLOOKUP(H83,名称!A:C,3,0),"")</f>
        <v>FNT</v>
      </c>
      <c r="AF83" s="114" t="str">
        <f t="shared" si="5"/>
        <v>IMPORT SERVICES</v>
      </c>
      <c r="AG83" s="114" t="str">
        <f t="shared" si="6"/>
        <v>英国</v>
      </c>
    </row>
    <row r="84" s="107" customFormat="1" ht="25" hidden="1" customHeight="1" spans="1:33">
      <c r="A84" s="119">
        <v>45996</v>
      </c>
      <c r="B84" s="113" t="s">
        <v>519</v>
      </c>
      <c r="C84" s="114" t="s">
        <v>520</v>
      </c>
      <c r="D84" s="115" t="s">
        <v>521</v>
      </c>
      <c r="E84" s="116" t="s">
        <v>246</v>
      </c>
      <c r="F84" s="114"/>
      <c r="G84" s="114" t="s">
        <v>300</v>
      </c>
      <c r="H84" s="114" t="s">
        <v>127</v>
      </c>
      <c r="I84" s="120" t="str">
        <f>IFERROR(VLOOKUP(H84,名称!A:C,2,0),"")</f>
        <v>混装配比I</v>
      </c>
      <c r="J84" s="118">
        <v>2400</v>
      </c>
      <c r="K84" s="118">
        <f>VLOOKUP(H84,名称!A:D,4,0)</f>
        <v>6</v>
      </c>
      <c r="L84" s="143">
        <f t="shared" si="7"/>
        <v>400</v>
      </c>
      <c r="M84" s="112">
        <v>46143</v>
      </c>
      <c r="N84" s="112">
        <v>46213</v>
      </c>
      <c r="O84" s="127" t="s">
        <v>778</v>
      </c>
      <c r="P84" s="119" t="s">
        <v>428</v>
      </c>
      <c r="Q84" s="114"/>
      <c r="R84" s="144" t="s">
        <v>779</v>
      </c>
      <c r="S84" s="115" t="s">
        <v>609</v>
      </c>
      <c r="T84" s="115" t="s">
        <v>431</v>
      </c>
      <c r="U84" s="140" t="s">
        <v>462</v>
      </c>
      <c r="V84" s="114" t="s">
        <v>471</v>
      </c>
      <c r="W84" s="144" t="s">
        <v>780</v>
      </c>
      <c r="X84" s="114" t="s">
        <v>473</v>
      </c>
      <c r="Y84" s="114" t="s">
        <v>474</v>
      </c>
      <c r="Z84" s="122">
        <v>2.315</v>
      </c>
      <c r="AA84" s="123">
        <f t="shared" si="8"/>
        <v>5556</v>
      </c>
      <c r="AB84" s="123">
        <f t="shared" si="9"/>
        <v>43059</v>
      </c>
      <c r="AC84" s="138">
        <v>62405</v>
      </c>
      <c r="AD84" s="125" t="s">
        <v>434</v>
      </c>
      <c r="AE84" s="114" t="str">
        <f>IFERROR(VLOOKUP(H84,名称!A:C,3,0),"")</f>
        <v>FNT</v>
      </c>
      <c r="AF84" s="114" t="str">
        <f t="shared" si="5"/>
        <v>IMPORT SERVICES</v>
      </c>
      <c r="AG84" s="114" t="str">
        <f t="shared" ref="AG84:AG105" si="10">C84</f>
        <v>英国</v>
      </c>
    </row>
    <row r="85" s="107" customFormat="1" ht="25" hidden="1" customHeight="1" spans="1:33">
      <c r="A85" s="119">
        <v>46021</v>
      </c>
      <c r="B85" s="113" t="s">
        <v>519</v>
      </c>
      <c r="C85" s="114" t="s">
        <v>520</v>
      </c>
      <c r="D85" s="115" t="s">
        <v>521</v>
      </c>
      <c r="E85" s="116" t="s">
        <v>246</v>
      </c>
      <c r="F85" s="114"/>
      <c r="G85" s="114" t="s">
        <v>309</v>
      </c>
      <c r="H85" s="114" t="s">
        <v>127</v>
      </c>
      <c r="I85" s="120" t="str">
        <f>IFERROR(VLOOKUP(H85,名称!A:C,2,0),"")</f>
        <v>混装配比I</v>
      </c>
      <c r="J85" s="118">
        <v>6000</v>
      </c>
      <c r="K85" s="118">
        <f>VLOOKUP(H85,名称!A:D,4,0)</f>
        <v>6</v>
      </c>
      <c r="L85" s="143">
        <f t="shared" si="7"/>
        <v>1000</v>
      </c>
      <c r="M85" s="112">
        <v>46143</v>
      </c>
      <c r="N85" s="112">
        <v>46213</v>
      </c>
      <c r="O85" s="127" t="s">
        <v>778</v>
      </c>
      <c r="P85" s="119" t="s">
        <v>428</v>
      </c>
      <c r="Q85" s="114"/>
      <c r="R85" s="144" t="s">
        <v>779</v>
      </c>
      <c r="S85" s="115" t="s">
        <v>609</v>
      </c>
      <c r="T85" s="115" t="s">
        <v>431</v>
      </c>
      <c r="U85" s="140" t="s">
        <v>462</v>
      </c>
      <c r="V85" s="114" t="s">
        <v>471</v>
      </c>
      <c r="W85" s="144" t="s">
        <v>780</v>
      </c>
      <c r="X85" s="114" t="s">
        <v>473</v>
      </c>
      <c r="Y85" s="114" t="s">
        <v>474</v>
      </c>
      <c r="Z85" s="122">
        <v>2.315</v>
      </c>
      <c r="AA85" s="123">
        <f t="shared" si="8"/>
        <v>13890</v>
      </c>
      <c r="AB85" s="123">
        <f t="shared" si="9"/>
        <v>107647.5</v>
      </c>
      <c r="AC85" s="138">
        <v>62406</v>
      </c>
      <c r="AD85" s="125" t="s">
        <v>434</v>
      </c>
      <c r="AE85" s="114" t="str">
        <f>IFERROR(VLOOKUP(H85,名称!A:C,3,0),"")</f>
        <v>FNT</v>
      </c>
      <c r="AF85" s="114" t="str">
        <f t="shared" si="5"/>
        <v>IMPORT SERVICES</v>
      </c>
      <c r="AG85" s="114" t="str">
        <f t="shared" si="10"/>
        <v>英国</v>
      </c>
    </row>
    <row r="86" s="107" customFormat="1" ht="25" customHeight="1" spans="1:33">
      <c r="A86" s="119">
        <v>46021</v>
      </c>
      <c r="B86" s="113" t="s">
        <v>519</v>
      </c>
      <c r="C86" s="114" t="s">
        <v>520</v>
      </c>
      <c r="D86" s="115" t="s">
        <v>521</v>
      </c>
      <c r="E86" s="116" t="s">
        <v>246</v>
      </c>
      <c r="F86" s="114"/>
      <c r="G86" s="114" t="s">
        <v>311</v>
      </c>
      <c r="H86" s="114" t="s">
        <v>144</v>
      </c>
      <c r="I86" s="120">
        <f>IFERROR(VLOOKUP(H86,名称!A:C,2,0),"")</f>
        <v>0</v>
      </c>
      <c r="J86" s="118">
        <v>354</v>
      </c>
      <c r="K86" s="118">
        <f>VLOOKUP(H86,名称!A:D,4,0)</f>
        <v>6</v>
      </c>
      <c r="L86" s="143">
        <f t="shared" si="7"/>
        <v>59</v>
      </c>
      <c r="M86" s="112">
        <v>46157</v>
      </c>
      <c r="N86" s="112">
        <v>46157</v>
      </c>
      <c r="O86" s="127" t="s">
        <v>781</v>
      </c>
      <c r="P86" s="119" t="s">
        <v>428</v>
      </c>
      <c r="Q86" s="114"/>
      <c r="R86" s="144" t="s">
        <v>779</v>
      </c>
      <c r="S86" s="115" t="s">
        <v>609</v>
      </c>
      <c r="T86" s="115" t="s">
        <v>431</v>
      </c>
      <c r="U86" s="140" t="s">
        <v>462</v>
      </c>
      <c r="V86" s="114" t="s">
        <v>471</v>
      </c>
      <c r="W86" s="144" t="s">
        <v>782</v>
      </c>
      <c r="X86" s="114" t="s">
        <v>476</v>
      </c>
      <c r="Y86" s="114"/>
      <c r="Z86" s="122">
        <v>2.17</v>
      </c>
      <c r="AA86" s="123">
        <f t="shared" si="8"/>
        <v>768.18</v>
      </c>
      <c r="AB86" s="123">
        <f t="shared" si="9"/>
        <v>5953.4</v>
      </c>
      <c r="AC86" s="138">
        <v>62407</v>
      </c>
      <c r="AD86" s="114" t="s">
        <v>463</v>
      </c>
      <c r="AE86" s="114" t="str">
        <f>IFERROR(VLOOKUP(H86,名称!A:C,3,0),"")</f>
        <v>FNT</v>
      </c>
      <c r="AF86" s="114" t="str">
        <f t="shared" si="5"/>
        <v>IMPORT SERVICES</v>
      </c>
      <c r="AG86" s="114" t="str">
        <f t="shared" si="10"/>
        <v>英国</v>
      </c>
    </row>
    <row r="87" s="107" customFormat="1" ht="25" hidden="1" customHeight="1" spans="1:33">
      <c r="A87" s="119">
        <v>46021</v>
      </c>
      <c r="B87" s="113" t="s">
        <v>519</v>
      </c>
      <c r="C87" s="114" t="s">
        <v>520</v>
      </c>
      <c r="D87" s="115" t="s">
        <v>521</v>
      </c>
      <c r="E87" s="116" t="s">
        <v>246</v>
      </c>
      <c r="F87" s="114"/>
      <c r="G87" s="114" t="s">
        <v>310</v>
      </c>
      <c r="H87" s="114" t="s">
        <v>127</v>
      </c>
      <c r="I87" s="120" t="str">
        <f>IFERROR(VLOOKUP(H87,名称!A:C,2,0),"")</f>
        <v>混装配比I</v>
      </c>
      <c r="J87" s="118">
        <v>6000</v>
      </c>
      <c r="K87" s="118">
        <f>VLOOKUP(H87,名称!A:D,4,0)</f>
        <v>6</v>
      </c>
      <c r="L87" s="143">
        <f t="shared" si="7"/>
        <v>1000</v>
      </c>
      <c r="M87" s="112">
        <v>46174</v>
      </c>
      <c r="N87" s="112">
        <v>46213</v>
      </c>
      <c r="O87" s="127" t="s">
        <v>778</v>
      </c>
      <c r="P87" s="119" t="s">
        <v>428</v>
      </c>
      <c r="Q87" s="114"/>
      <c r="R87" s="144" t="s">
        <v>779</v>
      </c>
      <c r="S87" s="115" t="s">
        <v>609</v>
      </c>
      <c r="T87" s="115" t="s">
        <v>431</v>
      </c>
      <c r="U87" s="140" t="s">
        <v>462</v>
      </c>
      <c r="V87" s="114" t="s">
        <v>471</v>
      </c>
      <c r="W87" s="144" t="s">
        <v>780</v>
      </c>
      <c r="X87" s="114" t="s">
        <v>473</v>
      </c>
      <c r="Y87" s="114" t="s">
        <v>474</v>
      </c>
      <c r="Z87" s="122">
        <v>2.315</v>
      </c>
      <c r="AA87" s="123">
        <f t="shared" si="8"/>
        <v>13890</v>
      </c>
      <c r="AB87" s="123">
        <f t="shared" si="9"/>
        <v>107647.5</v>
      </c>
      <c r="AC87" s="138">
        <v>62408</v>
      </c>
      <c r="AD87" s="125" t="s">
        <v>434</v>
      </c>
      <c r="AE87" s="114" t="str">
        <f>IFERROR(VLOOKUP(H87,名称!A:C,3,0),"")</f>
        <v>FNT</v>
      </c>
      <c r="AF87" s="114" t="str">
        <f t="shared" si="5"/>
        <v>IMPORT SERVICES</v>
      </c>
      <c r="AG87" s="114" t="str">
        <f t="shared" si="10"/>
        <v>英国</v>
      </c>
    </row>
    <row r="88" s="107" customFormat="1" ht="25" hidden="1" customHeight="1" spans="1:33">
      <c r="A88" s="112">
        <v>46114</v>
      </c>
      <c r="B88" s="113" t="s">
        <v>783</v>
      </c>
      <c r="C88" s="114" t="s">
        <v>448</v>
      </c>
      <c r="D88" s="115" t="s">
        <v>784</v>
      </c>
      <c r="E88" s="114" t="s">
        <v>246</v>
      </c>
      <c r="F88" s="114" t="s">
        <v>321</v>
      </c>
      <c r="G88" s="114">
        <v>2943301</v>
      </c>
      <c r="H88" s="114" t="s">
        <v>127</v>
      </c>
      <c r="I88" s="120" t="str">
        <f>IFERROR(VLOOKUP(H88,名称!A:C,2,0),"")</f>
        <v>混装配比I</v>
      </c>
      <c r="J88" s="118">
        <v>600</v>
      </c>
      <c r="K88" s="118">
        <f>VLOOKUP(H88,名称!A:D,4,0)</f>
        <v>6</v>
      </c>
      <c r="L88" s="143">
        <f t="shared" si="7"/>
        <v>100</v>
      </c>
      <c r="M88" s="112">
        <v>46203</v>
      </c>
      <c r="N88" s="112">
        <v>46213</v>
      </c>
      <c r="O88" s="139" t="s">
        <v>785</v>
      </c>
      <c r="P88" s="119" t="s">
        <v>428</v>
      </c>
      <c r="Q88" s="114"/>
      <c r="R88" s="144" t="s">
        <v>786</v>
      </c>
      <c r="S88" s="115" t="s">
        <v>730</v>
      </c>
      <c r="T88" s="115" t="s">
        <v>431</v>
      </c>
      <c r="U88" s="140"/>
      <c r="V88" s="114" t="s">
        <v>471</v>
      </c>
      <c r="W88" s="144" t="s">
        <v>472</v>
      </c>
      <c r="X88" s="125" t="s">
        <v>536</v>
      </c>
      <c r="Y88" s="114" t="s">
        <v>474</v>
      </c>
      <c r="Z88" s="122">
        <v>2.315</v>
      </c>
      <c r="AA88" s="123">
        <f t="shared" si="8"/>
        <v>1389</v>
      </c>
      <c r="AB88" s="123">
        <f t="shared" si="9"/>
        <v>10764.75</v>
      </c>
      <c r="AC88" s="138">
        <v>62411</v>
      </c>
      <c r="AD88" s="125" t="s">
        <v>434</v>
      </c>
      <c r="AE88" s="114" t="str">
        <f>IFERROR(VLOOKUP(H88,名称!A:C,3,0),"")</f>
        <v>FNT</v>
      </c>
      <c r="AF88" s="114" t="str">
        <f t="shared" si="5"/>
        <v>RED APPLE STORES</v>
      </c>
      <c r="AG88" s="114" t="str">
        <f t="shared" si="10"/>
        <v>加拿大</v>
      </c>
    </row>
    <row r="89" s="107" customFormat="1" ht="25" hidden="1" customHeight="1" spans="1:33">
      <c r="A89" s="119">
        <v>46091</v>
      </c>
      <c r="B89" s="113" t="s">
        <v>787</v>
      </c>
      <c r="C89" s="114" t="s">
        <v>565</v>
      </c>
      <c r="D89" s="115" t="s">
        <v>788</v>
      </c>
      <c r="E89" s="114" t="s">
        <v>246</v>
      </c>
      <c r="F89" s="114"/>
      <c r="G89" s="114" t="s">
        <v>334</v>
      </c>
      <c r="H89" s="114" t="s">
        <v>25</v>
      </c>
      <c r="I89" s="120" t="str">
        <f>IFERROR(VLOOKUP(H89,名称!A:C,2,0),"")</f>
        <v>校车巴士</v>
      </c>
      <c r="J89" s="118">
        <v>1200</v>
      </c>
      <c r="K89" s="118">
        <f>VLOOKUP(H89,名称!A:D,4,0)</f>
        <v>4</v>
      </c>
      <c r="L89" s="143">
        <f t="shared" si="7"/>
        <v>300</v>
      </c>
      <c r="M89" s="112">
        <v>46174</v>
      </c>
      <c r="N89" s="112">
        <v>46174</v>
      </c>
      <c r="O89" s="139" t="s">
        <v>562</v>
      </c>
      <c r="P89" s="119" t="s">
        <v>428</v>
      </c>
      <c r="Q89" s="125"/>
      <c r="R89" s="140" t="s">
        <v>789</v>
      </c>
      <c r="S89" s="115" t="s">
        <v>790</v>
      </c>
      <c r="T89" s="115" t="s">
        <v>431</v>
      </c>
      <c r="U89" s="144" t="s">
        <v>791</v>
      </c>
      <c r="V89" s="121"/>
      <c r="W89" s="144" t="s">
        <v>323</v>
      </c>
      <c r="X89" s="114" t="s">
        <v>792</v>
      </c>
      <c r="Y89" s="114" t="s">
        <v>793</v>
      </c>
      <c r="Z89" s="122">
        <v>4.42</v>
      </c>
      <c r="AA89" s="123">
        <f t="shared" si="8"/>
        <v>5304</v>
      </c>
      <c r="AB89" s="123">
        <f t="shared" si="9"/>
        <v>41106</v>
      </c>
      <c r="AC89" s="138">
        <v>62412</v>
      </c>
      <c r="AD89" s="114" t="s">
        <v>434</v>
      </c>
      <c r="AE89" s="114" t="str">
        <f>IFERROR(VLOOKUP(H89,名称!A:C,3,0),"")</f>
        <v>CMW</v>
      </c>
      <c r="AF89" s="114" t="str">
        <f t="shared" si="5"/>
        <v>ADC BLACKFIRE ENTERTAINMENT SRL</v>
      </c>
      <c r="AG89" s="114" t="str">
        <f t="shared" si="10"/>
        <v>罗马尼亚</v>
      </c>
    </row>
    <row r="90" s="107" customFormat="1" ht="25" hidden="1" customHeight="1" spans="1:33">
      <c r="A90" s="119">
        <v>46121</v>
      </c>
      <c r="B90" s="113" t="s">
        <v>511</v>
      </c>
      <c r="C90" s="114" t="s">
        <v>396</v>
      </c>
      <c r="D90" s="115" t="s">
        <v>512</v>
      </c>
      <c r="E90" s="114" t="s">
        <v>246</v>
      </c>
      <c r="F90" s="114" t="s">
        <v>362</v>
      </c>
      <c r="G90" s="114" t="s">
        <v>364</v>
      </c>
      <c r="H90" s="114" t="s">
        <v>222</v>
      </c>
      <c r="I90" s="120" t="str">
        <f>IFERROR(VLOOKUP(H90,名称!A:C,2,0),"")</f>
        <v>蜘蛛侠配蜘蛛网套装</v>
      </c>
      <c r="J90" s="118">
        <v>150</v>
      </c>
      <c r="K90" s="118">
        <f>VLOOKUP(H90,名称!A:D,4,0)</f>
        <v>6</v>
      </c>
      <c r="L90" s="143">
        <f t="shared" si="7"/>
        <v>25</v>
      </c>
      <c r="M90" s="112">
        <v>46204</v>
      </c>
      <c r="N90" s="112">
        <v>46218</v>
      </c>
      <c r="O90" s="127" t="s">
        <v>794</v>
      </c>
      <c r="P90" s="119" t="s">
        <v>428</v>
      </c>
      <c r="Q90" s="114"/>
      <c r="R90" s="125" t="s">
        <v>795</v>
      </c>
      <c r="S90" s="115" t="s">
        <v>513</v>
      </c>
      <c r="T90" s="147" t="s">
        <v>796</v>
      </c>
      <c r="U90" s="144" t="s">
        <v>514</v>
      </c>
      <c r="V90" s="121"/>
      <c r="W90" s="140" t="s">
        <v>276</v>
      </c>
      <c r="X90" s="140" t="s">
        <v>488</v>
      </c>
      <c r="Y90" s="114"/>
      <c r="Z90" s="122">
        <v>4.28</v>
      </c>
      <c r="AA90" s="123">
        <f t="shared" si="8"/>
        <v>642</v>
      </c>
      <c r="AB90" s="123">
        <f t="shared" si="9"/>
        <v>4975.5</v>
      </c>
      <c r="AC90" s="138">
        <v>62413</v>
      </c>
      <c r="AD90" s="114" t="s">
        <v>434</v>
      </c>
      <c r="AE90" s="114" t="str">
        <f>IFERROR(VLOOKUP(H90,名称!A:C,3,0),"")</f>
        <v>SNF</v>
      </c>
      <c r="AF90" s="114" t="str">
        <f t="shared" si="5"/>
        <v>SCS DIRECT FOB</v>
      </c>
      <c r="AG90" s="114" t="str">
        <f t="shared" si="10"/>
        <v>美国</v>
      </c>
    </row>
    <row r="91" s="107" customFormat="1" ht="25" hidden="1" customHeight="1" spans="1:33">
      <c r="A91" s="119">
        <v>46121</v>
      </c>
      <c r="B91" s="113" t="s">
        <v>511</v>
      </c>
      <c r="C91" s="114" t="s">
        <v>396</v>
      </c>
      <c r="D91" s="115" t="s">
        <v>512</v>
      </c>
      <c r="E91" s="114" t="s">
        <v>246</v>
      </c>
      <c r="F91" s="114" t="s">
        <v>362</v>
      </c>
      <c r="G91" s="114" t="s">
        <v>363</v>
      </c>
      <c r="H91" s="114" t="s">
        <v>222</v>
      </c>
      <c r="I91" s="120" t="str">
        <f>IFERROR(VLOOKUP(H91,名称!A:C,2,0),"")</f>
        <v>蜘蛛侠配蜘蛛网套装</v>
      </c>
      <c r="J91" s="118">
        <v>150</v>
      </c>
      <c r="K91" s="118">
        <f>VLOOKUP(H91,名称!A:D,4,0)</f>
        <v>6</v>
      </c>
      <c r="L91" s="143">
        <f t="shared" si="7"/>
        <v>25</v>
      </c>
      <c r="M91" s="112">
        <v>46204</v>
      </c>
      <c r="N91" s="112">
        <v>46218</v>
      </c>
      <c r="O91" s="127" t="s">
        <v>794</v>
      </c>
      <c r="P91" s="119" t="s">
        <v>428</v>
      </c>
      <c r="Q91" s="114"/>
      <c r="R91" s="125" t="s">
        <v>795</v>
      </c>
      <c r="S91" s="115" t="s">
        <v>513</v>
      </c>
      <c r="T91" s="148" t="s">
        <v>796</v>
      </c>
      <c r="U91" s="144" t="s">
        <v>514</v>
      </c>
      <c r="V91" s="121"/>
      <c r="W91" s="140" t="s">
        <v>276</v>
      </c>
      <c r="X91" s="140" t="s">
        <v>488</v>
      </c>
      <c r="Y91" s="114"/>
      <c r="Z91" s="122">
        <v>4.28</v>
      </c>
      <c r="AA91" s="123">
        <f t="shared" si="8"/>
        <v>642</v>
      </c>
      <c r="AB91" s="123">
        <f t="shared" si="9"/>
        <v>4975.5</v>
      </c>
      <c r="AC91" s="138">
        <v>62414</v>
      </c>
      <c r="AD91" s="114" t="s">
        <v>434</v>
      </c>
      <c r="AE91" s="114" t="str">
        <f>IFERROR(VLOOKUP(H91,名称!A:C,3,0),"")</f>
        <v>SNF</v>
      </c>
      <c r="AF91" s="114" t="str">
        <f t="shared" si="5"/>
        <v>SCS DIRECT FOB</v>
      </c>
      <c r="AG91" s="114" t="str">
        <f t="shared" si="10"/>
        <v>美国</v>
      </c>
    </row>
    <row r="92" s="107" customFormat="1" ht="25" hidden="1" customHeight="1" spans="1:33">
      <c r="A92" s="119">
        <v>46123</v>
      </c>
      <c r="B92" s="113" t="s">
        <v>519</v>
      </c>
      <c r="C92" s="114" t="s">
        <v>520</v>
      </c>
      <c r="D92" s="115" t="s">
        <v>521</v>
      </c>
      <c r="E92" s="114" t="s">
        <v>246</v>
      </c>
      <c r="F92" s="114"/>
      <c r="G92" s="114" t="s">
        <v>367</v>
      </c>
      <c r="H92" s="114" t="s">
        <v>148</v>
      </c>
      <c r="I92" s="120">
        <f>IFERROR(VLOOKUP(H92,名称!A:C,2,0),"")</f>
        <v>0</v>
      </c>
      <c r="J92" s="118">
        <f>402+300+300+2004</f>
        <v>3006</v>
      </c>
      <c r="K92" s="118">
        <f>VLOOKUP(H92,名称!A:D,4,0)</f>
        <v>6</v>
      </c>
      <c r="L92" s="143">
        <f t="shared" si="7"/>
        <v>501</v>
      </c>
      <c r="M92" s="112">
        <v>46207</v>
      </c>
      <c r="N92" s="112">
        <v>46218</v>
      </c>
      <c r="O92" s="151" t="s">
        <v>797</v>
      </c>
      <c r="P92" s="119" t="s">
        <v>428</v>
      </c>
      <c r="Q92" s="125" t="s">
        <v>552</v>
      </c>
      <c r="R92" s="125" t="s">
        <v>798</v>
      </c>
      <c r="S92" s="115" t="s">
        <v>524</v>
      </c>
      <c r="T92" s="115" t="s">
        <v>431</v>
      </c>
      <c r="U92" s="140"/>
      <c r="V92" s="114" t="s">
        <v>471</v>
      </c>
      <c r="W92" s="140" t="s">
        <v>258</v>
      </c>
      <c r="X92" s="140" t="s">
        <v>618</v>
      </c>
      <c r="Y92" s="114"/>
      <c r="Z92" s="122">
        <v>2.69</v>
      </c>
      <c r="AA92" s="123">
        <f t="shared" si="8"/>
        <v>8086.14</v>
      </c>
      <c r="AB92" s="123">
        <f t="shared" si="9"/>
        <v>62667.59</v>
      </c>
      <c r="AC92" s="138">
        <v>62415</v>
      </c>
      <c r="AD92" s="114" t="s">
        <v>463</v>
      </c>
      <c r="AE92" s="114" t="str">
        <f>IFERROR(VLOOKUP(H92,名称!A:C,3,0),"")</f>
        <v>FNT</v>
      </c>
      <c r="AF92" s="114" t="str">
        <f t="shared" si="5"/>
        <v>IMPORT SERVICES</v>
      </c>
      <c r="AG92" s="114" t="str">
        <f t="shared" si="10"/>
        <v>英国</v>
      </c>
    </row>
    <row r="93" s="107" customFormat="1" ht="25" hidden="1" customHeight="1" spans="1:33">
      <c r="A93" s="112">
        <v>45996</v>
      </c>
      <c r="B93" s="113" t="s">
        <v>490</v>
      </c>
      <c r="C93" s="114" t="s">
        <v>491</v>
      </c>
      <c r="D93" s="115" t="s">
        <v>492</v>
      </c>
      <c r="E93" s="116" t="s">
        <v>246</v>
      </c>
      <c r="F93" s="114"/>
      <c r="G93" s="114" t="s">
        <v>303</v>
      </c>
      <c r="H93" s="114" t="s">
        <v>127</v>
      </c>
      <c r="I93" s="120" t="str">
        <f>IFERROR(VLOOKUP(H93,名称!A:C,2,0),"")</f>
        <v>混装配比I</v>
      </c>
      <c r="J93" s="118">
        <v>1800</v>
      </c>
      <c r="K93" s="118">
        <f>VLOOKUP(H93,名称!A:D,4,0)</f>
        <v>6</v>
      </c>
      <c r="L93" s="143">
        <f t="shared" si="7"/>
        <v>300</v>
      </c>
      <c r="M93" s="112">
        <v>46115</v>
      </c>
      <c r="N93" s="112">
        <v>46213</v>
      </c>
      <c r="O93" s="127" t="s">
        <v>799</v>
      </c>
      <c r="P93" s="119" t="s">
        <v>428</v>
      </c>
      <c r="Q93" s="125" t="s">
        <v>429</v>
      </c>
      <c r="R93" s="144" t="s">
        <v>779</v>
      </c>
      <c r="S93" s="115" t="s">
        <v>494</v>
      </c>
      <c r="T93" s="115" t="s">
        <v>431</v>
      </c>
      <c r="U93" s="115" t="s">
        <v>495</v>
      </c>
      <c r="V93" s="114" t="s">
        <v>471</v>
      </c>
      <c r="W93" s="144" t="s">
        <v>496</v>
      </c>
      <c r="X93" s="114" t="s">
        <v>473</v>
      </c>
      <c r="Y93" s="114" t="s">
        <v>474</v>
      </c>
      <c r="Z93" s="122">
        <v>2.315</v>
      </c>
      <c r="AA93" s="123">
        <f t="shared" si="8"/>
        <v>4167</v>
      </c>
      <c r="AB93" s="123">
        <f t="shared" si="9"/>
        <v>32294.25</v>
      </c>
      <c r="AC93" s="138">
        <v>62416</v>
      </c>
      <c r="AD93" s="125" t="s">
        <v>434</v>
      </c>
      <c r="AE93" s="114" t="str">
        <f>IFERROR(VLOOKUP(H93,名称!A:C,3,0),"")</f>
        <v>FNT</v>
      </c>
      <c r="AF93" s="114" t="str">
        <f t="shared" si="5"/>
        <v>M + F</v>
      </c>
      <c r="AG93" s="114" t="str">
        <f t="shared" si="10"/>
        <v>德国</v>
      </c>
    </row>
    <row r="94" s="107" customFormat="1" ht="25" hidden="1" customHeight="1" spans="1:33">
      <c r="A94" s="119">
        <v>45996</v>
      </c>
      <c r="B94" s="113" t="s">
        <v>490</v>
      </c>
      <c r="C94" s="114" t="s">
        <v>491</v>
      </c>
      <c r="D94" s="115" t="s">
        <v>492</v>
      </c>
      <c r="E94" s="116" t="s">
        <v>246</v>
      </c>
      <c r="F94" s="114"/>
      <c r="G94" s="114" t="s">
        <v>304</v>
      </c>
      <c r="H94" s="114" t="s">
        <v>127</v>
      </c>
      <c r="I94" s="120" t="str">
        <f>IFERROR(VLOOKUP(H94,名称!A:C,2,0),"")</f>
        <v>混装配比I</v>
      </c>
      <c r="J94" s="118">
        <v>2202</v>
      </c>
      <c r="K94" s="118">
        <f>VLOOKUP(H94,名称!A:D,4,0)</f>
        <v>6</v>
      </c>
      <c r="L94" s="143">
        <f t="shared" si="7"/>
        <v>367</v>
      </c>
      <c r="M94" s="112">
        <v>46143</v>
      </c>
      <c r="N94" s="112">
        <v>46213</v>
      </c>
      <c r="O94" s="127" t="s">
        <v>799</v>
      </c>
      <c r="P94" s="119" t="s">
        <v>428</v>
      </c>
      <c r="Q94" s="125" t="s">
        <v>429</v>
      </c>
      <c r="R94" s="144" t="s">
        <v>779</v>
      </c>
      <c r="S94" s="115" t="s">
        <v>494</v>
      </c>
      <c r="T94" s="115" t="s">
        <v>431</v>
      </c>
      <c r="U94" s="115" t="s">
        <v>495</v>
      </c>
      <c r="V94" s="114" t="s">
        <v>471</v>
      </c>
      <c r="W94" s="144" t="s">
        <v>496</v>
      </c>
      <c r="X94" s="114" t="s">
        <v>473</v>
      </c>
      <c r="Y94" s="114" t="s">
        <v>474</v>
      </c>
      <c r="Z94" s="122">
        <v>2.315</v>
      </c>
      <c r="AA94" s="123">
        <f t="shared" si="8"/>
        <v>5097.63</v>
      </c>
      <c r="AB94" s="123">
        <f t="shared" si="9"/>
        <v>39506.63</v>
      </c>
      <c r="AC94" s="138">
        <v>62417</v>
      </c>
      <c r="AD94" s="125" t="s">
        <v>434</v>
      </c>
      <c r="AE94" s="114" t="str">
        <f>IFERROR(VLOOKUP(H94,名称!A:C,3,0),"")</f>
        <v>FNT</v>
      </c>
      <c r="AF94" s="114" t="str">
        <f t="shared" si="5"/>
        <v>M + F</v>
      </c>
      <c r="AG94" s="114" t="str">
        <f t="shared" si="10"/>
        <v>德国</v>
      </c>
    </row>
    <row r="95" s="107" customFormat="1" ht="25" hidden="1" customHeight="1" spans="1:33">
      <c r="A95" s="112">
        <v>46185</v>
      </c>
      <c r="B95" s="152" t="s">
        <v>490</v>
      </c>
      <c r="C95" s="125" t="s">
        <v>491</v>
      </c>
      <c r="D95" s="147" t="s">
        <v>492</v>
      </c>
      <c r="E95" s="125" t="s">
        <v>259</v>
      </c>
      <c r="F95" s="114" t="s">
        <v>385</v>
      </c>
      <c r="G95" s="125" t="s">
        <v>386</v>
      </c>
      <c r="H95" s="114" t="s">
        <v>127</v>
      </c>
      <c r="I95" s="120" t="str">
        <f>IFERROR(VLOOKUP(H95,名称!A:C,2,0),"")</f>
        <v>混装配比I</v>
      </c>
      <c r="J95" s="118">
        <v>4008</v>
      </c>
      <c r="K95" s="118">
        <f>VLOOKUP(H95,名称!A:D,4,0)</f>
        <v>6</v>
      </c>
      <c r="L95" s="143">
        <f t="shared" si="7"/>
        <v>668</v>
      </c>
      <c r="M95" s="112">
        <v>46203</v>
      </c>
      <c r="N95" s="112">
        <v>46216</v>
      </c>
      <c r="O95" s="127" t="s">
        <v>799</v>
      </c>
      <c r="P95" s="119" t="s">
        <v>428</v>
      </c>
      <c r="Q95" s="125" t="s">
        <v>429</v>
      </c>
      <c r="R95" s="144" t="s">
        <v>779</v>
      </c>
      <c r="S95" s="115" t="s">
        <v>494</v>
      </c>
      <c r="T95" s="115" t="s">
        <v>431</v>
      </c>
      <c r="U95" s="146" t="s">
        <v>495</v>
      </c>
      <c r="V95" s="140" t="s">
        <v>471</v>
      </c>
      <c r="W95" s="144" t="s">
        <v>496</v>
      </c>
      <c r="X95" s="144" t="s">
        <v>557</v>
      </c>
      <c r="Y95" s="114" t="s">
        <v>474</v>
      </c>
      <c r="Z95" s="122">
        <v>2.33</v>
      </c>
      <c r="AA95" s="123">
        <f t="shared" si="8"/>
        <v>9338.64</v>
      </c>
      <c r="AB95" s="123">
        <f t="shared" si="9"/>
        <v>72374.46</v>
      </c>
      <c r="AC95" s="138">
        <v>62418</v>
      </c>
      <c r="AD95" s="125" t="s">
        <v>434</v>
      </c>
      <c r="AE95" s="114" t="str">
        <f>IFERROR(VLOOKUP(H95,名称!A:C,3,0),"")</f>
        <v>FNT</v>
      </c>
      <c r="AF95" s="114" t="str">
        <f t="shared" si="5"/>
        <v>M + F</v>
      </c>
      <c r="AG95" s="114" t="str">
        <f t="shared" si="10"/>
        <v>德国</v>
      </c>
    </row>
    <row r="96" s="107" customFormat="1" ht="25" hidden="1" customHeight="1" spans="1:33">
      <c r="A96" s="119">
        <v>45996</v>
      </c>
      <c r="B96" s="113" t="s">
        <v>800</v>
      </c>
      <c r="C96" s="114" t="s">
        <v>801</v>
      </c>
      <c r="D96" s="115" t="s">
        <v>754</v>
      </c>
      <c r="E96" s="116" t="s">
        <v>246</v>
      </c>
      <c r="F96" s="114"/>
      <c r="G96" s="114" t="s">
        <v>301</v>
      </c>
      <c r="H96" s="114" t="s">
        <v>127</v>
      </c>
      <c r="I96" s="120" t="str">
        <f>IFERROR(VLOOKUP(H96,名称!A:C,2,0),"")</f>
        <v>混装配比I</v>
      </c>
      <c r="J96" s="118">
        <v>2304</v>
      </c>
      <c r="K96" s="118">
        <f>VLOOKUP(H96,名称!A:D,4,0)</f>
        <v>6</v>
      </c>
      <c r="L96" s="143">
        <f t="shared" si="7"/>
        <v>384</v>
      </c>
      <c r="M96" s="112">
        <v>46113</v>
      </c>
      <c r="N96" s="112">
        <v>46213</v>
      </c>
      <c r="O96" s="127" t="s">
        <v>802</v>
      </c>
      <c r="P96" s="119" t="s">
        <v>428</v>
      </c>
      <c r="Q96" s="125" t="s">
        <v>429</v>
      </c>
      <c r="R96" s="144" t="s">
        <v>803</v>
      </c>
      <c r="S96" s="147" t="s">
        <v>804</v>
      </c>
      <c r="T96" s="115" t="s">
        <v>431</v>
      </c>
      <c r="U96" s="140" t="s">
        <v>462</v>
      </c>
      <c r="V96" s="114" t="s">
        <v>471</v>
      </c>
      <c r="W96" s="144" t="s">
        <v>805</v>
      </c>
      <c r="X96" s="114" t="s">
        <v>473</v>
      </c>
      <c r="Y96" s="114" t="s">
        <v>474</v>
      </c>
      <c r="Z96" s="122">
        <v>2.315</v>
      </c>
      <c r="AA96" s="123">
        <f t="shared" si="8"/>
        <v>5333.76</v>
      </c>
      <c r="AB96" s="123">
        <f t="shared" si="9"/>
        <v>41336.64</v>
      </c>
      <c r="AC96" s="138">
        <v>62419</v>
      </c>
      <c r="AD96" s="125" t="s">
        <v>434</v>
      </c>
      <c r="AE96" s="114" t="str">
        <f>IFERROR(VLOOKUP(H96,名称!A:C,3,0),"")</f>
        <v>FNT</v>
      </c>
      <c r="AF96" s="114" t="str">
        <f t="shared" si="5"/>
        <v>RED SLA</v>
      </c>
      <c r="AG96" s="114" t="str">
        <f t="shared" si="10"/>
        <v>西班牙</v>
      </c>
    </row>
    <row r="97" s="107" customFormat="1" ht="25" hidden="1" customHeight="1" spans="1:33">
      <c r="A97" s="119">
        <v>46086</v>
      </c>
      <c r="B97" s="113" t="s">
        <v>590</v>
      </c>
      <c r="C97" s="114" t="s">
        <v>505</v>
      </c>
      <c r="D97" s="115" t="s">
        <v>506</v>
      </c>
      <c r="E97" s="114" t="s">
        <v>246</v>
      </c>
      <c r="F97" s="114"/>
      <c r="G97" s="114" t="s">
        <v>332</v>
      </c>
      <c r="H97" s="114" t="s">
        <v>25</v>
      </c>
      <c r="I97" s="120" t="str">
        <f>IFERROR(VLOOKUP(H97,名称!A:C,2,0),"")</f>
        <v>校车巴士</v>
      </c>
      <c r="J97" s="118">
        <v>1300</v>
      </c>
      <c r="K97" s="118">
        <f>VLOOKUP(H97,名称!A:D,4,0)</f>
        <v>4</v>
      </c>
      <c r="L97" s="143">
        <f t="shared" si="7"/>
        <v>325</v>
      </c>
      <c r="M97" s="112">
        <v>46193</v>
      </c>
      <c r="N97" s="112">
        <v>46193</v>
      </c>
      <c r="O97" s="139" t="s">
        <v>517</v>
      </c>
      <c r="P97" s="119" t="s">
        <v>428</v>
      </c>
      <c r="Q97" s="125" t="s">
        <v>450</v>
      </c>
      <c r="R97" s="144" t="s">
        <v>806</v>
      </c>
      <c r="S97" s="115" t="s">
        <v>541</v>
      </c>
      <c r="T97" s="115" t="s">
        <v>605</v>
      </c>
      <c r="U97" s="148" t="s">
        <v>606</v>
      </c>
      <c r="V97" s="121"/>
      <c r="W97" s="140" t="s">
        <v>323</v>
      </c>
      <c r="X97" s="114"/>
      <c r="Y97" s="369" t="s">
        <v>807</v>
      </c>
      <c r="Z97" s="122">
        <v>4.42</v>
      </c>
      <c r="AA97" s="123">
        <f t="shared" si="8"/>
        <v>5746</v>
      </c>
      <c r="AB97" s="123">
        <f t="shared" si="9"/>
        <v>44531.5</v>
      </c>
      <c r="AC97" s="138">
        <v>62423</v>
      </c>
      <c r="AD97" s="114" t="s">
        <v>434</v>
      </c>
      <c r="AE97" s="114" t="str">
        <f>IFERROR(VLOOKUP(H97,名称!A:C,3,0),"")</f>
        <v>CMW</v>
      </c>
      <c r="AF97" s="114" t="str">
        <f t="shared" si="5"/>
        <v>TOYS BRAND TRADING CO. LTD</v>
      </c>
      <c r="AG97" s="114" t="str">
        <f t="shared" si="10"/>
        <v>阿拉伯</v>
      </c>
    </row>
    <row r="98" s="107" customFormat="1" ht="25" hidden="1" customHeight="1" spans="1:33">
      <c r="A98" s="119">
        <v>46115</v>
      </c>
      <c r="B98" s="113" t="s">
        <v>590</v>
      </c>
      <c r="C98" s="114" t="s">
        <v>505</v>
      </c>
      <c r="D98" s="115" t="s">
        <v>506</v>
      </c>
      <c r="E98" s="114" t="s">
        <v>259</v>
      </c>
      <c r="F98" s="114"/>
      <c r="G98" s="114" t="s">
        <v>332</v>
      </c>
      <c r="H98" s="114" t="s">
        <v>88</v>
      </c>
      <c r="I98" s="120">
        <f>IFERROR(VLOOKUP(H98,名称!A:C,2,0),"")</f>
        <v>0</v>
      </c>
      <c r="J98" s="118">
        <v>450</v>
      </c>
      <c r="K98" s="118">
        <f>VLOOKUP(H98,名称!A:D,4,0)</f>
        <v>6</v>
      </c>
      <c r="L98" s="143">
        <f t="shared" si="7"/>
        <v>75</v>
      </c>
      <c r="M98" s="112">
        <v>46193</v>
      </c>
      <c r="N98" s="112">
        <v>46193</v>
      </c>
      <c r="O98" s="139" t="s">
        <v>517</v>
      </c>
      <c r="P98" s="119" t="s">
        <v>428</v>
      </c>
      <c r="Q98" s="125" t="s">
        <v>450</v>
      </c>
      <c r="R98" s="125" t="s">
        <v>808</v>
      </c>
      <c r="S98" s="115" t="s">
        <v>541</v>
      </c>
      <c r="T98" s="115" t="s">
        <v>462</v>
      </c>
      <c r="U98" s="148" t="s">
        <v>809</v>
      </c>
      <c r="V98" s="121"/>
      <c r="W98" s="140" t="s">
        <v>323</v>
      </c>
      <c r="X98" s="140"/>
      <c r="Y98" s="370" t="s">
        <v>810</v>
      </c>
      <c r="Z98" s="122">
        <v>3.27</v>
      </c>
      <c r="AA98" s="123">
        <f t="shared" si="8"/>
        <v>1471.5</v>
      </c>
      <c r="AB98" s="123">
        <f t="shared" si="9"/>
        <v>11404.13</v>
      </c>
      <c r="AC98" s="138">
        <v>62423</v>
      </c>
      <c r="AD98" s="114" t="s">
        <v>463</v>
      </c>
      <c r="AE98" s="114" t="str">
        <f>IFERROR(VLOOKUP(H98,名称!A:C,3,0),"")</f>
        <v>CMW</v>
      </c>
      <c r="AF98" s="114" t="str">
        <f t="shared" si="5"/>
        <v>TOYS BRAND TRADING CO. LTD</v>
      </c>
      <c r="AG98" s="114" t="str">
        <f t="shared" si="10"/>
        <v>阿拉伯</v>
      </c>
    </row>
    <row r="99" s="107" customFormat="1" ht="25" customHeight="1" spans="1:33">
      <c r="A99" s="119">
        <v>46105</v>
      </c>
      <c r="B99" s="113" t="s">
        <v>519</v>
      </c>
      <c r="C99" s="114" t="s">
        <v>520</v>
      </c>
      <c r="D99" s="115" t="s">
        <v>521</v>
      </c>
      <c r="E99" s="114" t="s">
        <v>246</v>
      </c>
      <c r="F99" s="114"/>
      <c r="G99" s="114" t="s">
        <v>339</v>
      </c>
      <c r="H99" s="114" t="s">
        <v>155</v>
      </c>
      <c r="I99" s="120">
        <f>IFERROR(VLOOKUP(H99,名称!A:C,2,0),"")</f>
        <v>0</v>
      </c>
      <c r="J99" s="118">
        <v>280</v>
      </c>
      <c r="K99" s="118">
        <f>VLOOKUP(H99,名称!A:D,4,0)</f>
        <v>4</v>
      </c>
      <c r="L99" s="143">
        <f t="shared" si="7"/>
        <v>70</v>
      </c>
      <c r="M99" s="112">
        <v>46172</v>
      </c>
      <c r="N99" s="112">
        <v>46234</v>
      </c>
      <c r="O99" s="139" t="s">
        <v>811</v>
      </c>
      <c r="P99" s="119" t="s">
        <v>428</v>
      </c>
      <c r="Q99" s="125" t="s">
        <v>429</v>
      </c>
      <c r="R99" s="153" t="s">
        <v>812</v>
      </c>
      <c r="S99" s="115" t="s">
        <v>524</v>
      </c>
      <c r="T99" s="115" t="s">
        <v>431</v>
      </c>
      <c r="U99" s="140"/>
      <c r="V99" s="114"/>
      <c r="W99" s="144" t="s">
        <v>525</v>
      </c>
      <c r="X99" s="114" t="s">
        <v>526</v>
      </c>
      <c r="Y99" s="114" t="s">
        <v>527</v>
      </c>
      <c r="Z99" s="122">
        <v>13.8</v>
      </c>
      <c r="AA99" s="123">
        <f t="shared" si="8"/>
        <v>3864</v>
      </c>
      <c r="AB99" s="123">
        <f t="shared" si="9"/>
        <v>29946</v>
      </c>
      <c r="AC99" s="138">
        <v>62425</v>
      </c>
      <c r="AD99" s="125" t="s">
        <v>434</v>
      </c>
      <c r="AE99" s="114" t="str">
        <f>IFERROR(VLOOKUP(H99,名称!A:C,3,0),"")</f>
        <v>FNT</v>
      </c>
      <c r="AF99" s="114" t="str">
        <f t="shared" si="5"/>
        <v>IMPORT SERVICES</v>
      </c>
      <c r="AG99" s="114" t="str">
        <f t="shared" si="10"/>
        <v>英国</v>
      </c>
    </row>
    <row r="100" s="107" customFormat="1" ht="25" customHeight="1" spans="1:33">
      <c r="A100" s="112">
        <v>45995</v>
      </c>
      <c r="B100" s="113" t="s">
        <v>813</v>
      </c>
      <c r="C100" s="114" t="s">
        <v>814</v>
      </c>
      <c r="D100" s="115" t="s">
        <v>532</v>
      </c>
      <c r="E100" s="116" t="s">
        <v>246</v>
      </c>
      <c r="F100" s="114" t="s">
        <v>298</v>
      </c>
      <c r="G100" s="114" t="s">
        <v>299</v>
      </c>
      <c r="H100" s="114" t="s">
        <v>123</v>
      </c>
      <c r="I100" s="120" t="str">
        <f>IFERROR(VLOOKUP(H100,名称!A:C,2,0),"")</f>
        <v>混装配比G</v>
      </c>
      <c r="J100" s="118">
        <v>4008</v>
      </c>
      <c r="K100" s="118">
        <f>VLOOKUP(H100,名称!A:D,4,0)</f>
        <v>6</v>
      </c>
      <c r="L100" s="143">
        <f t="shared" si="7"/>
        <v>668</v>
      </c>
      <c r="M100" s="112">
        <v>46013</v>
      </c>
      <c r="N100" s="112">
        <v>46199</v>
      </c>
      <c r="O100" s="127" t="s">
        <v>815</v>
      </c>
      <c r="P100" s="119" t="s">
        <v>428</v>
      </c>
      <c r="Q100" s="125" t="s">
        <v>429</v>
      </c>
      <c r="R100" s="154"/>
      <c r="S100" s="147" t="s">
        <v>816</v>
      </c>
      <c r="T100" s="115" t="s">
        <v>431</v>
      </c>
      <c r="U100" s="115" t="s">
        <v>817</v>
      </c>
      <c r="V100" s="114" t="s">
        <v>610</v>
      </c>
      <c r="W100" s="114" t="s">
        <v>258</v>
      </c>
      <c r="X100" s="114" t="s">
        <v>596</v>
      </c>
      <c r="Y100" s="114" t="s">
        <v>458</v>
      </c>
      <c r="Z100" s="122">
        <v>2.06</v>
      </c>
      <c r="AA100" s="123">
        <f t="shared" si="8"/>
        <v>8256.48</v>
      </c>
      <c r="AB100" s="123">
        <f t="shared" si="9"/>
        <v>63987.72</v>
      </c>
      <c r="AC100" s="138">
        <v>62426</v>
      </c>
      <c r="AD100" s="114" t="s">
        <v>434</v>
      </c>
      <c r="AE100" s="114" t="str">
        <f>IFERROR(VLOOKUP(H100,名称!A:C,3,0),"")</f>
        <v>FNT</v>
      </c>
      <c r="AF100" s="114" t="str">
        <f t="shared" si="5"/>
        <v>ORBICO D.O.O</v>
      </c>
      <c r="AG100" s="114" t="str">
        <f t="shared" si="10"/>
        <v>克罗地亚</v>
      </c>
    </row>
    <row r="101" s="107" customFormat="1" ht="25" customHeight="1" spans="1:33">
      <c r="A101" s="112">
        <v>46177</v>
      </c>
      <c r="B101" s="113" t="s">
        <v>818</v>
      </c>
      <c r="C101" s="114" t="s">
        <v>575</v>
      </c>
      <c r="D101" s="115" t="s">
        <v>754</v>
      </c>
      <c r="E101" s="114" t="s">
        <v>246</v>
      </c>
      <c r="F101" s="114" t="s">
        <v>378</v>
      </c>
      <c r="G101" s="125" t="s">
        <v>379</v>
      </c>
      <c r="H101" s="114" t="s">
        <v>123</v>
      </c>
      <c r="I101" s="120" t="str">
        <f>IFERROR(VLOOKUP(H101,名称!A:C,2,0),"")</f>
        <v>混装配比G</v>
      </c>
      <c r="J101" s="118">
        <v>1200</v>
      </c>
      <c r="K101" s="118">
        <f>VLOOKUP(H101,名称!A:D,4,0)</f>
        <v>6</v>
      </c>
      <c r="L101" s="143">
        <f t="shared" si="7"/>
        <v>200</v>
      </c>
      <c r="M101" s="112">
        <v>46204</v>
      </c>
      <c r="N101" s="112">
        <v>46204</v>
      </c>
      <c r="O101" s="127" t="s">
        <v>819</v>
      </c>
      <c r="P101" s="119" t="s">
        <v>428</v>
      </c>
      <c r="Q101" s="114"/>
      <c r="R101" s="125" t="s">
        <v>820</v>
      </c>
      <c r="S101" s="147" t="s">
        <v>821</v>
      </c>
      <c r="T101" s="115" t="s">
        <v>431</v>
      </c>
      <c r="U101" s="144" t="s">
        <v>822</v>
      </c>
      <c r="V101" s="114" t="s">
        <v>823</v>
      </c>
      <c r="W101" s="140" t="s">
        <v>258</v>
      </c>
      <c r="X101" s="155" t="s">
        <v>824</v>
      </c>
      <c r="Y101" s="114" t="s">
        <v>458</v>
      </c>
      <c r="Z101" s="122">
        <v>2.06</v>
      </c>
      <c r="AA101" s="123">
        <f t="shared" ref="AA101:AA106" si="11">J101*Z101</f>
        <v>2472</v>
      </c>
      <c r="AB101" s="123">
        <f t="shared" ref="AB101:AB106" si="12">AA101*7.75</f>
        <v>19158</v>
      </c>
      <c r="AC101" s="138">
        <v>62427</v>
      </c>
      <c r="AD101" s="114" t="s">
        <v>597</v>
      </c>
      <c r="AE101" s="114" t="str">
        <f>IFERROR(VLOOKUP(H101,名称!A:C,3,0),"")</f>
        <v>FNT</v>
      </c>
      <c r="AF101" s="114" t="str">
        <f t="shared" si="5"/>
        <v>TIENDAS CHEDRAUI S.A. DE C.V.</v>
      </c>
      <c r="AG101" s="114" t="str">
        <f t="shared" si="10"/>
        <v>墨西哥</v>
      </c>
    </row>
    <row r="102" s="107" customFormat="1" ht="25" customHeight="1" spans="1:33">
      <c r="A102" s="119">
        <v>46105</v>
      </c>
      <c r="B102" s="113" t="s">
        <v>519</v>
      </c>
      <c r="C102" s="114" t="s">
        <v>520</v>
      </c>
      <c r="D102" s="115" t="s">
        <v>521</v>
      </c>
      <c r="E102" s="114" t="s">
        <v>246</v>
      </c>
      <c r="F102" s="114"/>
      <c r="G102" s="114" t="s">
        <v>339</v>
      </c>
      <c r="H102" s="114" t="s">
        <v>155</v>
      </c>
      <c r="I102" s="120">
        <f>IFERROR(VLOOKUP(H102,名称!A:C,2,0),"")</f>
        <v>0</v>
      </c>
      <c r="J102" s="118">
        <v>2344</v>
      </c>
      <c r="K102" s="118">
        <f>VLOOKUP(H102,名称!A:D,4,0)</f>
        <v>4</v>
      </c>
      <c r="L102" s="143">
        <f t="shared" si="7"/>
        <v>586</v>
      </c>
      <c r="M102" s="112">
        <v>46172</v>
      </c>
      <c r="N102" s="112">
        <v>46234</v>
      </c>
      <c r="O102" s="139" t="s">
        <v>811</v>
      </c>
      <c r="P102" s="119" t="s">
        <v>428</v>
      </c>
      <c r="Q102" s="125" t="s">
        <v>429</v>
      </c>
      <c r="R102" s="153" t="s">
        <v>812</v>
      </c>
      <c r="S102" s="115" t="s">
        <v>524</v>
      </c>
      <c r="T102" s="115" t="s">
        <v>431</v>
      </c>
      <c r="U102" s="140"/>
      <c r="V102" s="114"/>
      <c r="W102" s="144" t="s">
        <v>525</v>
      </c>
      <c r="X102" s="114" t="s">
        <v>526</v>
      </c>
      <c r="Y102" s="114" t="s">
        <v>527</v>
      </c>
      <c r="Z102" s="122">
        <v>13.8</v>
      </c>
      <c r="AA102" s="123">
        <f t="shared" si="11"/>
        <v>32347.2</v>
      </c>
      <c r="AB102" s="123">
        <f t="shared" si="12"/>
        <v>250690.8</v>
      </c>
      <c r="AC102" s="138">
        <v>62428</v>
      </c>
      <c r="AD102" s="125" t="s">
        <v>434</v>
      </c>
      <c r="AE102" s="114" t="str">
        <f>IFERROR(VLOOKUP(H102,名称!A:C,3,0),"")</f>
        <v>FNT</v>
      </c>
      <c r="AF102" s="114" t="str">
        <f t="shared" si="5"/>
        <v>IMPORT SERVICES</v>
      </c>
      <c r="AG102" s="114" t="str">
        <f t="shared" si="10"/>
        <v>英国</v>
      </c>
    </row>
    <row r="103" s="107" customFormat="1" ht="25" customHeight="1" spans="1:33">
      <c r="A103" s="119">
        <v>46105</v>
      </c>
      <c r="B103" s="113" t="s">
        <v>519</v>
      </c>
      <c r="C103" s="114" t="s">
        <v>520</v>
      </c>
      <c r="D103" s="115" t="s">
        <v>521</v>
      </c>
      <c r="E103" s="114" t="s">
        <v>246</v>
      </c>
      <c r="F103" s="114"/>
      <c r="G103" s="114" t="s">
        <v>339</v>
      </c>
      <c r="H103" s="114" t="s">
        <v>155</v>
      </c>
      <c r="I103" s="120">
        <f>IFERROR(VLOOKUP(H103,名称!A:C,2,0),"")</f>
        <v>0</v>
      </c>
      <c r="J103" s="118">
        <f>4664+960-280-2344</f>
        <v>3000</v>
      </c>
      <c r="K103" s="118">
        <f>VLOOKUP(H103,名称!A:D,4,0)</f>
        <v>4</v>
      </c>
      <c r="L103" s="143">
        <f t="shared" si="7"/>
        <v>750</v>
      </c>
      <c r="M103" s="112">
        <v>46172</v>
      </c>
      <c r="N103" s="112">
        <v>46234</v>
      </c>
      <c r="O103" s="139" t="s">
        <v>811</v>
      </c>
      <c r="P103" s="119" t="s">
        <v>428</v>
      </c>
      <c r="Q103" s="125" t="s">
        <v>429</v>
      </c>
      <c r="R103" s="153" t="s">
        <v>812</v>
      </c>
      <c r="S103" s="115" t="s">
        <v>524</v>
      </c>
      <c r="T103" s="115" t="s">
        <v>431</v>
      </c>
      <c r="U103" s="140"/>
      <c r="V103" s="114"/>
      <c r="W103" s="144" t="s">
        <v>525</v>
      </c>
      <c r="X103" s="114" t="s">
        <v>526</v>
      </c>
      <c r="Y103" s="114" t="s">
        <v>527</v>
      </c>
      <c r="Z103" s="122">
        <v>13.8</v>
      </c>
      <c r="AA103" s="123">
        <f t="shared" si="11"/>
        <v>41400</v>
      </c>
      <c r="AB103" s="123">
        <f t="shared" si="12"/>
        <v>320850</v>
      </c>
      <c r="AC103" s="138">
        <v>62428</v>
      </c>
      <c r="AD103" s="125" t="s">
        <v>434</v>
      </c>
      <c r="AE103" s="114" t="str">
        <f>IFERROR(VLOOKUP(H103,名称!A:C,3,0),"")</f>
        <v>FNT</v>
      </c>
      <c r="AF103" s="114" t="str">
        <f t="shared" si="5"/>
        <v>IMPORT SERVICES</v>
      </c>
      <c r="AG103" s="114" t="str">
        <f t="shared" ref="AG103:AG107" si="13">C103</f>
        <v>英国</v>
      </c>
    </row>
    <row r="104" s="107" customFormat="1" ht="25" customHeight="1" spans="1:33">
      <c r="A104" s="119">
        <v>46105</v>
      </c>
      <c r="B104" s="113" t="s">
        <v>519</v>
      </c>
      <c r="C104" s="114" t="s">
        <v>520</v>
      </c>
      <c r="D104" s="115" t="s">
        <v>521</v>
      </c>
      <c r="E104" s="114" t="s">
        <v>246</v>
      </c>
      <c r="F104" s="114"/>
      <c r="G104" s="114" t="s">
        <v>340</v>
      </c>
      <c r="H104" s="114" t="s">
        <v>155</v>
      </c>
      <c r="I104" s="120">
        <f>IFERROR(VLOOKUP(H104,名称!A:C,2,0),"")</f>
        <v>0</v>
      </c>
      <c r="J104" s="118">
        <v>1000</v>
      </c>
      <c r="K104" s="118">
        <f>VLOOKUP(H104,名称!A:D,4,0)</f>
        <v>4</v>
      </c>
      <c r="L104" s="143">
        <f t="shared" si="7"/>
        <v>250</v>
      </c>
      <c r="M104" s="112">
        <v>46190</v>
      </c>
      <c r="N104" s="112">
        <v>46234</v>
      </c>
      <c r="O104" s="139" t="s">
        <v>811</v>
      </c>
      <c r="P104" s="119" t="s">
        <v>428</v>
      </c>
      <c r="Q104" s="125" t="s">
        <v>429</v>
      </c>
      <c r="R104" s="140"/>
      <c r="S104" s="146" t="s">
        <v>524</v>
      </c>
      <c r="T104" s="115" t="s">
        <v>431</v>
      </c>
      <c r="U104" s="140"/>
      <c r="V104" s="114"/>
      <c r="W104" s="144" t="s">
        <v>525</v>
      </c>
      <c r="X104" s="114" t="s">
        <v>526</v>
      </c>
      <c r="Y104" s="114" t="s">
        <v>527</v>
      </c>
      <c r="Z104" s="122">
        <v>13.8</v>
      </c>
      <c r="AA104" s="123">
        <f t="shared" si="11"/>
        <v>13800</v>
      </c>
      <c r="AB104" s="123">
        <f t="shared" si="12"/>
        <v>106950</v>
      </c>
      <c r="AC104" s="138">
        <v>62429</v>
      </c>
      <c r="AD104" s="125" t="s">
        <v>434</v>
      </c>
      <c r="AE104" s="114" t="str">
        <f>IFERROR(VLOOKUP(H104,名称!A:C,3,0),"")</f>
        <v>FNT</v>
      </c>
      <c r="AF104" s="114" t="str">
        <f t="shared" si="5"/>
        <v>IMPORT SERVICES</v>
      </c>
      <c r="AG104" s="114" t="str">
        <f t="shared" si="13"/>
        <v>英国</v>
      </c>
    </row>
    <row r="105" s="107" customFormat="1" ht="25" customHeight="1" spans="1:33">
      <c r="A105" s="119">
        <v>46091</v>
      </c>
      <c r="B105" s="113" t="s">
        <v>519</v>
      </c>
      <c r="C105" s="114" t="s">
        <v>520</v>
      </c>
      <c r="D105" s="115" t="s">
        <v>521</v>
      </c>
      <c r="E105" s="114" t="s">
        <v>246</v>
      </c>
      <c r="F105" s="114"/>
      <c r="G105" s="114" t="s">
        <v>336</v>
      </c>
      <c r="H105" s="114" t="s">
        <v>143</v>
      </c>
      <c r="I105" s="120">
        <f>IFERROR(VLOOKUP(H105,名称!A:C,2,0),"")</f>
        <v>0</v>
      </c>
      <c r="J105" s="118">
        <v>1888</v>
      </c>
      <c r="K105" s="118">
        <f>VLOOKUP(H105,名称!A:D,4,0)</f>
        <v>4</v>
      </c>
      <c r="L105" s="143">
        <f t="shared" si="7"/>
        <v>472</v>
      </c>
      <c r="M105" s="112">
        <v>46222</v>
      </c>
      <c r="N105" s="112">
        <v>46222</v>
      </c>
      <c r="O105" s="139" t="s">
        <v>825</v>
      </c>
      <c r="P105" s="119" t="s">
        <v>428</v>
      </c>
      <c r="Q105" s="125" t="s">
        <v>429</v>
      </c>
      <c r="R105" s="140" t="s">
        <v>826</v>
      </c>
      <c r="S105" s="115" t="s">
        <v>524</v>
      </c>
      <c r="T105" s="115" t="s">
        <v>431</v>
      </c>
      <c r="U105" s="140" t="s">
        <v>462</v>
      </c>
      <c r="V105" s="121" t="s">
        <v>713</v>
      </c>
      <c r="W105" s="140" t="s">
        <v>258</v>
      </c>
      <c r="X105" s="114" t="s">
        <v>714</v>
      </c>
      <c r="Y105" s="114"/>
      <c r="Z105" s="122">
        <v>7.86</v>
      </c>
      <c r="AA105" s="123">
        <f t="shared" si="11"/>
        <v>14839.68</v>
      </c>
      <c r="AB105" s="123">
        <f t="shared" si="12"/>
        <v>115007.52</v>
      </c>
      <c r="AC105" s="138">
        <v>62430</v>
      </c>
      <c r="AD105" s="114" t="s">
        <v>434</v>
      </c>
      <c r="AE105" s="114" t="str">
        <f>IFERROR(VLOOKUP(H105,名称!A:C,3,0),"")</f>
        <v>FNT</v>
      </c>
      <c r="AF105" s="114" t="str">
        <f t="shared" si="5"/>
        <v>IMPORT SERVICES</v>
      </c>
      <c r="AG105" s="114" t="str">
        <f t="shared" si="13"/>
        <v>英国</v>
      </c>
    </row>
    <row r="106" s="107" customFormat="1" ht="25" customHeight="1" spans="1:33">
      <c r="A106" s="119">
        <v>46154</v>
      </c>
      <c r="B106" s="113" t="s">
        <v>827</v>
      </c>
      <c r="C106" s="114" t="s">
        <v>828</v>
      </c>
      <c r="D106" s="115" t="s">
        <v>521</v>
      </c>
      <c r="E106" s="114" t="s">
        <v>246</v>
      </c>
      <c r="F106" s="156" t="s">
        <v>344</v>
      </c>
      <c r="G106" s="114" t="s">
        <v>374</v>
      </c>
      <c r="H106" s="114" t="s">
        <v>129</v>
      </c>
      <c r="I106" s="120" t="str">
        <f>IFERROR(VLOOKUP(H106,名称!A:C,2,0),"")</f>
        <v>混装配比K</v>
      </c>
      <c r="J106" s="118">
        <v>3000</v>
      </c>
      <c r="K106" s="118">
        <f>VLOOKUP(H106,名称!A:D,4,0)</f>
        <v>6</v>
      </c>
      <c r="L106" s="143">
        <f t="shared" si="7"/>
        <v>500</v>
      </c>
      <c r="M106" s="157">
        <v>46188</v>
      </c>
      <c r="N106" s="112">
        <v>46230</v>
      </c>
      <c r="O106" s="158" t="s">
        <v>829</v>
      </c>
      <c r="P106" s="159" t="s">
        <v>428</v>
      </c>
      <c r="Q106" s="160" t="s">
        <v>552</v>
      </c>
      <c r="R106" s="114"/>
      <c r="S106" s="161" t="s">
        <v>830</v>
      </c>
      <c r="T106" s="161" t="s">
        <v>431</v>
      </c>
      <c r="U106" s="162" t="s">
        <v>462</v>
      </c>
      <c r="V106" s="156" t="s">
        <v>471</v>
      </c>
      <c r="W106" s="144" t="s">
        <v>780</v>
      </c>
      <c r="X106" s="125" t="s">
        <v>536</v>
      </c>
      <c r="Y106" s="114" t="s">
        <v>558</v>
      </c>
      <c r="Z106" s="122">
        <v>2.283</v>
      </c>
      <c r="AA106" s="123">
        <f t="shared" si="11"/>
        <v>6849</v>
      </c>
      <c r="AB106" s="123">
        <f t="shared" si="12"/>
        <v>53079.75</v>
      </c>
      <c r="AC106" s="138">
        <v>62436</v>
      </c>
      <c r="AD106" s="114" t="s">
        <v>463</v>
      </c>
      <c r="AE106" s="114" t="str">
        <f>IFERROR(VLOOKUP(H106,名称!A:C,3,0),"")</f>
        <v>FNT</v>
      </c>
      <c r="AF106" s="114" t="str">
        <f t="shared" si="5"/>
        <v>D. GIALAMAS &amp; CO</v>
      </c>
      <c r="AG106" s="114" t="str">
        <f t="shared" si="13"/>
        <v>希腊</v>
      </c>
    </row>
    <row r="107" s="45" customFormat="1" customHeight="1" spans="1:3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72">
        <f t="shared" ref="AA107:AA113" si="14">J107*Z107</f>
        <v>0</v>
      </c>
      <c r="AB107" s="72">
        <f t="shared" ref="AB107:AB113" si="15">AA107*7.75</f>
        <v>0</v>
      </c>
      <c r="AC107" s="138"/>
      <c r="AD107" s="163"/>
      <c r="AE107" s="164"/>
      <c r="AF107" s="163"/>
      <c r="AG107" s="163">
        <f t="shared" si="13"/>
        <v>0</v>
      </c>
    </row>
    <row r="108" s="45" customFormat="1" hidden="1" customHeight="1" spans="1:3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72">
        <f t="shared" si="14"/>
        <v>0</v>
      </c>
      <c r="AB108" s="72">
        <f t="shared" si="15"/>
        <v>0</v>
      </c>
      <c r="AC108" s="138"/>
      <c r="AD108" s="163"/>
      <c r="AE108" s="164"/>
      <c r="AF108" s="163"/>
      <c r="AG108" s="163">
        <f t="shared" ref="AG108:AG114" si="16">C108</f>
        <v>0</v>
      </c>
    </row>
    <row r="109" s="45" customFormat="1" hidden="1" customHeight="1" spans="1:3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72">
        <f t="shared" si="14"/>
        <v>0</v>
      </c>
      <c r="AB109" s="72">
        <f t="shared" si="15"/>
        <v>0</v>
      </c>
      <c r="AC109" s="165"/>
      <c r="AD109" s="163"/>
      <c r="AE109" s="164"/>
      <c r="AF109" s="163"/>
      <c r="AG109" s="163">
        <f t="shared" si="16"/>
        <v>0</v>
      </c>
    </row>
    <row r="110" s="45" customFormat="1" hidden="1" customHeight="1" spans="1:3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72">
        <f t="shared" si="14"/>
        <v>0</v>
      </c>
      <c r="AB110" s="72">
        <f t="shared" si="15"/>
        <v>0</v>
      </c>
      <c r="AC110" s="165"/>
      <c r="AD110" s="163"/>
      <c r="AE110" s="164"/>
      <c r="AF110" s="163"/>
      <c r="AG110" s="163">
        <f t="shared" si="16"/>
        <v>0</v>
      </c>
    </row>
    <row r="111" s="45" customFormat="1" hidden="1" customHeight="1" spans="1:3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72">
        <f t="shared" si="14"/>
        <v>0</v>
      </c>
      <c r="AB111" s="72">
        <f t="shared" si="15"/>
        <v>0</v>
      </c>
      <c r="AC111" s="165"/>
      <c r="AD111" s="14"/>
      <c r="AE111" s="166"/>
      <c r="AF111" s="14"/>
      <c r="AG111" s="14">
        <f t="shared" si="16"/>
        <v>0</v>
      </c>
    </row>
    <row r="112" s="45" customFormat="1" hidden="1" customHeight="1" spans="1:3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72">
        <f t="shared" si="14"/>
        <v>0</v>
      </c>
      <c r="AB112" s="72">
        <f t="shared" si="15"/>
        <v>0</v>
      </c>
      <c r="AC112" s="165"/>
      <c r="AD112" s="14"/>
      <c r="AE112" s="14"/>
      <c r="AF112" s="14"/>
      <c r="AG112" s="14">
        <f t="shared" si="16"/>
        <v>0</v>
      </c>
    </row>
    <row r="113" s="45" customFormat="1" hidden="1" customHeight="1" spans="1:3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72">
        <f t="shared" si="14"/>
        <v>0</v>
      </c>
      <c r="AB113" s="72">
        <f t="shared" si="15"/>
        <v>0</v>
      </c>
      <c r="AC113" s="165"/>
      <c r="AD113" s="14"/>
      <c r="AE113" s="14"/>
      <c r="AF113" s="14"/>
      <c r="AG113" s="14">
        <f t="shared" si="16"/>
        <v>0</v>
      </c>
    </row>
    <row r="114" s="45" customFormat="1" hidden="1" customHeight="1" spans="1:33">
      <c r="A114" s="14"/>
      <c r="B114" s="14"/>
      <c r="C114" s="14"/>
      <c r="D114" s="14"/>
      <c r="E114" s="14"/>
      <c r="F114" s="14"/>
      <c r="G114" s="14"/>
      <c r="H114" s="14"/>
      <c r="I114" s="14" t="s">
        <v>620</v>
      </c>
      <c r="J114" s="14">
        <f>SUM(J1:J113)</f>
        <v>211269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72">
        <f>SUM(AA1:AA113)</f>
        <v>687443.16</v>
      </c>
      <c r="AB114" s="72">
        <f>SUM(AB1:AB113)</f>
        <v>5327684.55</v>
      </c>
      <c r="AC114" s="165"/>
      <c r="AD114" s="14"/>
      <c r="AE114" s="14"/>
      <c r="AF114" s="14"/>
      <c r="AG114" s="14">
        <f t="shared" si="16"/>
        <v>0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N14" name="Range1"/>
  </protectedRanges>
  <autoFilter xmlns:etc="http://www.wps.cn/officeDocument/2017/etCustomData" ref="A1:AG114" etc:filterBottomFollowUsedRange="0">
    <filterColumn colId="7">
      <customFilters>
        <customFilter operator="equal" val="FNT1653"/>
      </customFilters>
    </filterColumn>
    <extLst/>
  </autoFilter>
  <conditionalFormatting sqref="B2">
    <cfRule type="containsText" dxfId="0" priority="87" operator="between" text="TARGET">
      <formula>NOT(ISERROR(SEARCH("TARGET",B2)))</formula>
    </cfRule>
  </conditionalFormatting>
  <conditionalFormatting sqref="B3">
    <cfRule type="containsText" dxfId="0" priority="86" operator="between" text="TARGET">
      <formula>NOT(ISERROR(SEARCH("TARGET",B3)))</formula>
    </cfRule>
  </conditionalFormatting>
  <conditionalFormatting sqref="B6">
    <cfRule type="containsText" dxfId="0" priority="84" operator="between" text="TARGET">
      <formula>NOT(ISERROR(SEARCH("TARGET",B6)))</formula>
    </cfRule>
  </conditionalFormatting>
  <conditionalFormatting sqref="B7">
    <cfRule type="containsText" dxfId="0" priority="83" operator="between" text="TARGET">
      <formula>NOT(ISERROR(SEARCH("TARGET",B7)))</formula>
    </cfRule>
  </conditionalFormatting>
  <conditionalFormatting sqref="B9">
    <cfRule type="containsText" dxfId="0" priority="81" operator="between" text="TARGET">
      <formula>NOT(ISERROR(SEARCH("TARGET",B9)))</formula>
    </cfRule>
  </conditionalFormatting>
  <conditionalFormatting sqref="B10">
    <cfRule type="containsText" dxfId="0" priority="82" operator="between" text="TARGET">
      <formula>NOT(ISERROR(SEARCH("TARGET",B10)))</formula>
    </cfRule>
  </conditionalFormatting>
  <conditionalFormatting sqref="B16">
    <cfRule type="containsText" dxfId="0" priority="79" operator="between" text="TARGET">
      <formula>NOT(ISERROR(SEARCH("TARGET",B16)))</formula>
    </cfRule>
  </conditionalFormatting>
  <conditionalFormatting sqref="B17">
    <cfRule type="containsText" dxfId="0" priority="76" operator="between" text="TARGET">
      <formula>NOT(ISERROR(SEARCH("TARGET",B17)))</formula>
    </cfRule>
  </conditionalFormatting>
  <conditionalFormatting sqref="B18">
    <cfRule type="containsText" dxfId="0" priority="75" operator="between" text="TARGET">
      <formula>NOT(ISERROR(SEARCH("TARGET",B18)))</formula>
    </cfRule>
  </conditionalFormatting>
  <conditionalFormatting sqref="B19">
    <cfRule type="containsText" dxfId="0" priority="74" operator="between" text="TARGET">
      <formula>NOT(ISERROR(SEARCH("TARGET",B19)))</formula>
    </cfRule>
  </conditionalFormatting>
  <conditionalFormatting sqref="B22">
    <cfRule type="containsText" dxfId="0" priority="72" operator="between" text="TARGET">
      <formula>NOT(ISERROR(SEARCH("TARGET",B22)))</formula>
    </cfRule>
  </conditionalFormatting>
  <conditionalFormatting sqref="B25">
    <cfRule type="containsText" dxfId="0" priority="70" operator="between" text="TARGET">
      <formula>NOT(ISERROR(SEARCH("TARGET",B25)))</formula>
    </cfRule>
  </conditionalFormatting>
  <conditionalFormatting sqref="B26">
    <cfRule type="containsText" dxfId="0" priority="69" operator="between" text="TARGET">
      <formula>NOT(ISERROR(SEARCH("TARGET",B26)))</formula>
    </cfRule>
  </conditionalFormatting>
  <conditionalFormatting sqref="B27">
    <cfRule type="containsText" dxfId="0" priority="68" operator="between" text="TARGET">
      <formula>NOT(ISERROR(SEARCH("TARGET",B27)))</formula>
    </cfRule>
  </conditionalFormatting>
  <conditionalFormatting sqref="B28">
    <cfRule type="containsText" dxfId="0" priority="67" operator="between" text="TARGET">
      <formula>NOT(ISERROR(SEARCH("TARGET",B28)))</formula>
    </cfRule>
  </conditionalFormatting>
  <conditionalFormatting sqref="B29">
    <cfRule type="containsText" dxfId="0" priority="66" operator="between" text="TARGET">
      <formula>NOT(ISERROR(SEARCH("TARGET",B29)))</formula>
    </cfRule>
  </conditionalFormatting>
  <conditionalFormatting sqref="B30">
    <cfRule type="containsText" dxfId="0" priority="65" operator="between" text="TARGET">
      <formula>NOT(ISERROR(SEARCH("TARGET",B30)))</formula>
    </cfRule>
  </conditionalFormatting>
  <conditionalFormatting sqref="B31">
    <cfRule type="containsText" dxfId="0" priority="64" operator="between" text="TARGET">
      <formula>NOT(ISERROR(SEARCH("TARGET",B31)))</formula>
    </cfRule>
  </conditionalFormatting>
  <conditionalFormatting sqref="B32">
    <cfRule type="containsText" dxfId="0" priority="63" operator="between" text="TARGET">
      <formula>NOT(ISERROR(SEARCH("TARGET",B32)))</formula>
    </cfRule>
  </conditionalFormatting>
  <conditionalFormatting sqref="B37">
    <cfRule type="containsText" dxfId="0" priority="60" operator="between" text="TARGET">
      <formula>NOT(ISERROR(SEARCH("TARGET",B37)))</formula>
    </cfRule>
  </conditionalFormatting>
  <conditionalFormatting sqref="B38">
    <cfRule type="containsText" dxfId="0" priority="58" operator="between" text="TARGET">
      <formula>NOT(ISERROR(SEARCH("TARGET",B38)))</formula>
    </cfRule>
  </conditionalFormatting>
  <conditionalFormatting sqref="B39">
    <cfRule type="containsText" dxfId="0" priority="59" operator="between" text="TARGET">
      <formula>NOT(ISERROR(SEARCH("TARGET",B39)))</formula>
    </cfRule>
  </conditionalFormatting>
  <conditionalFormatting sqref="B40">
    <cfRule type="containsText" dxfId="0" priority="57" operator="between" text="TARGET">
      <formula>NOT(ISERROR(SEARCH("TARGET",B40)))</formula>
    </cfRule>
  </conditionalFormatting>
  <conditionalFormatting sqref="B41">
    <cfRule type="containsText" dxfId="0" priority="55" operator="between" text="TARGET">
      <formula>NOT(ISERROR(SEARCH("TARGET",B41)))</formula>
    </cfRule>
  </conditionalFormatting>
  <conditionalFormatting sqref="B43">
    <cfRule type="containsText" dxfId="0" priority="54" operator="between" text="TARGET">
      <formula>NOT(ISERROR(SEARCH("TARGET",B43)))</formula>
    </cfRule>
  </conditionalFormatting>
  <conditionalFormatting sqref="B44">
    <cfRule type="containsText" dxfId="0" priority="53" operator="between" text="TARGET">
      <formula>NOT(ISERROR(SEARCH("TARGET",B44)))</formula>
    </cfRule>
  </conditionalFormatting>
  <conditionalFormatting sqref="B47">
    <cfRule type="containsText" dxfId="0" priority="51" operator="between" text="TARGET">
      <formula>NOT(ISERROR(SEARCH("TARGET",B47)))</formula>
    </cfRule>
  </conditionalFormatting>
  <conditionalFormatting sqref="B48">
    <cfRule type="containsText" dxfId="0" priority="50" operator="between" text="TARGET">
      <formula>NOT(ISERROR(SEARCH("TARGET",B48)))</formula>
    </cfRule>
  </conditionalFormatting>
  <conditionalFormatting sqref="B49">
    <cfRule type="containsText" dxfId="0" priority="49" operator="between" text="TARGET">
      <formula>NOT(ISERROR(SEARCH("TARGET",B49)))</formula>
    </cfRule>
  </conditionalFormatting>
  <conditionalFormatting sqref="B50">
    <cfRule type="containsText" dxfId="0" priority="48" operator="between" text="TARGET">
      <formula>NOT(ISERROR(SEARCH("TARGET",B50)))</formula>
    </cfRule>
  </conditionalFormatting>
  <conditionalFormatting sqref="B51">
    <cfRule type="containsText" dxfId="0" priority="47" operator="between" text="TARGET">
      <formula>NOT(ISERROR(SEARCH("TARGET",B51)))</formula>
    </cfRule>
  </conditionalFormatting>
  <conditionalFormatting sqref="B52">
    <cfRule type="containsText" dxfId="0" priority="46" operator="between" text="TARGET">
      <formula>NOT(ISERROR(SEARCH("TARGET",B52)))</formula>
    </cfRule>
  </conditionalFormatting>
  <conditionalFormatting sqref="B55">
    <cfRule type="containsText" dxfId="0" priority="44" operator="between" text="TARGET">
      <formula>NOT(ISERROR(SEARCH("TARGET",B55)))</formula>
    </cfRule>
  </conditionalFormatting>
  <conditionalFormatting sqref="B56">
    <cfRule type="containsText" dxfId="0" priority="42" operator="between" text="TARGET">
      <formula>NOT(ISERROR(SEARCH("TARGET",B56)))</formula>
    </cfRule>
    <cfRule type="containsText" dxfId="0" priority="43" operator="between" text="TARGET">
      <formula>NOT(ISERROR(SEARCH("TARGET",B56)))</formula>
    </cfRule>
  </conditionalFormatting>
  <conditionalFormatting sqref="B65">
    <cfRule type="containsText" dxfId="0" priority="38" operator="between" text="TARGET">
      <formula>NOT(ISERROR(SEARCH("TARGET",B65)))</formula>
    </cfRule>
  </conditionalFormatting>
  <conditionalFormatting sqref="B66">
    <cfRule type="containsText" dxfId="0" priority="35" operator="between" text="TARGET">
      <formula>NOT(ISERROR(SEARCH("TARGET",B66)))</formula>
    </cfRule>
  </conditionalFormatting>
  <conditionalFormatting sqref="B68">
    <cfRule type="containsText" dxfId="0" priority="36" operator="between" text="TARGET">
      <formula>NOT(ISERROR(SEARCH("TARGET",B68)))</formula>
    </cfRule>
  </conditionalFormatting>
  <conditionalFormatting sqref="B69">
    <cfRule type="containsText" dxfId="0" priority="29" operator="between" text="TARGET">
      <formula>NOT(ISERROR(SEARCH("TARGET",B69)))</formula>
    </cfRule>
  </conditionalFormatting>
  <conditionalFormatting sqref="B70">
    <cfRule type="containsText" dxfId="0" priority="30" operator="between" text="TARGET">
      <formula>NOT(ISERROR(SEARCH("TARGET",B70)))</formula>
    </cfRule>
  </conditionalFormatting>
  <conditionalFormatting sqref="B71">
    <cfRule type="containsText" dxfId="0" priority="28" operator="between" text="TARGET">
      <formula>NOT(ISERROR(SEARCH("TARGET",B71)))</formula>
    </cfRule>
  </conditionalFormatting>
  <conditionalFormatting sqref="B72">
    <cfRule type="containsText" dxfId="0" priority="27" operator="between" text="TARGET">
      <formula>NOT(ISERROR(SEARCH("TARGET",B72)))</formula>
    </cfRule>
  </conditionalFormatting>
  <conditionalFormatting sqref="B73">
    <cfRule type="containsText" dxfId="0" priority="26" operator="between" text="TARGET">
      <formula>NOT(ISERROR(SEARCH("TARGET",B73)))</formula>
    </cfRule>
  </conditionalFormatting>
  <conditionalFormatting sqref="B74">
    <cfRule type="containsText" dxfId="0" priority="34" operator="between" text="TARGET">
      <formula>NOT(ISERROR(SEARCH("TARGET",B74)))</formula>
    </cfRule>
  </conditionalFormatting>
  <conditionalFormatting sqref="B75">
    <cfRule type="containsText" dxfId="0" priority="33" operator="between" text="TARGET">
      <formula>NOT(ISERROR(SEARCH("TARGET",B75)))</formula>
    </cfRule>
  </conditionalFormatting>
  <conditionalFormatting sqref="B76">
    <cfRule type="containsText" dxfId="0" priority="32" operator="between" text="TARGET">
      <formula>NOT(ISERROR(SEARCH("TARGET",B76)))</formula>
    </cfRule>
  </conditionalFormatting>
  <conditionalFormatting sqref="B77">
    <cfRule type="containsText" dxfId="0" priority="31" operator="between" text="TARGET">
      <formula>NOT(ISERROR(SEARCH("TARGET",B77)))</formula>
    </cfRule>
  </conditionalFormatting>
  <conditionalFormatting sqref="B78">
    <cfRule type="containsText" dxfId="0" priority="25" operator="between" text="TARGET">
      <formula>NOT(ISERROR(SEARCH("TARGET",B78)))</formula>
    </cfRule>
  </conditionalFormatting>
  <conditionalFormatting sqref="B79">
    <cfRule type="containsText" dxfId="0" priority="24" operator="between" text="TARGET">
      <formula>NOT(ISERROR(SEARCH("TARGET",B79)))</formula>
    </cfRule>
  </conditionalFormatting>
  <conditionalFormatting sqref="B80">
    <cfRule type="containsText" dxfId="0" priority="22" operator="between" text="TARGET">
      <formula>NOT(ISERROR(SEARCH("TARGET",B80)))</formula>
    </cfRule>
  </conditionalFormatting>
  <conditionalFormatting sqref="B81">
    <cfRule type="containsText" dxfId="0" priority="23" operator="between" text="TARGET">
      <formula>NOT(ISERROR(SEARCH("TARGET",B81)))</formula>
    </cfRule>
  </conditionalFormatting>
  <conditionalFormatting sqref="B82">
    <cfRule type="containsText" dxfId="0" priority="21" operator="between" text="TARGET">
      <formula>NOT(ISERROR(SEARCH("TARGET",B82)))</formula>
    </cfRule>
  </conditionalFormatting>
  <conditionalFormatting sqref="B85">
    <cfRule type="containsText" dxfId="0" priority="19" operator="between" text="TARGET">
      <formula>NOT(ISERROR(SEARCH("TARGET",B85)))</formula>
    </cfRule>
  </conditionalFormatting>
  <conditionalFormatting sqref="B86">
    <cfRule type="containsText" dxfId="0" priority="17" operator="between" text="TARGET">
      <formula>NOT(ISERROR(SEARCH("TARGET",B86)))</formula>
    </cfRule>
  </conditionalFormatting>
  <conditionalFormatting sqref="B87">
    <cfRule type="containsText" dxfId="0" priority="18" operator="between" text="TARGET">
      <formula>NOT(ISERROR(SEARCH("TARGET",B87)))</formula>
    </cfRule>
  </conditionalFormatting>
  <conditionalFormatting sqref="B88">
    <cfRule type="containsText" dxfId="0" priority="16" operator="between" text="TARGET">
      <formula>NOT(ISERROR(SEARCH("TARGET",B88)))</formula>
    </cfRule>
  </conditionalFormatting>
  <conditionalFormatting sqref="B89">
    <cfRule type="containsText" dxfId="0" priority="15" operator="between" text="TARGET">
      <formula>NOT(ISERROR(SEARCH("TARGET",B89)))</formula>
    </cfRule>
  </conditionalFormatting>
  <conditionalFormatting sqref="B90">
    <cfRule type="containsText" dxfId="0" priority="14" operator="between" text="TARGET">
      <formula>NOT(ISERROR(SEARCH("TARGET",B90)))</formula>
    </cfRule>
  </conditionalFormatting>
  <conditionalFormatting sqref="B91">
    <cfRule type="containsText" dxfId="0" priority="13" operator="between" text="TARGET">
      <formula>NOT(ISERROR(SEARCH("TARGET",B91)))</formula>
    </cfRule>
  </conditionalFormatting>
  <conditionalFormatting sqref="B92">
    <cfRule type="containsText" dxfId="0" priority="12" operator="between" text="TARGET">
      <formula>NOT(ISERROR(SEARCH("TARGET",B92)))</formula>
    </cfRule>
  </conditionalFormatting>
  <conditionalFormatting sqref="B93">
    <cfRule type="containsText" dxfId="0" priority="11" operator="between" text="TARGET">
      <formula>NOT(ISERROR(SEARCH("TARGET",B93)))</formula>
    </cfRule>
  </conditionalFormatting>
  <conditionalFormatting sqref="B94">
    <cfRule type="containsText" dxfId="0" priority="10" operator="between" text="TARGET">
      <formula>NOT(ISERROR(SEARCH("TARGET",B94)))</formula>
    </cfRule>
  </conditionalFormatting>
  <conditionalFormatting sqref="B95">
    <cfRule type="containsText" dxfId="0" priority="9" operator="between" text="TARGET">
      <formula>NOT(ISERROR(SEARCH("TARGET",B95)))</formula>
    </cfRule>
  </conditionalFormatting>
  <conditionalFormatting sqref="B96">
    <cfRule type="containsText" dxfId="0" priority="8" operator="between" text="TARGET">
      <formula>NOT(ISERROR(SEARCH("TARGET",B96)))</formula>
    </cfRule>
  </conditionalFormatting>
  <conditionalFormatting sqref="B97">
    <cfRule type="containsText" dxfId="0" priority="7" operator="between" text="TARGET">
      <formula>NOT(ISERROR(SEARCH("TARGET",B97)))</formula>
    </cfRule>
  </conditionalFormatting>
  <conditionalFormatting sqref="B100">
    <cfRule type="containsText" dxfId="0" priority="5" operator="between" text="TARGET">
      <formula>NOT(ISERROR(SEARCH("TARGET",B100)))</formula>
    </cfRule>
  </conditionalFormatting>
  <conditionalFormatting sqref="B103">
    <cfRule type="containsText" dxfId="0" priority="2" operator="between" text="TARGET">
      <formula>NOT(ISERROR(SEARCH("TARGET",B103)))</formula>
    </cfRule>
  </conditionalFormatting>
  <conditionalFormatting sqref="B105">
    <cfRule type="containsText" dxfId="0" priority="3" operator="between" text="TARGET">
      <formula>NOT(ISERROR(SEARCH("TARGET",B105)))</formula>
    </cfRule>
  </conditionalFormatting>
  <conditionalFormatting sqref="B106">
    <cfRule type="containsText" dxfId="0" priority="1" operator="between" text="TARGET">
      <formula>NOT(ISERROR(SEARCH("TARGET",B106)))</formula>
    </cfRule>
  </conditionalFormatting>
  <conditionalFormatting sqref="B4:B5">
    <cfRule type="containsText" dxfId="0" priority="85" operator="between" text="TARGET">
      <formula>NOT(ISERROR(SEARCH("TARGET",B4)))</formula>
    </cfRule>
  </conditionalFormatting>
  <conditionalFormatting sqref="B11:B13">
    <cfRule type="containsText" dxfId="0" priority="80" operator="between" text="TARGET">
      <formula>NOT(ISERROR(SEARCH("TARGET",B11)))</formula>
    </cfRule>
  </conditionalFormatting>
  <conditionalFormatting sqref="B14:B15">
    <cfRule type="containsText" dxfId="0" priority="78" operator="between" text="TARGET">
      <formula>NOT(ISERROR(SEARCH("TARGET",B14)))</formula>
    </cfRule>
  </conditionalFormatting>
  <conditionalFormatting sqref="B20:B21">
    <cfRule type="containsText" dxfId="0" priority="73" operator="between" text="TARGET">
      <formula>NOT(ISERROR(SEARCH("TARGET",B20)))</formula>
    </cfRule>
  </conditionalFormatting>
  <conditionalFormatting sqref="B23:B24">
    <cfRule type="containsText" dxfId="0" priority="71" operator="between" text="TARGET">
      <formula>NOT(ISERROR(SEARCH("TARGET",B23)))</formula>
    </cfRule>
  </conditionalFormatting>
  <conditionalFormatting sqref="B33:B34">
    <cfRule type="containsText" dxfId="0" priority="62" operator="between" text="TARGET">
      <formula>NOT(ISERROR(SEARCH("TARGET",B33)))</formula>
    </cfRule>
  </conditionalFormatting>
  <conditionalFormatting sqref="B35:B36">
    <cfRule type="containsText" dxfId="0" priority="61" operator="between" text="TARGET">
      <formula>NOT(ISERROR(SEARCH("TARGET",B35)))</formula>
    </cfRule>
  </conditionalFormatting>
  <conditionalFormatting sqref="B45:B46">
    <cfRule type="containsText" dxfId="0" priority="52" operator="between" text="TARGET">
      <formula>NOT(ISERROR(SEARCH("TARGET",B45)))</formula>
    </cfRule>
  </conditionalFormatting>
  <conditionalFormatting sqref="B53:B54">
    <cfRule type="containsText" dxfId="0" priority="45" operator="between" text="TARGET">
      <formula>NOT(ISERROR(SEARCH("TARGET",B53)))</formula>
    </cfRule>
  </conditionalFormatting>
  <conditionalFormatting sqref="B57:B60">
    <cfRule type="containsText" dxfId="0" priority="41" operator="between" text="TARGET">
      <formula>NOT(ISERROR(SEARCH("TARGET",B57)))</formula>
    </cfRule>
  </conditionalFormatting>
  <conditionalFormatting sqref="B61:B62">
    <cfRule type="containsText" dxfId="0" priority="40" operator="between" text="TARGET">
      <formula>NOT(ISERROR(SEARCH("TARGET",B61)))</formula>
    </cfRule>
  </conditionalFormatting>
  <conditionalFormatting sqref="B63:B64">
    <cfRule type="containsText" dxfId="0" priority="39" operator="between" text="TARGET">
      <formula>NOT(ISERROR(SEARCH("TARGET",B63)))</formula>
    </cfRule>
  </conditionalFormatting>
  <conditionalFormatting sqref="B67:B68">
    <cfRule type="containsText" dxfId="0" priority="37" operator="between" text="TARGET">
      <formula>NOT(ISERROR(SEARCH("TARGET",B67)))</formula>
    </cfRule>
  </conditionalFormatting>
  <conditionalFormatting sqref="B83:B84">
    <cfRule type="containsText" dxfId="0" priority="20" operator="between" text="TARGET">
      <formula>NOT(ISERROR(SEARCH("TARGET",B83)))</formula>
    </cfRule>
  </conditionalFormatting>
  <conditionalFormatting sqref="B98:B99">
    <cfRule type="containsText" dxfId="0" priority="6" operator="between" text="TARGET">
      <formula>NOT(ISERROR(SEARCH("TARGET",B98)))</formula>
    </cfRule>
  </conditionalFormatting>
  <conditionalFormatting sqref="B101:B104">
    <cfRule type="containsText" dxfId="0" priority="4" operator="between" text="TARGET">
      <formula>NOT(ISERROR(SEARCH("TARGET",B101)))</formula>
    </cfRule>
  </conditionalFormatting>
  <conditionalFormatting sqref="B108:B109">
    <cfRule type="containsText" dxfId="0" priority="77" operator="between" text="TARGET">
      <formula>NOT(ISERROR(SEARCH("TARGET",B108)))</formula>
    </cfRule>
  </conditionalFormatting>
  <conditionalFormatting sqref="B1 B110:B1048576">
    <cfRule type="containsText" dxfId="0" priority="222" operator="between" text="TARGET">
      <formula>NOT(ISERROR(SEARCH("TARGET",B1)))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37"/>
  <sheetViews>
    <sheetView workbookViewId="0">
      <pane xSplit="10" ySplit="1" topLeftCell="K29" activePane="bottomRight" state="frozen"/>
      <selection/>
      <selection pane="topRight"/>
      <selection pane="bottomLeft"/>
      <selection pane="bottomRight" activeCell="A29" sqref="$A29:$XFD30"/>
    </sheetView>
  </sheetViews>
  <sheetFormatPr defaultColWidth="8.7" defaultRowHeight="24.9" customHeight="1"/>
  <cols>
    <col min="1" max="1" width="12.6" style="67" customWidth="1"/>
    <col min="2" max="2" width="12.6" style="45" customWidth="1"/>
    <col min="3" max="3" width="8.6" style="45" customWidth="1"/>
    <col min="4" max="5" width="5.6" style="45" customWidth="1"/>
    <col min="6" max="7" width="10.6" style="45" customWidth="1"/>
    <col min="8" max="8" width="10.625" style="45" customWidth="1"/>
    <col min="9" max="9" width="12.625" style="45" customWidth="1"/>
    <col min="10" max="11" width="6.6" style="45" customWidth="1"/>
    <col min="12" max="12" width="6.625" style="45" customWidth="1"/>
    <col min="13" max="13" width="12.6" style="67" hidden="1" customWidth="1"/>
    <col min="14" max="14" width="12.6" style="67" customWidth="1"/>
    <col min="15" max="15" width="12.6" style="67" hidden="1" customWidth="1"/>
    <col min="16" max="16" width="8.6" style="45" customWidth="1"/>
    <col min="17" max="17" width="8.6" style="45" hidden="1" customWidth="1"/>
    <col min="18" max="18" width="15.6" style="45" customWidth="1"/>
    <col min="19" max="22" width="8.6" style="45" hidden="1" customWidth="1"/>
    <col min="23" max="23" width="12.625" style="45" customWidth="1"/>
    <col min="24" max="24" width="8.6" style="45" hidden="1" customWidth="1"/>
    <col min="25" max="25" width="15.6" style="45" customWidth="1"/>
    <col min="26" max="26" width="8.6" style="68" customWidth="1"/>
    <col min="27" max="27" width="10.6" style="69"/>
    <col min="28" max="28" width="11.7" style="69"/>
    <col min="29" max="29" width="10.625" style="70" customWidth="1"/>
    <col min="30" max="30" width="8.6" style="45" customWidth="1"/>
    <col min="31" max="31" width="5.6" style="45" customWidth="1"/>
    <col min="32" max="32" width="8.6" style="45" hidden="1" customWidth="1"/>
    <col min="33" max="33" width="8.7" style="45" hidden="1" customWidth="1"/>
    <col min="34" max="16384" width="8.7" style="45"/>
  </cols>
  <sheetData>
    <row r="1" s="45" customFormat="1" customHeight="1" spans="1:33">
      <c r="A1" s="56" t="s">
        <v>231</v>
      </c>
      <c r="B1" s="14" t="s">
        <v>407</v>
      </c>
      <c r="C1" s="14" t="s">
        <v>408</v>
      </c>
      <c r="D1" s="14" t="s">
        <v>409</v>
      </c>
      <c r="E1" s="14" t="s">
        <v>410</v>
      </c>
      <c r="F1" s="14" t="s">
        <v>831</v>
      </c>
      <c r="G1" s="14" t="s">
        <v>832</v>
      </c>
      <c r="H1" s="14" t="s">
        <v>236</v>
      </c>
      <c r="I1" s="14" t="s">
        <v>411</v>
      </c>
      <c r="J1" s="14" t="s">
        <v>237</v>
      </c>
      <c r="K1" s="14" t="s">
        <v>3</v>
      </c>
      <c r="L1" s="14" t="s">
        <v>412</v>
      </c>
      <c r="M1" s="56" t="s">
        <v>413</v>
      </c>
      <c r="N1" s="56" t="s">
        <v>833</v>
      </c>
      <c r="O1" s="56" t="s">
        <v>834</v>
      </c>
      <c r="P1" s="14" t="s">
        <v>835</v>
      </c>
      <c r="Q1" s="14" t="s">
        <v>416</v>
      </c>
      <c r="R1" s="14" t="s">
        <v>417</v>
      </c>
      <c r="S1" s="14" t="s">
        <v>418</v>
      </c>
      <c r="T1" s="14" t="s">
        <v>419</v>
      </c>
      <c r="U1" s="14" t="s">
        <v>420</v>
      </c>
      <c r="V1" s="14" t="s">
        <v>836</v>
      </c>
      <c r="W1" s="14" t="s">
        <v>238</v>
      </c>
      <c r="X1" s="14" t="s">
        <v>422</v>
      </c>
      <c r="Y1" s="14" t="s">
        <v>423</v>
      </c>
      <c r="Z1" s="71" t="s">
        <v>837</v>
      </c>
      <c r="AA1" s="72" t="s">
        <v>244</v>
      </c>
      <c r="AB1" s="72" t="s">
        <v>245</v>
      </c>
      <c r="AC1" s="73" t="s">
        <v>424</v>
      </c>
      <c r="AD1" s="14" t="s">
        <v>425</v>
      </c>
      <c r="AE1" s="14" t="s">
        <v>239</v>
      </c>
      <c r="AF1" s="14" t="s">
        <v>408</v>
      </c>
      <c r="AG1" s="74" t="str">
        <f t="shared" ref="AG1:AG37" si="0">B1</f>
        <v>第三客户名称</v>
      </c>
    </row>
    <row r="2" s="63" customFormat="1" customHeight="1" spans="1:33">
      <c r="A2" s="75">
        <v>45985</v>
      </c>
      <c r="B2" s="76" t="s">
        <v>502</v>
      </c>
      <c r="C2" s="34" t="s">
        <v>396</v>
      </c>
      <c r="D2" s="77" t="s">
        <v>427</v>
      </c>
      <c r="E2" s="78" t="s">
        <v>246</v>
      </c>
      <c r="F2" s="79"/>
      <c r="G2" s="34" t="s">
        <v>298</v>
      </c>
      <c r="H2" s="34" t="s">
        <v>123</v>
      </c>
      <c r="I2" s="80" t="str">
        <f>VLOOKUP(H2,名称!A:C,2,0)</f>
        <v>混装配比G</v>
      </c>
      <c r="J2" s="81">
        <f>8004-4008-1200-2796</f>
        <v>0</v>
      </c>
      <c r="K2" s="82">
        <v>6</v>
      </c>
      <c r="L2" s="34">
        <f t="shared" ref="L2:L30" si="1">J2/K2</f>
        <v>0</v>
      </c>
      <c r="M2" s="75">
        <v>45992</v>
      </c>
      <c r="N2" s="75">
        <v>46046</v>
      </c>
      <c r="O2" s="75"/>
      <c r="P2" s="83" t="s">
        <v>428</v>
      </c>
      <c r="Q2" s="34"/>
      <c r="R2" s="34"/>
      <c r="S2" s="77" t="s">
        <v>556</v>
      </c>
      <c r="T2" s="77" t="s">
        <v>431</v>
      </c>
      <c r="U2" s="34"/>
      <c r="V2" s="84"/>
      <c r="W2" s="85" t="s">
        <v>258</v>
      </c>
      <c r="X2" s="34"/>
      <c r="Y2" s="34"/>
      <c r="Z2" s="86">
        <v>2.06</v>
      </c>
      <c r="AA2" s="87">
        <f t="shared" ref="AA2:AA30" si="2">J2*Z2</f>
        <v>0</v>
      </c>
      <c r="AB2" s="87">
        <f t="shared" ref="AB2:AB30" si="3">AA2*7.75</f>
        <v>0</v>
      </c>
      <c r="AC2" s="88">
        <v>46038</v>
      </c>
      <c r="AD2" s="34"/>
      <c r="AE2" s="34" t="str">
        <f>VLOOKUP(H2,名称!A:C,3,0)</f>
        <v>FNT</v>
      </c>
      <c r="AF2" s="34" t="str">
        <f t="shared" ref="AF2:AF30" si="4">C2</f>
        <v>美国</v>
      </c>
      <c r="AG2" s="85" t="str">
        <f t="shared" si="0"/>
        <v>JAZWARES INTERNATIONAL</v>
      </c>
    </row>
    <row r="3" s="63" customFormat="1" customHeight="1" spans="1:33">
      <c r="A3" s="75">
        <v>45985</v>
      </c>
      <c r="B3" s="76" t="s">
        <v>838</v>
      </c>
      <c r="C3" s="34" t="s">
        <v>575</v>
      </c>
      <c r="D3" s="89" t="s">
        <v>532</v>
      </c>
      <c r="E3" s="85" t="s">
        <v>246</v>
      </c>
      <c r="F3" s="34" t="s">
        <v>839</v>
      </c>
      <c r="G3" s="34" t="s">
        <v>318</v>
      </c>
      <c r="H3" s="34" t="s">
        <v>123</v>
      </c>
      <c r="I3" s="80" t="str">
        <f>VLOOKUP(H3,名称!A:C,2,0)</f>
        <v>混装配比G</v>
      </c>
      <c r="J3" s="81">
        <f>930-930</f>
        <v>0</v>
      </c>
      <c r="K3" s="82">
        <v>6</v>
      </c>
      <c r="L3" s="34">
        <f t="shared" si="1"/>
        <v>0</v>
      </c>
      <c r="M3" s="75">
        <v>46023</v>
      </c>
      <c r="N3" s="75">
        <v>46046</v>
      </c>
      <c r="O3" s="75"/>
      <c r="P3" s="83" t="s">
        <v>428</v>
      </c>
      <c r="Q3" s="34"/>
      <c r="R3" s="34" t="s">
        <v>637</v>
      </c>
      <c r="S3" s="77" t="s">
        <v>556</v>
      </c>
      <c r="T3" s="77" t="s">
        <v>431</v>
      </c>
      <c r="U3" s="34" t="s">
        <v>462</v>
      </c>
      <c r="V3" s="84"/>
      <c r="W3" s="85" t="s">
        <v>258</v>
      </c>
      <c r="X3" s="34"/>
      <c r="Y3" s="34"/>
      <c r="Z3" s="86">
        <v>2.06</v>
      </c>
      <c r="AA3" s="87">
        <f t="shared" si="2"/>
        <v>0</v>
      </c>
      <c r="AB3" s="87">
        <f t="shared" si="3"/>
        <v>0</v>
      </c>
      <c r="AC3" s="88">
        <v>46058</v>
      </c>
      <c r="AD3" s="85" t="s">
        <v>434</v>
      </c>
      <c r="AE3" s="34" t="str">
        <f>VLOOKUP(H3,名称!A:C,3,0)</f>
        <v>FNT</v>
      </c>
      <c r="AF3" s="34" t="str">
        <f t="shared" si="4"/>
        <v>墨西哥</v>
      </c>
      <c r="AG3" s="85" t="str">
        <f t="shared" si="0"/>
        <v>DISTRIBUIDORA LIVERPOOL S.A. DE C.V.</v>
      </c>
    </row>
    <row r="4" s="64" customFormat="1" ht="25" customHeight="1" spans="1:33">
      <c r="A4" s="90">
        <v>45821</v>
      </c>
      <c r="B4" s="91" t="s">
        <v>838</v>
      </c>
      <c r="C4" s="85" t="s">
        <v>575</v>
      </c>
      <c r="D4" s="77" t="s">
        <v>532</v>
      </c>
      <c r="E4" s="78" t="s">
        <v>259</v>
      </c>
      <c r="F4" s="85">
        <v>61989979</v>
      </c>
      <c r="G4" s="85" t="s">
        <v>318</v>
      </c>
      <c r="H4" s="85" t="s">
        <v>123</v>
      </c>
      <c r="I4" s="92" t="str">
        <f>VLOOKUP(H4,名称!A:C,2,0)</f>
        <v>混装配比G</v>
      </c>
      <c r="J4" s="82">
        <v>870</v>
      </c>
      <c r="K4" s="82">
        <v>6</v>
      </c>
      <c r="L4" s="85">
        <f t="shared" si="1"/>
        <v>145</v>
      </c>
      <c r="M4" s="93">
        <v>45853</v>
      </c>
      <c r="N4" s="93">
        <v>45687</v>
      </c>
      <c r="O4" s="75"/>
      <c r="P4" s="90" t="s">
        <v>428</v>
      </c>
      <c r="Q4" s="85"/>
      <c r="R4" s="75" t="s">
        <v>840</v>
      </c>
      <c r="S4" s="92" t="s">
        <v>841</v>
      </c>
      <c r="T4" s="77" t="s">
        <v>431</v>
      </c>
      <c r="U4" s="85" t="s">
        <v>842</v>
      </c>
      <c r="V4" s="94" t="s">
        <v>843</v>
      </c>
      <c r="W4" s="85" t="s">
        <v>258</v>
      </c>
      <c r="X4" s="85"/>
      <c r="Y4" s="92" t="s">
        <v>458</v>
      </c>
      <c r="Z4" s="95">
        <v>2.06</v>
      </c>
      <c r="AA4" s="96">
        <f t="shared" si="2"/>
        <v>1792.2</v>
      </c>
      <c r="AB4" s="96">
        <f t="shared" si="3"/>
        <v>13889.55</v>
      </c>
      <c r="AC4" s="88">
        <v>46058</v>
      </c>
      <c r="AD4" s="85" t="s">
        <v>434</v>
      </c>
      <c r="AE4" s="85" t="str">
        <f>VLOOKUP(H4,名称!A:C,3,0)</f>
        <v>FNT</v>
      </c>
      <c r="AF4" s="85" t="str">
        <f t="shared" si="4"/>
        <v>墨西哥</v>
      </c>
      <c r="AG4" s="85" t="str">
        <f t="shared" si="0"/>
        <v>DISTRIBUIDORA LIVERPOOL S.A. DE C.V.</v>
      </c>
    </row>
    <row r="5" s="65" customFormat="1" customHeight="1" spans="1:33">
      <c r="A5" s="75">
        <v>44481</v>
      </c>
      <c r="B5" s="34" t="s">
        <v>426</v>
      </c>
      <c r="C5" s="97" t="s">
        <v>396</v>
      </c>
      <c r="D5" s="34" t="s">
        <v>427</v>
      </c>
      <c r="E5" s="34" t="s">
        <v>246</v>
      </c>
      <c r="F5" s="34"/>
      <c r="G5" s="34" t="s">
        <v>844</v>
      </c>
      <c r="H5" s="34" t="s">
        <v>62</v>
      </c>
      <c r="I5" s="80" t="str">
        <f>VLOOKUP(H5,名称!A:C,2,0)</f>
        <v>火车
(葡萄牙语IC)</v>
      </c>
      <c r="J5" s="34">
        <f>4000-1200-800</f>
        <v>2000</v>
      </c>
      <c r="K5" s="34">
        <v>4</v>
      </c>
      <c r="L5" s="34">
        <f t="shared" si="1"/>
        <v>500</v>
      </c>
      <c r="M5" s="75">
        <v>44545</v>
      </c>
      <c r="N5" s="93">
        <v>45519</v>
      </c>
      <c r="O5" s="75"/>
      <c r="P5" s="34" t="s">
        <v>428</v>
      </c>
      <c r="Q5" s="34"/>
      <c r="R5" s="75" t="s">
        <v>840</v>
      </c>
      <c r="S5" s="34" t="s">
        <v>556</v>
      </c>
      <c r="T5" s="98" t="s">
        <v>431</v>
      </c>
      <c r="U5" s="34"/>
      <c r="V5" s="34"/>
      <c r="W5" s="34" t="s">
        <v>845</v>
      </c>
      <c r="X5" s="34"/>
      <c r="Y5" s="34"/>
      <c r="Z5" s="86">
        <v>4.71</v>
      </c>
      <c r="AA5" s="87">
        <f t="shared" si="2"/>
        <v>9420</v>
      </c>
      <c r="AB5" s="87">
        <f t="shared" si="3"/>
        <v>73005</v>
      </c>
      <c r="AC5" s="88">
        <v>46058</v>
      </c>
      <c r="AD5" s="34"/>
      <c r="AE5" s="34" t="str">
        <f>VLOOKUP(H5,名称!A:C,3,0)</f>
        <v>CMW</v>
      </c>
      <c r="AF5" s="97" t="str">
        <f t="shared" si="4"/>
        <v>美国</v>
      </c>
      <c r="AG5" s="85" t="str">
        <f t="shared" si="0"/>
        <v>JAZWARES</v>
      </c>
    </row>
    <row r="6" s="65" customFormat="1" customHeight="1" spans="1:33">
      <c r="A6" s="75">
        <v>44481</v>
      </c>
      <c r="B6" s="34" t="s">
        <v>426</v>
      </c>
      <c r="C6" s="97" t="s">
        <v>396</v>
      </c>
      <c r="D6" s="34" t="s">
        <v>427</v>
      </c>
      <c r="E6" s="34" t="s">
        <v>246</v>
      </c>
      <c r="F6" s="34"/>
      <c r="G6" s="34" t="s">
        <v>846</v>
      </c>
      <c r="H6" s="34" t="s">
        <v>56</v>
      </c>
      <c r="I6" s="80" t="str">
        <f>VLOOKUP(H6,名称!A:C,2,0)</f>
        <v>校车巴士
(葡萄牙语IC)</v>
      </c>
      <c r="J6" s="34">
        <f>4000-1200-1200-168</f>
        <v>1432</v>
      </c>
      <c r="K6" s="34">
        <v>4</v>
      </c>
      <c r="L6" s="34">
        <f t="shared" si="1"/>
        <v>358</v>
      </c>
      <c r="M6" s="75">
        <v>44545</v>
      </c>
      <c r="N6" s="93">
        <v>45519</v>
      </c>
      <c r="O6" s="75"/>
      <c r="P6" s="34"/>
      <c r="Q6" s="34"/>
      <c r="R6" s="75" t="s">
        <v>840</v>
      </c>
      <c r="S6" s="34" t="s">
        <v>556</v>
      </c>
      <c r="T6" s="98" t="s">
        <v>431</v>
      </c>
      <c r="U6" s="34"/>
      <c r="V6" s="34"/>
      <c r="W6" s="34" t="s">
        <v>845</v>
      </c>
      <c r="X6" s="34"/>
      <c r="Y6" s="34"/>
      <c r="Z6" s="86">
        <v>4.55</v>
      </c>
      <c r="AA6" s="87">
        <f t="shared" si="2"/>
        <v>6515.6</v>
      </c>
      <c r="AB6" s="87">
        <f t="shared" si="3"/>
        <v>50495.9</v>
      </c>
      <c r="AC6" s="88">
        <v>46058</v>
      </c>
      <c r="AD6" s="34"/>
      <c r="AE6" s="34" t="str">
        <f>VLOOKUP(H6,名称!A:C,3,0)</f>
        <v>CMW</v>
      </c>
      <c r="AF6" s="97" t="str">
        <f t="shared" si="4"/>
        <v>美国</v>
      </c>
      <c r="AG6" s="85" t="str">
        <f t="shared" si="0"/>
        <v>JAZWARES</v>
      </c>
    </row>
    <row r="7" s="65" customFormat="1" customHeight="1" spans="1:33">
      <c r="A7" s="83">
        <v>44887</v>
      </c>
      <c r="B7" s="97" t="s">
        <v>847</v>
      </c>
      <c r="C7" s="97" t="s">
        <v>396</v>
      </c>
      <c r="D7" s="34" t="s">
        <v>427</v>
      </c>
      <c r="E7" s="34" t="s">
        <v>246</v>
      </c>
      <c r="F7" s="97"/>
      <c r="G7" s="34" t="s">
        <v>848</v>
      </c>
      <c r="H7" s="34" t="s">
        <v>94</v>
      </c>
      <c r="I7" s="80" t="str">
        <f>VLOOKUP(H7,名称!A:C,2,0)</f>
        <v>跳舞公仔(WMT版)</v>
      </c>
      <c r="J7" s="34">
        <f>4800-300-152-600-500-2048</f>
        <v>1200</v>
      </c>
      <c r="K7" s="34">
        <v>1</v>
      </c>
      <c r="L7" s="34">
        <f t="shared" si="1"/>
        <v>1200</v>
      </c>
      <c r="M7" s="83">
        <v>45017</v>
      </c>
      <c r="N7" s="93">
        <v>45519</v>
      </c>
      <c r="O7" s="75"/>
      <c r="P7" s="83" t="s">
        <v>428</v>
      </c>
      <c r="Q7" s="34"/>
      <c r="R7" s="75" t="s">
        <v>840</v>
      </c>
      <c r="S7" s="34" t="s">
        <v>849</v>
      </c>
      <c r="T7" s="98" t="s">
        <v>431</v>
      </c>
      <c r="U7" s="34"/>
      <c r="V7" s="34"/>
      <c r="W7" s="34" t="s">
        <v>850</v>
      </c>
      <c r="X7" s="34"/>
      <c r="Y7" s="34"/>
      <c r="Z7" s="86">
        <v>13.53</v>
      </c>
      <c r="AA7" s="87">
        <f t="shared" si="2"/>
        <v>16236</v>
      </c>
      <c r="AB7" s="87">
        <f t="shared" si="3"/>
        <v>125829</v>
      </c>
      <c r="AC7" s="88">
        <v>46058</v>
      </c>
      <c r="AD7" s="34"/>
      <c r="AE7" s="34" t="str">
        <f>VLOOKUP(H7,名称!A:C,3,0)</f>
        <v>CMW</v>
      </c>
      <c r="AF7" s="97" t="str">
        <f t="shared" si="4"/>
        <v>美国</v>
      </c>
      <c r="AG7" s="85" t="str">
        <f t="shared" si="0"/>
        <v>JAZWARES - WALMART</v>
      </c>
    </row>
    <row r="8" s="63" customFormat="1" customHeight="1" spans="1:33">
      <c r="A8" s="83">
        <v>44539</v>
      </c>
      <c r="B8" s="76" t="s">
        <v>426</v>
      </c>
      <c r="C8" s="97" t="s">
        <v>396</v>
      </c>
      <c r="D8" s="89" t="s">
        <v>427</v>
      </c>
      <c r="E8" s="99" t="s">
        <v>246</v>
      </c>
      <c r="F8" s="79"/>
      <c r="G8" s="34" t="s">
        <v>851</v>
      </c>
      <c r="H8" s="34">
        <v>11588</v>
      </c>
      <c r="I8" s="80" t="str">
        <f>VLOOKUP(H8,名称!A:C,2,0)</f>
        <v>NERF标靶</v>
      </c>
      <c r="J8" s="81">
        <f>20001-2000-6000-1016-1016-2004-996-1692-3504</f>
        <v>1773</v>
      </c>
      <c r="K8" s="81">
        <v>3</v>
      </c>
      <c r="L8" s="34">
        <f t="shared" si="1"/>
        <v>591</v>
      </c>
      <c r="M8" s="75">
        <v>44754</v>
      </c>
      <c r="N8" s="93">
        <v>45519</v>
      </c>
      <c r="O8" s="75"/>
      <c r="P8" s="76"/>
      <c r="Q8" s="34"/>
      <c r="R8" s="75" t="s">
        <v>840</v>
      </c>
      <c r="S8" s="89" t="s">
        <v>556</v>
      </c>
      <c r="T8" s="89" t="s">
        <v>431</v>
      </c>
      <c r="U8" s="34"/>
      <c r="V8" s="84"/>
      <c r="W8" s="34" t="s">
        <v>850</v>
      </c>
      <c r="X8" s="34"/>
      <c r="Y8" s="34"/>
      <c r="Z8" s="86">
        <v>5.67</v>
      </c>
      <c r="AA8" s="87">
        <f t="shared" si="2"/>
        <v>10052.91</v>
      </c>
      <c r="AB8" s="87">
        <f t="shared" si="3"/>
        <v>77910.05</v>
      </c>
      <c r="AC8" s="88">
        <v>46058</v>
      </c>
      <c r="AD8" s="34"/>
      <c r="AE8" s="34" t="str">
        <f>VLOOKUP(H8,名称!A:C,3,0)</f>
        <v>NER</v>
      </c>
      <c r="AF8" s="97" t="str">
        <f t="shared" si="4"/>
        <v>美国</v>
      </c>
      <c r="AG8" s="85" t="str">
        <f t="shared" si="0"/>
        <v>JAZWARES</v>
      </c>
    </row>
    <row r="9" s="63" customFormat="1" customHeight="1" spans="1:33">
      <c r="A9" s="75">
        <v>45350</v>
      </c>
      <c r="B9" s="76" t="s">
        <v>502</v>
      </c>
      <c r="C9" s="34" t="s">
        <v>396</v>
      </c>
      <c r="D9" s="89" t="s">
        <v>427</v>
      </c>
      <c r="E9" s="85" t="s">
        <v>259</v>
      </c>
      <c r="F9" s="79"/>
      <c r="G9" s="34" t="s">
        <v>852</v>
      </c>
      <c r="H9" s="34" t="s">
        <v>205</v>
      </c>
      <c r="I9" s="80" t="str">
        <f>VLOOKUP(H9,名称!A:C,2,0)</f>
        <v>蜘蛛侠喷水公仔5只装</v>
      </c>
      <c r="J9" s="81">
        <v>2001</v>
      </c>
      <c r="K9" s="81">
        <v>3</v>
      </c>
      <c r="L9" s="34">
        <f t="shared" si="1"/>
        <v>667</v>
      </c>
      <c r="M9" s="75">
        <v>45444</v>
      </c>
      <c r="N9" s="75">
        <v>45524</v>
      </c>
      <c r="O9" s="75"/>
      <c r="P9" s="83" t="s">
        <v>428</v>
      </c>
      <c r="Q9" s="34"/>
      <c r="R9" s="75" t="s">
        <v>840</v>
      </c>
      <c r="S9" s="80" t="s">
        <v>556</v>
      </c>
      <c r="T9" s="98" t="s">
        <v>431</v>
      </c>
      <c r="U9" s="34"/>
      <c r="V9" s="84"/>
      <c r="W9" s="85" t="s">
        <v>258</v>
      </c>
      <c r="X9" s="34"/>
      <c r="Y9" s="34"/>
      <c r="Z9" s="95">
        <v>3.64</v>
      </c>
      <c r="AA9" s="87">
        <f t="shared" si="2"/>
        <v>7283.64</v>
      </c>
      <c r="AB9" s="87">
        <f t="shared" si="3"/>
        <v>56448.21</v>
      </c>
      <c r="AC9" s="88">
        <v>46058</v>
      </c>
      <c r="AD9" s="34"/>
      <c r="AE9" s="34" t="str">
        <f>VLOOKUP(H9,名称!A:C,3,0)</f>
        <v>SNF</v>
      </c>
      <c r="AF9" s="34" t="str">
        <f t="shared" si="4"/>
        <v>美国</v>
      </c>
      <c r="AG9" s="85" t="str">
        <f t="shared" si="0"/>
        <v>JAZWARES INTERNATIONAL</v>
      </c>
    </row>
    <row r="10" s="63" customFormat="1" customHeight="1" spans="1:33">
      <c r="A10" s="75">
        <v>45434</v>
      </c>
      <c r="B10" s="76" t="s">
        <v>426</v>
      </c>
      <c r="C10" s="85" t="s">
        <v>396</v>
      </c>
      <c r="D10" s="89" t="s">
        <v>427</v>
      </c>
      <c r="E10" s="78" t="s">
        <v>246</v>
      </c>
      <c r="F10" s="79"/>
      <c r="G10" s="34" t="s">
        <v>853</v>
      </c>
      <c r="H10" s="34" t="s">
        <v>185</v>
      </c>
      <c r="I10" s="92" t="str">
        <f>VLOOKUP(H10,名称!A:C,2,0)</f>
        <v>伊贝邮包盒</v>
      </c>
      <c r="J10" s="81">
        <f>1800-402</f>
        <v>1398</v>
      </c>
      <c r="K10" s="81">
        <v>3</v>
      </c>
      <c r="L10" s="82">
        <f t="shared" si="1"/>
        <v>466</v>
      </c>
      <c r="M10" s="75">
        <v>45488</v>
      </c>
      <c r="N10" s="75">
        <v>45509</v>
      </c>
      <c r="O10" s="75"/>
      <c r="P10" s="90" t="s">
        <v>428</v>
      </c>
      <c r="Q10" s="34"/>
      <c r="R10" s="75" t="s">
        <v>840</v>
      </c>
      <c r="S10" s="77" t="s">
        <v>556</v>
      </c>
      <c r="T10" s="77" t="s">
        <v>431</v>
      </c>
      <c r="U10" s="34"/>
      <c r="V10" s="84"/>
      <c r="W10" s="34" t="s">
        <v>854</v>
      </c>
      <c r="X10" s="34"/>
      <c r="Y10" s="34"/>
      <c r="Z10" s="86">
        <v>5.19</v>
      </c>
      <c r="AA10" s="87">
        <f t="shared" si="2"/>
        <v>7255.62</v>
      </c>
      <c r="AB10" s="87">
        <f t="shared" si="3"/>
        <v>56231.06</v>
      </c>
      <c r="AC10" s="88">
        <v>46058</v>
      </c>
      <c r="AD10" s="34"/>
      <c r="AE10" s="34" t="str">
        <f>VLOOKUP(H10,名称!A:C,3,0)</f>
        <v>PKW</v>
      </c>
      <c r="AF10" s="85" t="str">
        <f t="shared" si="4"/>
        <v>美国</v>
      </c>
      <c r="AG10" s="85" t="str">
        <f t="shared" si="0"/>
        <v>JAZWARES</v>
      </c>
    </row>
    <row r="11" s="64" customFormat="1" ht="25" customHeight="1" spans="1:33">
      <c r="A11" s="90">
        <v>45520</v>
      </c>
      <c r="B11" s="91" t="s">
        <v>502</v>
      </c>
      <c r="C11" s="85" t="s">
        <v>396</v>
      </c>
      <c r="D11" s="85" t="s">
        <v>427</v>
      </c>
      <c r="E11" s="85" t="s">
        <v>259</v>
      </c>
      <c r="F11" s="85"/>
      <c r="G11" s="85" t="s">
        <v>855</v>
      </c>
      <c r="H11" s="85" t="s">
        <v>89</v>
      </c>
      <c r="I11" s="80" t="str">
        <f>VLOOKUP(H11,名称!A:C,2,0)</f>
        <v>跳舞公仔(AMZ版)</v>
      </c>
      <c r="J11" s="82">
        <v>300</v>
      </c>
      <c r="K11" s="82">
        <v>2</v>
      </c>
      <c r="L11" s="34">
        <f t="shared" si="1"/>
        <v>150</v>
      </c>
      <c r="M11" s="93">
        <v>45512</v>
      </c>
      <c r="N11" s="93">
        <v>45597</v>
      </c>
      <c r="O11" s="75"/>
      <c r="P11" s="83" t="s">
        <v>428</v>
      </c>
      <c r="Q11" s="85"/>
      <c r="R11" s="75" t="s">
        <v>840</v>
      </c>
      <c r="S11" s="77" t="s">
        <v>556</v>
      </c>
      <c r="T11" s="77" t="s">
        <v>431</v>
      </c>
      <c r="U11" s="85"/>
      <c r="V11" s="94"/>
      <c r="W11" s="34" t="s">
        <v>258</v>
      </c>
      <c r="X11" s="85"/>
      <c r="Y11" s="85" t="s">
        <v>856</v>
      </c>
      <c r="Z11" s="95">
        <v>13.53</v>
      </c>
      <c r="AA11" s="96">
        <f t="shared" si="2"/>
        <v>4059</v>
      </c>
      <c r="AB11" s="96">
        <f t="shared" si="3"/>
        <v>31457.25</v>
      </c>
      <c r="AC11" s="88">
        <v>46058</v>
      </c>
      <c r="AD11" s="85"/>
      <c r="AE11" s="34" t="str">
        <f>VLOOKUP(H11,名称!A:C,3,0)</f>
        <v>CMW</v>
      </c>
      <c r="AF11" s="85" t="str">
        <f t="shared" si="4"/>
        <v>美国</v>
      </c>
      <c r="AG11" s="85" t="str">
        <f t="shared" si="0"/>
        <v>JAZWARES INTERNATIONAL</v>
      </c>
    </row>
    <row r="12" s="64" customFormat="1" ht="25" customHeight="1" spans="1:33">
      <c r="A12" s="90">
        <v>45520</v>
      </c>
      <c r="B12" s="76" t="s">
        <v>440</v>
      </c>
      <c r="C12" s="85" t="s">
        <v>396</v>
      </c>
      <c r="D12" s="85" t="s">
        <v>427</v>
      </c>
      <c r="E12" s="85" t="s">
        <v>259</v>
      </c>
      <c r="F12" s="85"/>
      <c r="G12" s="85" t="s">
        <v>857</v>
      </c>
      <c r="H12" s="85" t="s">
        <v>89</v>
      </c>
      <c r="I12" s="80" t="str">
        <f>VLOOKUP(H12,名称!A:C,2,0)</f>
        <v>跳舞公仔(AMZ版)</v>
      </c>
      <c r="J12" s="82">
        <f>2700-250-250-366</f>
        <v>1834</v>
      </c>
      <c r="K12" s="82">
        <v>2</v>
      </c>
      <c r="L12" s="34">
        <f t="shared" si="1"/>
        <v>917</v>
      </c>
      <c r="M12" s="93">
        <v>45512</v>
      </c>
      <c r="N12" s="93">
        <v>45597</v>
      </c>
      <c r="O12" s="75"/>
      <c r="P12" s="83" t="s">
        <v>428</v>
      </c>
      <c r="Q12" s="85"/>
      <c r="R12" s="75" t="s">
        <v>840</v>
      </c>
      <c r="S12" s="77" t="s">
        <v>556</v>
      </c>
      <c r="T12" s="77" t="s">
        <v>431</v>
      </c>
      <c r="U12" s="85"/>
      <c r="V12" s="94"/>
      <c r="W12" s="34" t="s">
        <v>258</v>
      </c>
      <c r="X12" s="85"/>
      <c r="Y12" s="85" t="s">
        <v>856</v>
      </c>
      <c r="Z12" s="95">
        <v>13.53</v>
      </c>
      <c r="AA12" s="96">
        <f t="shared" si="2"/>
        <v>24814.02</v>
      </c>
      <c r="AB12" s="96">
        <f t="shared" si="3"/>
        <v>192308.66</v>
      </c>
      <c r="AC12" s="88">
        <v>46058</v>
      </c>
      <c r="AD12" s="85"/>
      <c r="AE12" s="34" t="str">
        <f>VLOOKUP(H12,名称!A:C,3,0)</f>
        <v>CMW</v>
      </c>
      <c r="AF12" s="85" t="str">
        <f t="shared" si="4"/>
        <v>美国</v>
      </c>
      <c r="AG12" s="85" t="str">
        <f t="shared" si="0"/>
        <v>JAZWARES - AMAZON FOB</v>
      </c>
    </row>
    <row r="13" s="64" customFormat="1" ht="25" customHeight="1" spans="1:33">
      <c r="A13" s="90">
        <v>45758</v>
      </c>
      <c r="B13" s="91" t="s">
        <v>858</v>
      </c>
      <c r="C13" s="85" t="s">
        <v>448</v>
      </c>
      <c r="D13" s="77" t="s">
        <v>784</v>
      </c>
      <c r="E13" s="85" t="s">
        <v>246</v>
      </c>
      <c r="F13" s="85" t="s">
        <v>859</v>
      </c>
      <c r="G13" s="85" t="s">
        <v>860</v>
      </c>
      <c r="H13" s="85" t="s">
        <v>158</v>
      </c>
      <c r="I13" s="80" t="str">
        <f>VLOOKUP(H13,名称!A:C,2,0)</f>
        <v>NERF标靶</v>
      </c>
      <c r="J13" s="82">
        <f>412-220</f>
        <v>192</v>
      </c>
      <c r="K13" s="82">
        <v>4</v>
      </c>
      <c r="L13" s="34">
        <f t="shared" si="1"/>
        <v>48</v>
      </c>
      <c r="M13" s="93">
        <v>45827</v>
      </c>
      <c r="N13" s="93">
        <v>45825</v>
      </c>
      <c r="O13" s="75"/>
      <c r="P13" s="83" t="s">
        <v>428</v>
      </c>
      <c r="Q13" s="85"/>
      <c r="R13" s="75" t="s">
        <v>840</v>
      </c>
      <c r="S13" s="77" t="s">
        <v>556</v>
      </c>
      <c r="T13" s="77" t="s">
        <v>431</v>
      </c>
      <c r="U13" s="85"/>
      <c r="V13" s="94"/>
      <c r="W13" s="34" t="s">
        <v>861</v>
      </c>
      <c r="X13" s="85"/>
      <c r="Y13" s="85"/>
      <c r="Z13" s="86">
        <v>5.44</v>
      </c>
      <c r="AA13" s="96">
        <f t="shared" si="2"/>
        <v>1044.48</v>
      </c>
      <c r="AB13" s="96">
        <f t="shared" si="3"/>
        <v>8094.72</v>
      </c>
      <c r="AC13" s="88">
        <v>46058</v>
      </c>
      <c r="AD13" s="85" t="s">
        <v>434</v>
      </c>
      <c r="AE13" s="34" t="str">
        <f>VLOOKUP(H13,名称!A:C,3,0)</f>
        <v>NER</v>
      </c>
      <c r="AF13" s="85" t="str">
        <f t="shared" si="4"/>
        <v>加拿大</v>
      </c>
      <c r="AG13" s="85" t="str">
        <f t="shared" si="0"/>
        <v>CANADIAN TIRE CORPORATION,LTD</v>
      </c>
    </row>
    <row r="14" s="64" customFormat="1" ht="25" customHeight="1" spans="1:33">
      <c r="A14" s="90">
        <v>45510</v>
      </c>
      <c r="B14" s="91" t="s">
        <v>519</v>
      </c>
      <c r="C14" s="85" t="s">
        <v>520</v>
      </c>
      <c r="D14" s="77" t="s">
        <v>521</v>
      </c>
      <c r="E14" s="85" t="s">
        <v>246</v>
      </c>
      <c r="F14" s="85"/>
      <c r="G14" s="85" t="s">
        <v>862</v>
      </c>
      <c r="H14" s="85" t="s">
        <v>31</v>
      </c>
      <c r="I14" s="92" t="str">
        <f>VLOOKUP(H14,名称!A:C,2,0)</f>
        <v>校车巴士</v>
      </c>
      <c r="J14" s="82">
        <f>114-2</f>
        <v>112</v>
      </c>
      <c r="K14" s="82">
        <v>2</v>
      </c>
      <c r="L14" s="85">
        <f t="shared" si="1"/>
        <v>56</v>
      </c>
      <c r="M14" s="93">
        <v>45626</v>
      </c>
      <c r="N14" s="93" t="s">
        <v>863</v>
      </c>
      <c r="O14" s="93"/>
      <c r="P14" s="90" t="s">
        <v>428</v>
      </c>
      <c r="Q14" s="85" t="s">
        <v>864</v>
      </c>
      <c r="R14" s="85"/>
      <c r="S14" s="92" t="s">
        <v>609</v>
      </c>
      <c r="T14" s="100" t="s">
        <v>431</v>
      </c>
      <c r="U14" s="85"/>
      <c r="V14" s="94"/>
      <c r="W14" s="85" t="s">
        <v>255</v>
      </c>
      <c r="X14" s="85"/>
      <c r="Y14" s="93" t="s">
        <v>446</v>
      </c>
      <c r="Z14" s="95">
        <v>4.32</v>
      </c>
      <c r="AA14" s="96">
        <f t="shared" si="2"/>
        <v>483.84</v>
      </c>
      <c r="AB14" s="96">
        <f t="shared" si="3"/>
        <v>3749.76</v>
      </c>
      <c r="AC14" s="88">
        <v>46058</v>
      </c>
      <c r="AD14" s="85" t="s">
        <v>434</v>
      </c>
      <c r="AE14" s="85" t="str">
        <f>VLOOKUP(H14,名称!A:C,3,0)</f>
        <v>CMW</v>
      </c>
      <c r="AF14" s="85" t="str">
        <f t="shared" si="4"/>
        <v>英国</v>
      </c>
      <c r="AG14" s="85" t="str">
        <f t="shared" si="0"/>
        <v>IMPORT SERVICES</v>
      </c>
    </row>
    <row r="15" s="64" customFormat="1" ht="25" customHeight="1" spans="1:33">
      <c r="A15" s="90">
        <v>45722</v>
      </c>
      <c r="B15" s="91" t="s">
        <v>504</v>
      </c>
      <c r="C15" s="85" t="s">
        <v>505</v>
      </c>
      <c r="D15" s="77" t="s">
        <v>506</v>
      </c>
      <c r="E15" s="85" t="s">
        <v>262</v>
      </c>
      <c r="F15" s="85" t="s">
        <v>865</v>
      </c>
      <c r="G15" s="85" t="s">
        <v>330</v>
      </c>
      <c r="H15" s="85" t="s">
        <v>25</v>
      </c>
      <c r="I15" s="92" t="str">
        <f>VLOOKUP(H15,名称!A:C,2,0)</f>
        <v>校车巴士</v>
      </c>
      <c r="J15" s="82">
        <f>1200-860-340</f>
        <v>0</v>
      </c>
      <c r="K15" s="82">
        <v>4</v>
      </c>
      <c r="L15" s="85">
        <f t="shared" si="1"/>
        <v>0</v>
      </c>
      <c r="M15" s="93">
        <v>45793</v>
      </c>
      <c r="N15" s="93">
        <v>45793</v>
      </c>
      <c r="O15" s="93">
        <v>45791</v>
      </c>
      <c r="P15" s="90" t="s">
        <v>428</v>
      </c>
      <c r="Q15" s="85"/>
      <c r="R15" s="85" t="s">
        <v>866</v>
      </c>
      <c r="S15" s="92" t="s">
        <v>867</v>
      </c>
      <c r="T15" s="100" t="s">
        <v>431</v>
      </c>
      <c r="U15" s="85" t="s">
        <v>868</v>
      </c>
      <c r="V15" s="94"/>
      <c r="W15" s="85" t="s">
        <v>869</v>
      </c>
      <c r="X15" s="85"/>
      <c r="Y15" s="93"/>
      <c r="Z15" s="95">
        <v>4.26</v>
      </c>
      <c r="AA15" s="96">
        <f t="shared" si="2"/>
        <v>0</v>
      </c>
      <c r="AB15" s="96">
        <f t="shared" si="3"/>
        <v>0</v>
      </c>
      <c r="AC15" s="88"/>
      <c r="AD15" s="85" t="s">
        <v>434</v>
      </c>
      <c r="AE15" s="85" t="str">
        <f>VLOOKUP(H15,名称!A:C,3,0)</f>
        <v>CMW</v>
      </c>
      <c r="AF15" s="85" t="str">
        <f t="shared" si="4"/>
        <v>阿拉伯</v>
      </c>
      <c r="AG15" s="85" t="str">
        <f t="shared" si="0"/>
        <v>A LIUSIE GENERAL TRADING LLC</v>
      </c>
    </row>
    <row r="16" s="64" customFormat="1" ht="25" customHeight="1" spans="1:33">
      <c r="A16" s="90">
        <v>46013</v>
      </c>
      <c r="B16" s="91" t="s">
        <v>499</v>
      </c>
      <c r="C16" s="85" t="s">
        <v>396</v>
      </c>
      <c r="D16" s="77" t="s">
        <v>427</v>
      </c>
      <c r="E16" s="85" t="s">
        <v>259</v>
      </c>
      <c r="F16" s="85" t="s">
        <v>249</v>
      </c>
      <c r="G16" s="85" t="s">
        <v>353</v>
      </c>
      <c r="H16" s="85" t="s">
        <v>222</v>
      </c>
      <c r="I16" s="92" t="str">
        <f>VLOOKUP(H16,名称!A:C,2,0)</f>
        <v>蜘蛛侠配蜘蛛网套装</v>
      </c>
      <c r="J16" s="82">
        <f>1752-588-582-582</f>
        <v>0</v>
      </c>
      <c r="K16" s="82">
        <v>6</v>
      </c>
      <c r="L16" s="85">
        <f t="shared" si="1"/>
        <v>0</v>
      </c>
      <c r="M16" s="93">
        <v>46173</v>
      </c>
      <c r="N16" s="93">
        <v>46173</v>
      </c>
      <c r="O16" s="93"/>
      <c r="P16" s="90" t="s">
        <v>428</v>
      </c>
      <c r="Q16" s="85"/>
      <c r="R16" s="85"/>
      <c r="S16" s="92" t="s">
        <v>556</v>
      </c>
      <c r="T16" s="100" t="s">
        <v>431</v>
      </c>
      <c r="U16" s="85"/>
      <c r="V16" s="94"/>
      <c r="W16" s="85" t="s">
        <v>276</v>
      </c>
      <c r="X16" s="85"/>
      <c r="Y16" s="93"/>
      <c r="Z16" s="95">
        <v>4.28</v>
      </c>
      <c r="AA16" s="96">
        <f t="shared" si="2"/>
        <v>0</v>
      </c>
      <c r="AB16" s="96">
        <f t="shared" si="3"/>
        <v>0</v>
      </c>
      <c r="AC16" s="88"/>
      <c r="AD16" s="85" t="s">
        <v>434</v>
      </c>
      <c r="AE16" s="85" t="str">
        <f>VLOOKUP(H16,名称!A:C,3,0)</f>
        <v>SNF</v>
      </c>
      <c r="AF16" s="85" t="str">
        <f t="shared" si="4"/>
        <v>美国</v>
      </c>
      <c r="AG16" s="85" t="str">
        <f t="shared" si="0"/>
        <v>JAZWARES - AMAZON US ECOM DOM</v>
      </c>
    </row>
    <row r="17" s="64" customFormat="1" ht="25" customHeight="1" spans="1:39">
      <c r="A17" s="90">
        <v>46021</v>
      </c>
      <c r="B17" s="91" t="s">
        <v>519</v>
      </c>
      <c r="C17" s="85" t="s">
        <v>520</v>
      </c>
      <c r="D17" s="77" t="s">
        <v>521</v>
      </c>
      <c r="E17" s="78" t="s">
        <v>246</v>
      </c>
      <c r="F17" s="85"/>
      <c r="G17" s="85" t="s">
        <v>316</v>
      </c>
      <c r="H17" s="85" t="s">
        <v>144</v>
      </c>
      <c r="I17" s="80">
        <f>VLOOKUP(H17,名称!A:C,2,0)</f>
        <v>0</v>
      </c>
      <c r="J17" s="82">
        <f>654-654</f>
        <v>0</v>
      </c>
      <c r="K17" s="82">
        <v>6</v>
      </c>
      <c r="L17" s="34">
        <f t="shared" si="1"/>
        <v>0</v>
      </c>
      <c r="M17" s="93">
        <v>46113</v>
      </c>
      <c r="N17" s="93">
        <v>46113</v>
      </c>
      <c r="O17" s="93"/>
      <c r="P17" s="83" t="s">
        <v>428</v>
      </c>
      <c r="Q17" s="85"/>
      <c r="R17" s="85"/>
      <c r="S17" s="77" t="s">
        <v>556</v>
      </c>
      <c r="T17" s="77" t="s">
        <v>431</v>
      </c>
      <c r="U17" s="85"/>
      <c r="V17" s="85" t="s">
        <v>481</v>
      </c>
      <c r="W17" s="85" t="s">
        <v>258</v>
      </c>
      <c r="X17" s="85" t="s">
        <v>476</v>
      </c>
      <c r="Y17" s="85"/>
      <c r="Z17" s="95">
        <v>2.17</v>
      </c>
      <c r="AA17" s="96">
        <f t="shared" si="2"/>
        <v>0</v>
      </c>
      <c r="AB17" s="96">
        <f t="shared" si="3"/>
        <v>0</v>
      </c>
      <c r="AC17" s="101"/>
      <c r="AD17" s="85" t="s">
        <v>463</v>
      </c>
      <c r="AE17" s="85" t="str">
        <f>VLOOKUP(H17,名称!A:C,3,0)</f>
        <v>FNT</v>
      </c>
      <c r="AF17" s="85" t="str">
        <f t="shared" si="4"/>
        <v>英国</v>
      </c>
      <c r="AG17" s="85" t="str">
        <f t="shared" si="0"/>
        <v>IMPORT SERVICES</v>
      </c>
    </row>
    <row r="18" s="64" customFormat="1" ht="25" customHeight="1" spans="1:39">
      <c r="A18" s="90">
        <v>45947</v>
      </c>
      <c r="B18" s="91" t="s">
        <v>636</v>
      </c>
      <c r="C18" s="85" t="s">
        <v>396</v>
      </c>
      <c r="D18" s="77" t="s">
        <v>427</v>
      </c>
      <c r="E18" s="78" t="s">
        <v>246</v>
      </c>
      <c r="F18" s="85">
        <v>10001441544</v>
      </c>
      <c r="G18" s="85" t="s">
        <v>274</v>
      </c>
      <c r="H18" s="85" t="s">
        <v>205</v>
      </c>
      <c r="I18" s="80" t="str">
        <f>VLOOKUP(H18,名称!A:C,2,0)</f>
        <v>蜘蛛侠喷水公仔5只装</v>
      </c>
      <c r="J18" s="82">
        <f>399-399</f>
        <v>0</v>
      </c>
      <c r="K18" s="82">
        <v>3</v>
      </c>
      <c r="L18" s="34">
        <f t="shared" si="1"/>
        <v>0</v>
      </c>
      <c r="M18" s="93">
        <v>45964</v>
      </c>
      <c r="N18" s="93">
        <v>45964</v>
      </c>
      <c r="O18" s="93"/>
      <c r="P18" s="83" t="s">
        <v>428</v>
      </c>
      <c r="Q18" s="85"/>
      <c r="R18" s="85" t="s">
        <v>637</v>
      </c>
      <c r="S18" s="77" t="s">
        <v>445</v>
      </c>
      <c r="T18" s="77" t="s">
        <v>453</v>
      </c>
      <c r="U18" s="85" t="s">
        <v>638</v>
      </c>
      <c r="V18" s="85"/>
      <c r="W18" s="85" t="s">
        <v>258</v>
      </c>
      <c r="X18" s="85"/>
      <c r="Y18" s="85" t="s">
        <v>639</v>
      </c>
      <c r="Z18" s="95">
        <v>3.64</v>
      </c>
      <c r="AA18" s="96">
        <f t="shared" si="2"/>
        <v>0</v>
      </c>
      <c r="AB18" s="96">
        <f t="shared" si="3"/>
        <v>0</v>
      </c>
      <c r="AC18" s="101"/>
      <c r="AD18" s="85" t="s">
        <v>434</v>
      </c>
      <c r="AE18" s="85" t="str">
        <f>VLOOKUP(H18,名称!A:C,3,0)</f>
        <v>SNF</v>
      </c>
      <c r="AF18" s="85" t="str">
        <f t="shared" si="4"/>
        <v>美国</v>
      </c>
      <c r="AG18" s="85" t="str">
        <f t="shared" si="0"/>
        <v>TARGET IMPORT</v>
      </c>
    </row>
    <row r="19" s="64" customFormat="1" ht="25" customHeight="1" spans="1:39">
      <c r="A19" s="90">
        <v>46111</v>
      </c>
      <c r="B19" s="91" t="s">
        <v>537</v>
      </c>
      <c r="C19" s="85" t="s">
        <v>396</v>
      </c>
      <c r="D19" s="77" t="s">
        <v>538</v>
      </c>
      <c r="E19" s="78" t="s">
        <v>246</v>
      </c>
      <c r="F19" s="85" t="s">
        <v>870</v>
      </c>
      <c r="G19" s="85" t="s">
        <v>353</v>
      </c>
      <c r="H19" s="85" t="s">
        <v>222</v>
      </c>
      <c r="I19" s="80" t="str">
        <f>VLOOKUP(H19,名称!A:C,2,0)</f>
        <v>蜘蛛侠配蜘蛛网套装</v>
      </c>
      <c r="J19" s="82">
        <f>588-588</f>
        <v>0</v>
      </c>
      <c r="K19" s="82">
        <v>6</v>
      </c>
      <c r="L19" s="34">
        <f t="shared" si="1"/>
        <v>0</v>
      </c>
      <c r="M19" s="93">
        <v>46178</v>
      </c>
      <c r="N19" s="93">
        <v>46178</v>
      </c>
      <c r="O19" s="93"/>
      <c r="P19" s="83" t="s">
        <v>428</v>
      </c>
      <c r="Q19" s="85"/>
      <c r="R19" s="85" t="s">
        <v>871</v>
      </c>
      <c r="S19" s="77" t="s">
        <v>556</v>
      </c>
      <c r="T19" s="77" t="s">
        <v>431</v>
      </c>
      <c r="U19" s="85"/>
      <c r="V19" s="85"/>
      <c r="W19" s="85" t="s">
        <v>276</v>
      </c>
      <c r="X19" s="85"/>
      <c r="Y19" s="85"/>
      <c r="Z19" s="95">
        <v>4.28</v>
      </c>
      <c r="AA19" s="96">
        <f t="shared" si="2"/>
        <v>0</v>
      </c>
      <c r="AB19" s="96">
        <f t="shared" si="3"/>
        <v>0</v>
      </c>
      <c r="AC19" s="101"/>
      <c r="AD19" s="85" t="s">
        <v>434</v>
      </c>
      <c r="AE19" s="85" t="str">
        <f>VLOOKUP(H19,名称!A:C,3,0)</f>
        <v>SNF</v>
      </c>
      <c r="AF19" s="85" t="str">
        <f t="shared" si="4"/>
        <v>美国</v>
      </c>
      <c r="AG19" s="85" t="str">
        <f t="shared" si="0"/>
        <v>AMAZON MDDP</v>
      </c>
    </row>
    <row r="20" s="64" customFormat="1" ht="25" customHeight="1" spans="1:39">
      <c r="A20" s="90">
        <v>46059</v>
      </c>
      <c r="B20" s="91" t="s">
        <v>499</v>
      </c>
      <c r="C20" s="85" t="s">
        <v>396</v>
      </c>
      <c r="D20" s="77" t="s">
        <v>427</v>
      </c>
      <c r="E20" s="78" t="s">
        <v>246</v>
      </c>
      <c r="F20" s="85" t="s">
        <v>249</v>
      </c>
      <c r="G20" s="85" t="s">
        <v>362</v>
      </c>
      <c r="H20" s="85" t="s">
        <v>222</v>
      </c>
      <c r="I20" s="80" t="str">
        <f>VLOOKUP(H20,名称!A:C,2,0)</f>
        <v>蜘蛛侠配蜘蛛网套装</v>
      </c>
      <c r="J20" s="82">
        <f>1500+198-150-198-150-504-696</f>
        <v>0</v>
      </c>
      <c r="K20" s="82">
        <v>6</v>
      </c>
      <c r="L20" s="34">
        <f t="shared" si="1"/>
        <v>0</v>
      </c>
      <c r="M20" s="93">
        <v>46173</v>
      </c>
      <c r="N20" s="93">
        <v>46173</v>
      </c>
      <c r="O20" s="93" t="s">
        <v>872</v>
      </c>
      <c r="P20" s="83" t="s">
        <v>428</v>
      </c>
      <c r="Q20" s="85"/>
      <c r="R20" s="85"/>
      <c r="S20" s="77" t="s">
        <v>556</v>
      </c>
      <c r="T20" s="77" t="s">
        <v>431</v>
      </c>
      <c r="U20" s="85"/>
      <c r="V20" s="85"/>
      <c r="W20" s="85" t="s">
        <v>276</v>
      </c>
      <c r="X20" s="85"/>
      <c r="Y20" s="85"/>
      <c r="Z20" s="95">
        <v>4.28</v>
      </c>
      <c r="AA20" s="96">
        <f t="shared" si="2"/>
        <v>0</v>
      </c>
      <c r="AB20" s="96">
        <f t="shared" si="3"/>
        <v>0</v>
      </c>
      <c r="AC20" s="101"/>
      <c r="AD20" s="85" t="s">
        <v>434</v>
      </c>
      <c r="AE20" s="85" t="str">
        <f>VLOOKUP(H20,名称!A:C,3,0)</f>
        <v>SNF</v>
      </c>
      <c r="AF20" s="85" t="str">
        <f t="shared" si="4"/>
        <v>美国</v>
      </c>
      <c r="AG20" s="85" t="str">
        <f t="shared" si="0"/>
        <v>JAZWARES - AMAZON US ECOM DOM</v>
      </c>
    </row>
    <row r="21" s="64" customFormat="1" ht="25" customHeight="1" spans="1:39">
      <c r="A21" s="90">
        <v>46111</v>
      </c>
      <c r="B21" s="91" t="s">
        <v>537</v>
      </c>
      <c r="C21" s="85" t="s">
        <v>396</v>
      </c>
      <c r="D21" s="77" t="s">
        <v>538</v>
      </c>
      <c r="E21" s="78" t="s">
        <v>246</v>
      </c>
      <c r="F21" s="85" t="s">
        <v>873</v>
      </c>
      <c r="G21" s="85" t="s">
        <v>362</v>
      </c>
      <c r="H21" s="85" t="s">
        <v>222</v>
      </c>
      <c r="I21" s="80" t="str">
        <f>VLOOKUP(H21,名称!A:C,2,0)</f>
        <v>蜘蛛侠配蜘蛛网套装</v>
      </c>
      <c r="J21" s="82">
        <v>0</v>
      </c>
      <c r="K21" s="82">
        <v>6</v>
      </c>
      <c r="L21" s="34">
        <f t="shared" si="1"/>
        <v>0</v>
      </c>
      <c r="M21" s="93">
        <v>46173</v>
      </c>
      <c r="N21" s="93">
        <v>46173</v>
      </c>
      <c r="O21" s="93" t="s">
        <v>872</v>
      </c>
      <c r="P21" s="83" t="s">
        <v>428</v>
      </c>
      <c r="Q21" s="85"/>
      <c r="R21" s="85" t="s">
        <v>871</v>
      </c>
      <c r="S21" s="77" t="s">
        <v>556</v>
      </c>
      <c r="T21" s="77" t="s">
        <v>431</v>
      </c>
      <c r="U21" s="85"/>
      <c r="V21" s="85"/>
      <c r="W21" s="85" t="s">
        <v>276</v>
      </c>
      <c r="X21" s="85"/>
      <c r="Y21" s="85"/>
      <c r="Z21" s="95">
        <v>4.28</v>
      </c>
      <c r="AA21" s="96">
        <f t="shared" si="2"/>
        <v>0</v>
      </c>
      <c r="AB21" s="96">
        <f t="shared" si="3"/>
        <v>0</v>
      </c>
      <c r="AC21" s="101"/>
      <c r="AD21" s="85" t="s">
        <v>434</v>
      </c>
      <c r="AE21" s="85" t="str">
        <f>VLOOKUP(H21,名称!A:C,3,0)</f>
        <v>SNF</v>
      </c>
      <c r="AF21" s="85" t="str">
        <f t="shared" si="4"/>
        <v>美国</v>
      </c>
      <c r="AG21" s="85" t="str">
        <f t="shared" si="0"/>
        <v>AMAZON MDDP</v>
      </c>
    </row>
    <row r="22" s="64" customFormat="1" ht="25" customHeight="1" spans="1:39">
      <c r="A22" s="90">
        <v>46111</v>
      </c>
      <c r="B22" s="91" t="s">
        <v>537</v>
      </c>
      <c r="C22" s="85" t="s">
        <v>396</v>
      </c>
      <c r="D22" s="77" t="s">
        <v>538</v>
      </c>
      <c r="E22" s="78" t="s">
        <v>246</v>
      </c>
      <c r="F22" s="85" t="s">
        <v>873</v>
      </c>
      <c r="G22" s="85" t="s">
        <v>353</v>
      </c>
      <c r="H22" s="85" t="s">
        <v>222</v>
      </c>
      <c r="I22" s="80" t="str">
        <f>VLOOKUP(H22,名称!A:C,2,0)</f>
        <v>蜘蛛侠配蜘蛛网套装</v>
      </c>
      <c r="J22" s="82">
        <v>582</v>
      </c>
      <c r="K22" s="82">
        <v>6</v>
      </c>
      <c r="L22" s="34">
        <f t="shared" si="1"/>
        <v>97</v>
      </c>
      <c r="M22" s="93">
        <v>46248</v>
      </c>
      <c r="N22" s="93">
        <v>46248</v>
      </c>
      <c r="O22" s="93"/>
      <c r="P22" s="83" t="s">
        <v>428</v>
      </c>
      <c r="Q22" s="85"/>
      <c r="R22" s="85" t="s">
        <v>871</v>
      </c>
      <c r="S22" s="77" t="s">
        <v>556</v>
      </c>
      <c r="T22" s="77" t="s">
        <v>431</v>
      </c>
      <c r="U22" s="85"/>
      <c r="V22" s="85"/>
      <c r="W22" s="85" t="s">
        <v>276</v>
      </c>
      <c r="X22" s="85"/>
      <c r="Y22" s="85"/>
      <c r="Z22" s="95">
        <v>4.28</v>
      </c>
      <c r="AA22" s="96">
        <f t="shared" si="2"/>
        <v>2490.96</v>
      </c>
      <c r="AB22" s="96">
        <f t="shared" si="3"/>
        <v>19304.94</v>
      </c>
      <c r="AC22" s="101"/>
      <c r="AD22" s="85" t="s">
        <v>434</v>
      </c>
      <c r="AE22" s="85" t="str">
        <f>VLOOKUP(H22,名称!A:C,3,0)</f>
        <v>SNF</v>
      </c>
      <c r="AF22" s="85" t="str">
        <f t="shared" si="4"/>
        <v>美国</v>
      </c>
      <c r="AG22" s="85" t="str">
        <f t="shared" si="0"/>
        <v>AMAZON MDDP</v>
      </c>
    </row>
    <row r="23" s="63" customFormat="1" ht="25" customHeight="1" spans="1:39">
      <c r="A23" s="75">
        <v>46092</v>
      </c>
      <c r="B23" s="76" t="s">
        <v>874</v>
      </c>
      <c r="C23" s="34" t="s">
        <v>875</v>
      </c>
      <c r="D23" s="77" t="s">
        <v>427</v>
      </c>
      <c r="E23" s="85" t="s">
        <v>246</v>
      </c>
      <c r="F23" s="34" t="s">
        <v>876</v>
      </c>
      <c r="G23" s="34" t="s">
        <v>321</v>
      </c>
      <c r="H23" s="34" t="s">
        <v>127</v>
      </c>
      <c r="I23" s="80" t="str">
        <f>IFERROR(VLOOKUP(H23,名称!A:C,2,0),"")</f>
        <v>混装配比I</v>
      </c>
      <c r="J23" s="81">
        <f>1284-402-600-282</f>
        <v>0</v>
      </c>
      <c r="K23" s="82">
        <f>VLOOKUP(H23,名称!A:D,4,0)</f>
        <v>6</v>
      </c>
      <c r="L23" s="34">
        <f t="shared" si="1"/>
        <v>0</v>
      </c>
      <c r="M23" s="75">
        <v>46185</v>
      </c>
      <c r="N23" s="75">
        <v>46185</v>
      </c>
      <c r="O23" s="75"/>
      <c r="P23" s="83" t="s">
        <v>428</v>
      </c>
      <c r="Q23" s="34"/>
      <c r="R23" s="85" t="s">
        <v>877</v>
      </c>
      <c r="S23" s="77" t="s">
        <v>556</v>
      </c>
      <c r="T23" s="77" t="s">
        <v>431</v>
      </c>
      <c r="U23" s="34" t="s">
        <v>462</v>
      </c>
      <c r="V23" s="102" t="s">
        <v>471</v>
      </c>
      <c r="W23" s="85" t="s">
        <v>559</v>
      </c>
      <c r="X23" s="34" t="s">
        <v>596</v>
      </c>
      <c r="Y23" s="85" t="s">
        <v>474</v>
      </c>
      <c r="Z23" s="86">
        <v>2.315</v>
      </c>
      <c r="AA23" s="87">
        <f t="shared" si="2"/>
        <v>0</v>
      </c>
      <c r="AB23" s="87">
        <f t="shared" si="3"/>
        <v>0</v>
      </c>
      <c r="AC23" s="73"/>
      <c r="AD23" s="85" t="s">
        <v>463</v>
      </c>
      <c r="AE23" s="85" t="str">
        <f>IFERROR(VLOOKUP(H23,名称!A:C,3,0),"")</f>
        <v>FNT</v>
      </c>
      <c r="AF23" s="34" t="str">
        <f t="shared" si="4"/>
        <v>萨尔瓦多</v>
      </c>
      <c r="AG23" s="85" t="str">
        <f t="shared" si="0"/>
        <v>OPERADORA DEL SUR, S. A DE C. V.</v>
      </c>
    </row>
    <row r="24" s="64" customFormat="1" ht="25" customHeight="1" spans="1:39">
      <c r="A24" s="93">
        <v>46056</v>
      </c>
      <c r="B24" s="91" t="s">
        <v>878</v>
      </c>
      <c r="C24" s="85" t="s">
        <v>879</v>
      </c>
      <c r="D24" s="77" t="s">
        <v>532</v>
      </c>
      <c r="E24" s="85" t="s">
        <v>246</v>
      </c>
      <c r="F24" s="85"/>
      <c r="G24" s="85" t="s">
        <v>880</v>
      </c>
      <c r="H24" s="85" t="s">
        <v>127</v>
      </c>
      <c r="I24" s="92" t="str">
        <f>IFERROR(VLOOKUP(H24,名称!A:C,2,0),"")</f>
        <v>混装配比I</v>
      </c>
      <c r="J24" s="82">
        <v>12000</v>
      </c>
      <c r="K24" s="82">
        <f>VLOOKUP(H24,名称!A:D,4,0)</f>
        <v>6</v>
      </c>
      <c r="L24" s="103">
        <f t="shared" si="1"/>
        <v>2000</v>
      </c>
      <c r="M24" s="93">
        <v>46113</v>
      </c>
      <c r="N24" s="93">
        <v>46213</v>
      </c>
      <c r="O24" s="93"/>
      <c r="P24" s="90" t="s">
        <v>428</v>
      </c>
      <c r="Q24" s="85"/>
      <c r="R24" s="85"/>
      <c r="S24" s="77" t="s">
        <v>881</v>
      </c>
      <c r="T24" s="77" t="s">
        <v>431</v>
      </c>
      <c r="U24" s="85" t="s">
        <v>882</v>
      </c>
      <c r="V24" s="102" t="s">
        <v>471</v>
      </c>
      <c r="W24" s="85" t="s">
        <v>559</v>
      </c>
      <c r="X24" s="85" t="s">
        <v>473</v>
      </c>
      <c r="Y24" s="85" t="s">
        <v>474</v>
      </c>
      <c r="Z24" s="95">
        <v>2.315</v>
      </c>
      <c r="AA24" s="96">
        <f t="shared" si="2"/>
        <v>27780</v>
      </c>
      <c r="AB24" s="96">
        <f t="shared" si="3"/>
        <v>215295</v>
      </c>
      <c r="AC24" s="104">
        <v>46171</v>
      </c>
      <c r="AD24" s="85" t="s">
        <v>463</v>
      </c>
      <c r="AE24" s="85" t="str">
        <f>IFERROR(VLOOKUP(H24,名称!A:C,3,0),"")</f>
        <v>FNT</v>
      </c>
      <c r="AF24" s="85" t="str">
        <f t="shared" si="4"/>
        <v>波兰</v>
      </c>
      <c r="AG24" s="85" t="str">
        <f t="shared" si="0"/>
        <v>ORBICO SP. Z O.O.</v>
      </c>
    </row>
    <row r="25" s="64" customFormat="1" ht="25" customHeight="1" spans="1:39">
      <c r="A25" s="93">
        <v>45985</v>
      </c>
      <c r="B25" s="91" t="s">
        <v>883</v>
      </c>
      <c r="C25" s="85" t="s">
        <v>884</v>
      </c>
      <c r="D25" s="77" t="s">
        <v>427</v>
      </c>
      <c r="E25" s="85" t="s">
        <v>246</v>
      </c>
      <c r="F25" s="85" t="s">
        <v>885</v>
      </c>
      <c r="G25" s="85" t="s">
        <v>378</v>
      </c>
      <c r="H25" s="85" t="s">
        <v>123</v>
      </c>
      <c r="I25" s="92" t="str">
        <f>IFERROR(VLOOKUP(H25,名称!A:C,2,0),"")</f>
        <v>混装配比G</v>
      </c>
      <c r="J25" s="82">
        <f>1200-1200</f>
        <v>0</v>
      </c>
      <c r="K25" s="82">
        <f>VLOOKUP(H25,名称!A:D,4,0)</f>
        <v>6</v>
      </c>
      <c r="L25" s="103">
        <f t="shared" si="1"/>
        <v>0</v>
      </c>
      <c r="M25" s="93">
        <v>46023</v>
      </c>
      <c r="N25" s="93">
        <v>46203</v>
      </c>
      <c r="O25" s="93"/>
      <c r="P25" s="90" t="s">
        <v>428</v>
      </c>
      <c r="Q25" s="85"/>
      <c r="R25" s="85"/>
      <c r="S25" s="77" t="s">
        <v>886</v>
      </c>
      <c r="T25" s="77" t="s">
        <v>431</v>
      </c>
      <c r="U25" s="85" t="s">
        <v>887</v>
      </c>
      <c r="V25" s="85" t="s">
        <v>823</v>
      </c>
      <c r="W25" s="85" t="s">
        <v>258</v>
      </c>
      <c r="X25" s="85"/>
      <c r="Y25" s="85" t="s">
        <v>458</v>
      </c>
      <c r="Z25" s="95">
        <v>2.06</v>
      </c>
      <c r="AA25" s="96">
        <f t="shared" si="2"/>
        <v>0</v>
      </c>
      <c r="AB25" s="96">
        <f t="shared" si="3"/>
        <v>0</v>
      </c>
      <c r="AC25" s="101"/>
      <c r="AD25" s="85" t="s">
        <v>597</v>
      </c>
      <c r="AE25" s="85" t="str">
        <f>IFERROR(VLOOKUP(H25,名称!A:C,3,0),"")</f>
        <v>FNT</v>
      </c>
      <c r="AF25" s="85" t="str">
        <f t="shared" si="4"/>
        <v>厄瓜多尔</v>
      </c>
      <c r="AG25" s="85" t="str">
        <f t="shared" si="0"/>
        <v>CORPORACION EL ROSADO S.A.</v>
      </c>
    </row>
    <row r="26" s="64" customFormat="1" ht="25" customHeight="1" spans="1:39">
      <c r="A26" s="90">
        <v>46185</v>
      </c>
      <c r="B26" s="91" t="s">
        <v>447</v>
      </c>
      <c r="C26" s="85" t="s">
        <v>448</v>
      </c>
      <c r="D26" s="77" t="s">
        <v>449</v>
      </c>
      <c r="E26" s="85" t="s">
        <v>246</v>
      </c>
      <c r="F26" s="85" t="s">
        <v>275</v>
      </c>
      <c r="G26" s="85" t="s">
        <v>382</v>
      </c>
      <c r="H26" s="85" t="s">
        <v>222</v>
      </c>
      <c r="I26" s="92" t="str">
        <f>IFERROR(VLOOKUP(H26,名称!A:C,2,0),"")</f>
        <v>蜘蛛侠配蜘蛛网套装</v>
      </c>
      <c r="J26" s="82">
        <f>156-108-48</f>
        <v>0</v>
      </c>
      <c r="K26" s="82">
        <f>VLOOKUP(H26,名称!A:D,4,0)</f>
        <v>6</v>
      </c>
      <c r="L26" s="103">
        <f t="shared" si="1"/>
        <v>0</v>
      </c>
      <c r="M26" s="93">
        <v>46008</v>
      </c>
      <c r="N26" s="93">
        <v>46203</v>
      </c>
      <c r="O26" s="93">
        <v>46059</v>
      </c>
      <c r="P26" s="90" t="s">
        <v>428</v>
      </c>
      <c r="Q26" s="90" t="s">
        <v>450</v>
      </c>
      <c r="R26" s="85"/>
      <c r="S26" s="77" t="s">
        <v>452</v>
      </c>
      <c r="T26" s="77" t="s">
        <v>453</v>
      </c>
      <c r="U26" s="85" t="s">
        <v>888</v>
      </c>
      <c r="V26" s="94"/>
      <c r="W26" s="85" t="s">
        <v>276</v>
      </c>
      <c r="X26" s="85"/>
      <c r="Y26" s="85" t="s">
        <v>889</v>
      </c>
      <c r="Z26" s="95">
        <v>4.28</v>
      </c>
      <c r="AA26" s="96">
        <f t="shared" si="2"/>
        <v>0</v>
      </c>
      <c r="AB26" s="96">
        <f t="shared" si="3"/>
        <v>0</v>
      </c>
      <c r="AC26" s="101"/>
      <c r="AD26" s="85" t="s">
        <v>434</v>
      </c>
      <c r="AE26" s="85" t="str">
        <f>IFERROR(VLOOKUP(H26,名称!A:C,3,0),"")</f>
        <v>SNF</v>
      </c>
      <c r="AF26" s="85" t="str">
        <f t="shared" si="4"/>
        <v>加拿大</v>
      </c>
      <c r="AG26" s="85" t="str">
        <f t="shared" si="0"/>
        <v>AMAZON CANADA</v>
      </c>
    </row>
    <row r="27" s="64" customFormat="1" ht="25" customHeight="1" spans="1:39">
      <c r="A27" s="93">
        <v>46056</v>
      </c>
      <c r="B27" s="91" t="s">
        <v>890</v>
      </c>
      <c r="C27" s="85" t="s">
        <v>891</v>
      </c>
      <c r="D27" s="77" t="s">
        <v>532</v>
      </c>
      <c r="E27" s="85" t="s">
        <v>246</v>
      </c>
      <c r="F27" s="85"/>
      <c r="G27" s="85" t="s">
        <v>385</v>
      </c>
      <c r="H27" s="85" t="s">
        <v>127</v>
      </c>
      <c r="I27" s="92" t="str">
        <f>IFERROR(VLOOKUP(H27,名称!A:C,2,0),"")</f>
        <v>混装配比I</v>
      </c>
      <c r="J27" s="82">
        <f>4008-4008</f>
        <v>0</v>
      </c>
      <c r="K27" s="82">
        <f>VLOOKUP(H27,名称!A:D,4,0)</f>
        <v>6</v>
      </c>
      <c r="L27" s="103">
        <f t="shared" si="1"/>
        <v>0</v>
      </c>
      <c r="M27" s="93">
        <v>46132</v>
      </c>
      <c r="N27" s="93">
        <v>46213</v>
      </c>
      <c r="O27" s="93"/>
      <c r="P27" s="90" t="s">
        <v>428</v>
      </c>
      <c r="Q27" s="85"/>
      <c r="R27" s="85"/>
      <c r="S27" s="77" t="s">
        <v>556</v>
      </c>
      <c r="T27" s="77" t="s">
        <v>431</v>
      </c>
      <c r="U27" s="85" t="s">
        <v>462</v>
      </c>
      <c r="V27" s="85" t="s">
        <v>471</v>
      </c>
      <c r="W27" s="85" t="s">
        <v>559</v>
      </c>
      <c r="X27" s="85" t="s">
        <v>473</v>
      </c>
      <c r="Y27" s="85" t="s">
        <v>474</v>
      </c>
      <c r="Z27" s="95">
        <v>2.315</v>
      </c>
      <c r="AA27" s="96">
        <f t="shared" si="2"/>
        <v>0</v>
      </c>
      <c r="AB27" s="96">
        <f t="shared" si="3"/>
        <v>0</v>
      </c>
      <c r="AC27" s="101"/>
      <c r="AD27" s="85" t="s">
        <v>463</v>
      </c>
      <c r="AE27" s="85" t="str">
        <f>IFERROR(VLOOKUP(H27,名称!A:C,3,0),"")</f>
        <v>FNT</v>
      </c>
      <c r="AF27" s="85" t="str">
        <f t="shared" si="4"/>
        <v>中欧</v>
      </c>
      <c r="AG27" s="85" t="str">
        <f t="shared" si="0"/>
        <v>Orbico SRO</v>
      </c>
    </row>
    <row r="28" s="63" customFormat="1" customHeight="1" spans="1:39">
      <c r="A28" s="75">
        <v>46080</v>
      </c>
      <c r="B28" s="76" t="s">
        <v>426</v>
      </c>
      <c r="C28" s="34" t="s">
        <v>593</v>
      </c>
      <c r="D28" s="77" t="s">
        <v>427</v>
      </c>
      <c r="E28" s="78" t="s">
        <v>277</v>
      </c>
      <c r="F28" s="34" t="s">
        <v>315</v>
      </c>
      <c r="G28" s="34" t="s">
        <v>321</v>
      </c>
      <c r="H28" s="34" t="s">
        <v>127</v>
      </c>
      <c r="I28" s="80" t="str">
        <f>IFERROR(VLOOKUP(H28,名称!A:C,2,0),"")</f>
        <v>混装配比I</v>
      </c>
      <c r="J28" s="81">
        <f>3204-1284-600-1200+1200+282-1200-400</f>
        <v>2</v>
      </c>
      <c r="K28" s="82">
        <f>VLOOKUP(H28,名称!A:D,4,0)</f>
        <v>6</v>
      </c>
      <c r="L28" s="34">
        <f t="shared" si="1"/>
        <v>0.333333333333333</v>
      </c>
      <c r="M28" s="75">
        <v>46113</v>
      </c>
      <c r="N28" s="75">
        <v>45853</v>
      </c>
      <c r="O28" s="75"/>
      <c r="P28" s="83" t="s">
        <v>428</v>
      </c>
      <c r="Q28" s="34"/>
      <c r="R28" s="34"/>
      <c r="S28" s="77" t="s">
        <v>556</v>
      </c>
      <c r="T28" s="77" t="s">
        <v>431</v>
      </c>
      <c r="U28" s="34" t="s">
        <v>462</v>
      </c>
      <c r="V28" s="85" t="s">
        <v>471</v>
      </c>
      <c r="W28" s="85" t="s">
        <v>559</v>
      </c>
      <c r="X28" s="34" t="s">
        <v>596</v>
      </c>
      <c r="Y28" s="85" t="s">
        <v>474</v>
      </c>
      <c r="Z28" s="86">
        <v>2.315</v>
      </c>
      <c r="AA28" s="87">
        <f t="shared" si="2"/>
        <v>4.63</v>
      </c>
      <c r="AB28" s="87">
        <f t="shared" si="3"/>
        <v>35.88</v>
      </c>
      <c r="AC28" s="73"/>
      <c r="AD28" s="85" t="s">
        <v>463</v>
      </c>
      <c r="AE28" s="85" t="str">
        <f>IFERROR(VLOOKUP(H28,名称!A:C,3,0),"")</f>
        <v>FNT</v>
      </c>
      <c r="AF28" s="34" t="str">
        <f t="shared" si="4"/>
        <v>智利</v>
      </c>
      <c r="AG28" s="85" t="str">
        <f t="shared" si="0"/>
        <v>JAZWARES</v>
      </c>
    </row>
    <row r="29" s="63" customFormat="1" customHeight="1" spans="1:39">
      <c r="A29" s="75">
        <v>46196</v>
      </c>
      <c r="B29" s="76" t="s">
        <v>490</v>
      </c>
      <c r="C29" s="34" t="s">
        <v>491</v>
      </c>
      <c r="D29" s="77" t="s">
        <v>492</v>
      </c>
      <c r="E29" s="78" t="s">
        <v>262</v>
      </c>
      <c r="F29" s="34"/>
      <c r="G29" s="34" t="s">
        <v>386</v>
      </c>
      <c r="H29" s="34" t="s">
        <v>127</v>
      </c>
      <c r="I29" s="80" t="str">
        <f>IFERROR(VLOOKUP(H29,名称!A:C,2,0),"")</f>
        <v>混装配比I</v>
      </c>
      <c r="J29" s="81">
        <f>2004+3000</f>
        <v>5004</v>
      </c>
      <c r="K29" s="82">
        <f>VLOOKUP(H29,名称!A:D,4,0)</f>
        <v>6</v>
      </c>
      <c r="L29" s="34">
        <f t="shared" si="1"/>
        <v>834</v>
      </c>
      <c r="M29" s="75">
        <v>46203</v>
      </c>
      <c r="N29" s="75">
        <v>46287</v>
      </c>
      <c r="O29" s="75"/>
      <c r="P29" s="83" t="s">
        <v>428</v>
      </c>
      <c r="Q29" s="34"/>
      <c r="R29" s="34"/>
      <c r="S29" s="77" t="s">
        <v>494</v>
      </c>
      <c r="T29" s="77" t="s">
        <v>431</v>
      </c>
      <c r="U29" s="34"/>
      <c r="V29" s="85"/>
      <c r="W29" s="85" t="s">
        <v>258</v>
      </c>
      <c r="X29" s="34" t="s">
        <v>557</v>
      </c>
      <c r="Y29" s="85" t="s">
        <v>474</v>
      </c>
      <c r="Z29" s="86">
        <v>2.33</v>
      </c>
      <c r="AA29" s="87">
        <f t="shared" si="2"/>
        <v>11659.32</v>
      </c>
      <c r="AB29" s="87">
        <f t="shared" si="3"/>
        <v>90359.73</v>
      </c>
      <c r="AC29" s="88">
        <v>46199</v>
      </c>
      <c r="AD29" s="85" t="s">
        <v>463</v>
      </c>
      <c r="AE29" s="85" t="str">
        <f>IFERROR(VLOOKUP(H29,名称!A:C,3,0),"")</f>
        <v>FNT</v>
      </c>
      <c r="AF29" s="34" t="str">
        <f t="shared" si="4"/>
        <v>德国</v>
      </c>
      <c r="AG29" s="85" t="str">
        <f t="shared" si="0"/>
        <v>M + F</v>
      </c>
    </row>
    <row r="30" s="63" customFormat="1" customHeight="1" spans="1:39">
      <c r="A30" s="75">
        <v>46199</v>
      </c>
      <c r="B30" s="76" t="s">
        <v>813</v>
      </c>
      <c r="C30" s="34" t="s">
        <v>814</v>
      </c>
      <c r="D30" s="77" t="s">
        <v>532</v>
      </c>
      <c r="E30" s="78" t="s">
        <v>246</v>
      </c>
      <c r="F30" s="34" t="s">
        <v>344</v>
      </c>
      <c r="G30" s="34" t="s">
        <v>892</v>
      </c>
      <c r="H30" s="34" t="s">
        <v>129</v>
      </c>
      <c r="I30" s="80" t="str">
        <f>IFERROR(VLOOKUP(H30,名称!A:C,2,0),"")</f>
        <v>混装配比K</v>
      </c>
      <c r="J30" s="81">
        <f>1200-1200</f>
        <v>0</v>
      </c>
      <c r="K30" s="82">
        <f>VLOOKUP(H30,名称!A:D,4,0)</f>
        <v>6</v>
      </c>
      <c r="L30" s="34">
        <f t="shared" si="1"/>
        <v>0</v>
      </c>
      <c r="M30" s="75">
        <v>46188</v>
      </c>
      <c r="N30" s="75">
        <v>46184</v>
      </c>
      <c r="O30" s="75"/>
      <c r="P30" s="83" t="s">
        <v>428</v>
      </c>
      <c r="Q30" s="34"/>
      <c r="R30" s="34"/>
      <c r="S30" s="77" t="s">
        <v>556</v>
      </c>
      <c r="T30" s="77" t="s">
        <v>431</v>
      </c>
      <c r="U30" s="34"/>
      <c r="V30" s="85" t="s">
        <v>471</v>
      </c>
      <c r="W30" s="85" t="s">
        <v>258</v>
      </c>
      <c r="X30" s="34" t="s">
        <v>596</v>
      </c>
      <c r="Y30" s="85" t="s">
        <v>558</v>
      </c>
      <c r="Z30" s="86">
        <v>2.298</v>
      </c>
      <c r="AA30" s="87">
        <f t="shared" si="2"/>
        <v>0</v>
      </c>
      <c r="AB30" s="87">
        <f t="shared" si="3"/>
        <v>0</v>
      </c>
      <c r="AC30" s="73"/>
      <c r="AD30" s="85" t="s">
        <v>463</v>
      </c>
      <c r="AE30" s="85" t="str">
        <f>IFERROR(VLOOKUP(H30,名称!A:C,3,0),"")</f>
        <v>FNT</v>
      </c>
      <c r="AF30" s="34" t="str">
        <f t="shared" si="4"/>
        <v>克罗地亚</v>
      </c>
      <c r="AG30" s="85" t="str">
        <f t="shared" si="0"/>
        <v>ORBICO D.O.O</v>
      </c>
    </row>
    <row r="31" s="64" customFormat="1" ht="25" customHeight="1" spans="1:39">
      <c r="A31" s="93"/>
      <c r="B31" s="91"/>
      <c r="C31" s="85"/>
      <c r="D31" s="77"/>
      <c r="E31" s="78"/>
      <c r="F31" s="85"/>
      <c r="G31" s="90"/>
      <c r="H31" s="91"/>
      <c r="I31" s="85"/>
      <c r="J31" s="77"/>
      <c r="K31" s="78"/>
      <c r="L31" s="85"/>
      <c r="M31" s="85"/>
      <c r="N31" s="85"/>
      <c r="O31" s="80"/>
      <c r="P31" s="82"/>
      <c r="Q31" s="82"/>
      <c r="R31" s="34"/>
      <c r="S31" s="93"/>
      <c r="T31" s="93"/>
      <c r="U31" s="93"/>
      <c r="V31" s="83"/>
      <c r="W31" s="85"/>
      <c r="X31" s="85"/>
      <c r="Y31" s="77"/>
      <c r="Z31" s="77"/>
      <c r="AA31" s="85"/>
      <c r="AB31" s="85"/>
      <c r="AC31" s="85"/>
      <c r="AD31" s="85"/>
      <c r="AE31" s="85"/>
      <c r="AF31" s="95"/>
      <c r="AG31" s="96">
        <f t="shared" si="0"/>
        <v>0</v>
      </c>
      <c r="AH31" s="96"/>
      <c r="AI31" s="101"/>
      <c r="AJ31" s="85"/>
      <c r="AK31" s="85"/>
      <c r="AL31" s="85"/>
      <c r="AM31" s="85"/>
    </row>
    <row r="32" s="66" customFormat="1" ht="25" customHeight="1" spans="1:39">
      <c r="A32" s="93"/>
      <c r="B32" s="91"/>
      <c r="C32" s="85"/>
      <c r="D32" s="77"/>
      <c r="E32" s="78"/>
      <c r="F32" s="85"/>
      <c r="G32" s="85"/>
      <c r="H32" s="85"/>
      <c r="I32" s="92"/>
      <c r="J32" s="82"/>
      <c r="K32" s="82"/>
      <c r="L32" s="85"/>
      <c r="M32" s="93"/>
      <c r="N32" s="93"/>
      <c r="O32" s="85"/>
      <c r="P32" s="90"/>
      <c r="Q32" s="85"/>
      <c r="R32" s="93"/>
      <c r="S32" s="92"/>
      <c r="T32" s="100"/>
      <c r="U32" s="85"/>
      <c r="V32" s="94"/>
      <c r="W32" s="92"/>
      <c r="X32" s="85"/>
      <c r="Y32" s="85"/>
      <c r="Z32" s="95"/>
      <c r="AA32" s="96"/>
      <c r="AB32" s="96"/>
      <c r="AC32" s="105"/>
      <c r="AD32" s="85"/>
      <c r="AE32" s="85"/>
      <c r="AF32" s="85"/>
      <c r="AG32" s="85">
        <f t="shared" si="0"/>
        <v>0</v>
      </c>
    </row>
    <row r="33" s="64" customFormat="1" ht="25" customHeight="1" spans="1:39">
      <c r="A33" s="93"/>
      <c r="B33" s="91"/>
      <c r="C33" s="85"/>
      <c r="D33" s="77"/>
      <c r="E33" s="78"/>
      <c r="F33" s="85"/>
      <c r="G33" s="90"/>
      <c r="H33" s="91"/>
      <c r="I33" s="85"/>
      <c r="J33" s="77"/>
      <c r="K33" s="78"/>
      <c r="L33" s="85"/>
      <c r="M33" s="85"/>
      <c r="N33" s="85"/>
      <c r="O33" s="80"/>
      <c r="P33" s="82"/>
      <c r="Q33" s="82"/>
      <c r="R33" s="34"/>
      <c r="S33" s="93"/>
      <c r="T33" s="93"/>
      <c r="U33" s="93"/>
      <c r="V33" s="83"/>
      <c r="W33" s="85"/>
      <c r="X33" s="85"/>
      <c r="Y33" s="77"/>
      <c r="Z33" s="77"/>
      <c r="AA33" s="85"/>
      <c r="AB33" s="85"/>
      <c r="AC33" s="85"/>
      <c r="AD33" s="85"/>
      <c r="AE33" s="85"/>
      <c r="AF33" s="95"/>
      <c r="AG33" s="96">
        <f t="shared" si="0"/>
        <v>0</v>
      </c>
      <c r="AH33" s="96"/>
      <c r="AI33" s="101"/>
      <c r="AJ33" s="85"/>
      <c r="AK33" s="85"/>
      <c r="AL33" s="85"/>
      <c r="AM33" s="85"/>
    </row>
    <row r="34" s="66" customFormat="1" ht="25" customHeight="1" spans="1:39">
      <c r="A34" s="93"/>
      <c r="B34" s="91"/>
      <c r="C34" s="85"/>
      <c r="D34" s="77"/>
      <c r="E34" s="78"/>
      <c r="F34" s="85"/>
      <c r="G34" s="85"/>
      <c r="H34" s="85"/>
      <c r="I34" s="92"/>
      <c r="J34" s="82"/>
      <c r="K34" s="82"/>
      <c r="L34" s="85"/>
      <c r="M34" s="93"/>
      <c r="N34" s="93"/>
      <c r="O34" s="85"/>
      <c r="P34" s="90"/>
      <c r="Q34" s="85"/>
      <c r="R34" s="93"/>
      <c r="S34" s="92"/>
      <c r="T34" s="100"/>
      <c r="U34" s="85"/>
      <c r="V34" s="94"/>
      <c r="W34" s="92"/>
      <c r="X34" s="85"/>
      <c r="Y34" s="85"/>
      <c r="Z34" s="95"/>
      <c r="AA34" s="96"/>
      <c r="AB34" s="96"/>
      <c r="AC34" s="105"/>
      <c r="AD34" s="85"/>
      <c r="AE34" s="85"/>
      <c r="AF34" s="85"/>
      <c r="AG34" s="85">
        <f t="shared" si="0"/>
        <v>0</v>
      </c>
    </row>
    <row r="35" s="66" customFormat="1" ht="25" customHeight="1" spans="1:39">
      <c r="A35" s="93"/>
      <c r="B35" s="91"/>
      <c r="C35" s="85"/>
      <c r="D35" s="77"/>
      <c r="E35" s="78"/>
      <c r="F35" s="85"/>
      <c r="G35" s="85"/>
      <c r="H35" s="85"/>
      <c r="I35" s="92"/>
      <c r="J35" s="82"/>
      <c r="K35" s="82"/>
      <c r="L35" s="85"/>
      <c r="M35" s="93"/>
      <c r="N35" s="93"/>
      <c r="O35" s="85"/>
      <c r="P35" s="90"/>
      <c r="Q35" s="85"/>
      <c r="R35" s="93"/>
      <c r="S35" s="92"/>
      <c r="T35" s="100"/>
      <c r="U35" s="85"/>
      <c r="V35" s="94"/>
      <c r="W35" s="92"/>
      <c r="X35" s="85"/>
      <c r="Y35" s="85"/>
      <c r="Z35" s="95"/>
      <c r="AA35" s="96"/>
      <c r="AB35" s="96"/>
      <c r="AC35" s="105"/>
      <c r="AD35" s="85"/>
      <c r="AE35" s="85"/>
      <c r="AF35" s="85"/>
      <c r="AG35" s="85">
        <f t="shared" si="0"/>
        <v>0</v>
      </c>
    </row>
    <row r="36" s="66" customFormat="1" ht="25" customHeight="1" spans="1:39">
      <c r="A36" s="93"/>
      <c r="B36" s="91"/>
      <c r="C36" s="85"/>
      <c r="D36" s="77"/>
      <c r="E36" s="78"/>
      <c r="F36" s="85"/>
      <c r="G36" s="85"/>
      <c r="H36" s="85"/>
      <c r="I36" s="92"/>
      <c r="J36" s="82"/>
      <c r="K36" s="82"/>
      <c r="L36" s="85"/>
      <c r="M36" s="93"/>
      <c r="N36" s="93"/>
      <c r="O36" s="85"/>
      <c r="P36" s="90"/>
      <c r="Q36" s="85"/>
      <c r="R36" s="93"/>
      <c r="S36" s="92"/>
      <c r="T36" s="100"/>
      <c r="U36" s="85"/>
      <c r="V36" s="94"/>
      <c r="W36" s="92"/>
      <c r="X36" s="85"/>
      <c r="Y36" s="85"/>
      <c r="Z36" s="95"/>
      <c r="AA36" s="96"/>
      <c r="AB36" s="96"/>
      <c r="AC36" s="105"/>
      <c r="AD36" s="85"/>
      <c r="AE36" s="85"/>
      <c r="AF36" s="85"/>
      <c r="AG36" s="85">
        <f t="shared" si="0"/>
        <v>0</v>
      </c>
    </row>
    <row r="37" s="65" customFormat="1" customHeight="1" spans="1:39">
      <c r="A37" s="106"/>
      <c r="B37" s="34"/>
      <c r="C37" s="34"/>
      <c r="D37" s="83"/>
      <c r="E37" s="34"/>
      <c r="F37" s="34"/>
      <c r="G37" s="34"/>
      <c r="H37" s="34"/>
      <c r="I37" s="34"/>
      <c r="J37" s="97">
        <f>SUM(J1:J36)</f>
        <v>30700</v>
      </c>
      <c r="K37" s="97"/>
      <c r="L37" s="34"/>
      <c r="M37" s="83"/>
      <c r="N37" s="83"/>
      <c r="O37" s="83"/>
      <c r="P37" s="83"/>
      <c r="Q37" s="34"/>
      <c r="R37" s="34"/>
      <c r="S37" s="80"/>
      <c r="T37" s="80"/>
      <c r="U37" s="80"/>
      <c r="V37" s="80"/>
      <c r="W37" s="80"/>
      <c r="X37" s="34"/>
      <c r="Y37" s="34"/>
      <c r="Z37" s="86"/>
      <c r="AA37" s="87">
        <f>SUM(AA1:AA36)</f>
        <v>130892.22</v>
      </c>
      <c r="AB37" s="87">
        <f>SUM(AB1:AB36)</f>
        <v>1014414.71</v>
      </c>
      <c r="AC37" s="73"/>
      <c r="AD37" s="34"/>
      <c r="AE37" s="34"/>
      <c r="AF37" s="34"/>
      <c r="AG37" s="85">
        <f t="shared" si="0"/>
        <v>0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AE37" etc:filterBottomFollowUsedRange="0">
    <extLst/>
  </autoFilter>
  <conditionalFormatting sqref="B2">
    <cfRule type="containsText" dxfId="0" priority="28" operator="between" text="TARGET">
      <formula>NOT(ISERROR(SEARCH("TARGET",B2)))</formula>
    </cfRule>
  </conditionalFormatting>
  <conditionalFormatting sqref="B3">
    <cfRule type="containsText" dxfId="0" priority="27" operator="between" text="TARGET">
      <formula>NOT(ISERROR(SEARCH("TARGET",B3)))</formula>
    </cfRule>
  </conditionalFormatting>
  <conditionalFormatting sqref="B4">
    <cfRule type="containsText" dxfId="0" priority="26" operator="between" text="TARGET">
      <formula>NOT(ISERROR(SEARCH("TARGET",B4)))</formula>
    </cfRule>
  </conditionalFormatting>
  <conditionalFormatting sqref="B13">
    <cfRule type="containsText" dxfId="0" priority="24" operator="between" text="TARGET">
      <formula>NOT(ISERROR(SEARCH("TARGET",B13)))</formula>
    </cfRule>
  </conditionalFormatting>
  <conditionalFormatting sqref="B14">
    <cfRule type="containsText" dxfId="0" priority="23" operator="between" text="TARGET">
      <formula>NOT(ISERROR(SEARCH("TARGET",B14)))</formula>
    </cfRule>
  </conditionalFormatting>
  <conditionalFormatting sqref="B15">
    <cfRule type="containsText" dxfId="0" priority="21" operator="between" text="TARGET">
      <formula>NOT(ISERROR(SEARCH("TARGET",B15)))</formula>
    </cfRule>
  </conditionalFormatting>
  <conditionalFormatting sqref="B16">
    <cfRule type="containsText" dxfId="0" priority="19" operator="between" text="TARGET">
      <formula>NOT(ISERROR(SEARCH("TARGET",B16)))</formula>
    </cfRule>
  </conditionalFormatting>
  <conditionalFormatting sqref="B17">
    <cfRule type="containsText" dxfId="0" priority="18" operator="between" text="TARGET">
      <formula>NOT(ISERROR(SEARCH("TARGET",B17)))</formula>
    </cfRule>
  </conditionalFormatting>
  <conditionalFormatting sqref="B18">
    <cfRule type="containsText" dxfId="0" priority="16" operator="between" text="TARGET">
      <formula>NOT(ISERROR(SEARCH("TARGET",B18)))</formula>
    </cfRule>
  </conditionalFormatting>
  <conditionalFormatting sqref="B19">
    <cfRule type="containsText" dxfId="0" priority="14" operator="between" text="TARGET">
      <formula>NOT(ISERROR(SEARCH("TARGET",B19)))</formula>
    </cfRule>
  </conditionalFormatting>
  <conditionalFormatting sqref="B20">
    <cfRule type="containsText" dxfId="0" priority="9" operator="between" text="TARGET">
      <formula>NOT(ISERROR(SEARCH("TARGET",B20)))</formula>
    </cfRule>
  </conditionalFormatting>
  <conditionalFormatting sqref="B21">
    <cfRule type="containsText" dxfId="0" priority="8" operator="between" text="TARGET">
      <formula>NOT(ISERROR(SEARCH("TARGET",B21)))</formula>
    </cfRule>
  </conditionalFormatting>
  <conditionalFormatting sqref="B22">
    <cfRule type="containsText" dxfId="0" priority="7" operator="between" text="TARGET">
      <formula>NOT(ISERROR(SEARCH("TARGET",B22)))</formula>
    </cfRule>
  </conditionalFormatting>
  <conditionalFormatting sqref="B23">
    <cfRule type="containsText" dxfId="0" priority="6" operator="between" text="TARGET">
      <formula>NOT(ISERROR(SEARCH("TARGET",B23)))</formula>
    </cfRule>
  </conditionalFormatting>
  <conditionalFormatting sqref="B24">
    <cfRule type="containsText" dxfId="0" priority="5" operator="between" text="TARGET">
      <formula>NOT(ISERROR(SEARCH("TARGET",B24)))</formula>
    </cfRule>
  </conditionalFormatting>
  <conditionalFormatting sqref="B25">
    <cfRule type="containsText" dxfId="0" priority="4" operator="between" text="TARGET">
      <formula>NOT(ISERROR(SEARCH("TARGET",B25)))</formula>
    </cfRule>
  </conditionalFormatting>
  <conditionalFormatting sqref="B29">
    <cfRule type="containsText" dxfId="0" priority="1" operator="between" text="TARGET">
      <formula>NOT(ISERROR(SEARCH("TARGET",B29)))</formula>
    </cfRule>
  </conditionalFormatting>
  <conditionalFormatting sqref="B30">
    <cfRule type="containsText" dxfId="0" priority="2" operator="between" text="TARGET">
      <formula>NOT(ISERROR(SEARCH("TARGET",B30)))</formula>
    </cfRule>
  </conditionalFormatting>
  <conditionalFormatting sqref="H33">
    <cfRule type="containsText" dxfId="0" priority="13" operator="between" text="TARGET">
      <formula>NOT(ISERROR(SEARCH("TARGET",H33)))</formula>
    </cfRule>
  </conditionalFormatting>
  <conditionalFormatting sqref="B5:B12">
    <cfRule type="containsText" dxfId="0" priority="25" operator="between" text="TARGET">
      <formula>NOT(ISERROR(SEARCH("TARGET",B5)))</formula>
    </cfRule>
  </conditionalFormatting>
  <conditionalFormatting sqref="B31:B32">
    <cfRule type="containsText" dxfId="0" priority="3" operator="between" text="TARGET">
      <formula>NOT(ISERROR(SEARCH("TARGET",B31)))</formula>
    </cfRule>
  </conditionalFormatting>
  <pageMargins left="0.75" right="0.75" top="1" bottom="1" header="0.5" footer="0.5"/>
  <pageSetup paperSize="9" orientation="portrait"/>
  <headerFooter/>
  <ignoredErrors>
    <ignoredError sqref="G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7"/>
  <sheetViews>
    <sheetView workbookViewId="0">
      <pane ySplit="5" topLeftCell="A658" activePane="bottomLeft" state="frozen"/>
      <selection/>
      <selection pane="bottomLeft" activeCell="H658" sqref="H658"/>
    </sheetView>
  </sheetViews>
  <sheetFormatPr defaultColWidth="15.6" defaultRowHeight="24.9" customHeight="1"/>
  <cols>
    <col min="1" max="1" width="17" style="2" customWidth="1"/>
    <col min="2" max="5" width="15.6" style="2" customWidth="1"/>
    <col min="6" max="6" width="24.7" style="2" customWidth="1"/>
    <col min="7" max="15" width="15.6" style="2" customWidth="1"/>
    <col min="16" max="16" width="19.7" style="2" customWidth="1"/>
    <col min="17" max="17" width="15.6" style="2" customWidth="1"/>
    <col min="18" max="16384" width="15.6" style="2"/>
  </cols>
  <sheetData>
    <row r="1" customHeight="1" spans="1:18">
      <c r="A1" s="3" t="s">
        <v>236</v>
      </c>
      <c r="B1" s="3" t="s">
        <v>893</v>
      </c>
      <c r="C1" s="3" t="s">
        <v>894</v>
      </c>
      <c r="D1" s="3" t="s">
        <v>895</v>
      </c>
      <c r="E1" s="3" t="s">
        <v>14</v>
      </c>
      <c r="F1" s="3" t="s">
        <v>83</v>
      </c>
      <c r="G1" s="3" t="s">
        <v>81</v>
      </c>
      <c r="H1" s="3" t="s">
        <v>21</v>
      </c>
      <c r="I1" s="3" t="s">
        <v>85</v>
      </c>
      <c r="J1" s="3" t="s">
        <v>19</v>
      </c>
      <c r="K1" s="3" t="s">
        <v>896</v>
      </c>
      <c r="L1" s="3" t="s">
        <v>897</v>
      </c>
      <c r="M1" s="3" t="s">
        <v>62</v>
      </c>
      <c r="N1" s="3" t="s">
        <v>898</v>
      </c>
      <c r="O1" s="3" t="s">
        <v>70</v>
      </c>
      <c r="P1" s="3" t="s">
        <v>158</v>
      </c>
      <c r="Q1" s="3" t="s">
        <v>181</v>
      </c>
      <c r="R1" s="3" t="s">
        <v>176</v>
      </c>
    </row>
    <row r="2" customHeight="1" spans="1:18">
      <c r="A2" s="4" t="s">
        <v>899</v>
      </c>
      <c r="B2" s="4">
        <f>E18</f>
        <v>19000</v>
      </c>
      <c r="C2" s="4">
        <f>E30</f>
        <v>19000</v>
      </c>
      <c r="D2" s="4">
        <f>E42</f>
        <v>19000</v>
      </c>
      <c r="E2" s="4">
        <f>E54</f>
        <v>12699</v>
      </c>
      <c r="F2" s="4">
        <f>E64</f>
        <v>7000</v>
      </c>
      <c r="G2" s="4">
        <f>E75</f>
        <v>0</v>
      </c>
      <c r="H2" s="4">
        <f>E226</f>
        <v>9901</v>
      </c>
      <c r="I2" s="4">
        <f>E237</f>
        <v>4000</v>
      </c>
      <c r="J2" s="4">
        <f>E269</f>
        <v>45523</v>
      </c>
      <c r="K2" s="4">
        <f>E280</f>
        <v>37000</v>
      </c>
      <c r="L2" s="4">
        <f>E290</f>
        <v>12800</v>
      </c>
      <c r="M2" s="4">
        <f>E299</f>
        <v>12000</v>
      </c>
      <c r="N2" s="4">
        <f>E310</f>
        <v>16000</v>
      </c>
      <c r="O2" s="4">
        <f>E744</f>
        <v>5448</v>
      </c>
      <c r="P2" s="4">
        <f>E779</f>
        <v>519898</v>
      </c>
      <c r="Q2" s="4">
        <f>E814</f>
        <v>93663</v>
      </c>
      <c r="R2" s="4">
        <f>E877</f>
        <v>3520</v>
      </c>
    </row>
    <row r="3" customHeight="1" spans="1:18">
      <c r="A3" s="5"/>
      <c r="B3" s="5"/>
      <c r="C3" s="5"/>
    </row>
    <row r="4" customHeight="1" spans="1:18">
      <c r="A4" s="3" t="s">
        <v>236</v>
      </c>
      <c r="B4" s="3" t="s">
        <v>60</v>
      </c>
      <c r="C4" s="3" t="s">
        <v>900</v>
      </c>
      <c r="D4" s="3" t="s">
        <v>58</v>
      </c>
      <c r="E4" s="3" t="s">
        <v>56</v>
      </c>
      <c r="F4" s="3" t="s">
        <v>54</v>
      </c>
      <c r="G4" s="3" t="s">
        <v>901</v>
      </c>
      <c r="H4" s="3" t="s">
        <v>25</v>
      </c>
      <c r="I4" s="3" t="s">
        <v>34</v>
      </c>
      <c r="J4" s="3" t="s">
        <v>46</v>
      </c>
      <c r="K4" s="3" t="s">
        <v>902</v>
      </c>
      <c r="L4" s="3" t="s">
        <v>109</v>
      </c>
      <c r="M4" s="3" t="s">
        <v>107</v>
      </c>
      <c r="N4" s="3" t="s">
        <v>208</v>
      </c>
      <c r="O4" s="3" t="s">
        <v>903</v>
      </c>
      <c r="P4" s="3">
        <v>97759</v>
      </c>
    </row>
    <row r="5" customHeight="1" spans="1:18">
      <c r="A5" s="4" t="s">
        <v>899</v>
      </c>
      <c r="B5" s="4">
        <f>E360</f>
        <v>3800</v>
      </c>
      <c r="C5" s="4">
        <f>E345</f>
        <v>47058</v>
      </c>
      <c r="D5" s="4">
        <f>E373</f>
        <v>24500</v>
      </c>
      <c r="E5" s="4">
        <f>E389</f>
        <v>28000</v>
      </c>
      <c r="F5" s="4">
        <f>E418</f>
        <v>3444</v>
      </c>
      <c r="G5" s="4">
        <f>E433</f>
        <v>3149</v>
      </c>
      <c r="H5" s="4">
        <f>E621</f>
        <v>-6557</v>
      </c>
      <c r="I5" s="4">
        <f>E653</f>
        <v>7058</v>
      </c>
      <c r="J5" s="4">
        <f>E667</f>
        <v>191002</v>
      </c>
      <c r="K5" s="4">
        <f>E466</f>
        <v>1250</v>
      </c>
      <c r="L5" s="4">
        <f>E444</f>
        <v>5836</v>
      </c>
      <c r="M5" s="4">
        <f>E455</f>
        <v>616</v>
      </c>
      <c r="N5" s="4">
        <f>E684</f>
        <v>732</v>
      </c>
      <c r="O5" s="2">
        <f>C791</f>
        <v>86857</v>
      </c>
      <c r="P5" s="4">
        <f>E864</f>
        <v>80630</v>
      </c>
    </row>
    <row r="9" customHeight="1" spans="1:18">
      <c r="A9" s="6" t="s">
        <v>904</v>
      </c>
      <c r="B9" s="7" t="s">
        <v>905</v>
      </c>
      <c r="C9" s="6" t="s">
        <v>906</v>
      </c>
      <c r="D9" s="8" t="s">
        <v>907</v>
      </c>
      <c r="E9" s="6" t="s">
        <v>908</v>
      </c>
    </row>
    <row r="10" customHeight="1" spans="1:18">
      <c r="A10" s="9" t="s">
        <v>893</v>
      </c>
      <c r="B10" s="10">
        <v>22000</v>
      </c>
      <c r="C10" s="10" t="s">
        <v>909</v>
      </c>
      <c r="D10" s="11">
        <v>44481</v>
      </c>
      <c r="E10" s="11">
        <v>44560</v>
      </c>
    </row>
    <row r="11" customHeight="1" spans="1:18">
      <c r="A11" s="6" t="s">
        <v>910</v>
      </c>
      <c r="B11" s="7" t="s">
        <v>911</v>
      </c>
      <c r="C11" s="12" t="s">
        <v>904</v>
      </c>
      <c r="D11" s="12" t="s">
        <v>912</v>
      </c>
      <c r="E11" s="6" t="s">
        <v>913</v>
      </c>
    </row>
    <row r="12" customHeight="1" spans="1:18">
      <c r="A12" s="13">
        <v>44601</v>
      </c>
      <c r="B12" s="14" t="s">
        <v>914</v>
      </c>
      <c r="C12" s="14" t="s">
        <v>893</v>
      </c>
      <c r="D12" s="4">
        <v>3000</v>
      </c>
      <c r="E12" s="4">
        <f>B10-D12</f>
        <v>19000</v>
      </c>
    </row>
    <row r="13" customHeight="1" spans="1:18">
      <c r="A13" s="4"/>
      <c r="B13" s="4"/>
      <c r="C13" s="4"/>
      <c r="D13" s="4"/>
      <c r="E13" s="4"/>
    </row>
    <row r="14" customHeight="1" spans="1:18">
      <c r="A14" s="4"/>
      <c r="B14" s="4"/>
      <c r="C14" s="4"/>
      <c r="D14" s="4"/>
      <c r="E14" s="4"/>
    </row>
    <row r="15" customHeight="1" spans="1:18">
      <c r="A15" s="4"/>
      <c r="B15" s="4"/>
      <c r="C15" s="4"/>
      <c r="D15" s="4"/>
      <c r="E15" s="4"/>
    </row>
    <row r="16" customHeight="1" spans="1:18">
      <c r="A16" s="4"/>
      <c r="B16" s="4"/>
      <c r="C16" s="4"/>
      <c r="D16" s="4"/>
      <c r="E16" s="4"/>
    </row>
    <row r="17" customHeight="1" spans="1:5">
      <c r="A17" s="4"/>
      <c r="B17" s="4"/>
      <c r="C17" s="4"/>
      <c r="D17" s="4"/>
      <c r="E17" s="4"/>
    </row>
    <row r="18" customHeight="1" spans="1:5">
      <c r="A18" s="15" t="s">
        <v>620</v>
      </c>
      <c r="B18" s="16"/>
      <c r="C18" s="16"/>
      <c r="D18" s="17"/>
      <c r="E18" s="4">
        <f>E12</f>
        <v>19000</v>
      </c>
    </row>
    <row r="21" customHeight="1" spans="1:5">
      <c r="A21" s="6" t="s">
        <v>904</v>
      </c>
      <c r="B21" s="7" t="s">
        <v>905</v>
      </c>
      <c r="C21" s="6" t="s">
        <v>906</v>
      </c>
      <c r="D21" s="8" t="s">
        <v>907</v>
      </c>
      <c r="E21" s="6" t="s">
        <v>908</v>
      </c>
    </row>
    <row r="22" customHeight="1" spans="1:5">
      <c r="A22" s="9" t="s">
        <v>894</v>
      </c>
      <c r="B22" s="10">
        <v>22000</v>
      </c>
      <c r="C22" s="10" t="s">
        <v>909</v>
      </c>
      <c r="D22" s="11">
        <v>44481</v>
      </c>
      <c r="E22" s="11">
        <v>44560</v>
      </c>
    </row>
    <row r="23" customHeight="1" spans="1:5">
      <c r="A23" s="6" t="s">
        <v>910</v>
      </c>
      <c r="B23" s="7" t="s">
        <v>911</v>
      </c>
      <c r="C23" s="12" t="s">
        <v>904</v>
      </c>
      <c r="D23" s="12" t="s">
        <v>912</v>
      </c>
      <c r="E23" s="6" t="s">
        <v>913</v>
      </c>
    </row>
    <row r="24" customHeight="1" spans="1:5">
      <c r="A24" s="13">
        <v>44601</v>
      </c>
      <c r="B24" s="14" t="s">
        <v>914</v>
      </c>
      <c r="C24" s="14" t="s">
        <v>894</v>
      </c>
      <c r="D24" s="4">
        <v>3000</v>
      </c>
      <c r="E24" s="4">
        <f>B22-D24</f>
        <v>19000</v>
      </c>
    </row>
    <row r="25" customHeight="1" spans="1:5">
      <c r="A25" s="4"/>
      <c r="B25" s="4"/>
      <c r="C25" s="4"/>
      <c r="D25" s="4"/>
      <c r="E25" s="4"/>
    </row>
    <row r="26" customHeight="1" spans="1:5">
      <c r="A26" s="4"/>
      <c r="B26" s="4"/>
      <c r="C26" s="4"/>
      <c r="D26" s="4"/>
      <c r="E26" s="4"/>
    </row>
    <row r="27" customHeight="1" spans="1:5">
      <c r="A27" s="4"/>
      <c r="B27" s="4"/>
      <c r="C27" s="4"/>
      <c r="D27" s="4"/>
      <c r="E27" s="4"/>
    </row>
    <row r="28" customHeight="1" spans="1:5">
      <c r="A28" s="4"/>
      <c r="B28" s="4"/>
      <c r="C28" s="4"/>
      <c r="D28" s="4"/>
      <c r="E28" s="4"/>
    </row>
    <row r="29" customHeight="1" spans="1:5">
      <c r="A29" s="4"/>
      <c r="B29" s="4"/>
      <c r="C29" s="4"/>
      <c r="D29" s="4"/>
      <c r="E29" s="4"/>
    </row>
    <row r="30" customHeight="1" spans="1:5">
      <c r="A30" s="15" t="s">
        <v>620</v>
      </c>
      <c r="B30" s="16"/>
      <c r="C30" s="16"/>
      <c r="D30" s="17"/>
      <c r="E30" s="4">
        <f>E24</f>
        <v>19000</v>
      </c>
    </row>
    <row r="33" customHeight="1" spans="1:5">
      <c r="A33" s="6" t="s">
        <v>904</v>
      </c>
      <c r="B33" s="7" t="s">
        <v>905</v>
      </c>
      <c r="C33" s="6" t="s">
        <v>906</v>
      </c>
      <c r="D33" s="8" t="s">
        <v>907</v>
      </c>
      <c r="E33" s="6" t="s">
        <v>908</v>
      </c>
    </row>
    <row r="34" customHeight="1" spans="1:5">
      <c r="A34" s="9" t="s">
        <v>895</v>
      </c>
      <c r="B34" s="10">
        <v>22000</v>
      </c>
      <c r="C34" s="10" t="s">
        <v>909</v>
      </c>
      <c r="D34" s="11">
        <v>44481</v>
      </c>
      <c r="E34" s="11">
        <v>44560</v>
      </c>
    </row>
    <row r="35" customHeight="1" spans="1:5">
      <c r="A35" s="6" t="s">
        <v>910</v>
      </c>
      <c r="B35" s="7" t="s">
        <v>911</v>
      </c>
      <c r="C35" s="12" t="s">
        <v>904</v>
      </c>
      <c r="D35" s="12" t="s">
        <v>912</v>
      </c>
      <c r="E35" s="6" t="s">
        <v>913</v>
      </c>
    </row>
    <row r="36" customHeight="1" spans="1:5">
      <c r="A36" s="13">
        <v>44601</v>
      </c>
      <c r="B36" s="14" t="s">
        <v>914</v>
      </c>
      <c r="C36" s="9" t="s">
        <v>895</v>
      </c>
      <c r="D36" s="4">
        <v>3000</v>
      </c>
      <c r="E36" s="4">
        <f>B34-D36</f>
        <v>19000</v>
      </c>
    </row>
    <row r="37" customHeight="1" spans="1:5">
      <c r="A37" s="4"/>
      <c r="B37" s="4"/>
      <c r="C37" s="4"/>
      <c r="D37" s="4"/>
      <c r="E37" s="4"/>
    </row>
    <row r="38" customHeight="1" spans="1:5">
      <c r="A38" s="4"/>
      <c r="B38" s="4"/>
      <c r="C38" s="4"/>
      <c r="D38" s="4"/>
      <c r="E38" s="4"/>
    </row>
    <row r="39" customHeight="1" spans="1:5">
      <c r="A39" s="4"/>
      <c r="B39" s="4"/>
      <c r="C39" s="4"/>
      <c r="D39" s="4"/>
      <c r="E39" s="4"/>
    </row>
    <row r="40" customHeight="1" spans="1:5">
      <c r="A40" s="4"/>
      <c r="B40" s="4"/>
      <c r="C40" s="4"/>
      <c r="D40" s="4"/>
      <c r="E40" s="4"/>
    </row>
    <row r="41" customHeight="1" spans="1:5">
      <c r="A41" s="4"/>
      <c r="B41" s="4"/>
      <c r="C41" s="4"/>
      <c r="D41" s="4"/>
      <c r="E41" s="4"/>
    </row>
    <row r="42" customHeight="1" spans="1:5">
      <c r="A42" s="15" t="s">
        <v>620</v>
      </c>
      <c r="B42" s="16"/>
      <c r="C42" s="16"/>
      <c r="D42" s="17"/>
      <c r="E42" s="4">
        <f>E36</f>
        <v>19000</v>
      </c>
    </row>
    <row r="45" customHeight="1" spans="1:5">
      <c r="A45" s="6" t="s">
        <v>904</v>
      </c>
      <c r="B45" s="7" t="s">
        <v>905</v>
      </c>
      <c r="C45" s="6" t="s">
        <v>906</v>
      </c>
      <c r="D45" s="8" t="s">
        <v>907</v>
      </c>
      <c r="E45" s="6" t="s">
        <v>908</v>
      </c>
    </row>
    <row r="46" customHeight="1" spans="1:5">
      <c r="A46" s="10" t="s">
        <v>14</v>
      </c>
      <c r="B46" s="10">
        <v>22500</v>
      </c>
      <c r="C46" s="10" t="s">
        <v>909</v>
      </c>
      <c r="D46" s="11">
        <v>44512</v>
      </c>
      <c r="E46" s="11">
        <v>44560</v>
      </c>
    </row>
    <row r="47" customHeight="1" spans="1:5">
      <c r="A47" s="6" t="s">
        <v>910</v>
      </c>
      <c r="B47" s="7" t="s">
        <v>911</v>
      </c>
      <c r="C47" s="12" t="s">
        <v>904</v>
      </c>
      <c r="D47" s="12" t="s">
        <v>912</v>
      </c>
      <c r="E47" s="6" t="s">
        <v>913</v>
      </c>
    </row>
    <row r="48" customHeight="1" spans="1:5">
      <c r="A48" s="13">
        <v>44567</v>
      </c>
      <c r="B48" s="14" t="s">
        <v>915</v>
      </c>
      <c r="C48" s="14" t="s">
        <v>14</v>
      </c>
      <c r="D48" s="14">
        <v>2000</v>
      </c>
      <c r="E48" s="18">
        <f>B46-D48</f>
        <v>20500</v>
      </c>
    </row>
    <row r="49" customHeight="1" spans="1:5">
      <c r="A49" s="13">
        <v>44567</v>
      </c>
      <c r="B49" s="14" t="s">
        <v>916</v>
      </c>
      <c r="C49" s="14" t="s">
        <v>14</v>
      </c>
      <c r="D49" s="14">
        <v>1600</v>
      </c>
      <c r="E49" s="18">
        <f>E48-D49</f>
        <v>18900</v>
      </c>
    </row>
    <row r="50" customHeight="1" spans="1:5">
      <c r="A50" s="13">
        <v>44602</v>
      </c>
      <c r="B50" s="14" t="s">
        <v>917</v>
      </c>
      <c r="C50" s="14" t="s">
        <v>14</v>
      </c>
      <c r="D50" s="14">
        <f>131+70</f>
        <v>201</v>
      </c>
      <c r="E50" s="18">
        <f>E49-D50</f>
        <v>18699</v>
      </c>
    </row>
    <row r="51" customHeight="1" spans="1:5">
      <c r="A51" s="13">
        <v>44918</v>
      </c>
      <c r="B51" s="14" t="s">
        <v>918</v>
      </c>
      <c r="C51" s="14" t="s">
        <v>14</v>
      </c>
      <c r="D51" s="14">
        <v>3000</v>
      </c>
      <c r="E51" s="18">
        <f>E50-D51</f>
        <v>15699</v>
      </c>
    </row>
    <row r="52" customHeight="1" spans="1:5">
      <c r="A52" s="13">
        <v>44986</v>
      </c>
      <c r="B52" s="18" t="s">
        <v>919</v>
      </c>
      <c r="C52" s="14" t="s">
        <v>14</v>
      </c>
      <c r="D52" s="14">
        <v>3000</v>
      </c>
      <c r="E52" s="18">
        <f>E51-D52</f>
        <v>12699</v>
      </c>
    </row>
    <row r="53" customHeight="1" spans="1:5">
      <c r="A53" s="4"/>
      <c r="B53" s="4"/>
      <c r="C53" s="4"/>
      <c r="D53" s="4"/>
      <c r="E53" s="4"/>
    </row>
    <row r="54" customHeight="1" spans="1:5">
      <c r="A54" s="15" t="s">
        <v>620</v>
      </c>
      <c r="B54" s="16"/>
      <c r="C54" s="16"/>
      <c r="D54" s="17"/>
      <c r="E54" s="4">
        <f>E52</f>
        <v>12699</v>
      </c>
    </row>
    <row r="57" customHeight="1" spans="1:5">
      <c r="A57" s="6" t="s">
        <v>904</v>
      </c>
      <c r="B57" s="7" t="s">
        <v>905</v>
      </c>
      <c r="C57" s="6" t="s">
        <v>906</v>
      </c>
      <c r="D57" s="8" t="s">
        <v>907</v>
      </c>
      <c r="E57" s="6" t="s">
        <v>908</v>
      </c>
    </row>
    <row r="58" customHeight="1" spans="1:5">
      <c r="A58" s="10" t="s">
        <v>83</v>
      </c>
      <c r="B58" s="10">
        <v>22000</v>
      </c>
      <c r="C58" s="10" t="s">
        <v>909</v>
      </c>
      <c r="D58" s="11">
        <v>44481</v>
      </c>
      <c r="E58" s="11">
        <v>44565</v>
      </c>
    </row>
    <row r="59" customHeight="1" spans="1:5">
      <c r="A59" s="6" t="s">
        <v>910</v>
      </c>
      <c r="B59" s="7" t="s">
        <v>911</v>
      </c>
      <c r="C59" s="12" t="s">
        <v>904</v>
      </c>
      <c r="D59" s="12" t="s">
        <v>912</v>
      </c>
      <c r="E59" s="6" t="s">
        <v>913</v>
      </c>
    </row>
    <row r="60" customHeight="1" spans="1:5">
      <c r="A60" s="13">
        <v>44539</v>
      </c>
      <c r="B60" s="10" t="s">
        <v>920</v>
      </c>
      <c r="C60" s="10" t="s">
        <v>83</v>
      </c>
      <c r="D60" s="10">
        <v>7500</v>
      </c>
      <c r="E60" s="10">
        <f>B58-D60</f>
        <v>14500</v>
      </c>
    </row>
    <row r="61" customHeight="1" spans="1:5">
      <c r="A61" s="13">
        <v>44539</v>
      </c>
      <c r="B61" s="10" t="s">
        <v>921</v>
      </c>
      <c r="C61" s="10" t="s">
        <v>83</v>
      </c>
      <c r="D61" s="10">
        <v>7500</v>
      </c>
      <c r="E61" s="10">
        <f>E60-D61</f>
        <v>7000</v>
      </c>
    </row>
    <row r="62" customHeight="1" spans="1:5">
      <c r="A62" s="4"/>
      <c r="B62" s="4"/>
      <c r="C62" s="4"/>
      <c r="D62" s="4"/>
      <c r="E62" s="4"/>
    </row>
    <row r="63" customHeight="1" spans="1:5">
      <c r="A63" s="4"/>
      <c r="B63" s="4"/>
      <c r="C63" s="4"/>
      <c r="D63" s="4"/>
      <c r="E63" s="4"/>
    </row>
    <row r="64" customHeight="1" spans="1:5">
      <c r="A64" s="15" t="s">
        <v>620</v>
      </c>
      <c r="B64" s="16"/>
      <c r="C64" s="16"/>
      <c r="D64" s="17"/>
      <c r="E64" s="4">
        <f>E61</f>
        <v>7000</v>
      </c>
    </row>
    <row r="68" customHeight="1" spans="1:5">
      <c r="A68" s="6" t="s">
        <v>904</v>
      </c>
      <c r="B68" s="7" t="s">
        <v>905</v>
      </c>
      <c r="C68" s="6" t="s">
        <v>906</v>
      </c>
      <c r="D68" s="8" t="s">
        <v>907</v>
      </c>
      <c r="E68" s="6" t="s">
        <v>908</v>
      </c>
    </row>
    <row r="69" customHeight="1" spans="1:5">
      <c r="A69" s="10" t="s">
        <v>81</v>
      </c>
      <c r="B69" s="10">
        <v>22000</v>
      </c>
      <c r="C69" s="10" t="s">
        <v>909</v>
      </c>
      <c r="D69" s="11">
        <v>44481</v>
      </c>
      <c r="E69" s="11">
        <v>44565</v>
      </c>
    </row>
    <row r="70" customHeight="1" spans="1:5">
      <c r="A70" s="6" t="s">
        <v>910</v>
      </c>
      <c r="B70" s="7" t="s">
        <v>911</v>
      </c>
      <c r="C70" s="12" t="s">
        <v>904</v>
      </c>
      <c r="D70" s="12" t="s">
        <v>912</v>
      </c>
      <c r="E70" s="6" t="s">
        <v>913</v>
      </c>
    </row>
    <row r="71" customHeight="1" spans="1:5">
      <c r="A71" s="13">
        <v>44539</v>
      </c>
      <c r="B71" s="10" t="s">
        <v>922</v>
      </c>
      <c r="C71" s="10" t="s">
        <v>81</v>
      </c>
      <c r="D71" s="10">
        <v>11000</v>
      </c>
      <c r="E71" s="10">
        <f>B69-D71</f>
        <v>11000</v>
      </c>
    </row>
    <row r="72" customHeight="1" spans="1:5">
      <c r="A72" s="13">
        <v>44539</v>
      </c>
      <c r="B72" s="10" t="s">
        <v>923</v>
      </c>
      <c r="C72" s="10" t="s">
        <v>81</v>
      </c>
      <c r="D72" s="10">
        <v>11000</v>
      </c>
      <c r="E72" s="10">
        <f>E71-D72</f>
        <v>0</v>
      </c>
    </row>
    <row r="73" customHeight="1" spans="1:5">
      <c r="A73" s="4"/>
      <c r="B73" s="4"/>
      <c r="C73" s="4"/>
      <c r="D73" s="4"/>
      <c r="E73" s="4"/>
    </row>
    <row r="74" customHeight="1" spans="1:5">
      <c r="A74" s="4"/>
      <c r="B74" s="4"/>
      <c r="C74" s="4"/>
      <c r="D74" s="4"/>
      <c r="E74" s="4"/>
    </row>
    <row r="75" customHeight="1" spans="1:5">
      <c r="A75" s="15" t="s">
        <v>620</v>
      </c>
      <c r="B75" s="16"/>
      <c r="C75" s="16"/>
      <c r="D75" s="17"/>
      <c r="E75" s="4">
        <f>E72</f>
        <v>0</v>
      </c>
    </row>
    <row r="79" customHeight="1" spans="1:5">
      <c r="A79" s="6" t="s">
        <v>904</v>
      </c>
      <c r="B79" s="7" t="s">
        <v>905</v>
      </c>
      <c r="C79" s="6" t="s">
        <v>906</v>
      </c>
      <c r="D79" s="8" t="s">
        <v>907</v>
      </c>
      <c r="E79" s="6" t="s">
        <v>908</v>
      </c>
    </row>
    <row r="80" customHeight="1" spans="1:5">
      <c r="A80" s="10" t="s">
        <v>924</v>
      </c>
      <c r="B80" s="10">
        <v>120000</v>
      </c>
      <c r="C80" s="10" t="s">
        <v>925</v>
      </c>
      <c r="D80" s="11">
        <v>44524</v>
      </c>
      <c r="E80" s="11">
        <v>44560</v>
      </c>
    </row>
    <row r="81" customHeight="1" spans="1:5">
      <c r="A81" s="10" t="s">
        <v>924</v>
      </c>
      <c r="B81" s="10">
        <v>15064</v>
      </c>
      <c r="C81" s="10" t="s">
        <v>926</v>
      </c>
      <c r="D81" s="11">
        <v>44889</v>
      </c>
      <c r="E81" s="11">
        <v>44530</v>
      </c>
    </row>
    <row r="82" customHeight="1" spans="1:5">
      <c r="A82" s="10" t="s">
        <v>924</v>
      </c>
      <c r="B82" s="10">
        <v>8000</v>
      </c>
      <c r="C82" s="10" t="s">
        <v>927</v>
      </c>
      <c r="D82" s="11">
        <v>44911</v>
      </c>
      <c r="E82" s="11">
        <v>44936</v>
      </c>
    </row>
    <row r="83" customHeight="1" spans="1:5">
      <c r="A83" s="10" t="s">
        <v>924</v>
      </c>
      <c r="B83" s="10">
        <v>8090</v>
      </c>
      <c r="C83" s="10" t="s">
        <v>928</v>
      </c>
      <c r="D83" s="11">
        <v>44937</v>
      </c>
      <c r="E83" s="11">
        <v>44946</v>
      </c>
    </row>
    <row r="84" customHeight="1" spans="1:5">
      <c r="A84" s="10" t="s">
        <v>924</v>
      </c>
      <c r="B84" s="10">
        <v>15000</v>
      </c>
      <c r="C84" s="10" t="s">
        <v>929</v>
      </c>
      <c r="D84" s="11">
        <v>45010</v>
      </c>
      <c r="E84" s="11">
        <v>45046</v>
      </c>
    </row>
    <row r="85" customHeight="1" spans="1:5">
      <c r="A85" s="10" t="s">
        <v>924</v>
      </c>
      <c r="B85" s="10">
        <v>7000</v>
      </c>
      <c r="C85" s="10" t="s">
        <v>930</v>
      </c>
      <c r="D85" s="11">
        <v>45051</v>
      </c>
      <c r="E85" s="11">
        <v>45061</v>
      </c>
    </row>
    <row r="86" customHeight="1" spans="1:5">
      <c r="A86" s="10" t="s">
        <v>924</v>
      </c>
      <c r="B86" s="10">
        <v>3000</v>
      </c>
      <c r="C86" s="10" t="s">
        <v>931</v>
      </c>
      <c r="D86" s="11">
        <v>45072</v>
      </c>
      <c r="E86" s="11">
        <v>45078</v>
      </c>
    </row>
    <row r="87" customHeight="1" spans="1:5">
      <c r="A87" s="10" t="s">
        <v>924</v>
      </c>
      <c r="B87" s="10">
        <v>7000</v>
      </c>
      <c r="C87" s="10" t="s">
        <v>932</v>
      </c>
      <c r="D87" s="11">
        <v>45078</v>
      </c>
      <c r="E87" s="11">
        <v>45084</v>
      </c>
    </row>
    <row r="88" customHeight="1" spans="1:5">
      <c r="A88" s="10" t="s">
        <v>924</v>
      </c>
      <c r="B88" s="10">
        <v>6000</v>
      </c>
      <c r="C88" s="10" t="s">
        <v>933</v>
      </c>
      <c r="D88" s="11">
        <v>45111</v>
      </c>
      <c r="E88" s="11">
        <v>45118</v>
      </c>
    </row>
    <row r="89" customHeight="1" spans="1:5">
      <c r="A89" s="6" t="s">
        <v>910</v>
      </c>
      <c r="B89" s="7" t="s">
        <v>911</v>
      </c>
      <c r="C89" s="12" t="s">
        <v>904</v>
      </c>
      <c r="D89" s="12" t="s">
        <v>912</v>
      </c>
      <c r="E89" s="6" t="s">
        <v>913</v>
      </c>
    </row>
    <row r="90" customHeight="1" spans="1:5">
      <c r="A90" s="13">
        <v>44533</v>
      </c>
      <c r="B90" s="10" t="s">
        <v>934</v>
      </c>
      <c r="C90" s="10" t="s">
        <v>21</v>
      </c>
      <c r="D90" s="10">
        <v>70002</v>
      </c>
      <c r="E90" s="10">
        <f>B88+B80+B81+B82+B83+B86+B84+B85+B87-D90</f>
        <v>119152</v>
      </c>
    </row>
    <row r="91" customHeight="1" spans="1:5">
      <c r="A91" s="13">
        <v>44602</v>
      </c>
      <c r="B91" s="10" t="s">
        <v>935</v>
      </c>
      <c r="C91" s="10" t="s">
        <v>21</v>
      </c>
      <c r="D91" s="10">
        <f>139+70</f>
        <v>209</v>
      </c>
      <c r="E91" s="10">
        <f t="shared" ref="E91:E154" si="0">E90-D91</f>
        <v>118943</v>
      </c>
    </row>
    <row r="92" customHeight="1" spans="1:5">
      <c r="A92" s="13">
        <v>44607</v>
      </c>
      <c r="B92" s="10">
        <v>4476453789</v>
      </c>
      <c r="C92" s="10" t="s">
        <v>23</v>
      </c>
      <c r="D92" s="10">
        <v>570</v>
      </c>
      <c r="E92" s="10">
        <f t="shared" si="0"/>
        <v>118373</v>
      </c>
    </row>
    <row r="93" customHeight="1" spans="1:5">
      <c r="A93" s="13">
        <v>44607</v>
      </c>
      <c r="B93" s="10">
        <v>4476453790</v>
      </c>
      <c r="C93" s="10" t="s">
        <v>23</v>
      </c>
      <c r="D93" s="10">
        <v>657</v>
      </c>
      <c r="E93" s="10">
        <f t="shared" si="0"/>
        <v>117716</v>
      </c>
    </row>
    <row r="94" customHeight="1" spans="1:5">
      <c r="A94" s="13">
        <v>44607</v>
      </c>
      <c r="B94" s="10">
        <v>4476453791</v>
      </c>
      <c r="C94" s="10" t="s">
        <v>23</v>
      </c>
      <c r="D94" s="10">
        <v>821</v>
      </c>
      <c r="E94" s="10">
        <f t="shared" si="0"/>
        <v>116895</v>
      </c>
    </row>
    <row r="95" customHeight="1" spans="1:5">
      <c r="A95" s="13">
        <v>44607</v>
      </c>
      <c r="B95" s="10">
        <v>4476453792</v>
      </c>
      <c r="C95" s="10" t="s">
        <v>23</v>
      </c>
      <c r="D95" s="10">
        <v>699</v>
      </c>
      <c r="E95" s="10">
        <f t="shared" si="0"/>
        <v>116196</v>
      </c>
    </row>
    <row r="96" customHeight="1" spans="1:5">
      <c r="A96" s="13">
        <v>44607</v>
      </c>
      <c r="B96" s="10">
        <v>4476453793</v>
      </c>
      <c r="C96" s="10" t="s">
        <v>23</v>
      </c>
      <c r="D96" s="10">
        <v>408</v>
      </c>
      <c r="E96" s="10">
        <f t="shared" si="0"/>
        <v>115788</v>
      </c>
    </row>
    <row r="97" customHeight="1" spans="1:5">
      <c r="A97" s="13">
        <v>44607</v>
      </c>
      <c r="B97" s="10">
        <v>4476453794</v>
      </c>
      <c r="C97" s="10" t="s">
        <v>23</v>
      </c>
      <c r="D97" s="10">
        <v>350</v>
      </c>
      <c r="E97" s="10">
        <f t="shared" si="0"/>
        <v>115438</v>
      </c>
    </row>
    <row r="98" customHeight="1" spans="1:5">
      <c r="A98" s="13">
        <v>44607</v>
      </c>
      <c r="B98" s="10">
        <v>4476453795</v>
      </c>
      <c r="C98" s="10" t="s">
        <v>23</v>
      </c>
      <c r="D98" s="10">
        <v>710</v>
      </c>
      <c r="E98" s="10">
        <f t="shared" si="0"/>
        <v>114728</v>
      </c>
    </row>
    <row r="99" customHeight="1" spans="1:5">
      <c r="A99" s="13">
        <v>44607</v>
      </c>
      <c r="B99" s="10">
        <v>4476453796</v>
      </c>
      <c r="C99" s="10" t="s">
        <v>23</v>
      </c>
      <c r="D99" s="10">
        <v>728</v>
      </c>
      <c r="E99" s="10">
        <f t="shared" si="0"/>
        <v>114000</v>
      </c>
    </row>
    <row r="100" customHeight="1" spans="1:5">
      <c r="A100" s="13">
        <v>44607</v>
      </c>
      <c r="B100" s="10">
        <v>4476453797</v>
      </c>
      <c r="C100" s="10" t="s">
        <v>23</v>
      </c>
      <c r="D100" s="10">
        <v>839</v>
      </c>
      <c r="E100" s="10">
        <f t="shared" si="0"/>
        <v>113161</v>
      </c>
    </row>
    <row r="101" customHeight="1" spans="1:5">
      <c r="A101" s="13">
        <v>44607</v>
      </c>
      <c r="B101" s="10">
        <v>4476453798</v>
      </c>
      <c r="C101" s="10" t="s">
        <v>23</v>
      </c>
      <c r="D101" s="10">
        <v>1049</v>
      </c>
      <c r="E101" s="10">
        <f t="shared" si="0"/>
        <v>112112</v>
      </c>
    </row>
    <row r="102" customHeight="1" spans="1:5">
      <c r="A102" s="13">
        <v>44607</v>
      </c>
      <c r="B102" s="10">
        <v>4476453799</v>
      </c>
      <c r="C102" s="10" t="s">
        <v>23</v>
      </c>
      <c r="D102" s="10">
        <v>894</v>
      </c>
      <c r="E102" s="10">
        <f t="shared" si="0"/>
        <v>111218</v>
      </c>
    </row>
    <row r="103" customHeight="1" spans="1:5">
      <c r="A103" s="13">
        <v>44607</v>
      </c>
      <c r="B103" s="10">
        <v>4476453800</v>
      </c>
      <c r="C103" s="10" t="s">
        <v>23</v>
      </c>
      <c r="D103" s="10">
        <v>521</v>
      </c>
      <c r="E103" s="10">
        <f t="shared" si="0"/>
        <v>110697</v>
      </c>
    </row>
    <row r="104" customHeight="1" spans="1:5">
      <c r="A104" s="13">
        <v>44607</v>
      </c>
      <c r="B104" s="10">
        <v>4476453801</v>
      </c>
      <c r="C104" s="10" t="s">
        <v>23</v>
      </c>
      <c r="D104" s="10">
        <v>448</v>
      </c>
      <c r="E104" s="10">
        <f t="shared" si="0"/>
        <v>110249</v>
      </c>
    </row>
    <row r="105" customHeight="1" spans="1:5">
      <c r="A105" s="13">
        <v>44607</v>
      </c>
      <c r="B105" s="10">
        <v>4476453788</v>
      </c>
      <c r="C105" s="10" t="s">
        <v>23</v>
      </c>
      <c r="D105" s="10">
        <v>556</v>
      </c>
      <c r="E105" s="10">
        <f t="shared" si="0"/>
        <v>109693</v>
      </c>
    </row>
    <row r="106" customHeight="1" spans="1:5">
      <c r="A106" s="13">
        <v>44631</v>
      </c>
      <c r="B106" s="10">
        <v>8000639299</v>
      </c>
      <c r="C106" s="10" t="s">
        <v>21</v>
      </c>
      <c r="D106" s="10">
        <v>3642</v>
      </c>
      <c r="E106" s="10">
        <f t="shared" si="0"/>
        <v>106051</v>
      </c>
    </row>
    <row r="107" customHeight="1" spans="1:5">
      <c r="A107" s="13">
        <v>44631</v>
      </c>
      <c r="B107" s="10">
        <v>8000639298</v>
      </c>
      <c r="C107" s="10" t="s">
        <v>21</v>
      </c>
      <c r="D107" s="10">
        <v>1386</v>
      </c>
      <c r="E107" s="10">
        <f t="shared" si="0"/>
        <v>104665</v>
      </c>
    </row>
    <row r="108" customHeight="1" spans="1:5">
      <c r="A108" s="13">
        <v>44645</v>
      </c>
      <c r="B108" s="14">
        <v>8400650933</v>
      </c>
      <c r="C108" s="19" t="s">
        <v>21</v>
      </c>
      <c r="D108" s="19">
        <v>231</v>
      </c>
      <c r="E108" s="10">
        <f t="shared" si="0"/>
        <v>104434</v>
      </c>
    </row>
    <row r="109" customHeight="1" spans="1:5">
      <c r="A109" s="13">
        <v>44645</v>
      </c>
      <c r="B109" s="14">
        <v>8400650344</v>
      </c>
      <c r="C109" s="19" t="s">
        <v>21</v>
      </c>
      <c r="D109" s="19">
        <v>201</v>
      </c>
      <c r="E109" s="10">
        <f t="shared" si="0"/>
        <v>104233</v>
      </c>
    </row>
    <row r="110" customHeight="1" spans="1:5">
      <c r="A110" s="13">
        <v>44699</v>
      </c>
      <c r="B110" s="14">
        <v>1826905510</v>
      </c>
      <c r="C110" s="19" t="s">
        <v>23</v>
      </c>
      <c r="D110" s="19">
        <v>1902</v>
      </c>
      <c r="E110" s="10">
        <f t="shared" si="0"/>
        <v>102331</v>
      </c>
    </row>
    <row r="111" customHeight="1" spans="1:5">
      <c r="A111" s="13">
        <v>44699</v>
      </c>
      <c r="B111" s="14">
        <v>1826905511</v>
      </c>
      <c r="C111" s="19" t="s">
        <v>23</v>
      </c>
      <c r="D111" s="19">
        <v>1659</v>
      </c>
      <c r="E111" s="10">
        <f t="shared" si="0"/>
        <v>100672</v>
      </c>
    </row>
    <row r="112" customHeight="1" spans="1:5">
      <c r="A112" s="13">
        <v>44699</v>
      </c>
      <c r="B112" s="14">
        <v>1826905513</v>
      </c>
      <c r="C112" s="19" t="s">
        <v>23</v>
      </c>
      <c r="D112" s="19">
        <v>2807</v>
      </c>
      <c r="E112" s="10">
        <f t="shared" si="0"/>
        <v>97865</v>
      </c>
    </row>
    <row r="113" customHeight="1" spans="1:5">
      <c r="A113" s="13">
        <v>44699</v>
      </c>
      <c r="B113" s="14">
        <v>1826905514</v>
      </c>
      <c r="C113" s="19" t="s">
        <v>23</v>
      </c>
      <c r="D113" s="19">
        <v>2393</v>
      </c>
      <c r="E113" s="10">
        <f t="shared" si="0"/>
        <v>95472</v>
      </c>
    </row>
    <row r="114" customHeight="1" spans="1:5">
      <c r="A114" s="13">
        <v>44699</v>
      </c>
      <c r="B114" s="14">
        <v>1826905517</v>
      </c>
      <c r="C114" s="19" t="s">
        <v>23</v>
      </c>
      <c r="D114" s="19">
        <v>1594</v>
      </c>
      <c r="E114" s="10">
        <f t="shared" si="0"/>
        <v>93878</v>
      </c>
    </row>
    <row r="115" customHeight="1" spans="1:5">
      <c r="A115" s="13">
        <v>44699</v>
      </c>
      <c r="B115" s="14">
        <v>1826905518</v>
      </c>
      <c r="C115" s="19" t="s">
        <v>23</v>
      </c>
      <c r="D115" s="19">
        <v>1389</v>
      </c>
      <c r="E115" s="10">
        <f t="shared" si="0"/>
        <v>92489</v>
      </c>
    </row>
    <row r="116" customHeight="1" spans="1:5">
      <c r="A116" s="13">
        <v>44699</v>
      </c>
      <c r="B116" s="14">
        <v>1826905519</v>
      </c>
      <c r="C116" s="19" t="s">
        <v>23</v>
      </c>
      <c r="D116" s="19">
        <v>1883</v>
      </c>
      <c r="E116" s="10">
        <f t="shared" si="0"/>
        <v>90606</v>
      </c>
    </row>
    <row r="117" customHeight="1" spans="1:5">
      <c r="A117" s="13">
        <v>44699</v>
      </c>
      <c r="B117" s="14">
        <v>1826905520</v>
      </c>
      <c r="C117" s="19" t="s">
        <v>23</v>
      </c>
      <c r="D117" s="19">
        <v>2352</v>
      </c>
      <c r="E117" s="10">
        <f t="shared" si="0"/>
        <v>88254</v>
      </c>
    </row>
    <row r="118" customHeight="1" spans="1:5">
      <c r="A118" s="13">
        <v>44699</v>
      </c>
      <c r="B118" s="14">
        <v>1826905521</v>
      </c>
      <c r="C118" s="19" t="s">
        <v>23</v>
      </c>
      <c r="D118" s="19">
        <v>2004</v>
      </c>
      <c r="E118" s="10">
        <f t="shared" si="0"/>
        <v>86250</v>
      </c>
    </row>
    <row r="119" customHeight="1" spans="1:5">
      <c r="A119" s="13">
        <v>44699</v>
      </c>
      <c r="B119" s="14">
        <v>1826905522</v>
      </c>
      <c r="C119" s="19" t="s">
        <v>23</v>
      </c>
      <c r="D119" s="19">
        <v>1169</v>
      </c>
      <c r="E119" s="10">
        <f t="shared" si="0"/>
        <v>85081</v>
      </c>
    </row>
    <row r="120" customHeight="1" spans="1:5">
      <c r="A120" s="13">
        <v>44699</v>
      </c>
      <c r="B120" s="14">
        <v>1826905523</v>
      </c>
      <c r="C120" s="19" t="s">
        <v>23</v>
      </c>
      <c r="D120" s="19">
        <v>1292</v>
      </c>
      <c r="E120" s="10">
        <f t="shared" si="0"/>
        <v>83789</v>
      </c>
    </row>
    <row r="121" customHeight="1" spans="1:5">
      <c r="A121" s="13">
        <v>44699</v>
      </c>
      <c r="B121" s="14">
        <v>1826905504</v>
      </c>
      <c r="C121" s="19" t="s">
        <v>23</v>
      </c>
      <c r="D121" s="19">
        <v>1627</v>
      </c>
      <c r="E121" s="10">
        <f t="shared" si="0"/>
        <v>82162</v>
      </c>
    </row>
    <row r="122" customHeight="1" spans="1:5">
      <c r="A122" s="13">
        <v>44699</v>
      </c>
      <c r="B122" s="14">
        <v>1826905515</v>
      </c>
      <c r="C122" s="19" t="s">
        <v>23</v>
      </c>
      <c r="D122" s="19">
        <v>692</v>
      </c>
      <c r="E122" s="10">
        <f t="shared" si="0"/>
        <v>81470</v>
      </c>
    </row>
    <row r="123" customHeight="1" spans="1:5">
      <c r="A123" s="13">
        <v>44705</v>
      </c>
      <c r="B123" s="14">
        <v>8400650934</v>
      </c>
      <c r="C123" s="19" t="s">
        <v>23</v>
      </c>
      <c r="D123" s="19">
        <v>607</v>
      </c>
      <c r="E123" s="10">
        <f t="shared" si="0"/>
        <v>80863</v>
      </c>
    </row>
    <row r="124" customHeight="1" spans="1:5">
      <c r="A124" s="13">
        <v>44705</v>
      </c>
      <c r="B124" s="14">
        <v>8400650344</v>
      </c>
      <c r="C124" s="19" t="s">
        <v>23</v>
      </c>
      <c r="D124" s="19">
        <v>201</v>
      </c>
      <c r="E124" s="10">
        <f t="shared" si="0"/>
        <v>80662</v>
      </c>
    </row>
    <row r="125" customHeight="1" spans="1:5">
      <c r="A125" s="13">
        <v>44705</v>
      </c>
      <c r="B125" s="14">
        <v>8400650933</v>
      </c>
      <c r="C125" s="19" t="s">
        <v>23</v>
      </c>
      <c r="D125" s="19">
        <v>231</v>
      </c>
      <c r="E125" s="10">
        <f t="shared" si="0"/>
        <v>80431</v>
      </c>
    </row>
    <row r="126" customHeight="1" spans="1:5">
      <c r="A126" s="13">
        <v>44705</v>
      </c>
      <c r="B126" s="14">
        <v>8400650935</v>
      </c>
      <c r="C126" s="19" t="s">
        <v>23</v>
      </c>
      <c r="D126" s="19">
        <v>388</v>
      </c>
      <c r="E126" s="10">
        <f t="shared" si="0"/>
        <v>80043</v>
      </c>
    </row>
    <row r="127" customHeight="1" spans="1:5">
      <c r="A127" s="13">
        <v>44705</v>
      </c>
      <c r="B127" s="14">
        <v>8400650936</v>
      </c>
      <c r="C127" s="19" t="s">
        <v>23</v>
      </c>
      <c r="D127" s="19">
        <v>200</v>
      </c>
      <c r="E127" s="10">
        <f t="shared" si="0"/>
        <v>79843</v>
      </c>
    </row>
    <row r="128" customHeight="1" spans="1:5">
      <c r="A128" s="13">
        <v>44707</v>
      </c>
      <c r="B128" s="14" t="s">
        <v>936</v>
      </c>
      <c r="C128" s="19" t="s">
        <v>21</v>
      </c>
      <c r="D128" s="19">
        <v>924</v>
      </c>
      <c r="E128" s="10">
        <f t="shared" si="0"/>
        <v>78919</v>
      </c>
    </row>
    <row r="129" customHeight="1" spans="1:5">
      <c r="A129" s="13">
        <v>44707</v>
      </c>
      <c r="B129" s="14" t="s">
        <v>937</v>
      </c>
      <c r="C129" s="19" t="s">
        <v>21</v>
      </c>
      <c r="D129" s="19">
        <v>2382</v>
      </c>
      <c r="E129" s="10">
        <f t="shared" si="0"/>
        <v>76537</v>
      </c>
    </row>
    <row r="130" customHeight="1" spans="1:5">
      <c r="A130" s="13">
        <v>44707</v>
      </c>
      <c r="B130" s="14" t="s">
        <v>938</v>
      </c>
      <c r="C130" s="19" t="s">
        <v>21</v>
      </c>
      <c r="D130" s="19">
        <v>468</v>
      </c>
      <c r="E130" s="10">
        <f t="shared" si="0"/>
        <v>76069</v>
      </c>
    </row>
    <row r="131" customHeight="1" spans="1:5">
      <c r="A131" s="13">
        <v>44707</v>
      </c>
      <c r="B131" s="14" t="s">
        <v>939</v>
      </c>
      <c r="C131" s="19" t="s">
        <v>21</v>
      </c>
      <c r="D131" s="19">
        <v>1764</v>
      </c>
      <c r="E131" s="10">
        <f t="shared" si="0"/>
        <v>74305</v>
      </c>
    </row>
    <row r="132" customHeight="1" spans="1:5">
      <c r="A132" s="13">
        <v>44709</v>
      </c>
      <c r="B132" s="14" t="s">
        <v>940</v>
      </c>
      <c r="C132" s="19" t="s">
        <v>21</v>
      </c>
      <c r="D132" s="19">
        <v>2328</v>
      </c>
      <c r="E132" s="10">
        <f t="shared" si="0"/>
        <v>71977</v>
      </c>
    </row>
    <row r="133" customHeight="1" spans="1:5">
      <c r="A133" s="13">
        <v>44709</v>
      </c>
      <c r="B133" s="14" t="s">
        <v>940</v>
      </c>
      <c r="C133" s="19" t="s">
        <v>21</v>
      </c>
      <c r="D133" s="19">
        <v>1200</v>
      </c>
      <c r="E133" s="10">
        <f t="shared" si="0"/>
        <v>70777</v>
      </c>
    </row>
    <row r="134" customHeight="1" spans="1:5">
      <c r="A134" s="13">
        <v>44889</v>
      </c>
      <c r="B134" s="14">
        <v>1328827877</v>
      </c>
      <c r="C134" s="19" t="s">
        <v>23</v>
      </c>
      <c r="D134" s="19">
        <v>549</v>
      </c>
      <c r="E134" s="10">
        <f t="shared" si="0"/>
        <v>70228</v>
      </c>
    </row>
    <row r="135" customHeight="1" spans="1:5">
      <c r="A135" s="13">
        <v>44889</v>
      </c>
      <c r="B135" s="14">
        <v>1328827878</v>
      </c>
      <c r="C135" s="19" t="s">
        <v>23</v>
      </c>
      <c r="D135" s="19">
        <v>1622</v>
      </c>
      <c r="E135" s="10">
        <f t="shared" si="0"/>
        <v>68606</v>
      </c>
    </row>
    <row r="136" customHeight="1" spans="1:5">
      <c r="A136" s="13">
        <v>44889</v>
      </c>
      <c r="B136" s="14">
        <v>1328827879</v>
      </c>
      <c r="C136" s="19" t="s">
        <v>23</v>
      </c>
      <c r="D136" s="19">
        <v>1901</v>
      </c>
      <c r="E136" s="10">
        <f t="shared" si="0"/>
        <v>66705</v>
      </c>
    </row>
    <row r="137" customHeight="1" spans="1:5">
      <c r="A137" s="13">
        <v>44889</v>
      </c>
      <c r="B137" s="14">
        <v>1328827880</v>
      </c>
      <c r="C137" s="19" t="s">
        <v>23</v>
      </c>
      <c r="D137" s="19">
        <v>623</v>
      </c>
      <c r="E137" s="10">
        <f t="shared" si="0"/>
        <v>66082</v>
      </c>
    </row>
    <row r="138" customHeight="1" spans="1:5">
      <c r="A138" s="13">
        <v>44889</v>
      </c>
      <c r="B138" s="14">
        <v>1328827881</v>
      </c>
      <c r="C138" s="19" t="s">
        <v>23</v>
      </c>
      <c r="D138" s="19">
        <v>3451</v>
      </c>
      <c r="E138" s="10">
        <f t="shared" si="0"/>
        <v>62631</v>
      </c>
    </row>
    <row r="139" customHeight="1" spans="1:5">
      <c r="A139" s="13">
        <v>44889</v>
      </c>
      <c r="B139" s="14">
        <v>1328827882</v>
      </c>
      <c r="C139" s="19" t="s">
        <v>23</v>
      </c>
      <c r="D139" s="19">
        <v>1174</v>
      </c>
      <c r="E139" s="10">
        <f t="shared" si="0"/>
        <v>61457</v>
      </c>
    </row>
    <row r="140" customHeight="1" spans="1:5">
      <c r="A140" s="13">
        <v>44889</v>
      </c>
      <c r="B140" s="14">
        <v>1328827883</v>
      </c>
      <c r="C140" s="19" t="s">
        <v>23</v>
      </c>
      <c r="D140" s="19">
        <v>1478</v>
      </c>
      <c r="E140" s="10">
        <f t="shared" si="0"/>
        <v>59979</v>
      </c>
    </row>
    <row r="141" customHeight="1" spans="1:5">
      <c r="A141" s="13">
        <v>44889</v>
      </c>
      <c r="B141" s="14">
        <v>1328827884</v>
      </c>
      <c r="C141" s="19" t="s">
        <v>23</v>
      </c>
      <c r="D141" s="19">
        <v>185</v>
      </c>
      <c r="E141" s="10">
        <f t="shared" si="0"/>
        <v>59794</v>
      </c>
    </row>
    <row r="142" customHeight="1" spans="1:5">
      <c r="A142" s="13">
        <v>44889</v>
      </c>
      <c r="B142" s="14">
        <v>1328827885</v>
      </c>
      <c r="C142" s="19" t="s">
        <v>23</v>
      </c>
      <c r="D142" s="19">
        <v>477</v>
      </c>
      <c r="E142" s="10">
        <f t="shared" si="0"/>
        <v>59317</v>
      </c>
    </row>
    <row r="143" customHeight="1" spans="1:5">
      <c r="A143" s="13">
        <v>44889</v>
      </c>
      <c r="B143" s="14">
        <v>1328827886</v>
      </c>
      <c r="C143" s="19" t="s">
        <v>23</v>
      </c>
      <c r="D143" s="19">
        <v>583</v>
      </c>
      <c r="E143" s="10">
        <f t="shared" si="0"/>
        <v>58734</v>
      </c>
    </row>
    <row r="144" customHeight="1" spans="1:5">
      <c r="A144" s="13">
        <v>44889</v>
      </c>
      <c r="B144" s="14">
        <v>1328827887</v>
      </c>
      <c r="C144" s="19" t="s">
        <v>23</v>
      </c>
      <c r="D144" s="19">
        <v>105</v>
      </c>
      <c r="E144" s="10">
        <f t="shared" si="0"/>
        <v>58629</v>
      </c>
    </row>
    <row r="145" customHeight="1" spans="1:5">
      <c r="A145" s="13">
        <v>44889</v>
      </c>
      <c r="B145" s="14">
        <v>1328827888</v>
      </c>
      <c r="C145" s="19" t="s">
        <v>23</v>
      </c>
      <c r="D145" s="19">
        <v>1164</v>
      </c>
      <c r="E145" s="10">
        <f t="shared" si="0"/>
        <v>57465</v>
      </c>
    </row>
    <row r="146" customHeight="1" spans="1:5">
      <c r="A146" s="13">
        <v>44889</v>
      </c>
      <c r="B146" s="14">
        <v>1328827889</v>
      </c>
      <c r="C146" s="19" t="s">
        <v>23</v>
      </c>
      <c r="D146" s="19">
        <v>396</v>
      </c>
      <c r="E146" s="10">
        <f t="shared" si="0"/>
        <v>57069</v>
      </c>
    </row>
    <row r="147" customHeight="1" spans="1:5">
      <c r="A147" s="13">
        <v>44889</v>
      </c>
      <c r="B147" s="14">
        <v>1328827890</v>
      </c>
      <c r="C147" s="19" t="s">
        <v>23</v>
      </c>
      <c r="D147" s="19">
        <v>420</v>
      </c>
      <c r="E147" s="10">
        <f t="shared" si="0"/>
        <v>56649</v>
      </c>
    </row>
    <row r="148" customHeight="1" spans="1:5">
      <c r="A148" s="13">
        <v>44889</v>
      </c>
      <c r="B148" s="14">
        <v>1328827891</v>
      </c>
      <c r="C148" s="19" t="s">
        <v>23</v>
      </c>
      <c r="D148" s="19">
        <v>258</v>
      </c>
      <c r="E148" s="10">
        <f t="shared" si="0"/>
        <v>56391</v>
      </c>
    </row>
    <row r="149" customHeight="1" spans="1:5">
      <c r="A149" s="13">
        <v>44889</v>
      </c>
      <c r="B149" s="14">
        <v>1328827892</v>
      </c>
      <c r="C149" s="19" t="s">
        <v>23</v>
      </c>
      <c r="D149" s="19">
        <v>463</v>
      </c>
      <c r="E149" s="10">
        <f t="shared" si="0"/>
        <v>55928</v>
      </c>
    </row>
    <row r="150" customHeight="1" spans="1:5">
      <c r="A150" s="13">
        <v>44889</v>
      </c>
      <c r="B150" s="14">
        <v>1328827893</v>
      </c>
      <c r="C150" s="19" t="s">
        <v>23</v>
      </c>
      <c r="D150" s="19">
        <v>20</v>
      </c>
      <c r="E150" s="10">
        <f t="shared" si="0"/>
        <v>55908</v>
      </c>
    </row>
    <row r="151" customHeight="1" spans="1:5">
      <c r="A151" s="13">
        <v>44889</v>
      </c>
      <c r="B151" s="14">
        <v>1328827894</v>
      </c>
      <c r="C151" s="19" t="s">
        <v>23</v>
      </c>
      <c r="D151" s="19">
        <v>177</v>
      </c>
      <c r="E151" s="10">
        <f t="shared" si="0"/>
        <v>55731</v>
      </c>
    </row>
    <row r="152" customHeight="1" spans="1:5">
      <c r="A152" s="13">
        <v>44889</v>
      </c>
      <c r="B152" s="14">
        <v>1328827895</v>
      </c>
      <c r="C152" s="19" t="s">
        <v>23</v>
      </c>
      <c r="D152" s="19">
        <v>18</v>
      </c>
      <c r="E152" s="10">
        <f t="shared" si="0"/>
        <v>55713</v>
      </c>
    </row>
    <row r="153" customHeight="1" spans="1:5">
      <c r="A153" s="13">
        <v>44911</v>
      </c>
      <c r="B153" s="14">
        <v>4579011724</v>
      </c>
      <c r="C153" s="19" t="s">
        <v>23</v>
      </c>
      <c r="D153" s="19">
        <v>1730</v>
      </c>
      <c r="E153" s="10">
        <f t="shared" si="0"/>
        <v>53983</v>
      </c>
    </row>
    <row r="154" customHeight="1" spans="1:5">
      <c r="A154" s="13">
        <v>44911</v>
      </c>
      <c r="B154" s="14">
        <v>4579011725</v>
      </c>
      <c r="C154" s="19" t="s">
        <v>23</v>
      </c>
      <c r="D154" s="19">
        <v>548</v>
      </c>
      <c r="E154" s="10">
        <f t="shared" si="0"/>
        <v>53435</v>
      </c>
    </row>
    <row r="155" customHeight="1" spans="1:5">
      <c r="A155" s="13">
        <v>44911</v>
      </c>
      <c r="B155" s="14">
        <v>4579011726</v>
      </c>
      <c r="C155" s="19" t="s">
        <v>23</v>
      </c>
      <c r="D155" s="19">
        <v>563</v>
      </c>
      <c r="E155" s="10">
        <f t="shared" ref="E155:E218" si="1">E154-D155</f>
        <v>52872</v>
      </c>
    </row>
    <row r="156" customHeight="1" spans="1:5">
      <c r="A156" s="13">
        <v>44911</v>
      </c>
      <c r="B156" s="14">
        <v>4579011727</v>
      </c>
      <c r="C156" s="19" t="s">
        <v>23</v>
      </c>
      <c r="D156" s="19">
        <v>394</v>
      </c>
      <c r="E156" s="10">
        <f t="shared" si="1"/>
        <v>52478</v>
      </c>
    </row>
    <row r="157" customHeight="1" spans="1:5">
      <c r="A157" s="13">
        <v>44911</v>
      </c>
      <c r="B157" s="14">
        <v>4579011728</v>
      </c>
      <c r="C157" s="19" t="s">
        <v>23</v>
      </c>
      <c r="D157" s="19">
        <v>684</v>
      </c>
      <c r="E157" s="10">
        <f t="shared" si="1"/>
        <v>51794</v>
      </c>
    </row>
    <row r="158" customHeight="1" spans="1:5">
      <c r="A158" s="13">
        <v>44911</v>
      </c>
      <c r="B158" s="14">
        <v>4579011729</v>
      </c>
      <c r="C158" s="19" t="s">
        <v>23</v>
      </c>
      <c r="D158" s="19">
        <v>691</v>
      </c>
      <c r="E158" s="10">
        <f t="shared" si="1"/>
        <v>51103</v>
      </c>
    </row>
    <row r="159" customHeight="1" spans="1:5">
      <c r="A159" s="13">
        <v>44911</v>
      </c>
      <c r="B159" s="14">
        <v>4579011730</v>
      </c>
      <c r="C159" s="19" t="s">
        <v>23</v>
      </c>
      <c r="D159" s="19">
        <v>555</v>
      </c>
      <c r="E159" s="10">
        <f t="shared" si="1"/>
        <v>50548</v>
      </c>
    </row>
    <row r="160" customHeight="1" spans="1:5">
      <c r="A160" s="13">
        <v>44911</v>
      </c>
      <c r="B160" s="14">
        <v>4579011731</v>
      </c>
      <c r="C160" s="19" t="s">
        <v>23</v>
      </c>
      <c r="D160" s="19">
        <v>581</v>
      </c>
      <c r="E160" s="10">
        <f t="shared" si="1"/>
        <v>49967</v>
      </c>
    </row>
    <row r="161" customHeight="1" spans="1:5">
      <c r="A161" s="13">
        <v>44911</v>
      </c>
      <c r="B161" s="14">
        <v>4579011732</v>
      </c>
      <c r="C161" s="19" t="s">
        <v>23</v>
      </c>
      <c r="D161" s="19">
        <v>298</v>
      </c>
      <c r="E161" s="10">
        <f t="shared" si="1"/>
        <v>49669</v>
      </c>
    </row>
    <row r="162" customHeight="1" spans="1:5">
      <c r="A162" s="13">
        <v>44911</v>
      </c>
      <c r="B162" s="14">
        <v>4579011733</v>
      </c>
      <c r="C162" s="19" t="s">
        <v>23</v>
      </c>
      <c r="D162" s="19">
        <v>702</v>
      </c>
      <c r="E162" s="10">
        <f t="shared" si="1"/>
        <v>48967</v>
      </c>
    </row>
    <row r="163" customHeight="1" spans="1:5">
      <c r="A163" s="13">
        <v>44911</v>
      </c>
      <c r="B163" s="14">
        <v>4579011734</v>
      </c>
      <c r="C163" s="19" t="s">
        <v>23</v>
      </c>
      <c r="D163" s="19">
        <v>576</v>
      </c>
      <c r="E163" s="10">
        <f t="shared" si="1"/>
        <v>48391</v>
      </c>
    </row>
    <row r="164" customHeight="1" spans="1:5">
      <c r="A164" s="13">
        <v>44911</v>
      </c>
      <c r="B164" s="14">
        <v>4579011735</v>
      </c>
      <c r="C164" s="19" t="s">
        <v>23</v>
      </c>
      <c r="D164" s="19">
        <v>496</v>
      </c>
      <c r="E164" s="10">
        <f t="shared" si="1"/>
        <v>47895</v>
      </c>
    </row>
    <row r="165" customHeight="1" spans="1:5">
      <c r="A165" s="13">
        <v>44911</v>
      </c>
      <c r="B165" s="14">
        <v>4579011736</v>
      </c>
      <c r="C165" s="19" t="s">
        <v>23</v>
      </c>
      <c r="D165" s="19">
        <v>147</v>
      </c>
      <c r="E165" s="10">
        <f t="shared" si="1"/>
        <v>47748</v>
      </c>
    </row>
    <row r="166" customHeight="1" spans="1:5">
      <c r="A166" s="13">
        <v>44937</v>
      </c>
      <c r="B166" s="14">
        <v>4579013813</v>
      </c>
      <c r="C166" s="19" t="s">
        <v>23</v>
      </c>
      <c r="D166" s="19">
        <v>72</v>
      </c>
      <c r="E166" s="10">
        <f t="shared" si="1"/>
        <v>47676</v>
      </c>
    </row>
    <row r="167" customHeight="1" spans="1:5">
      <c r="A167" s="13">
        <v>44937</v>
      </c>
      <c r="B167" s="14">
        <v>4579013814</v>
      </c>
      <c r="C167" s="19" t="s">
        <v>23</v>
      </c>
      <c r="D167" s="19">
        <v>536</v>
      </c>
      <c r="E167" s="10">
        <f t="shared" si="1"/>
        <v>47140</v>
      </c>
    </row>
    <row r="168" customHeight="1" spans="1:5">
      <c r="A168" s="13">
        <v>44937</v>
      </c>
      <c r="B168" s="14">
        <v>4579013815</v>
      </c>
      <c r="C168" s="19" t="s">
        <v>23</v>
      </c>
      <c r="D168" s="19">
        <v>834</v>
      </c>
      <c r="E168" s="10">
        <f t="shared" si="1"/>
        <v>46306</v>
      </c>
    </row>
    <row r="169" customHeight="1" spans="1:5">
      <c r="A169" s="13">
        <v>44937</v>
      </c>
      <c r="B169" s="14">
        <v>4579013816</v>
      </c>
      <c r="C169" s="19" t="s">
        <v>23</v>
      </c>
      <c r="D169" s="19">
        <v>974</v>
      </c>
      <c r="E169" s="10">
        <f t="shared" si="1"/>
        <v>45332</v>
      </c>
    </row>
    <row r="170" customHeight="1" spans="1:5">
      <c r="A170" s="13">
        <v>44937</v>
      </c>
      <c r="B170" s="14">
        <v>4579013817</v>
      </c>
      <c r="C170" s="19" t="s">
        <v>23</v>
      </c>
      <c r="D170" s="19">
        <v>1005</v>
      </c>
      <c r="E170" s="10">
        <f t="shared" si="1"/>
        <v>44327</v>
      </c>
    </row>
    <row r="171" customHeight="1" spans="1:5">
      <c r="A171" s="13">
        <v>44937</v>
      </c>
      <c r="B171" s="14">
        <v>4579013818</v>
      </c>
      <c r="C171" s="19" t="s">
        <v>23</v>
      </c>
      <c r="D171" s="19">
        <v>333</v>
      </c>
      <c r="E171" s="10">
        <f t="shared" si="1"/>
        <v>43994</v>
      </c>
    </row>
    <row r="172" customHeight="1" spans="1:5">
      <c r="A172" s="13">
        <v>44937</v>
      </c>
      <c r="B172" s="14">
        <v>4579013819</v>
      </c>
      <c r="C172" s="19" t="s">
        <v>23</v>
      </c>
      <c r="D172" s="19">
        <v>376</v>
      </c>
      <c r="E172" s="10">
        <f t="shared" si="1"/>
        <v>43618</v>
      </c>
    </row>
    <row r="173" customHeight="1" spans="1:5">
      <c r="A173" s="13">
        <v>44937</v>
      </c>
      <c r="B173" s="14">
        <v>4579013837</v>
      </c>
      <c r="C173" s="19" t="s">
        <v>23</v>
      </c>
      <c r="D173" s="19">
        <v>791</v>
      </c>
      <c r="E173" s="10">
        <f t="shared" si="1"/>
        <v>42827</v>
      </c>
    </row>
    <row r="174" customHeight="1" spans="1:5">
      <c r="A174" s="13">
        <v>44937</v>
      </c>
      <c r="B174" s="14">
        <v>4579013838</v>
      </c>
      <c r="C174" s="19" t="s">
        <v>23</v>
      </c>
      <c r="D174" s="19">
        <v>507</v>
      </c>
      <c r="E174" s="10">
        <f t="shared" si="1"/>
        <v>42320</v>
      </c>
    </row>
    <row r="175" customHeight="1" spans="1:5">
      <c r="A175" s="13">
        <v>44937</v>
      </c>
      <c r="B175" s="14">
        <v>4579013839</v>
      </c>
      <c r="C175" s="19" t="s">
        <v>23</v>
      </c>
      <c r="D175" s="19">
        <v>629</v>
      </c>
      <c r="E175" s="10">
        <f t="shared" si="1"/>
        <v>41691</v>
      </c>
    </row>
    <row r="176" customHeight="1" spans="1:5">
      <c r="A176" s="13">
        <v>44937</v>
      </c>
      <c r="B176" s="14">
        <v>4579013840</v>
      </c>
      <c r="C176" s="19" t="s">
        <v>23</v>
      </c>
      <c r="D176" s="19">
        <v>729</v>
      </c>
      <c r="E176" s="10">
        <f t="shared" si="1"/>
        <v>40962</v>
      </c>
    </row>
    <row r="177" customHeight="1" spans="1:5">
      <c r="A177" s="13">
        <v>44937</v>
      </c>
      <c r="B177" s="14">
        <v>4579013841</v>
      </c>
      <c r="C177" s="19" t="s">
        <v>23</v>
      </c>
      <c r="D177" s="19">
        <v>621</v>
      </c>
      <c r="E177" s="10">
        <f t="shared" si="1"/>
        <v>40341</v>
      </c>
    </row>
    <row r="178" customHeight="1" spans="1:5">
      <c r="A178" s="13">
        <v>44937</v>
      </c>
      <c r="B178" s="14">
        <v>4579013842</v>
      </c>
      <c r="C178" s="19" t="s">
        <v>23</v>
      </c>
      <c r="D178" s="19">
        <v>298</v>
      </c>
      <c r="E178" s="10">
        <f t="shared" si="1"/>
        <v>40043</v>
      </c>
    </row>
    <row r="179" customHeight="1" spans="1:5">
      <c r="A179" s="13">
        <v>44937</v>
      </c>
      <c r="B179" s="14">
        <v>4579013843</v>
      </c>
      <c r="C179" s="19" t="s">
        <v>23</v>
      </c>
      <c r="D179" s="19">
        <v>385</v>
      </c>
      <c r="E179" s="10">
        <f t="shared" si="1"/>
        <v>39658</v>
      </c>
    </row>
    <row r="180" customHeight="1" spans="1:5">
      <c r="A180" s="13">
        <v>45001</v>
      </c>
      <c r="B180" s="14" t="s">
        <v>941</v>
      </c>
      <c r="C180" s="19" t="s">
        <v>21</v>
      </c>
      <c r="D180" s="19">
        <v>13200</v>
      </c>
      <c r="E180" s="10">
        <f t="shared" si="1"/>
        <v>26458</v>
      </c>
    </row>
    <row r="181" customHeight="1" spans="1:5">
      <c r="A181" s="13">
        <v>45007</v>
      </c>
      <c r="B181" s="14" t="s">
        <v>942</v>
      </c>
      <c r="C181" s="19" t="s">
        <v>21</v>
      </c>
      <c r="D181" s="19">
        <v>3198</v>
      </c>
      <c r="E181" s="10">
        <f t="shared" si="1"/>
        <v>23260</v>
      </c>
    </row>
    <row r="182" customHeight="1" spans="1:5">
      <c r="A182" s="13">
        <v>45043</v>
      </c>
      <c r="B182" s="14">
        <v>3501525497</v>
      </c>
      <c r="C182" s="19" t="s">
        <v>21</v>
      </c>
      <c r="D182" s="19">
        <v>84</v>
      </c>
      <c r="E182" s="10">
        <f t="shared" si="1"/>
        <v>23176</v>
      </c>
    </row>
    <row r="183" customHeight="1" spans="1:5">
      <c r="A183" s="13">
        <v>45051</v>
      </c>
      <c r="B183" s="14">
        <v>7579687625</v>
      </c>
      <c r="C183" s="19" t="s">
        <v>23</v>
      </c>
      <c r="D183" s="19">
        <v>555</v>
      </c>
      <c r="E183" s="10">
        <f t="shared" si="1"/>
        <v>22621</v>
      </c>
    </row>
    <row r="184" customHeight="1" spans="1:5">
      <c r="A184" s="13">
        <v>45051</v>
      </c>
      <c r="B184" s="14">
        <v>7579687626</v>
      </c>
      <c r="C184" s="19" t="s">
        <v>23</v>
      </c>
      <c r="D184" s="19">
        <v>188</v>
      </c>
      <c r="E184" s="10">
        <f t="shared" si="1"/>
        <v>22433</v>
      </c>
    </row>
    <row r="185" customHeight="1" spans="1:5">
      <c r="A185" s="13">
        <v>45051</v>
      </c>
      <c r="B185" s="14">
        <v>7579687627</v>
      </c>
      <c r="C185" s="19" t="s">
        <v>23</v>
      </c>
      <c r="D185" s="19">
        <v>217</v>
      </c>
      <c r="E185" s="10">
        <f t="shared" si="1"/>
        <v>22216</v>
      </c>
    </row>
    <row r="186" customHeight="1" spans="1:5">
      <c r="A186" s="13">
        <v>45051</v>
      </c>
      <c r="B186" s="14">
        <v>7579687628</v>
      </c>
      <c r="C186" s="19" t="s">
        <v>23</v>
      </c>
      <c r="D186" s="19">
        <v>555</v>
      </c>
      <c r="E186" s="10">
        <f t="shared" si="1"/>
        <v>21661</v>
      </c>
    </row>
    <row r="187" customHeight="1" spans="1:5">
      <c r="A187" s="13">
        <v>45051</v>
      </c>
      <c r="B187" s="14">
        <v>7579687629</v>
      </c>
      <c r="C187" s="19" t="s">
        <v>23</v>
      </c>
      <c r="D187" s="19">
        <v>188</v>
      </c>
      <c r="E187" s="10">
        <f t="shared" si="1"/>
        <v>21473</v>
      </c>
    </row>
    <row r="188" customHeight="1" spans="1:5">
      <c r="A188" s="13">
        <v>45051</v>
      </c>
      <c r="B188" s="14">
        <v>7579687630</v>
      </c>
      <c r="C188" s="19" t="s">
        <v>23</v>
      </c>
      <c r="D188" s="19">
        <v>217</v>
      </c>
      <c r="E188" s="10">
        <f t="shared" si="1"/>
        <v>21256</v>
      </c>
    </row>
    <row r="189" customHeight="1" spans="1:5">
      <c r="A189" s="13">
        <v>45051</v>
      </c>
      <c r="B189" s="14">
        <v>7579687631</v>
      </c>
      <c r="C189" s="19" t="s">
        <v>23</v>
      </c>
      <c r="D189" s="19">
        <v>799</v>
      </c>
      <c r="E189" s="10">
        <f t="shared" si="1"/>
        <v>20457</v>
      </c>
    </row>
    <row r="190" customHeight="1" spans="1:5">
      <c r="A190" s="13">
        <v>45051</v>
      </c>
      <c r="B190" s="14">
        <v>7579687632</v>
      </c>
      <c r="C190" s="19" t="s">
        <v>23</v>
      </c>
      <c r="D190" s="19">
        <v>271</v>
      </c>
      <c r="E190" s="10">
        <f t="shared" si="1"/>
        <v>20186</v>
      </c>
    </row>
    <row r="191" customHeight="1" spans="1:5">
      <c r="A191" s="13">
        <v>45051</v>
      </c>
      <c r="B191" s="14">
        <v>7579687633</v>
      </c>
      <c r="C191" s="19" t="s">
        <v>23</v>
      </c>
      <c r="D191" s="19">
        <v>313</v>
      </c>
      <c r="E191" s="10">
        <f t="shared" si="1"/>
        <v>19873</v>
      </c>
    </row>
    <row r="192" customHeight="1" spans="1:5">
      <c r="A192" s="13">
        <v>45051</v>
      </c>
      <c r="B192" s="14">
        <v>7579687634</v>
      </c>
      <c r="C192" s="19" t="s">
        <v>23</v>
      </c>
      <c r="D192" s="19">
        <v>1198</v>
      </c>
      <c r="E192" s="10">
        <f t="shared" si="1"/>
        <v>18675</v>
      </c>
    </row>
    <row r="193" customHeight="1" spans="1:5">
      <c r="A193" s="13">
        <v>45051</v>
      </c>
      <c r="B193" s="14">
        <v>7579687635</v>
      </c>
      <c r="C193" s="19" t="s">
        <v>23</v>
      </c>
      <c r="D193" s="19">
        <v>406</v>
      </c>
      <c r="E193" s="10">
        <f t="shared" si="1"/>
        <v>18269</v>
      </c>
    </row>
    <row r="194" customHeight="1" spans="1:5">
      <c r="A194" s="13">
        <v>45051</v>
      </c>
      <c r="B194" s="14">
        <v>7579687636</v>
      </c>
      <c r="C194" s="19" t="s">
        <v>23</v>
      </c>
      <c r="D194" s="19">
        <v>469</v>
      </c>
      <c r="E194" s="10">
        <f t="shared" si="1"/>
        <v>17800</v>
      </c>
    </row>
    <row r="195" customHeight="1" spans="1:5">
      <c r="A195" s="13">
        <v>45051</v>
      </c>
      <c r="B195" s="14">
        <v>7579687637</v>
      </c>
      <c r="C195" s="19" t="s">
        <v>23</v>
      </c>
      <c r="D195" s="19">
        <v>533</v>
      </c>
      <c r="E195" s="10">
        <f t="shared" si="1"/>
        <v>17267</v>
      </c>
    </row>
    <row r="196" customHeight="1" spans="1:5">
      <c r="A196" s="13">
        <v>45051</v>
      </c>
      <c r="B196" s="14">
        <v>7579687638</v>
      </c>
      <c r="C196" s="19" t="s">
        <v>23</v>
      </c>
      <c r="D196" s="19">
        <v>180</v>
      </c>
      <c r="E196" s="10">
        <f t="shared" si="1"/>
        <v>17087</v>
      </c>
    </row>
    <row r="197" customHeight="1" spans="1:5">
      <c r="A197" s="13">
        <v>45051</v>
      </c>
      <c r="B197" s="14">
        <v>7579687639</v>
      </c>
      <c r="C197" s="19" t="s">
        <v>23</v>
      </c>
      <c r="D197" s="19">
        <v>208</v>
      </c>
      <c r="E197" s="10">
        <f t="shared" si="1"/>
        <v>16879</v>
      </c>
    </row>
    <row r="198" customHeight="1" spans="1:5">
      <c r="A198" s="13">
        <v>45051</v>
      </c>
      <c r="B198" s="14">
        <v>7579687640</v>
      </c>
      <c r="C198" s="19" t="s">
        <v>23</v>
      </c>
      <c r="D198" s="19">
        <v>355</v>
      </c>
      <c r="E198" s="10">
        <f t="shared" si="1"/>
        <v>16524</v>
      </c>
    </row>
    <row r="199" customHeight="1" spans="1:5">
      <c r="A199" s="13">
        <v>45051</v>
      </c>
      <c r="B199" s="14">
        <v>7579687641</v>
      </c>
      <c r="C199" s="19" t="s">
        <v>23</v>
      </c>
      <c r="D199" s="19">
        <v>120</v>
      </c>
      <c r="E199" s="10">
        <f t="shared" si="1"/>
        <v>16404</v>
      </c>
    </row>
    <row r="200" customHeight="1" spans="1:5">
      <c r="A200" s="13">
        <v>45051</v>
      </c>
      <c r="B200" s="14">
        <v>7579687642</v>
      </c>
      <c r="C200" s="19" t="s">
        <v>23</v>
      </c>
      <c r="D200" s="19">
        <v>139</v>
      </c>
      <c r="E200" s="10">
        <f t="shared" si="1"/>
        <v>16265</v>
      </c>
    </row>
    <row r="201" customHeight="1" spans="1:5">
      <c r="A201" s="13">
        <v>45078</v>
      </c>
      <c r="B201" s="14">
        <v>4329902769</v>
      </c>
      <c r="C201" s="19" t="s">
        <v>23</v>
      </c>
      <c r="D201" s="19">
        <v>631</v>
      </c>
      <c r="E201" s="10">
        <f t="shared" si="1"/>
        <v>15634</v>
      </c>
    </row>
    <row r="202" customHeight="1" spans="1:5">
      <c r="A202" s="13">
        <v>45078</v>
      </c>
      <c r="B202" s="14">
        <v>4329902770</v>
      </c>
      <c r="C202" s="19" t="s">
        <v>23</v>
      </c>
      <c r="D202" s="19">
        <v>448</v>
      </c>
      <c r="E202" s="10">
        <f t="shared" si="1"/>
        <v>15186</v>
      </c>
    </row>
    <row r="203" customHeight="1" spans="1:5">
      <c r="A203" s="13">
        <v>45078</v>
      </c>
      <c r="B203" s="14">
        <v>4329902771</v>
      </c>
      <c r="C203" s="19" t="s">
        <v>23</v>
      </c>
      <c r="D203" s="19">
        <v>269</v>
      </c>
      <c r="E203" s="10">
        <f t="shared" si="1"/>
        <v>14917</v>
      </c>
    </row>
    <row r="204" customHeight="1" spans="1:5">
      <c r="A204" s="13">
        <v>45078</v>
      </c>
      <c r="B204" s="14">
        <v>4329902772</v>
      </c>
      <c r="C204" s="19" t="s">
        <v>23</v>
      </c>
      <c r="D204" s="19">
        <v>191</v>
      </c>
      <c r="E204" s="10">
        <f t="shared" si="1"/>
        <v>14726</v>
      </c>
    </row>
    <row r="205" customHeight="1" spans="1:5">
      <c r="A205" s="13">
        <v>45078</v>
      </c>
      <c r="B205" s="14">
        <v>4329902773</v>
      </c>
      <c r="C205" s="19" t="s">
        <v>23</v>
      </c>
      <c r="D205" s="19">
        <v>229</v>
      </c>
      <c r="E205" s="10">
        <f t="shared" si="1"/>
        <v>14497</v>
      </c>
    </row>
    <row r="206" customHeight="1" spans="1:5">
      <c r="A206" s="13">
        <v>45078</v>
      </c>
      <c r="B206" s="14">
        <v>4329902774</v>
      </c>
      <c r="C206" s="19" t="s">
        <v>23</v>
      </c>
      <c r="D206" s="19">
        <v>631</v>
      </c>
      <c r="E206" s="10">
        <f t="shared" si="1"/>
        <v>13866</v>
      </c>
    </row>
    <row r="207" customHeight="1" spans="1:5">
      <c r="A207" s="13">
        <v>45078</v>
      </c>
      <c r="B207" s="14">
        <v>4329902775</v>
      </c>
      <c r="C207" s="19" t="s">
        <v>23</v>
      </c>
      <c r="D207" s="19">
        <v>448</v>
      </c>
      <c r="E207" s="10">
        <f t="shared" si="1"/>
        <v>13418</v>
      </c>
    </row>
    <row r="208" customHeight="1" spans="1:5">
      <c r="A208" s="13">
        <v>45078</v>
      </c>
      <c r="B208" s="14">
        <v>4329902776</v>
      </c>
      <c r="C208" s="19" t="s">
        <v>23</v>
      </c>
      <c r="D208" s="19">
        <v>269</v>
      </c>
      <c r="E208" s="10">
        <f t="shared" si="1"/>
        <v>13149</v>
      </c>
    </row>
    <row r="209" customHeight="1" spans="1:5">
      <c r="A209" s="13">
        <v>45078</v>
      </c>
      <c r="B209" s="14">
        <v>4329902777</v>
      </c>
      <c r="C209" s="19" t="s">
        <v>23</v>
      </c>
      <c r="D209" s="19">
        <v>191</v>
      </c>
      <c r="E209" s="10">
        <f t="shared" si="1"/>
        <v>12958</v>
      </c>
    </row>
    <row r="210" customHeight="1" spans="1:5">
      <c r="A210" s="13">
        <v>45078</v>
      </c>
      <c r="B210" s="14">
        <v>4329902778</v>
      </c>
      <c r="C210" s="19" t="s">
        <v>23</v>
      </c>
      <c r="D210" s="19">
        <v>229</v>
      </c>
      <c r="E210" s="10">
        <f t="shared" si="1"/>
        <v>12729</v>
      </c>
    </row>
    <row r="211" customHeight="1" spans="1:5">
      <c r="A211" s="13">
        <v>45078</v>
      </c>
      <c r="B211" s="14">
        <v>4329902779</v>
      </c>
      <c r="C211" s="19" t="s">
        <v>23</v>
      </c>
      <c r="D211" s="19">
        <v>706</v>
      </c>
      <c r="E211" s="10">
        <f t="shared" si="1"/>
        <v>12023</v>
      </c>
    </row>
    <row r="212" customHeight="1" spans="1:5">
      <c r="A212" s="13">
        <v>45078</v>
      </c>
      <c r="B212" s="14">
        <v>4329902780</v>
      </c>
      <c r="C212" s="19" t="s">
        <v>23</v>
      </c>
      <c r="D212" s="19">
        <v>501</v>
      </c>
      <c r="E212" s="10">
        <f t="shared" si="1"/>
        <v>11522</v>
      </c>
    </row>
    <row r="213" customHeight="1" spans="1:5">
      <c r="A213" s="13">
        <v>45078</v>
      </c>
      <c r="B213" s="14">
        <v>4329902781</v>
      </c>
      <c r="C213" s="19" t="s">
        <v>23</v>
      </c>
      <c r="D213" s="19">
        <v>302</v>
      </c>
      <c r="E213" s="10">
        <f t="shared" si="1"/>
        <v>11220</v>
      </c>
    </row>
    <row r="214" customHeight="1" spans="1:5">
      <c r="A214" s="13">
        <v>45078</v>
      </c>
      <c r="B214" s="14">
        <v>4329902782</v>
      </c>
      <c r="C214" s="19" t="s">
        <v>23</v>
      </c>
      <c r="D214" s="19">
        <v>214</v>
      </c>
      <c r="E214" s="10">
        <f t="shared" si="1"/>
        <v>11006</v>
      </c>
    </row>
    <row r="215" customHeight="1" spans="1:5">
      <c r="A215" s="13">
        <v>45078</v>
      </c>
      <c r="B215" s="14">
        <v>4329902783</v>
      </c>
      <c r="C215" s="19" t="s">
        <v>23</v>
      </c>
      <c r="D215" s="19">
        <v>256</v>
      </c>
      <c r="E215" s="10">
        <f t="shared" si="1"/>
        <v>10750</v>
      </c>
    </row>
    <row r="216" customHeight="1" spans="1:5">
      <c r="A216" s="13">
        <v>45078</v>
      </c>
      <c r="B216" s="14">
        <v>4329902784</v>
      </c>
      <c r="C216" s="19" t="s">
        <v>23</v>
      </c>
      <c r="D216" s="19">
        <v>303</v>
      </c>
      <c r="E216" s="10">
        <f t="shared" si="1"/>
        <v>10447</v>
      </c>
    </row>
    <row r="217" customHeight="1" spans="1:5">
      <c r="A217" s="13">
        <v>45078</v>
      </c>
      <c r="B217" s="14">
        <v>4329902785</v>
      </c>
      <c r="C217" s="19" t="s">
        <v>23</v>
      </c>
      <c r="D217" s="19">
        <v>215</v>
      </c>
      <c r="E217" s="10">
        <f t="shared" si="1"/>
        <v>10232</v>
      </c>
    </row>
    <row r="218" customHeight="1" spans="1:5">
      <c r="A218" s="13">
        <v>45078</v>
      </c>
      <c r="B218" s="14">
        <v>4329902786</v>
      </c>
      <c r="C218" s="19" t="s">
        <v>23</v>
      </c>
      <c r="D218" s="19">
        <v>129</v>
      </c>
      <c r="E218" s="10">
        <f t="shared" si="1"/>
        <v>10103</v>
      </c>
    </row>
    <row r="219" customHeight="1" spans="1:5">
      <c r="A219" s="13">
        <v>45078</v>
      </c>
      <c r="B219" s="14">
        <v>4329902787</v>
      </c>
      <c r="C219" s="19" t="s">
        <v>23</v>
      </c>
      <c r="D219" s="19">
        <v>92</v>
      </c>
      <c r="E219" s="10">
        <f>E218-D219</f>
        <v>10011</v>
      </c>
    </row>
    <row r="220" customHeight="1" spans="1:5">
      <c r="A220" s="13">
        <v>45078</v>
      </c>
      <c r="B220" s="14">
        <v>4329902788</v>
      </c>
      <c r="C220" s="19" t="s">
        <v>23</v>
      </c>
      <c r="D220" s="19">
        <v>110</v>
      </c>
      <c r="E220" s="10">
        <f>E219-D220</f>
        <v>9901</v>
      </c>
    </row>
    <row r="221" customHeight="1" spans="1:5">
      <c r="A221" s="13"/>
      <c r="B221" s="14"/>
      <c r="C221" s="19"/>
      <c r="D221" s="19"/>
      <c r="E221" s="10"/>
    </row>
    <row r="222" customHeight="1" spans="1:5">
      <c r="A222" s="13"/>
      <c r="B222" s="14"/>
      <c r="C222" s="19"/>
      <c r="D222" s="19"/>
      <c r="E222" s="10"/>
    </row>
    <row r="223" customHeight="1" spans="1:5">
      <c r="A223" s="13"/>
      <c r="B223" s="14"/>
      <c r="C223" s="19"/>
      <c r="D223" s="19"/>
      <c r="E223" s="10"/>
    </row>
    <row r="224" customHeight="1" spans="1:5">
      <c r="A224" s="13"/>
      <c r="B224" s="14"/>
      <c r="C224" s="19"/>
      <c r="D224" s="19"/>
      <c r="E224" s="10"/>
    </row>
    <row r="225" customHeight="1" spans="1:5">
      <c r="A225" s="13"/>
      <c r="B225" s="14"/>
      <c r="C225" s="19"/>
      <c r="D225" s="19"/>
      <c r="E225" s="10"/>
    </row>
    <row r="226" customHeight="1" spans="1:5">
      <c r="A226" s="15" t="s">
        <v>620</v>
      </c>
      <c r="B226" s="16"/>
      <c r="C226" s="16"/>
      <c r="D226" s="17"/>
      <c r="E226" s="4">
        <f>E220</f>
        <v>9901</v>
      </c>
    </row>
    <row r="230" customHeight="1" spans="1:5">
      <c r="A230" s="6" t="s">
        <v>904</v>
      </c>
      <c r="B230" s="7" t="s">
        <v>905</v>
      </c>
      <c r="C230" s="6" t="s">
        <v>906</v>
      </c>
      <c r="D230" s="8" t="s">
        <v>907</v>
      </c>
      <c r="E230" s="6" t="s">
        <v>908</v>
      </c>
    </row>
    <row r="231" customHeight="1" spans="1:5">
      <c r="A231" s="10" t="s">
        <v>85</v>
      </c>
      <c r="B231" s="10">
        <v>16000</v>
      </c>
      <c r="C231" s="10" t="s">
        <v>909</v>
      </c>
      <c r="D231" s="11">
        <v>44547</v>
      </c>
      <c r="E231" s="10"/>
    </row>
    <row r="232" customHeight="1" spans="1:5">
      <c r="A232" s="6" t="s">
        <v>910</v>
      </c>
      <c r="B232" s="7" t="s">
        <v>911</v>
      </c>
      <c r="C232" s="12" t="s">
        <v>904</v>
      </c>
      <c r="D232" s="12" t="s">
        <v>912</v>
      </c>
      <c r="E232" s="6" t="s">
        <v>913</v>
      </c>
    </row>
    <row r="233" customHeight="1" spans="1:5">
      <c r="A233" s="13">
        <v>44539</v>
      </c>
      <c r="B233" s="18" t="s">
        <v>943</v>
      </c>
      <c r="C233" s="18" t="s">
        <v>85</v>
      </c>
      <c r="D233" s="18">
        <v>6000</v>
      </c>
      <c r="E233" s="10">
        <f>B231-D233</f>
        <v>10000</v>
      </c>
    </row>
    <row r="234" customHeight="1" spans="1:5">
      <c r="A234" s="13">
        <v>44539</v>
      </c>
      <c r="B234" s="18" t="s">
        <v>944</v>
      </c>
      <c r="C234" s="18" t="s">
        <v>85</v>
      </c>
      <c r="D234" s="18">
        <v>6000</v>
      </c>
      <c r="E234" s="10">
        <f>E233-D234</f>
        <v>4000</v>
      </c>
    </row>
    <row r="235" customHeight="1" spans="1:5">
      <c r="A235" s="4"/>
      <c r="B235" s="4"/>
      <c r="C235" s="4"/>
      <c r="D235" s="4"/>
      <c r="E235" s="4"/>
    </row>
    <row r="236" customHeight="1" spans="1:5">
      <c r="A236" s="4"/>
      <c r="B236" s="4"/>
      <c r="C236" s="4"/>
      <c r="D236" s="4"/>
      <c r="E236" s="4"/>
    </row>
    <row r="237" customHeight="1" spans="1:5">
      <c r="A237" s="15" t="s">
        <v>620</v>
      </c>
      <c r="B237" s="16"/>
      <c r="C237" s="16"/>
      <c r="D237" s="17"/>
      <c r="E237" s="4">
        <f>E234</f>
        <v>4000</v>
      </c>
    </row>
    <row r="240" customHeight="1" spans="1:5">
      <c r="A240" s="6" t="s">
        <v>904</v>
      </c>
      <c r="B240" s="7" t="s">
        <v>905</v>
      </c>
      <c r="C240" s="6" t="s">
        <v>906</v>
      </c>
      <c r="D240" s="8" t="s">
        <v>907</v>
      </c>
      <c r="E240" s="6" t="s">
        <v>908</v>
      </c>
    </row>
    <row r="241" customHeight="1" spans="1:5">
      <c r="A241" s="10" t="s">
        <v>19</v>
      </c>
      <c r="B241" s="10">
        <v>253000</v>
      </c>
      <c r="C241" s="10" t="s">
        <v>909</v>
      </c>
      <c r="D241" s="20">
        <v>44519</v>
      </c>
      <c r="E241" s="10"/>
    </row>
    <row r="242" customHeight="1" spans="1:5">
      <c r="A242" s="6" t="s">
        <v>910</v>
      </c>
      <c r="B242" s="7" t="s">
        <v>911</v>
      </c>
      <c r="C242" s="12" t="s">
        <v>904</v>
      </c>
      <c r="D242" s="12" t="s">
        <v>912</v>
      </c>
      <c r="E242" s="6" t="s">
        <v>913</v>
      </c>
    </row>
    <row r="243" customHeight="1" spans="1:5">
      <c r="A243" s="13">
        <v>44538</v>
      </c>
      <c r="B243" s="10" t="s">
        <v>945</v>
      </c>
      <c r="C243" s="10" t="s">
        <v>19</v>
      </c>
      <c r="D243" s="10">
        <v>18000</v>
      </c>
      <c r="E243" s="10">
        <f>B241-D243</f>
        <v>235000</v>
      </c>
    </row>
    <row r="244" customHeight="1" spans="1:5">
      <c r="A244" s="13">
        <v>44538</v>
      </c>
      <c r="B244" s="10" t="s">
        <v>946</v>
      </c>
      <c r="C244" s="10" t="s">
        <v>19</v>
      </c>
      <c r="D244" s="10">
        <v>20000</v>
      </c>
      <c r="E244" s="10">
        <f t="shared" ref="E244:E267" si="2">E243-D244</f>
        <v>215000</v>
      </c>
    </row>
    <row r="245" customHeight="1" spans="1:5">
      <c r="A245" s="13">
        <v>44538</v>
      </c>
      <c r="B245" s="10" t="s">
        <v>947</v>
      </c>
      <c r="C245" s="10" t="s">
        <v>19</v>
      </c>
      <c r="D245" s="10">
        <v>28000</v>
      </c>
      <c r="E245" s="10">
        <f t="shared" si="2"/>
        <v>187000</v>
      </c>
    </row>
    <row r="246" customHeight="1" spans="1:5">
      <c r="A246" s="13">
        <v>44538</v>
      </c>
      <c r="B246" s="10" t="s">
        <v>948</v>
      </c>
      <c r="C246" s="10" t="s">
        <v>19</v>
      </c>
      <c r="D246" s="10">
        <v>28000</v>
      </c>
      <c r="E246" s="10">
        <f t="shared" si="2"/>
        <v>159000</v>
      </c>
    </row>
    <row r="247" customHeight="1" spans="1:5">
      <c r="A247" s="13">
        <v>44538</v>
      </c>
      <c r="B247" s="10" t="s">
        <v>949</v>
      </c>
      <c r="C247" s="10" t="s">
        <v>19</v>
      </c>
      <c r="D247" s="10">
        <v>28000</v>
      </c>
      <c r="E247" s="10">
        <f t="shared" si="2"/>
        <v>131000</v>
      </c>
    </row>
    <row r="248" customHeight="1" spans="1:5">
      <c r="A248" s="13">
        <v>44538</v>
      </c>
      <c r="B248" s="10" t="s">
        <v>950</v>
      </c>
      <c r="C248" s="10" t="s">
        <v>19</v>
      </c>
      <c r="D248" s="10">
        <v>28000</v>
      </c>
      <c r="E248" s="10">
        <f t="shared" si="2"/>
        <v>103000</v>
      </c>
    </row>
    <row r="249" customHeight="1" spans="1:5">
      <c r="A249" s="13">
        <v>44602</v>
      </c>
      <c r="B249" s="10" t="s">
        <v>935</v>
      </c>
      <c r="C249" s="10" t="s">
        <v>19</v>
      </c>
      <c r="D249" s="10">
        <f>125+70</f>
        <v>195</v>
      </c>
      <c r="E249" s="10">
        <f t="shared" si="2"/>
        <v>102805</v>
      </c>
    </row>
    <row r="250" customHeight="1" spans="1:5">
      <c r="A250" s="13">
        <v>44617</v>
      </c>
      <c r="B250" s="10" t="s">
        <v>951</v>
      </c>
      <c r="C250" s="10" t="s">
        <v>952</v>
      </c>
      <c r="D250" s="10">
        <v>10800</v>
      </c>
      <c r="E250" s="10">
        <f t="shared" si="2"/>
        <v>92005</v>
      </c>
    </row>
    <row r="251" customHeight="1" spans="1:5">
      <c r="A251" s="13">
        <v>44665</v>
      </c>
      <c r="B251" s="10">
        <v>1826904374</v>
      </c>
      <c r="C251" s="10" t="s">
        <v>19</v>
      </c>
      <c r="D251" s="10">
        <v>296</v>
      </c>
      <c r="E251" s="10">
        <f t="shared" si="2"/>
        <v>91709</v>
      </c>
    </row>
    <row r="252" customHeight="1" spans="1:5">
      <c r="A252" s="13">
        <v>44684</v>
      </c>
      <c r="B252" s="10">
        <v>7787552</v>
      </c>
      <c r="C252" s="10" t="s">
        <v>19</v>
      </c>
      <c r="D252" s="10">
        <v>3600</v>
      </c>
      <c r="E252" s="10">
        <f t="shared" si="2"/>
        <v>88109</v>
      </c>
    </row>
    <row r="253" customHeight="1" spans="1:5">
      <c r="A253" s="13">
        <v>44721</v>
      </c>
      <c r="B253" s="10">
        <v>1826905475</v>
      </c>
      <c r="C253" s="10" t="s">
        <v>19</v>
      </c>
      <c r="D253" s="10">
        <v>1652</v>
      </c>
      <c r="E253" s="10">
        <f t="shared" si="2"/>
        <v>86457</v>
      </c>
    </row>
    <row r="254" customHeight="1" spans="1:5">
      <c r="A254" s="13">
        <v>44721</v>
      </c>
      <c r="B254" s="10">
        <v>1826905478</v>
      </c>
      <c r="C254" s="10" t="s">
        <v>19</v>
      </c>
      <c r="D254" s="10">
        <v>2438</v>
      </c>
      <c r="E254" s="10">
        <f t="shared" si="2"/>
        <v>84019</v>
      </c>
    </row>
    <row r="255" customHeight="1" spans="1:5">
      <c r="A255" s="13">
        <v>44721</v>
      </c>
      <c r="B255" s="10">
        <v>1826905479</v>
      </c>
      <c r="C255" s="10" t="s">
        <v>19</v>
      </c>
      <c r="D255" s="10">
        <v>2078</v>
      </c>
      <c r="E255" s="10">
        <f t="shared" si="2"/>
        <v>81941</v>
      </c>
    </row>
    <row r="256" customHeight="1" spans="1:5">
      <c r="A256" s="13">
        <v>44722</v>
      </c>
      <c r="B256" s="10">
        <v>4305612</v>
      </c>
      <c r="C256" s="10" t="s">
        <v>19</v>
      </c>
      <c r="D256" s="10">
        <v>2118</v>
      </c>
      <c r="E256" s="10">
        <f t="shared" si="2"/>
        <v>79823</v>
      </c>
    </row>
    <row r="257" customHeight="1" spans="1:5">
      <c r="A257" s="13">
        <v>44722</v>
      </c>
      <c r="B257" s="10">
        <v>1268345</v>
      </c>
      <c r="C257" s="10" t="s">
        <v>19</v>
      </c>
      <c r="D257" s="10">
        <v>8000</v>
      </c>
      <c r="E257" s="10">
        <f t="shared" si="2"/>
        <v>71823</v>
      </c>
    </row>
    <row r="258" customHeight="1" spans="1:5">
      <c r="A258" s="13">
        <v>44722</v>
      </c>
      <c r="B258" s="10">
        <v>3335027</v>
      </c>
      <c r="C258" s="10" t="s">
        <v>19</v>
      </c>
      <c r="D258" s="10">
        <v>4600</v>
      </c>
      <c r="E258" s="10">
        <f t="shared" si="2"/>
        <v>67223</v>
      </c>
    </row>
    <row r="259" customHeight="1" spans="1:5">
      <c r="A259" s="13">
        <v>44722</v>
      </c>
      <c r="B259" s="10">
        <v>4738421</v>
      </c>
      <c r="C259" s="10" t="s">
        <v>19</v>
      </c>
      <c r="D259" s="10">
        <v>7800</v>
      </c>
      <c r="E259" s="10">
        <f t="shared" si="2"/>
        <v>59423</v>
      </c>
    </row>
    <row r="260" customHeight="1" spans="1:5">
      <c r="A260" s="13">
        <v>44722</v>
      </c>
      <c r="B260" s="10">
        <v>7502351</v>
      </c>
      <c r="C260" s="10" t="s">
        <v>19</v>
      </c>
      <c r="D260" s="10">
        <v>5200</v>
      </c>
      <c r="E260" s="10">
        <f t="shared" si="2"/>
        <v>54223</v>
      </c>
    </row>
    <row r="261" customHeight="1" spans="1:5">
      <c r="A261" s="13">
        <v>44762</v>
      </c>
      <c r="B261" s="10">
        <v>2796613</v>
      </c>
      <c r="C261" s="10" t="s">
        <v>19</v>
      </c>
      <c r="D261" s="10">
        <v>1100</v>
      </c>
      <c r="E261" s="10">
        <f t="shared" si="2"/>
        <v>53123</v>
      </c>
    </row>
    <row r="262" customHeight="1" spans="1:5">
      <c r="A262" s="13">
        <v>44762</v>
      </c>
      <c r="B262" s="10">
        <v>7281911</v>
      </c>
      <c r="C262" s="10" t="s">
        <v>19</v>
      </c>
      <c r="D262" s="10">
        <v>2000</v>
      </c>
      <c r="E262" s="10">
        <f t="shared" si="2"/>
        <v>51123</v>
      </c>
    </row>
    <row r="263" customHeight="1" spans="1:5">
      <c r="A263" s="13">
        <v>44762</v>
      </c>
      <c r="B263" s="10">
        <v>9367819</v>
      </c>
      <c r="C263" s="10" t="s">
        <v>19</v>
      </c>
      <c r="D263" s="10">
        <v>2000</v>
      </c>
      <c r="E263" s="10">
        <f t="shared" si="2"/>
        <v>49123</v>
      </c>
    </row>
    <row r="264" customHeight="1" spans="1:5">
      <c r="A264" s="13">
        <v>44762</v>
      </c>
      <c r="B264" s="10" t="s">
        <v>953</v>
      </c>
      <c r="C264" s="10" t="s">
        <v>19</v>
      </c>
      <c r="D264" s="10">
        <v>600</v>
      </c>
      <c r="E264" s="10">
        <f t="shared" si="2"/>
        <v>48523</v>
      </c>
    </row>
    <row r="265" customHeight="1" spans="1:5">
      <c r="A265" s="13">
        <v>45217</v>
      </c>
      <c r="B265" s="10" t="s">
        <v>954</v>
      </c>
      <c r="C265" s="10" t="s">
        <v>19</v>
      </c>
      <c r="D265" s="10">
        <v>2402</v>
      </c>
      <c r="E265" s="10">
        <f t="shared" si="2"/>
        <v>46121</v>
      </c>
    </row>
    <row r="266" customHeight="1" spans="1:5">
      <c r="A266" s="13">
        <v>45220</v>
      </c>
      <c r="B266" s="10">
        <v>2401526323</v>
      </c>
      <c r="C266" s="10" t="s">
        <v>19</v>
      </c>
      <c r="D266" s="10">
        <v>134</v>
      </c>
      <c r="E266" s="10">
        <f t="shared" si="2"/>
        <v>45987</v>
      </c>
    </row>
    <row r="267" customHeight="1" spans="1:5">
      <c r="A267" s="13">
        <v>45220</v>
      </c>
      <c r="B267" s="10">
        <v>3501526323</v>
      </c>
      <c r="C267" s="10" t="s">
        <v>19</v>
      </c>
      <c r="D267" s="10">
        <v>464</v>
      </c>
      <c r="E267" s="10">
        <f t="shared" si="2"/>
        <v>45523</v>
      </c>
    </row>
    <row r="268" customHeight="1" spans="1:5">
      <c r="A268" s="4"/>
      <c r="B268" s="4"/>
      <c r="C268" s="4"/>
      <c r="D268" s="4"/>
      <c r="E268" s="4"/>
    </row>
    <row r="269" customHeight="1" spans="1:5">
      <c r="A269" s="15" t="s">
        <v>620</v>
      </c>
      <c r="B269" s="16"/>
      <c r="C269" s="16"/>
      <c r="D269" s="17"/>
      <c r="E269" s="4">
        <f>E267</f>
        <v>45523</v>
      </c>
    </row>
    <row r="273" customHeight="1" spans="1:5">
      <c r="A273" s="6" t="s">
        <v>904</v>
      </c>
      <c r="B273" s="7" t="s">
        <v>905</v>
      </c>
      <c r="C273" s="6" t="s">
        <v>906</v>
      </c>
      <c r="D273" s="8" t="s">
        <v>907</v>
      </c>
      <c r="E273" s="6" t="s">
        <v>908</v>
      </c>
    </row>
    <row r="274" customHeight="1" spans="1:5">
      <c r="A274" s="10" t="s">
        <v>896</v>
      </c>
      <c r="B274" s="21">
        <v>16000</v>
      </c>
      <c r="C274" s="10" t="s">
        <v>909</v>
      </c>
      <c r="D274" s="20">
        <v>44350</v>
      </c>
      <c r="E274" s="10"/>
    </row>
    <row r="275" customHeight="1" spans="1:5">
      <c r="A275" s="10" t="s">
        <v>896</v>
      </c>
      <c r="B275" s="21">
        <v>32000</v>
      </c>
      <c r="C275" s="10" t="s">
        <v>955</v>
      </c>
      <c r="D275" s="20">
        <v>44377</v>
      </c>
      <c r="E275" s="10"/>
    </row>
    <row r="276" customHeight="1" spans="1:5">
      <c r="A276" s="6" t="s">
        <v>910</v>
      </c>
      <c r="B276" s="7" t="s">
        <v>911</v>
      </c>
      <c r="C276" s="12" t="s">
        <v>904</v>
      </c>
      <c r="D276" s="12" t="s">
        <v>912</v>
      </c>
      <c r="E276" s="6" t="s">
        <v>913</v>
      </c>
    </row>
    <row r="277" customHeight="1" spans="1:5">
      <c r="A277" s="13">
        <v>44344</v>
      </c>
      <c r="B277" s="18" t="s">
        <v>956</v>
      </c>
      <c r="C277" s="18" t="s">
        <v>896</v>
      </c>
      <c r="D277" s="18">
        <v>11000</v>
      </c>
      <c r="E277" s="10">
        <f>B274+B275-D277</f>
        <v>37000</v>
      </c>
    </row>
    <row r="278" customHeight="1" spans="1:5">
      <c r="A278" s="4"/>
      <c r="B278" s="4"/>
      <c r="C278" s="4"/>
      <c r="D278" s="4"/>
      <c r="E278" s="4"/>
    </row>
    <row r="279" customHeight="1" spans="1:5">
      <c r="A279" s="4"/>
      <c r="B279" s="4"/>
      <c r="C279" s="4"/>
      <c r="D279" s="4"/>
      <c r="E279" s="4"/>
    </row>
    <row r="280" customHeight="1" spans="1:5">
      <c r="A280" s="15" t="s">
        <v>620</v>
      </c>
      <c r="B280" s="16"/>
      <c r="C280" s="16"/>
      <c r="D280" s="17"/>
      <c r="E280" s="4">
        <f>E277</f>
        <v>37000</v>
      </c>
    </row>
    <row r="284" customHeight="1" spans="1:5">
      <c r="A284" s="6" t="s">
        <v>904</v>
      </c>
      <c r="B284" s="7" t="s">
        <v>905</v>
      </c>
      <c r="C284" s="6" t="s">
        <v>906</v>
      </c>
      <c r="D284" s="8" t="s">
        <v>907</v>
      </c>
      <c r="E284" s="6" t="s">
        <v>908</v>
      </c>
    </row>
    <row r="285" customHeight="1" spans="1:5">
      <c r="A285" s="10" t="s">
        <v>897</v>
      </c>
      <c r="B285" s="21">
        <v>16000</v>
      </c>
      <c r="C285" s="10" t="s">
        <v>909</v>
      </c>
      <c r="D285" s="20">
        <v>44340</v>
      </c>
      <c r="E285" s="10"/>
    </row>
    <row r="286" customHeight="1" spans="1:5">
      <c r="A286" s="6" t="s">
        <v>910</v>
      </c>
      <c r="B286" s="7" t="s">
        <v>911</v>
      </c>
      <c r="C286" s="12" t="s">
        <v>904</v>
      </c>
      <c r="D286" s="12" t="s">
        <v>912</v>
      </c>
      <c r="E286" s="6" t="s">
        <v>913</v>
      </c>
    </row>
    <row r="287" customHeight="1" spans="1:5">
      <c r="A287" s="13">
        <v>44487</v>
      </c>
      <c r="B287" s="10" t="s">
        <v>957</v>
      </c>
      <c r="C287" s="10" t="s">
        <v>897</v>
      </c>
      <c r="D287" s="10">
        <v>3200</v>
      </c>
      <c r="E287" s="10">
        <f>B285-D287</f>
        <v>12800</v>
      </c>
    </row>
    <row r="288" customHeight="1" spans="1:5">
      <c r="A288" s="4"/>
      <c r="B288" s="4"/>
      <c r="C288" s="4"/>
      <c r="D288" s="4"/>
      <c r="E288" s="4"/>
    </row>
    <row r="289" customHeight="1" spans="1:5">
      <c r="A289" s="4"/>
      <c r="B289" s="4"/>
      <c r="C289" s="4"/>
      <c r="D289" s="4"/>
      <c r="E289" s="4"/>
    </row>
    <row r="290" customHeight="1" spans="1:5">
      <c r="A290" s="15" t="s">
        <v>620</v>
      </c>
      <c r="B290" s="16"/>
      <c r="C290" s="16"/>
      <c r="D290" s="17"/>
      <c r="E290" s="4">
        <f>E287</f>
        <v>12800</v>
      </c>
    </row>
    <row r="293" customHeight="1" spans="1:5">
      <c r="A293" s="6" t="s">
        <v>904</v>
      </c>
      <c r="B293" s="7" t="s">
        <v>905</v>
      </c>
      <c r="C293" s="6" t="s">
        <v>906</v>
      </c>
      <c r="D293" s="8" t="s">
        <v>907</v>
      </c>
      <c r="E293" s="6" t="s">
        <v>908</v>
      </c>
    </row>
    <row r="294" customHeight="1" spans="1:5">
      <c r="A294" s="10" t="s">
        <v>62</v>
      </c>
      <c r="B294" s="21">
        <v>16000</v>
      </c>
      <c r="C294" s="10" t="s">
        <v>909</v>
      </c>
      <c r="D294" s="20">
        <v>44340</v>
      </c>
      <c r="E294" s="10"/>
    </row>
    <row r="295" customHeight="1" spans="1:5">
      <c r="A295" s="6" t="s">
        <v>910</v>
      </c>
      <c r="B295" s="7" t="s">
        <v>911</v>
      </c>
      <c r="C295" s="12" t="s">
        <v>904</v>
      </c>
      <c r="D295" s="12" t="s">
        <v>912</v>
      </c>
      <c r="E295" s="6" t="s">
        <v>913</v>
      </c>
    </row>
    <row r="296" customHeight="1" spans="1:5">
      <c r="A296" s="13" t="s">
        <v>958</v>
      </c>
      <c r="B296" s="18" t="s">
        <v>844</v>
      </c>
      <c r="C296" s="18" t="s">
        <v>62</v>
      </c>
      <c r="D296" s="18">
        <v>4000</v>
      </c>
      <c r="E296" s="18">
        <f>B294-D296</f>
        <v>12000</v>
      </c>
    </row>
    <row r="297" customHeight="1" spans="1:5">
      <c r="A297" s="4"/>
      <c r="B297" s="4"/>
      <c r="C297" s="4"/>
      <c r="D297" s="4"/>
      <c r="E297" s="4"/>
    </row>
    <row r="298" customHeight="1" spans="1:5">
      <c r="A298" s="4"/>
      <c r="B298" s="4"/>
      <c r="C298" s="4"/>
      <c r="D298" s="4"/>
      <c r="E298" s="4"/>
    </row>
    <row r="299" customHeight="1" spans="1:5">
      <c r="A299" s="15" t="s">
        <v>620</v>
      </c>
      <c r="B299" s="16"/>
      <c r="C299" s="16"/>
      <c r="D299" s="17"/>
      <c r="E299" s="4">
        <f>E296</f>
        <v>12000</v>
      </c>
    </row>
    <row r="302" customHeight="1" spans="1:5">
      <c r="A302" s="6" t="s">
        <v>904</v>
      </c>
      <c r="B302" s="7" t="s">
        <v>905</v>
      </c>
      <c r="C302" s="6" t="s">
        <v>906</v>
      </c>
      <c r="D302" s="8" t="s">
        <v>907</v>
      </c>
      <c r="E302" s="6" t="s">
        <v>908</v>
      </c>
    </row>
    <row r="303" customHeight="1" spans="1:5">
      <c r="A303" s="10" t="s">
        <v>898</v>
      </c>
      <c r="B303" s="21">
        <v>16000</v>
      </c>
      <c r="C303" s="10" t="s">
        <v>909</v>
      </c>
      <c r="D303" s="20">
        <v>44340</v>
      </c>
      <c r="E303" s="10"/>
    </row>
    <row r="304" customHeight="1" spans="1:5">
      <c r="A304" s="6" t="s">
        <v>910</v>
      </c>
      <c r="B304" s="7" t="s">
        <v>911</v>
      </c>
      <c r="C304" s="12" t="s">
        <v>904</v>
      </c>
      <c r="D304" s="12" t="s">
        <v>912</v>
      </c>
      <c r="E304" s="6" t="s">
        <v>913</v>
      </c>
    </row>
    <row r="305" customHeight="1" spans="1:5">
      <c r="A305" s="4"/>
      <c r="B305" s="4"/>
      <c r="C305" s="4"/>
      <c r="D305" s="4"/>
      <c r="E305" s="4">
        <f>B303</f>
        <v>16000</v>
      </c>
    </row>
    <row r="306" customHeight="1" spans="1:5">
      <c r="A306" s="4"/>
      <c r="B306" s="4"/>
      <c r="C306" s="4"/>
      <c r="D306" s="4"/>
      <c r="E306" s="4"/>
    </row>
    <row r="307" customHeight="1" spans="1:5">
      <c r="A307" s="4"/>
      <c r="B307" s="4"/>
      <c r="C307" s="4"/>
      <c r="D307" s="4"/>
      <c r="E307" s="4"/>
    </row>
    <row r="308" customHeight="1" spans="1:5">
      <c r="A308" s="4"/>
      <c r="B308" s="4"/>
      <c r="C308" s="4"/>
      <c r="D308" s="4"/>
      <c r="E308" s="4"/>
    </row>
    <row r="309" customHeight="1" spans="1:5">
      <c r="A309" s="4"/>
      <c r="B309" s="4"/>
      <c r="C309" s="4"/>
      <c r="D309" s="4"/>
      <c r="E309" s="4"/>
    </row>
    <row r="310" customHeight="1" spans="1:5">
      <c r="A310" s="15" t="s">
        <v>620</v>
      </c>
      <c r="B310" s="16"/>
      <c r="C310" s="16"/>
      <c r="D310" s="17"/>
      <c r="E310" s="4">
        <f>E305</f>
        <v>16000</v>
      </c>
    </row>
    <row r="314" customHeight="1" spans="1:5">
      <c r="A314" s="6" t="s">
        <v>904</v>
      </c>
      <c r="B314" s="7" t="s">
        <v>905</v>
      </c>
      <c r="C314" s="6" t="s">
        <v>906</v>
      </c>
      <c r="D314" s="8" t="s">
        <v>907</v>
      </c>
      <c r="E314" s="6" t="s">
        <v>908</v>
      </c>
    </row>
    <row r="315" customHeight="1" spans="1:5">
      <c r="A315" s="10" t="s">
        <v>900</v>
      </c>
      <c r="B315" s="21">
        <v>64000</v>
      </c>
      <c r="C315" s="10" t="s">
        <v>909</v>
      </c>
      <c r="D315" s="20">
        <v>44358</v>
      </c>
      <c r="E315" s="10"/>
    </row>
    <row r="316" customHeight="1" spans="1:5">
      <c r="A316" s="10" t="s">
        <v>900</v>
      </c>
      <c r="B316" s="21">
        <v>32000</v>
      </c>
      <c r="C316" s="10" t="s">
        <v>955</v>
      </c>
      <c r="D316" s="20">
        <v>44377</v>
      </c>
      <c r="E316" s="10"/>
    </row>
    <row r="317" customHeight="1" spans="1:5">
      <c r="A317" s="6" t="s">
        <v>910</v>
      </c>
      <c r="B317" s="7" t="s">
        <v>911</v>
      </c>
      <c r="C317" s="12" t="s">
        <v>904</v>
      </c>
      <c r="D317" s="12" t="s">
        <v>912</v>
      </c>
      <c r="E317" s="6" t="s">
        <v>913</v>
      </c>
    </row>
    <row r="318" customHeight="1" spans="1:5">
      <c r="A318" s="13">
        <v>44359</v>
      </c>
      <c r="B318" s="10">
        <v>2623949110</v>
      </c>
      <c r="C318" s="21" t="s">
        <v>50</v>
      </c>
      <c r="D318" s="10">
        <v>427</v>
      </c>
      <c r="E318" s="10">
        <f>B315+B316-D318</f>
        <v>95573</v>
      </c>
    </row>
    <row r="319" customHeight="1" spans="1:5">
      <c r="A319" s="13">
        <v>44359</v>
      </c>
      <c r="B319" s="10">
        <v>4023836418</v>
      </c>
      <c r="C319" s="21" t="s">
        <v>50</v>
      </c>
      <c r="D319" s="10">
        <v>700</v>
      </c>
      <c r="E319" s="10">
        <f t="shared" ref="E319:E340" si="3">E318-D319</f>
        <v>94873</v>
      </c>
    </row>
    <row r="320" customHeight="1" spans="1:5">
      <c r="A320" s="13">
        <v>44417</v>
      </c>
      <c r="B320" s="10" t="s">
        <v>959</v>
      </c>
      <c r="C320" s="21" t="s">
        <v>50</v>
      </c>
      <c r="D320" s="10">
        <v>103</v>
      </c>
      <c r="E320" s="10">
        <f t="shared" si="3"/>
        <v>94770</v>
      </c>
    </row>
    <row r="321" customHeight="1" spans="1:5">
      <c r="A321" s="13">
        <v>44417</v>
      </c>
      <c r="B321" s="10" t="s">
        <v>959</v>
      </c>
      <c r="C321" s="21" t="s">
        <v>50</v>
      </c>
      <c r="D321" s="10">
        <v>751</v>
      </c>
      <c r="E321" s="10">
        <f t="shared" si="3"/>
        <v>94019</v>
      </c>
    </row>
    <row r="322" customHeight="1" spans="1:5">
      <c r="A322" s="13">
        <v>44359</v>
      </c>
      <c r="B322" s="10">
        <v>2623949111</v>
      </c>
      <c r="C322" s="21" t="s">
        <v>50</v>
      </c>
      <c r="D322" s="10">
        <v>1222</v>
      </c>
      <c r="E322" s="10">
        <f t="shared" si="3"/>
        <v>92797</v>
      </c>
    </row>
    <row r="323" customHeight="1" spans="1:5">
      <c r="A323" s="13">
        <v>44359</v>
      </c>
      <c r="B323" s="10">
        <v>2623944154</v>
      </c>
      <c r="C323" s="21" t="s">
        <v>50</v>
      </c>
      <c r="D323" s="10">
        <v>0</v>
      </c>
      <c r="E323" s="10">
        <f t="shared" si="3"/>
        <v>92797</v>
      </c>
    </row>
    <row r="324" customHeight="1" spans="1:5">
      <c r="A324" s="13">
        <v>44359</v>
      </c>
      <c r="B324" s="10">
        <v>4023836417</v>
      </c>
      <c r="C324" s="21" t="s">
        <v>50</v>
      </c>
      <c r="D324" s="10">
        <v>2058</v>
      </c>
      <c r="E324" s="10">
        <f t="shared" si="3"/>
        <v>90739</v>
      </c>
    </row>
    <row r="325" customHeight="1" spans="1:5">
      <c r="A325" s="13">
        <v>44359</v>
      </c>
      <c r="B325" s="10">
        <v>4023836419</v>
      </c>
      <c r="C325" s="21" t="s">
        <v>50</v>
      </c>
      <c r="D325" s="10">
        <v>200</v>
      </c>
      <c r="E325" s="10">
        <f t="shared" si="3"/>
        <v>90539</v>
      </c>
    </row>
    <row r="326" customHeight="1" spans="1:5">
      <c r="A326" s="13">
        <v>44359</v>
      </c>
      <c r="B326" s="10">
        <v>4023836420</v>
      </c>
      <c r="C326" s="21" t="s">
        <v>50</v>
      </c>
      <c r="D326" s="10">
        <v>550</v>
      </c>
      <c r="E326" s="10">
        <f t="shared" si="3"/>
        <v>89989</v>
      </c>
    </row>
    <row r="327" customHeight="1" spans="1:5">
      <c r="A327" s="13">
        <v>44359</v>
      </c>
      <c r="B327" s="10" t="s">
        <v>960</v>
      </c>
      <c r="C327" s="21" t="s">
        <v>50</v>
      </c>
      <c r="D327" s="10">
        <v>0</v>
      </c>
      <c r="E327" s="10">
        <f t="shared" si="3"/>
        <v>89989</v>
      </c>
    </row>
    <row r="328" customHeight="1" spans="1:5">
      <c r="A328" s="13">
        <v>44359</v>
      </c>
      <c r="B328" s="10" t="s">
        <v>961</v>
      </c>
      <c r="C328" s="21" t="s">
        <v>52</v>
      </c>
      <c r="D328" s="10">
        <v>12838</v>
      </c>
      <c r="E328" s="10">
        <f t="shared" si="3"/>
        <v>77151</v>
      </c>
    </row>
    <row r="329" customHeight="1" spans="1:5">
      <c r="A329" s="13">
        <v>44372</v>
      </c>
      <c r="B329" s="10">
        <v>9624232978</v>
      </c>
      <c r="C329" s="21" t="s">
        <v>99</v>
      </c>
      <c r="D329" s="10">
        <v>732</v>
      </c>
      <c r="E329" s="10">
        <f t="shared" si="3"/>
        <v>76419</v>
      </c>
    </row>
    <row r="330" customHeight="1" spans="1:5">
      <c r="A330" s="13">
        <v>44372</v>
      </c>
      <c r="B330" s="10">
        <v>9624232979</v>
      </c>
      <c r="C330" s="21" t="s">
        <v>99</v>
      </c>
      <c r="D330" s="10">
        <v>408</v>
      </c>
      <c r="E330" s="10">
        <f t="shared" si="3"/>
        <v>76011</v>
      </c>
    </row>
    <row r="331" customHeight="1" spans="1:5">
      <c r="A331" s="13">
        <v>44372</v>
      </c>
      <c r="B331" s="10">
        <v>9624232980</v>
      </c>
      <c r="C331" s="21" t="s">
        <v>99</v>
      </c>
      <c r="D331" s="10">
        <v>360</v>
      </c>
      <c r="E331" s="10">
        <f t="shared" si="3"/>
        <v>75651</v>
      </c>
    </row>
    <row r="332" customHeight="1" spans="1:5">
      <c r="A332" s="13">
        <v>44372</v>
      </c>
      <c r="B332" s="10">
        <v>23921</v>
      </c>
      <c r="C332" s="21" t="s">
        <v>50</v>
      </c>
      <c r="D332" s="10">
        <v>1000</v>
      </c>
      <c r="E332" s="10">
        <f t="shared" si="3"/>
        <v>74651</v>
      </c>
    </row>
    <row r="333" customHeight="1" spans="1:5">
      <c r="A333" s="13">
        <v>44372</v>
      </c>
      <c r="B333" s="10">
        <v>23922</v>
      </c>
      <c r="C333" s="21" t="s">
        <v>50</v>
      </c>
      <c r="D333" s="10">
        <v>500</v>
      </c>
      <c r="E333" s="10">
        <f t="shared" si="3"/>
        <v>74151</v>
      </c>
    </row>
    <row r="334" customHeight="1" spans="1:5">
      <c r="A334" s="13">
        <v>44376</v>
      </c>
      <c r="B334" s="10" t="s">
        <v>962</v>
      </c>
      <c r="C334" s="21" t="s">
        <v>50</v>
      </c>
      <c r="D334" s="10">
        <v>100</v>
      </c>
      <c r="E334" s="10">
        <f t="shared" si="3"/>
        <v>74051</v>
      </c>
    </row>
    <row r="335" customHeight="1" spans="1:5">
      <c r="A335" s="13">
        <v>44380</v>
      </c>
      <c r="B335" s="10">
        <v>23940</v>
      </c>
      <c r="C335" s="21" t="s">
        <v>50</v>
      </c>
      <c r="D335" s="10">
        <v>73</v>
      </c>
      <c r="E335" s="10">
        <f t="shared" si="3"/>
        <v>73978</v>
      </c>
    </row>
    <row r="336" customHeight="1" spans="1:5">
      <c r="A336" s="13">
        <v>44389</v>
      </c>
      <c r="B336" s="10" t="s">
        <v>963</v>
      </c>
      <c r="C336" s="21" t="s">
        <v>50</v>
      </c>
      <c r="D336" s="10">
        <v>420</v>
      </c>
      <c r="E336" s="10">
        <f t="shared" si="3"/>
        <v>73558</v>
      </c>
    </row>
    <row r="337" customHeight="1" spans="1:5">
      <c r="A337" s="13">
        <v>44394</v>
      </c>
      <c r="B337" s="10">
        <v>9624235937</v>
      </c>
      <c r="C337" s="21" t="s">
        <v>50</v>
      </c>
      <c r="D337" s="10">
        <v>1000</v>
      </c>
      <c r="E337" s="10">
        <f t="shared" si="3"/>
        <v>72558</v>
      </c>
    </row>
    <row r="338" customHeight="1" spans="1:5">
      <c r="A338" s="13">
        <v>44417</v>
      </c>
      <c r="B338" s="10" t="s">
        <v>964</v>
      </c>
      <c r="C338" s="21" t="s">
        <v>50</v>
      </c>
      <c r="D338" s="10">
        <v>22199</v>
      </c>
      <c r="E338" s="10">
        <f t="shared" si="3"/>
        <v>50359</v>
      </c>
    </row>
    <row r="339" customHeight="1" spans="1:5">
      <c r="A339" s="13">
        <v>44483</v>
      </c>
      <c r="B339" s="10" t="s">
        <v>965</v>
      </c>
      <c r="C339" s="21" t="s">
        <v>50</v>
      </c>
      <c r="D339" s="10">
        <v>301</v>
      </c>
      <c r="E339" s="10">
        <f t="shared" si="3"/>
        <v>50058</v>
      </c>
    </row>
    <row r="340" customHeight="1" spans="1:5">
      <c r="A340" s="13">
        <v>44491</v>
      </c>
      <c r="B340" s="10" t="s">
        <v>966</v>
      </c>
      <c r="C340" s="21" t="s">
        <v>50</v>
      </c>
      <c r="D340" s="10">
        <v>3000</v>
      </c>
      <c r="E340" s="10">
        <f t="shared" si="3"/>
        <v>47058</v>
      </c>
    </row>
    <row r="341" customHeight="1" spans="1:5">
      <c r="A341" s="4"/>
      <c r="B341" s="4"/>
      <c r="C341" s="4"/>
      <c r="D341" s="4"/>
      <c r="E341" s="4"/>
    </row>
    <row r="342" customHeight="1" spans="1:5">
      <c r="A342" s="4"/>
      <c r="B342" s="4"/>
      <c r="C342" s="4"/>
      <c r="D342" s="4"/>
      <c r="E342" s="4"/>
    </row>
    <row r="343" customHeight="1" spans="1:5">
      <c r="A343" s="4"/>
      <c r="B343" s="4"/>
      <c r="C343" s="4"/>
      <c r="D343" s="4"/>
      <c r="E343" s="4"/>
    </row>
    <row r="344" customHeight="1" spans="1:5">
      <c r="A344" s="4"/>
      <c r="B344" s="4"/>
      <c r="C344" s="4"/>
      <c r="D344" s="4"/>
      <c r="E344" s="4"/>
    </row>
    <row r="345" customHeight="1" spans="1:5">
      <c r="A345" s="15" t="s">
        <v>620</v>
      </c>
      <c r="B345" s="16"/>
      <c r="C345" s="16"/>
      <c r="D345" s="17"/>
      <c r="E345" s="4">
        <f>E340</f>
        <v>47058</v>
      </c>
    </row>
    <row r="349" customHeight="1" spans="1:5">
      <c r="A349" s="6" t="s">
        <v>904</v>
      </c>
      <c r="B349" s="7" t="s">
        <v>905</v>
      </c>
      <c r="C349" s="6" t="s">
        <v>906</v>
      </c>
      <c r="D349" s="8" t="s">
        <v>907</v>
      </c>
      <c r="E349" s="6" t="s">
        <v>908</v>
      </c>
    </row>
    <row r="350" customHeight="1" spans="1:5">
      <c r="A350" s="10" t="s">
        <v>60</v>
      </c>
      <c r="B350" s="21">
        <v>16000</v>
      </c>
      <c r="C350" s="10" t="s">
        <v>909</v>
      </c>
      <c r="D350" s="20">
        <v>44340</v>
      </c>
      <c r="E350" s="10"/>
    </row>
    <row r="351" customHeight="1" spans="1:5">
      <c r="A351" s="6" t="s">
        <v>910</v>
      </c>
      <c r="B351" s="7" t="s">
        <v>911</v>
      </c>
      <c r="C351" s="12" t="s">
        <v>904</v>
      </c>
      <c r="D351" s="12" t="s">
        <v>912</v>
      </c>
      <c r="E351" s="6" t="s">
        <v>913</v>
      </c>
    </row>
    <row r="352" customHeight="1" spans="1:5">
      <c r="A352" s="22">
        <v>44358</v>
      </c>
      <c r="B352" s="21" t="s">
        <v>967</v>
      </c>
      <c r="C352" s="21" t="s">
        <v>60</v>
      </c>
      <c r="D352" s="21">
        <v>400</v>
      </c>
      <c r="E352" s="10">
        <f>B350-D352</f>
        <v>15600</v>
      </c>
    </row>
    <row r="353" customHeight="1" spans="1:5">
      <c r="A353" s="13">
        <v>44456</v>
      </c>
      <c r="B353" s="10" t="s">
        <v>968</v>
      </c>
      <c r="C353" s="10" t="s">
        <v>60</v>
      </c>
      <c r="D353" s="10">
        <v>6100</v>
      </c>
      <c r="E353" s="10">
        <f>E352-D353</f>
        <v>9500</v>
      </c>
    </row>
    <row r="354" customHeight="1" spans="1:5">
      <c r="A354" s="13">
        <v>44449</v>
      </c>
      <c r="B354" s="10" t="s">
        <v>969</v>
      </c>
      <c r="C354" s="10" t="s">
        <v>60</v>
      </c>
      <c r="D354" s="10">
        <v>1000</v>
      </c>
      <c r="E354" s="10">
        <f>E353-D354</f>
        <v>8500</v>
      </c>
    </row>
    <row r="355" customHeight="1" spans="1:5">
      <c r="A355" s="10" t="s">
        <v>970</v>
      </c>
      <c r="B355" s="10" t="s">
        <v>971</v>
      </c>
      <c r="C355" s="10" t="s">
        <v>60</v>
      </c>
      <c r="D355" s="10">
        <v>4700</v>
      </c>
      <c r="E355" s="10">
        <f>E354-D355</f>
        <v>3800</v>
      </c>
    </row>
    <row r="356" customHeight="1" spans="1:5">
      <c r="A356" s="4"/>
      <c r="B356" s="4"/>
      <c r="C356" s="4"/>
      <c r="D356" s="4"/>
      <c r="E356" s="4"/>
    </row>
    <row r="357" customHeight="1" spans="1:5">
      <c r="A357" s="4"/>
      <c r="B357" s="4"/>
      <c r="C357" s="4"/>
      <c r="D357" s="4"/>
      <c r="E357" s="4"/>
    </row>
    <row r="358" customHeight="1" spans="1:5">
      <c r="A358" s="4"/>
      <c r="B358" s="4"/>
      <c r="C358" s="4"/>
      <c r="D358" s="4"/>
      <c r="E358" s="4"/>
    </row>
    <row r="359" customHeight="1" spans="1:5">
      <c r="A359" s="4"/>
      <c r="B359" s="4"/>
      <c r="C359" s="4"/>
      <c r="D359" s="4"/>
      <c r="E359" s="4"/>
    </row>
    <row r="360" customHeight="1" spans="1:5">
      <c r="A360" s="15" t="s">
        <v>620</v>
      </c>
      <c r="B360" s="16"/>
      <c r="C360" s="16"/>
      <c r="D360" s="17"/>
      <c r="E360" s="4">
        <f>E355</f>
        <v>3800</v>
      </c>
    </row>
    <row r="363" customHeight="1" spans="1:5">
      <c r="A363" s="6" t="s">
        <v>904</v>
      </c>
      <c r="B363" s="7" t="s">
        <v>905</v>
      </c>
      <c r="C363" s="6" t="s">
        <v>906</v>
      </c>
      <c r="D363" s="8" t="s">
        <v>907</v>
      </c>
      <c r="E363" s="6" t="s">
        <v>908</v>
      </c>
    </row>
    <row r="364" customHeight="1" spans="1:5">
      <c r="A364" s="10" t="s">
        <v>58</v>
      </c>
      <c r="B364" s="21">
        <v>32000</v>
      </c>
      <c r="C364" s="10" t="s">
        <v>909</v>
      </c>
      <c r="D364" s="20">
        <v>44343</v>
      </c>
      <c r="E364" s="10"/>
    </row>
    <row r="365" customHeight="1" spans="1:5">
      <c r="A365" s="10" t="s">
        <v>58</v>
      </c>
      <c r="B365" s="21">
        <v>32000</v>
      </c>
      <c r="C365" s="10" t="s">
        <v>955</v>
      </c>
      <c r="D365" s="20">
        <v>44377</v>
      </c>
      <c r="E365" s="10"/>
    </row>
    <row r="366" customHeight="1" spans="1:5">
      <c r="A366" s="6" t="s">
        <v>910</v>
      </c>
      <c r="B366" s="7" t="s">
        <v>911</v>
      </c>
      <c r="C366" s="12" t="s">
        <v>904</v>
      </c>
      <c r="D366" s="12" t="s">
        <v>912</v>
      </c>
      <c r="E366" s="6" t="s">
        <v>913</v>
      </c>
    </row>
    <row r="367" customHeight="1" spans="1:5">
      <c r="A367" s="13">
        <v>44343</v>
      </c>
      <c r="B367" s="21" t="s">
        <v>972</v>
      </c>
      <c r="C367" s="21" t="s">
        <v>58</v>
      </c>
      <c r="D367" s="21">
        <v>29500</v>
      </c>
      <c r="E367" s="10">
        <f>B364+B365-D367</f>
        <v>34500</v>
      </c>
    </row>
    <row r="368" customHeight="1" spans="1:5">
      <c r="A368" s="13">
        <v>44529</v>
      </c>
      <c r="B368" s="18" t="s">
        <v>973</v>
      </c>
      <c r="C368" s="21" t="s">
        <v>58</v>
      </c>
      <c r="D368" s="18">
        <v>3000</v>
      </c>
      <c r="E368" s="10">
        <f>E367-D368</f>
        <v>31500</v>
      </c>
    </row>
    <row r="369" customHeight="1" spans="1:5">
      <c r="A369" s="13">
        <v>44672</v>
      </c>
      <c r="B369" s="18" t="s">
        <v>974</v>
      </c>
      <c r="C369" s="21" t="s">
        <v>58</v>
      </c>
      <c r="D369" s="18">
        <v>6000</v>
      </c>
      <c r="E369" s="10">
        <f>E368-D369</f>
        <v>25500</v>
      </c>
    </row>
    <row r="370" customHeight="1" spans="1:5">
      <c r="A370" s="13">
        <v>45050</v>
      </c>
      <c r="B370" s="4" t="s">
        <v>975</v>
      </c>
      <c r="C370" s="21" t="s">
        <v>58</v>
      </c>
      <c r="D370" s="4">
        <v>1000</v>
      </c>
      <c r="E370" s="10">
        <f>E369-D370</f>
        <v>24500</v>
      </c>
    </row>
    <row r="371" customHeight="1" spans="1:5">
      <c r="A371" s="4"/>
      <c r="B371" s="4"/>
      <c r="C371" s="4"/>
      <c r="D371" s="4"/>
      <c r="E371" s="4"/>
    </row>
    <row r="372" customHeight="1" spans="1:5">
      <c r="A372" s="4"/>
      <c r="B372" s="4"/>
      <c r="C372" s="4"/>
      <c r="D372" s="4"/>
      <c r="E372" s="4"/>
    </row>
    <row r="373" customHeight="1" spans="1:5">
      <c r="A373" s="15" t="s">
        <v>620</v>
      </c>
      <c r="B373" s="16"/>
      <c r="C373" s="16"/>
      <c r="D373" s="17"/>
      <c r="E373" s="4">
        <f>E370</f>
        <v>24500</v>
      </c>
    </row>
    <row r="379" customHeight="1" spans="1:5">
      <c r="A379" s="6" t="s">
        <v>904</v>
      </c>
      <c r="B379" s="7" t="s">
        <v>905</v>
      </c>
      <c r="C379" s="6" t="s">
        <v>906</v>
      </c>
      <c r="D379" s="8" t="s">
        <v>907</v>
      </c>
      <c r="E379" s="6" t="s">
        <v>908</v>
      </c>
    </row>
    <row r="380" customHeight="1" spans="1:5">
      <c r="A380" s="10" t="s">
        <v>56</v>
      </c>
      <c r="B380" s="21">
        <v>16000</v>
      </c>
      <c r="C380" s="10" t="s">
        <v>909</v>
      </c>
      <c r="D380" s="20">
        <v>44340</v>
      </c>
      <c r="E380" s="10"/>
    </row>
    <row r="381" customHeight="1" spans="1:5">
      <c r="A381" s="10" t="s">
        <v>56</v>
      </c>
      <c r="B381" s="21">
        <v>16000</v>
      </c>
      <c r="C381" s="10" t="s">
        <v>955</v>
      </c>
      <c r="D381" s="20">
        <v>44377</v>
      </c>
      <c r="E381" s="10"/>
    </row>
    <row r="382" customHeight="1" spans="1:5">
      <c r="A382" s="6" t="s">
        <v>910</v>
      </c>
      <c r="B382" s="7" t="s">
        <v>911</v>
      </c>
      <c r="C382" s="12" t="s">
        <v>904</v>
      </c>
      <c r="D382" s="12" t="s">
        <v>912</v>
      </c>
      <c r="E382" s="6" t="s">
        <v>913</v>
      </c>
    </row>
    <row r="383" customHeight="1" spans="1:5">
      <c r="A383" s="13">
        <v>44481</v>
      </c>
      <c r="B383" s="21" t="s">
        <v>846</v>
      </c>
      <c r="C383" s="21" t="s">
        <v>56</v>
      </c>
      <c r="D383" s="21">
        <v>4000</v>
      </c>
      <c r="E383" s="10">
        <f>B380+B381-D383</f>
        <v>28000</v>
      </c>
    </row>
    <row r="384" customHeight="1" spans="1:5">
      <c r="A384" s="22"/>
      <c r="B384" s="21"/>
      <c r="C384" s="21"/>
      <c r="D384" s="21"/>
      <c r="E384" s="10"/>
    </row>
    <row r="385" customHeight="1" spans="1:5">
      <c r="A385" s="4"/>
      <c r="B385" s="4"/>
      <c r="C385" s="4"/>
      <c r="D385" s="4"/>
      <c r="E385" s="4"/>
    </row>
    <row r="386" customHeight="1" spans="1:5">
      <c r="A386" s="4"/>
      <c r="B386" s="4"/>
      <c r="C386" s="4"/>
      <c r="D386" s="4"/>
      <c r="E386" s="4"/>
    </row>
    <row r="387" customHeight="1" spans="1:5">
      <c r="A387" s="4"/>
      <c r="B387" s="4"/>
      <c r="C387" s="4"/>
      <c r="D387" s="4"/>
      <c r="E387" s="4"/>
    </row>
    <row r="388" customHeight="1" spans="1:5">
      <c r="A388" s="4"/>
      <c r="B388" s="4"/>
      <c r="C388" s="4"/>
      <c r="D388" s="4"/>
      <c r="E388" s="4"/>
    </row>
    <row r="389" customHeight="1" spans="1:5">
      <c r="A389" s="15" t="s">
        <v>620</v>
      </c>
      <c r="B389" s="16"/>
      <c r="C389" s="16"/>
      <c r="D389" s="17"/>
      <c r="E389" s="4">
        <f>E383</f>
        <v>28000</v>
      </c>
    </row>
    <row r="392" customHeight="1" spans="1:5">
      <c r="A392" s="6" t="s">
        <v>904</v>
      </c>
      <c r="B392" s="7" t="s">
        <v>905</v>
      </c>
      <c r="C392" s="6" t="s">
        <v>906</v>
      </c>
      <c r="D392" s="8" t="s">
        <v>907</v>
      </c>
      <c r="E392" s="6" t="s">
        <v>908</v>
      </c>
    </row>
    <row r="393" customHeight="1" spans="1:5">
      <c r="A393" s="10" t="s">
        <v>54</v>
      </c>
      <c r="B393" s="21">
        <v>16000</v>
      </c>
      <c r="C393" s="10" t="s">
        <v>909</v>
      </c>
      <c r="D393" s="20">
        <v>44340</v>
      </c>
      <c r="E393" s="10"/>
    </row>
    <row r="394" customHeight="1" spans="1:5">
      <c r="A394" s="10" t="s">
        <v>54</v>
      </c>
      <c r="B394" s="21">
        <v>16000</v>
      </c>
      <c r="C394" s="10" t="s">
        <v>955</v>
      </c>
      <c r="D394" s="20">
        <v>44377</v>
      </c>
      <c r="E394" s="10"/>
    </row>
    <row r="395" customHeight="1" spans="1:5">
      <c r="A395" s="6" t="s">
        <v>910</v>
      </c>
      <c r="B395" s="7" t="s">
        <v>911</v>
      </c>
      <c r="C395" s="12" t="s">
        <v>904</v>
      </c>
      <c r="D395" s="12" t="s">
        <v>912</v>
      </c>
      <c r="E395" s="6" t="s">
        <v>913</v>
      </c>
    </row>
    <row r="396" customHeight="1" spans="1:5">
      <c r="A396" s="22">
        <v>44358</v>
      </c>
      <c r="B396" s="21" t="s">
        <v>967</v>
      </c>
      <c r="C396" s="21" t="s">
        <v>54</v>
      </c>
      <c r="D396" s="21">
        <v>800</v>
      </c>
      <c r="E396" s="10">
        <f>B393+B394-D396</f>
        <v>31200</v>
      </c>
    </row>
    <row r="397" customHeight="1" spans="1:5">
      <c r="A397" s="22">
        <v>44456</v>
      </c>
      <c r="B397" s="21" t="s">
        <v>976</v>
      </c>
      <c r="C397" s="21" t="s">
        <v>54</v>
      </c>
      <c r="D397" s="21">
        <v>6000</v>
      </c>
      <c r="E397" s="10">
        <f t="shared" ref="E397:E413" si="4">E396-D397</f>
        <v>25200</v>
      </c>
    </row>
    <row r="398" customHeight="1" spans="1:5">
      <c r="A398" s="22">
        <v>44449</v>
      </c>
      <c r="B398" s="21" t="s">
        <v>969</v>
      </c>
      <c r="C398" s="21" t="s">
        <v>54</v>
      </c>
      <c r="D398" s="21">
        <v>1520</v>
      </c>
      <c r="E398" s="10">
        <f t="shared" si="4"/>
        <v>23680</v>
      </c>
    </row>
    <row r="399" customHeight="1" spans="1:5">
      <c r="A399" s="22" t="s">
        <v>970</v>
      </c>
      <c r="B399" s="21" t="s">
        <v>977</v>
      </c>
      <c r="C399" s="21" t="s">
        <v>54</v>
      </c>
      <c r="D399" s="21">
        <v>3920</v>
      </c>
      <c r="E399" s="10">
        <f t="shared" si="4"/>
        <v>19760</v>
      </c>
    </row>
    <row r="400" customHeight="1" spans="1:5">
      <c r="A400" s="22">
        <v>44630</v>
      </c>
      <c r="B400" s="21" t="s">
        <v>978</v>
      </c>
      <c r="C400" s="21" t="s">
        <v>54</v>
      </c>
      <c r="D400" s="21">
        <v>1400</v>
      </c>
      <c r="E400" s="10">
        <f t="shared" si="4"/>
        <v>18360</v>
      </c>
    </row>
    <row r="401" customHeight="1" spans="1:5">
      <c r="A401" s="22">
        <v>44630</v>
      </c>
      <c r="B401" s="21" t="s">
        <v>979</v>
      </c>
      <c r="C401" s="21" t="s">
        <v>54</v>
      </c>
      <c r="D401" s="21">
        <v>1600</v>
      </c>
      <c r="E401" s="10">
        <f t="shared" si="4"/>
        <v>16760</v>
      </c>
    </row>
    <row r="402" customHeight="1" spans="1:5">
      <c r="A402" s="13">
        <v>44635</v>
      </c>
      <c r="B402" s="14" t="s">
        <v>980</v>
      </c>
      <c r="C402" s="19" t="s">
        <v>54</v>
      </c>
      <c r="D402" s="19">
        <v>912</v>
      </c>
      <c r="E402" s="10">
        <f t="shared" si="4"/>
        <v>15848</v>
      </c>
    </row>
    <row r="403" customHeight="1" spans="1:5">
      <c r="A403" s="13">
        <v>44669</v>
      </c>
      <c r="B403" s="14" t="s">
        <v>981</v>
      </c>
      <c r="C403" s="19" t="s">
        <v>54</v>
      </c>
      <c r="D403" s="19">
        <v>1440</v>
      </c>
      <c r="E403" s="10">
        <f t="shared" si="4"/>
        <v>14408</v>
      </c>
    </row>
    <row r="404" customHeight="1" spans="1:5">
      <c r="A404" s="13">
        <v>44669</v>
      </c>
      <c r="B404" s="14" t="s">
        <v>982</v>
      </c>
      <c r="C404" s="19" t="s">
        <v>54</v>
      </c>
      <c r="D404" s="19">
        <v>480</v>
      </c>
      <c r="E404" s="10">
        <f t="shared" si="4"/>
        <v>13928</v>
      </c>
    </row>
    <row r="405" customHeight="1" spans="1:5">
      <c r="A405" s="13">
        <v>44669</v>
      </c>
      <c r="B405" s="14" t="s">
        <v>983</v>
      </c>
      <c r="C405" s="19" t="s">
        <v>54</v>
      </c>
      <c r="D405" s="19">
        <v>720</v>
      </c>
      <c r="E405" s="10">
        <f t="shared" si="4"/>
        <v>13208</v>
      </c>
    </row>
    <row r="406" customHeight="1" spans="1:5">
      <c r="A406" s="13">
        <v>44669</v>
      </c>
      <c r="B406" s="14" t="s">
        <v>984</v>
      </c>
      <c r="C406" s="19" t="s">
        <v>54</v>
      </c>
      <c r="D406" s="19">
        <v>888</v>
      </c>
      <c r="E406" s="10">
        <f t="shared" si="4"/>
        <v>12320</v>
      </c>
    </row>
    <row r="407" customHeight="1" spans="1:5">
      <c r="A407" s="13">
        <v>44935</v>
      </c>
      <c r="B407" s="14">
        <v>652</v>
      </c>
      <c r="C407" s="19" t="s">
        <v>54</v>
      </c>
      <c r="D407" s="19">
        <v>500</v>
      </c>
      <c r="E407" s="10">
        <f t="shared" si="4"/>
        <v>11820</v>
      </c>
    </row>
    <row r="408" customHeight="1" spans="1:5">
      <c r="A408" s="13">
        <v>44935</v>
      </c>
      <c r="B408" s="14" t="s">
        <v>985</v>
      </c>
      <c r="C408" s="19" t="s">
        <v>54</v>
      </c>
      <c r="D408" s="19">
        <v>2500</v>
      </c>
      <c r="E408" s="10">
        <f t="shared" si="4"/>
        <v>9320</v>
      </c>
    </row>
    <row r="409" customHeight="1" spans="1:5">
      <c r="A409" s="13">
        <v>45034</v>
      </c>
      <c r="B409" s="14" t="s">
        <v>986</v>
      </c>
      <c r="C409" s="19" t="s">
        <v>54</v>
      </c>
      <c r="D409" s="19">
        <v>2500</v>
      </c>
      <c r="E409" s="10">
        <f t="shared" si="4"/>
        <v>6820</v>
      </c>
    </row>
    <row r="410" customHeight="1" spans="1:5">
      <c r="A410" s="13">
        <v>45034</v>
      </c>
      <c r="B410" s="14" t="s">
        <v>987</v>
      </c>
      <c r="C410" s="19" t="s">
        <v>54</v>
      </c>
      <c r="D410" s="19">
        <v>500</v>
      </c>
      <c r="E410" s="10">
        <f t="shared" si="4"/>
        <v>6320</v>
      </c>
    </row>
    <row r="411" customHeight="1" spans="1:5">
      <c r="A411" s="13">
        <v>45062</v>
      </c>
      <c r="B411" s="14" t="s">
        <v>988</v>
      </c>
      <c r="C411" s="19" t="s">
        <v>54</v>
      </c>
      <c r="D411" s="19">
        <v>68</v>
      </c>
      <c r="E411" s="10">
        <f t="shared" si="4"/>
        <v>6252</v>
      </c>
    </row>
    <row r="412" customHeight="1" spans="1:5">
      <c r="A412" s="13">
        <v>45190</v>
      </c>
      <c r="B412" s="14" t="s">
        <v>989</v>
      </c>
      <c r="C412" s="19" t="s">
        <v>54</v>
      </c>
      <c r="D412" s="19">
        <v>2400</v>
      </c>
      <c r="E412" s="10">
        <f t="shared" si="4"/>
        <v>3852</v>
      </c>
    </row>
    <row r="413" customHeight="1" spans="1:5">
      <c r="A413" s="13">
        <v>45190</v>
      </c>
      <c r="B413" s="14" t="s">
        <v>990</v>
      </c>
      <c r="C413" s="19" t="s">
        <v>54</v>
      </c>
      <c r="D413" s="19">
        <v>408</v>
      </c>
      <c r="E413" s="10">
        <f t="shared" si="4"/>
        <v>3444</v>
      </c>
    </row>
    <row r="414" customHeight="1" spans="1:5">
      <c r="A414" s="13"/>
      <c r="B414" s="14"/>
      <c r="C414" s="19"/>
      <c r="D414" s="19"/>
      <c r="E414" s="10"/>
    </row>
    <row r="415" customHeight="1" spans="1:5">
      <c r="A415" s="13"/>
      <c r="B415" s="14"/>
      <c r="C415" s="19"/>
      <c r="D415" s="19"/>
      <c r="E415" s="10"/>
    </row>
    <row r="416" customHeight="1" spans="1:5">
      <c r="A416" s="13"/>
      <c r="B416" s="14"/>
      <c r="C416" s="19"/>
      <c r="D416" s="19"/>
      <c r="E416" s="10"/>
    </row>
    <row r="417" customHeight="1" spans="1:5">
      <c r="A417" s="23"/>
      <c r="B417" s="24"/>
      <c r="C417" s="25"/>
      <c r="D417" s="26"/>
      <c r="E417" s="10"/>
    </row>
    <row r="418" customHeight="1" spans="1:5">
      <c r="A418" s="15" t="s">
        <v>620</v>
      </c>
      <c r="B418" s="16"/>
      <c r="C418" s="16"/>
      <c r="D418" s="17"/>
      <c r="E418" s="4">
        <f>E413</f>
        <v>3444</v>
      </c>
    </row>
    <row r="421" customHeight="1" spans="1:5">
      <c r="A421" s="6" t="s">
        <v>904</v>
      </c>
      <c r="B421" s="7" t="s">
        <v>905</v>
      </c>
      <c r="C421" s="6" t="s">
        <v>906</v>
      </c>
      <c r="D421" s="8" t="s">
        <v>907</v>
      </c>
      <c r="E421" s="6" t="s">
        <v>908</v>
      </c>
    </row>
    <row r="422" customHeight="1" spans="1:5">
      <c r="A422" s="10" t="s">
        <v>901</v>
      </c>
      <c r="B422" s="21">
        <v>19000</v>
      </c>
      <c r="C422" s="10" t="s">
        <v>991</v>
      </c>
      <c r="D422" s="10"/>
      <c r="E422" s="10"/>
    </row>
    <row r="423" customHeight="1" spans="1:5">
      <c r="A423" s="6" t="s">
        <v>910</v>
      </c>
      <c r="B423" s="7" t="s">
        <v>911</v>
      </c>
      <c r="C423" s="12" t="s">
        <v>904</v>
      </c>
      <c r="D423" s="12" t="s">
        <v>912</v>
      </c>
      <c r="E423" s="6" t="s">
        <v>913</v>
      </c>
    </row>
    <row r="424" customHeight="1" spans="1:5">
      <c r="A424" s="11">
        <v>43769</v>
      </c>
      <c r="B424" s="27" t="s">
        <v>992</v>
      </c>
      <c r="C424" s="28" t="s">
        <v>901</v>
      </c>
      <c r="D424" s="29">
        <v>7500</v>
      </c>
      <c r="E424" s="10">
        <f>B422-D424</f>
        <v>11500</v>
      </c>
    </row>
    <row r="425" customHeight="1" spans="1:5">
      <c r="A425" s="11">
        <v>43774</v>
      </c>
      <c r="B425" s="21" t="s">
        <v>993</v>
      </c>
      <c r="C425" s="28" t="s">
        <v>901</v>
      </c>
      <c r="D425" s="29">
        <v>3000</v>
      </c>
      <c r="E425" s="10">
        <f>E424-D425</f>
        <v>8500</v>
      </c>
    </row>
    <row r="426" customHeight="1" spans="1:5">
      <c r="A426" s="11">
        <v>43787</v>
      </c>
      <c r="B426" s="21" t="s">
        <v>994</v>
      </c>
      <c r="C426" s="28" t="s">
        <v>901</v>
      </c>
      <c r="D426" s="29">
        <v>251</v>
      </c>
      <c r="E426" s="10">
        <f>E425-D426</f>
        <v>8249</v>
      </c>
    </row>
    <row r="427" customHeight="1" spans="1:5">
      <c r="A427" s="11">
        <v>43837</v>
      </c>
      <c r="B427" s="21" t="s">
        <v>995</v>
      </c>
      <c r="C427" s="28" t="s">
        <v>901</v>
      </c>
      <c r="D427" s="29">
        <f>752+748</f>
        <v>1500</v>
      </c>
      <c r="E427" s="10">
        <f>E426-D427</f>
        <v>6749</v>
      </c>
    </row>
    <row r="428" customHeight="1" spans="1:5">
      <c r="A428" s="11">
        <v>43922</v>
      </c>
      <c r="B428" s="21" t="s">
        <v>996</v>
      </c>
      <c r="C428" s="28" t="s">
        <v>997</v>
      </c>
      <c r="D428" s="29">
        <v>3600</v>
      </c>
      <c r="E428" s="10">
        <f>E427-D428</f>
        <v>3149</v>
      </c>
    </row>
    <row r="429" customHeight="1" spans="1:5">
      <c r="A429" s="4"/>
      <c r="B429" s="4"/>
      <c r="C429" s="4"/>
      <c r="D429" s="4"/>
      <c r="E429" s="4"/>
    </row>
    <row r="430" customHeight="1" spans="1:5">
      <c r="A430" s="4"/>
      <c r="B430" s="4"/>
      <c r="C430" s="4"/>
      <c r="D430" s="4"/>
      <c r="E430" s="4"/>
    </row>
    <row r="431" customHeight="1" spans="1:5">
      <c r="A431" s="4"/>
      <c r="B431" s="4"/>
      <c r="C431" s="4"/>
      <c r="D431" s="4"/>
      <c r="E431" s="4"/>
    </row>
    <row r="432" customHeight="1" spans="1:5">
      <c r="A432" s="4"/>
      <c r="B432" s="4"/>
      <c r="C432" s="4"/>
      <c r="D432" s="4"/>
      <c r="E432" s="4"/>
    </row>
    <row r="433" customHeight="1" spans="1:5">
      <c r="A433" s="15" t="s">
        <v>620</v>
      </c>
      <c r="B433" s="16"/>
      <c r="C433" s="16"/>
      <c r="D433" s="17"/>
      <c r="E433" s="4">
        <f>E428</f>
        <v>3149</v>
      </c>
    </row>
    <row r="436" customHeight="1" spans="1:5">
      <c r="A436" s="6" t="s">
        <v>904</v>
      </c>
      <c r="B436" s="7" t="s">
        <v>905</v>
      </c>
      <c r="C436" s="6" t="s">
        <v>906</v>
      </c>
      <c r="D436" s="8" t="s">
        <v>907</v>
      </c>
      <c r="E436" s="6" t="s">
        <v>908</v>
      </c>
    </row>
    <row r="437" customHeight="1" spans="1:5">
      <c r="A437" s="10" t="s">
        <v>109</v>
      </c>
      <c r="B437" s="21"/>
      <c r="C437" s="10"/>
      <c r="D437" s="10"/>
      <c r="E437" s="10"/>
    </row>
    <row r="438" customHeight="1" spans="1:5">
      <c r="A438" s="6" t="s">
        <v>910</v>
      </c>
      <c r="B438" s="7" t="s">
        <v>911</v>
      </c>
      <c r="C438" s="12" t="s">
        <v>904</v>
      </c>
      <c r="D438" s="12" t="s">
        <v>912</v>
      </c>
      <c r="E438" s="6" t="s">
        <v>913</v>
      </c>
    </row>
    <row r="439" customHeight="1" spans="1:5">
      <c r="A439" s="15" t="s">
        <v>998</v>
      </c>
      <c r="B439" s="16"/>
      <c r="C439" s="16"/>
      <c r="D439" s="17"/>
      <c r="E439" s="4">
        <v>5836</v>
      </c>
    </row>
    <row r="440" customHeight="1" spans="1:5">
      <c r="A440" s="4"/>
      <c r="B440" s="4"/>
      <c r="C440" s="4"/>
      <c r="D440" s="4"/>
      <c r="E440" s="4"/>
    </row>
    <row r="441" customHeight="1" spans="1:5">
      <c r="A441" s="4"/>
      <c r="B441" s="4"/>
      <c r="C441" s="4"/>
      <c r="D441" s="4"/>
      <c r="E441" s="4"/>
    </row>
    <row r="442" customHeight="1" spans="1:5">
      <c r="A442" s="4"/>
      <c r="B442" s="4"/>
      <c r="C442" s="4"/>
      <c r="D442" s="4"/>
      <c r="E442" s="4"/>
    </row>
    <row r="443" customHeight="1" spans="1:5">
      <c r="A443" s="4"/>
      <c r="B443" s="4"/>
      <c r="C443" s="4"/>
      <c r="D443" s="4"/>
      <c r="E443" s="4"/>
    </row>
    <row r="444" customHeight="1" spans="1:5">
      <c r="A444" s="15" t="s">
        <v>620</v>
      </c>
      <c r="B444" s="16"/>
      <c r="C444" s="16"/>
      <c r="D444" s="17"/>
      <c r="E444" s="4">
        <f>E439</f>
        <v>5836</v>
      </c>
    </row>
    <row r="447" customHeight="1" spans="1:5">
      <c r="A447" s="6" t="s">
        <v>904</v>
      </c>
      <c r="B447" s="7" t="s">
        <v>905</v>
      </c>
      <c r="C447" s="6" t="s">
        <v>906</v>
      </c>
      <c r="D447" s="8" t="s">
        <v>907</v>
      </c>
      <c r="E447" s="6" t="s">
        <v>908</v>
      </c>
    </row>
    <row r="448" customHeight="1" spans="1:5">
      <c r="A448" s="10" t="s">
        <v>107</v>
      </c>
      <c r="B448" s="21"/>
      <c r="C448" s="10"/>
      <c r="D448" s="10"/>
      <c r="E448" s="10"/>
    </row>
    <row r="449" customHeight="1" spans="1:5">
      <c r="A449" s="6" t="s">
        <v>910</v>
      </c>
      <c r="B449" s="7" t="s">
        <v>911</v>
      </c>
      <c r="C449" s="12" t="s">
        <v>904</v>
      </c>
      <c r="D449" s="12" t="s">
        <v>912</v>
      </c>
      <c r="E449" s="6" t="s">
        <v>913</v>
      </c>
    </row>
    <row r="450" customHeight="1" spans="1:5">
      <c r="A450" s="15" t="s">
        <v>998</v>
      </c>
      <c r="B450" s="16"/>
      <c r="C450" s="16"/>
      <c r="D450" s="17"/>
      <c r="E450" s="4">
        <v>616</v>
      </c>
    </row>
    <row r="451" customHeight="1" spans="1:5">
      <c r="A451" s="4"/>
      <c r="B451" s="4"/>
      <c r="C451" s="4"/>
      <c r="D451" s="4"/>
      <c r="E451" s="4"/>
    </row>
    <row r="452" customHeight="1" spans="1:5">
      <c r="A452" s="4"/>
      <c r="B452" s="4"/>
      <c r="C452" s="4"/>
      <c r="D452" s="4"/>
      <c r="E452" s="4"/>
    </row>
    <row r="453" customHeight="1" spans="1:5">
      <c r="A453" s="4"/>
      <c r="B453" s="4"/>
      <c r="C453" s="4"/>
      <c r="D453" s="4"/>
      <c r="E453" s="4"/>
    </row>
    <row r="454" customHeight="1" spans="1:5">
      <c r="A454" s="4"/>
      <c r="B454" s="4"/>
      <c r="C454" s="4"/>
      <c r="D454" s="4"/>
      <c r="E454" s="4"/>
    </row>
    <row r="455" customHeight="1" spans="1:5">
      <c r="A455" s="15" t="s">
        <v>620</v>
      </c>
      <c r="B455" s="16"/>
      <c r="C455" s="16"/>
      <c r="D455" s="17"/>
      <c r="E455" s="4">
        <f>E450</f>
        <v>616</v>
      </c>
    </row>
    <row r="458" customHeight="1" spans="1:5">
      <c r="A458" s="6" t="s">
        <v>904</v>
      </c>
      <c r="B458" s="7" t="s">
        <v>905</v>
      </c>
      <c r="C458" s="6" t="s">
        <v>906</v>
      </c>
      <c r="D458" s="8" t="s">
        <v>907</v>
      </c>
      <c r="E458" s="6" t="s">
        <v>908</v>
      </c>
    </row>
    <row r="459" customHeight="1" spans="1:5">
      <c r="A459" s="10" t="s">
        <v>902</v>
      </c>
      <c r="B459" s="21"/>
      <c r="C459" s="10"/>
      <c r="D459" s="10"/>
      <c r="E459" s="10"/>
    </row>
    <row r="460" customHeight="1" spans="1:5">
      <c r="A460" s="6" t="s">
        <v>910</v>
      </c>
      <c r="B460" s="7" t="s">
        <v>911</v>
      </c>
      <c r="C460" s="12" t="s">
        <v>904</v>
      </c>
      <c r="D460" s="12" t="s">
        <v>912</v>
      </c>
      <c r="E460" s="6" t="s">
        <v>913</v>
      </c>
    </row>
    <row r="461" customHeight="1" spans="1:5">
      <c r="A461" s="15" t="s">
        <v>998</v>
      </c>
      <c r="B461" s="16"/>
      <c r="C461" s="16"/>
      <c r="D461" s="17"/>
      <c r="E461" s="4">
        <v>1250</v>
      </c>
    </row>
    <row r="462" customHeight="1" spans="1:5">
      <c r="A462" s="4"/>
      <c r="B462" s="4"/>
      <c r="C462" s="4"/>
      <c r="D462" s="4"/>
      <c r="E462" s="4"/>
    </row>
    <row r="463" customHeight="1" spans="1:5">
      <c r="A463" s="4"/>
      <c r="B463" s="4"/>
      <c r="C463" s="4"/>
      <c r="D463" s="4"/>
      <c r="E463" s="4"/>
    </row>
    <row r="464" customHeight="1" spans="1:5">
      <c r="A464" s="4"/>
      <c r="B464" s="4"/>
      <c r="C464" s="4"/>
      <c r="D464" s="4"/>
      <c r="E464" s="4"/>
    </row>
    <row r="465" customHeight="1" spans="1:5">
      <c r="A465" s="4"/>
      <c r="B465" s="4"/>
      <c r="C465" s="4"/>
      <c r="D465" s="4"/>
      <c r="E465" s="4"/>
    </row>
    <row r="466" customHeight="1" spans="1:5">
      <c r="A466" s="15" t="s">
        <v>620</v>
      </c>
      <c r="B466" s="16"/>
      <c r="C466" s="16"/>
      <c r="D466" s="17"/>
      <c r="E466" s="4">
        <f>E461</f>
        <v>1250</v>
      </c>
    </row>
    <row r="470" customHeight="1" spans="1:5">
      <c r="A470" s="6" t="s">
        <v>904</v>
      </c>
      <c r="B470" s="7" t="s">
        <v>905</v>
      </c>
      <c r="C470" s="6" t="s">
        <v>906</v>
      </c>
      <c r="D470" s="8" t="s">
        <v>907</v>
      </c>
      <c r="E470" s="6" t="s">
        <v>908</v>
      </c>
    </row>
    <row r="471" customHeight="1" spans="1:5">
      <c r="A471" s="10" t="s">
        <v>25</v>
      </c>
      <c r="B471" s="21"/>
      <c r="C471" s="10"/>
      <c r="D471" s="10"/>
      <c r="E471" s="10"/>
    </row>
    <row r="472" customHeight="1" spans="1:5">
      <c r="A472" s="6" t="s">
        <v>910</v>
      </c>
      <c r="B472" s="7" t="s">
        <v>911</v>
      </c>
      <c r="C472" s="12" t="s">
        <v>904</v>
      </c>
      <c r="D472" s="12" t="s">
        <v>912</v>
      </c>
      <c r="E472" s="6" t="s">
        <v>913</v>
      </c>
    </row>
    <row r="473" customHeight="1" spans="1:5">
      <c r="A473" s="15" t="s">
        <v>998</v>
      </c>
      <c r="B473" s="16"/>
      <c r="C473" s="16"/>
      <c r="D473" s="17"/>
      <c r="E473" s="4">
        <v>316059</v>
      </c>
    </row>
    <row r="474" customHeight="1" spans="1:5">
      <c r="A474" s="13">
        <v>44566</v>
      </c>
      <c r="B474" s="14" t="s">
        <v>999</v>
      </c>
      <c r="C474" s="14" t="s">
        <v>25</v>
      </c>
      <c r="D474" s="14">
        <v>23100</v>
      </c>
      <c r="E474" s="18">
        <f t="shared" ref="E474:E537" si="5">E473-D474</f>
        <v>292959</v>
      </c>
    </row>
    <row r="475" customHeight="1" spans="1:5">
      <c r="A475" s="13">
        <v>44552</v>
      </c>
      <c r="B475" s="14">
        <v>8950359277</v>
      </c>
      <c r="C475" s="14" t="s">
        <v>31</v>
      </c>
      <c r="D475" s="14">
        <v>4000</v>
      </c>
      <c r="E475" s="18">
        <f t="shared" si="5"/>
        <v>288959</v>
      </c>
    </row>
    <row r="476" customHeight="1" spans="1:5">
      <c r="A476" s="13">
        <v>44552</v>
      </c>
      <c r="B476" s="14">
        <v>8950359318</v>
      </c>
      <c r="C476" s="14" t="s">
        <v>31</v>
      </c>
      <c r="D476" s="14">
        <v>4000</v>
      </c>
      <c r="E476" s="18">
        <f t="shared" si="5"/>
        <v>284959</v>
      </c>
    </row>
    <row r="477" customHeight="1" spans="1:5">
      <c r="A477" s="13">
        <v>44600</v>
      </c>
      <c r="B477" s="14">
        <v>8950359583</v>
      </c>
      <c r="C477" s="19" t="s">
        <v>31</v>
      </c>
      <c r="D477" s="18">
        <v>10000</v>
      </c>
      <c r="E477" s="18">
        <f t="shared" si="5"/>
        <v>274959</v>
      </c>
    </row>
    <row r="478" customHeight="1" spans="1:5">
      <c r="A478" s="13">
        <v>44607</v>
      </c>
      <c r="B478" s="14">
        <v>24102</v>
      </c>
      <c r="C478" s="19" t="s">
        <v>25</v>
      </c>
      <c r="D478" s="18">
        <v>8800</v>
      </c>
      <c r="E478" s="18">
        <f t="shared" si="5"/>
        <v>266159</v>
      </c>
    </row>
    <row r="479" customHeight="1" spans="1:5">
      <c r="A479" s="13">
        <v>44618</v>
      </c>
      <c r="B479" s="14" t="s">
        <v>1000</v>
      </c>
      <c r="C479" s="19" t="s">
        <v>25</v>
      </c>
      <c r="D479" s="18">
        <v>4000</v>
      </c>
      <c r="E479" s="18">
        <f t="shared" si="5"/>
        <v>262159</v>
      </c>
    </row>
    <row r="480" customHeight="1" spans="1:5">
      <c r="A480" s="13">
        <v>44620</v>
      </c>
      <c r="B480" s="14">
        <v>40621</v>
      </c>
      <c r="C480" s="19" t="s">
        <v>25</v>
      </c>
      <c r="D480" s="18">
        <v>5000</v>
      </c>
      <c r="E480" s="18">
        <f t="shared" si="5"/>
        <v>257159</v>
      </c>
    </row>
    <row r="481" customHeight="1" spans="1:5">
      <c r="A481" s="13">
        <v>44627</v>
      </c>
      <c r="B481" s="14" t="s">
        <v>1001</v>
      </c>
      <c r="C481" s="19" t="s">
        <v>25</v>
      </c>
      <c r="D481" s="18">
        <v>4800</v>
      </c>
      <c r="E481" s="18">
        <f t="shared" si="5"/>
        <v>252359</v>
      </c>
    </row>
    <row r="482" customHeight="1" spans="1:5">
      <c r="A482" s="13">
        <v>44629</v>
      </c>
      <c r="B482" s="14">
        <v>92000357</v>
      </c>
      <c r="C482" s="19" t="s">
        <v>25</v>
      </c>
      <c r="D482" s="18">
        <v>3000</v>
      </c>
      <c r="E482" s="18">
        <f t="shared" si="5"/>
        <v>249359</v>
      </c>
    </row>
    <row r="483" customHeight="1" spans="1:5">
      <c r="A483" s="13">
        <v>44629</v>
      </c>
      <c r="B483" s="14" t="s">
        <v>1002</v>
      </c>
      <c r="C483" s="19" t="s">
        <v>25</v>
      </c>
      <c r="D483" s="18">
        <v>6000</v>
      </c>
      <c r="E483" s="18">
        <f t="shared" si="5"/>
        <v>243359</v>
      </c>
    </row>
    <row r="484" customHeight="1" spans="1:5">
      <c r="A484" s="13">
        <v>44631</v>
      </c>
      <c r="B484" s="14" t="s">
        <v>1003</v>
      </c>
      <c r="C484" s="19" t="s">
        <v>25</v>
      </c>
      <c r="D484" s="18">
        <v>5220</v>
      </c>
      <c r="E484" s="18">
        <f t="shared" si="5"/>
        <v>238139</v>
      </c>
    </row>
    <row r="485" customHeight="1" spans="1:5">
      <c r="A485" s="13">
        <v>44641</v>
      </c>
      <c r="B485" s="14">
        <v>92000408</v>
      </c>
      <c r="C485" s="19" t="s">
        <v>25</v>
      </c>
      <c r="D485" s="18">
        <v>4000</v>
      </c>
      <c r="E485" s="18">
        <f t="shared" si="5"/>
        <v>234139</v>
      </c>
    </row>
    <row r="486" customHeight="1" spans="1:5">
      <c r="A486" s="13">
        <v>44644</v>
      </c>
      <c r="B486" s="14">
        <v>70010875</v>
      </c>
      <c r="C486" s="19" t="s">
        <v>25</v>
      </c>
      <c r="D486" s="18">
        <v>600</v>
      </c>
      <c r="E486" s="18">
        <f t="shared" si="5"/>
        <v>233539</v>
      </c>
    </row>
    <row r="487" customHeight="1" spans="1:5">
      <c r="A487" s="13">
        <v>44644</v>
      </c>
      <c r="B487" s="14">
        <v>70010876</v>
      </c>
      <c r="C487" s="19" t="s">
        <v>25</v>
      </c>
      <c r="D487" s="18">
        <v>1200</v>
      </c>
      <c r="E487" s="18">
        <f t="shared" si="5"/>
        <v>232339</v>
      </c>
    </row>
    <row r="488" customHeight="1" spans="1:5">
      <c r="A488" s="13">
        <v>44644</v>
      </c>
      <c r="B488" s="14">
        <v>70010877</v>
      </c>
      <c r="C488" s="19" t="s">
        <v>25</v>
      </c>
      <c r="D488" s="18">
        <v>1200</v>
      </c>
      <c r="E488" s="18">
        <f t="shared" si="5"/>
        <v>231139</v>
      </c>
    </row>
    <row r="489" customHeight="1" spans="1:5">
      <c r="A489" s="13">
        <v>44644</v>
      </c>
      <c r="B489" s="14">
        <v>70010879</v>
      </c>
      <c r="C489" s="19" t="s">
        <v>25</v>
      </c>
      <c r="D489" s="18">
        <v>1200</v>
      </c>
      <c r="E489" s="18">
        <f t="shared" si="5"/>
        <v>229939</v>
      </c>
    </row>
    <row r="490" customHeight="1" spans="1:5">
      <c r="A490" s="13">
        <v>44644</v>
      </c>
      <c r="B490" s="14">
        <v>70010880</v>
      </c>
      <c r="C490" s="19" t="s">
        <v>25</v>
      </c>
      <c r="D490" s="18">
        <v>600</v>
      </c>
      <c r="E490" s="18">
        <f t="shared" si="5"/>
        <v>229339</v>
      </c>
    </row>
    <row r="491" customHeight="1" spans="1:5">
      <c r="A491" s="13">
        <v>44644</v>
      </c>
      <c r="B491" s="14">
        <v>60039122</v>
      </c>
      <c r="C491" s="19" t="s">
        <v>25</v>
      </c>
      <c r="D491" s="18">
        <v>2392</v>
      </c>
      <c r="E491" s="18">
        <f t="shared" si="5"/>
        <v>226947</v>
      </c>
    </row>
    <row r="492" customHeight="1" spans="1:5">
      <c r="A492" s="13">
        <v>44644</v>
      </c>
      <c r="B492" s="14">
        <v>60039128</v>
      </c>
      <c r="C492" s="19" t="s">
        <v>25</v>
      </c>
      <c r="D492" s="18">
        <v>3668</v>
      </c>
      <c r="E492" s="18">
        <f t="shared" si="5"/>
        <v>223279</v>
      </c>
    </row>
    <row r="493" customHeight="1" spans="1:5">
      <c r="A493" s="13">
        <v>44644</v>
      </c>
      <c r="B493" s="14">
        <v>60039131</v>
      </c>
      <c r="C493" s="19" t="s">
        <v>25</v>
      </c>
      <c r="D493" s="18">
        <v>3460</v>
      </c>
      <c r="E493" s="18">
        <f t="shared" si="5"/>
        <v>219819</v>
      </c>
    </row>
    <row r="494" customHeight="1" spans="1:5">
      <c r="A494" s="13">
        <v>44644</v>
      </c>
      <c r="B494" s="14">
        <v>60039144</v>
      </c>
      <c r="C494" s="19" t="s">
        <v>25</v>
      </c>
      <c r="D494" s="18">
        <v>4968</v>
      </c>
      <c r="E494" s="18">
        <f t="shared" si="5"/>
        <v>214851</v>
      </c>
    </row>
    <row r="495" customHeight="1" spans="1:5">
      <c r="A495" s="13">
        <v>44644</v>
      </c>
      <c r="B495" s="14">
        <v>60039153</v>
      </c>
      <c r="C495" s="19" t="s">
        <v>25</v>
      </c>
      <c r="D495" s="18">
        <v>4056</v>
      </c>
      <c r="E495" s="18">
        <f t="shared" si="5"/>
        <v>210795</v>
      </c>
    </row>
    <row r="496" customHeight="1" spans="1:5">
      <c r="A496" s="13">
        <v>44644</v>
      </c>
      <c r="B496" s="14">
        <v>60039322</v>
      </c>
      <c r="C496" s="19" t="s">
        <v>25</v>
      </c>
      <c r="D496" s="18">
        <v>1464</v>
      </c>
      <c r="E496" s="18">
        <f t="shared" si="5"/>
        <v>209331</v>
      </c>
    </row>
    <row r="497" customHeight="1" spans="1:5">
      <c r="A497" s="13">
        <v>44659</v>
      </c>
      <c r="B497" s="14" t="s">
        <v>1004</v>
      </c>
      <c r="C497" s="19" t="s">
        <v>25</v>
      </c>
      <c r="D497" s="18">
        <v>3000</v>
      </c>
      <c r="E497" s="18">
        <f t="shared" si="5"/>
        <v>206331</v>
      </c>
    </row>
    <row r="498" customHeight="1" spans="1:5">
      <c r="A498" s="13">
        <v>44663</v>
      </c>
      <c r="B498" s="14">
        <v>2401561991</v>
      </c>
      <c r="C498" s="19" t="s">
        <v>25</v>
      </c>
      <c r="D498" s="18">
        <v>200</v>
      </c>
      <c r="E498" s="18">
        <f t="shared" si="5"/>
        <v>206131</v>
      </c>
    </row>
    <row r="499" customHeight="1" spans="1:5">
      <c r="A499" s="13">
        <v>44663</v>
      </c>
      <c r="B499" s="14">
        <v>3501561991</v>
      </c>
      <c r="C499" s="19" t="s">
        <v>25</v>
      </c>
      <c r="D499" s="18">
        <v>1200</v>
      </c>
      <c r="E499" s="18">
        <f t="shared" si="5"/>
        <v>204931</v>
      </c>
    </row>
    <row r="500" customHeight="1" spans="1:5">
      <c r="A500" s="13">
        <v>44663</v>
      </c>
      <c r="B500" s="14">
        <v>2401562009</v>
      </c>
      <c r="C500" s="19" t="s">
        <v>25</v>
      </c>
      <c r="D500" s="18">
        <v>200</v>
      </c>
      <c r="E500" s="18">
        <f t="shared" si="5"/>
        <v>204731</v>
      </c>
    </row>
    <row r="501" customHeight="1" spans="1:5">
      <c r="A501" s="13">
        <v>44663</v>
      </c>
      <c r="B501" s="14">
        <v>3501562009</v>
      </c>
      <c r="C501" s="19" t="s">
        <v>25</v>
      </c>
      <c r="D501" s="18">
        <v>1200</v>
      </c>
      <c r="E501" s="18">
        <f t="shared" si="5"/>
        <v>203531</v>
      </c>
    </row>
    <row r="502" customHeight="1" spans="1:5">
      <c r="A502" s="13">
        <v>44684</v>
      </c>
      <c r="B502" s="14">
        <v>50517</v>
      </c>
      <c r="C502" s="19" t="s">
        <v>25</v>
      </c>
      <c r="D502" s="18">
        <v>9944</v>
      </c>
      <c r="E502" s="18">
        <f t="shared" si="5"/>
        <v>193587</v>
      </c>
    </row>
    <row r="503" customHeight="1" spans="1:5">
      <c r="A503" s="13">
        <v>44714</v>
      </c>
      <c r="B503" s="14">
        <v>3181</v>
      </c>
      <c r="C503" s="19" t="s">
        <v>25</v>
      </c>
      <c r="D503" s="18">
        <v>7472</v>
      </c>
      <c r="E503" s="18">
        <f t="shared" si="5"/>
        <v>186115</v>
      </c>
    </row>
    <row r="504" customHeight="1" spans="1:5">
      <c r="A504" s="13">
        <v>44722</v>
      </c>
      <c r="B504" s="14" t="s">
        <v>1005</v>
      </c>
      <c r="C504" s="19" t="s">
        <v>25</v>
      </c>
      <c r="D504" s="18">
        <v>3000</v>
      </c>
      <c r="E504" s="18">
        <f t="shared" si="5"/>
        <v>183115</v>
      </c>
    </row>
    <row r="505" customHeight="1" spans="1:5">
      <c r="A505" s="13">
        <v>44735</v>
      </c>
      <c r="B505" s="14">
        <v>40737</v>
      </c>
      <c r="C505" s="19" t="s">
        <v>25</v>
      </c>
      <c r="D505" s="18">
        <v>3152</v>
      </c>
      <c r="E505" s="18">
        <f t="shared" si="5"/>
        <v>179963</v>
      </c>
    </row>
    <row r="506" customHeight="1" spans="1:5">
      <c r="A506" s="13">
        <v>44748</v>
      </c>
      <c r="B506" s="14">
        <v>61</v>
      </c>
      <c r="C506" s="19" t="s">
        <v>25</v>
      </c>
      <c r="D506" s="18">
        <v>6000</v>
      </c>
      <c r="E506" s="18">
        <f t="shared" si="5"/>
        <v>173963</v>
      </c>
    </row>
    <row r="507" customHeight="1" spans="1:5">
      <c r="A507" s="13">
        <v>44824</v>
      </c>
      <c r="B507" s="14" t="s">
        <v>1006</v>
      </c>
      <c r="C507" s="19" t="s">
        <v>25</v>
      </c>
      <c r="D507" s="18">
        <v>420</v>
      </c>
      <c r="E507" s="18">
        <f t="shared" si="5"/>
        <v>173543</v>
      </c>
    </row>
    <row r="508" customHeight="1" spans="1:5">
      <c r="A508" s="13">
        <v>44825</v>
      </c>
      <c r="B508" s="14" t="s">
        <v>1007</v>
      </c>
      <c r="C508" s="19" t="s">
        <v>25</v>
      </c>
      <c r="D508" s="18">
        <v>392</v>
      </c>
      <c r="E508" s="18">
        <f t="shared" si="5"/>
        <v>173151</v>
      </c>
    </row>
    <row r="509" customHeight="1" spans="1:5">
      <c r="A509" s="13">
        <v>44826</v>
      </c>
      <c r="B509" s="14" t="s">
        <v>1008</v>
      </c>
      <c r="C509" s="19" t="s">
        <v>25</v>
      </c>
      <c r="D509" s="18">
        <v>2604</v>
      </c>
      <c r="E509" s="18">
        <f t="shared" si="5"/>
        <v>170547</v>
      </c>
    </row>
    <row r="510" customHeight="1" spans="1:5">
      <c r="A510" s="13">
        <v>44827</v>
      </c>
      <c r="B510" s="14" t="s">
        <v>1009</v>
      </c>
      <c r="C510" s="19" t="s">
        <v>25</v>
      </c>
      <c r="D510" s="18">
        <v>1200</v>
      </c>
      <c r="E510" s="18">
        <f t="shared" si="5"/>
        <v>169347</v>
      </c>
    </row>
    <row r="511" customHeight="1" spans="1:5">
      <c r="A511" s="13">
        <v>44830</v>
      </c>
      <c r="B511" s="14" t="s">
        <v>1010</v>
      </c>
      <c r="C511" s="19" t="s">
        <v>25</v>
      </c>
      <c r="D511" s="18">
        <v>1520</v>
      </c>
      <c r="E511" s="18">
        <f t="shared" si="5"/>
        <v>167827</v>
      </c>
    </row>
    <row r="512" customHeight="1" spans="1:5">
      <c r="A512" s="13">
        <v>44830</v>
      </c>
      <c r="B512" s="14" t="s">
        <v>1011</v>
      </c>
      <c r="C512" s="19" t="s">
        <v>25</v>
      </c>
      <c r="D512" s="18">
        <v>3600</v>
      </c>
      <c r="E512" s="18">
        <f t="shared" si="5"/>
        <v>164227</v>
      </c>
    </row>
    <row r="513" customHeight="1" spans="1:5">
      <c r="A513" s="13">
        <v>44840</v>
      </c>
      <c r="B513" s="14">
        <v>24289</v>
      </c>
      <c r="C513" s="19" t="s">
        <v>25</v>
      </c>
      <c r="D513" s="18">
        <v>2400</v>
      </c>
      <c r="E513" s="18">
        <f t="shared" si="5"/>
        <v>161827</v>
      </c>
    </row>
    <row r="514" customHeight="1" spans="1:5">
      <c r="A514" s="13">
        <v>44841</v>
      </c>
      <c r="B514" s="14" t="s">
        <v>1012</v>
      </c>
      <c r="C514" s="19" t="s">
        <v>25</v>
      </c>
      <c r="D514" s="18">
        <v>360</v>
      </c>
      <c r="E514" s="18">
        <f t="shared" si="5"/>
        <v>161467</v>
      </c>
    </row>
    <row r="515" customHeight="1" spans="1:5">
      <c r="A515" s="13">
        <v>44851</v>
      </c>
      <c r="B515" s="14">
        <v>24353</v>
      </c>
      <c r="C515" s="19" t="s">
        <v>25</v>
      </c>
      <c r="D515" s="18">
        <v>1000</v>
      </c>
      <c r="E515" s="18">
        <f t="shared" si="5"/>
        <v>160467</v>
      </c>
    </row>
    <row r="516" customHeight="1" spans="1:5">
      <c r="A516" s="13">
        <v>44851</v>
      </c>
      <c r="B516" s="14">
        <v>24354</v>
      </c>
      <c r="C516" s="19" t="s">
        <v>25</v>
      </c>
      <c r="D516" s="18">
        <v>1000</v>
      </c>
      <c r="E516" s="18">
        <f t="shared" si="5"/>
        <v>159467</v>
      </c>
    </row>
    <row r="517" customHeight="1" spans="1:5">
      <c r="A517" s="13">
        <v>44855</v>
      </c>
      <c r="B517" s="14">
        <v>2401588296</v>
      </c>
      <c r="C517" s="19" t="s">
        <v>25</v>
      </c>
      <c r="D517" s="18">
        <v>152</v>
      </c>
      <c r="E517" s="18">
        <f t="shared" si="5"/>
        <v>159315</v>
      </c>
    </row>
    <row r="518" customHeight="1" spans="1:5">
      <c r="A518" s="13">
        <v>44855</v>
      </c>
      <c r="B518" s="14">
        <v>2401588547</v>
      </c>
      <c r="C518" s="19" t="s">
        <v>25</v>
      </c>
      <c r="D518" s="18">
        <f>76-76</f>
        <v>0</v>
      </c>
      <c r="E518" s="18">
        <f t="shared" si="5"/>
        <v>159315</v>
      </c>
    </row>
    <row r="519" customHeight="1" spans="1:5">
      <c r="A519" s="13">
        <v>44855</v>
      </c>
      <c r="B519" s="14">
        <v>3501588296</v>
      </c>
      <c r="C519" s="19" t="s">
        <v>25</v>
      </c>
      <c r="D519" s="18">
        <v>852</v>
      </c>
      <c r="E519" s="18">
        <f t="shared" si="5"/>
        <v>158463</v>
      </c>
    </row>
    <row r="520" customHeight="1" spans="1:5">
      <c r="A520" s="13">
        <v>44855</v>
      </c>
      <c r="B520" s="14">
        <v>3501588547</v>
      </c>
      <c r="C520" s="19" t="s">
        <v>25</v>
      </c>
      <c r="D520" s="18">
        <f>428-428</f>
        <v>0</v>
      </c>
      <c r="E520" s="18">
        <f t="shared" si="5"/>
        <v>158463</v>
      </c>
    </row>
    <row r="521" customHeight="1" spans="1:5">
      <c r="A521" s="13">
        <v>44860</v>
      </c>
      <c r="B521" s="4">
        <v>61745936</v>
      </c>
      <c r="C521" s="19" t="s">
        <v>25</v>
      </c>
      <c r="D521" s="4">
        <v>500</v>
      </c>
      <c r="E521" s="18">
        <f t="shared" si="5"/>
        <v>157963</v>
      </c>
    </row>
    <row r="522" customHeight="1" spans="1:5">
      <c r="A522" s="13">
        <v>44862</v>
      </c>
      <c r="B522" s="4" t="s">
        <v>1013</v>
      </c>
      <c r="C522" s="19" t="s">
        <v>25</v>
      </c>
      <c r="D522" s="4">
        <v>300</v>
      </c>
      <c r="E522" s="18">
        <f t="shared" si="5"/>
        <v>157663</v>
      </c>
    </row>
    <row r="523" customHeight="1" spans="1:5">
      <c r="A523" s="13">
        <v>44875</v>
      </c>
      <c r="B523" s="4">
        <v>3750661987</v>
      </c>
      <c r="C523" s="19" t="s">
        <v>31</v>
      </c>
      <c r="D523" s="4">
        <v>2292</v>
      </c>
      <c r="E523" s="18">
        <f t="shared" si="5"/>
        <v>155371</v>
      </c>
    </row>
    <row r="524" customHeight="1" spans="1:5">
      <c r="A524" s="13">
        <v>44887</v>
      </c>
      <c r="B524" s="4" t="s">
        <v>1014</v>
      </c>
      <c r="C524" s="19" t="s">
        <v>25</v>
      </c>
      <c r="D524" s="4">
        <v>1484</v>
      </c>
      <c r="E524" s="18">
        <f t="shared" si="5"/>
        <v>153887</v>
      </c>
    </row>
    <row r="525" customHeight="1" spans="1:5">
      <c r="A525" s="13">
        <v>44935</v>
      </c>
      <c r="B525" s="4">
        <v>3750661964</v>
      </c>
      <c r="C525" s="19" t="s">
        <v>31</v>
      </c>
      <c r="D525" s="4">
        <v>2500</v>
      </c>
      <c r="E525" s="18">
        <f t="shared" si="5"/>
        <v>151387</v>
      </c>
    </row>
    <row r="526" customHeight="1" spans="1:5">
      <c r="A526" s="13">
        <v>44935</v>
      </c>
      <c r="B526" s="4" t="s">
        <v>1015</v>
      </c>
      <c r="C526" s="19" t="s">
        <v>31</v>
      </c>
      <c r="D526" s="4">
        <v>500</v>
      </c>
      <c r="E526" s="18">
        <f t="shared" si="5"/>
        <v>150887</v>
      </c>
    </row>
    <row r="527" customHeight="1" spans="1:5">
      <c r="A527" s="13">
        <v>44957</v>
      </c>
      <c r="B527" s="4" t="s">
        <v>1016</v>
      </c>
      <c r="C527" s="19" t="s">
        <v>31</v>
      </c>
      <c r="D527" s="4">
        <v>3000</v>
      </c>
      <c r="E527" s="18">
        <f t="shared" si="5"/>
        <v>147887</v>
      </c>
    </row>
    <row r="528" customHeight="1" spans="1:5">
      <c r="A528" s="13">
        <v>44957</v>
      </c>
      <c r="B528" s="4" t="s">
        <v>1017</v>
      </c>
      <c r="C528" s="19" t="s">
        <v>31</v>
      </c>
      <c r="D528" s="4">
        <v>3000</v>
      </c>
      <c r="E528" s="18">
        <f t="shared" si="5"/>
        <v>144887</v>
      </c>
    </row>
    <row r="529" customHeight="1" spans="1:5">
      <c r="A529" s="13">
        <v>44959</v>
      </c>
      <c r="B529" s="4">
        <v>3172717</v>
      </c>
      <c r="C529" s="19" t="s">
        <v>25</v>
      </c>
      <c r="D529" s="4">
        <v>3380</v>
      </c>
      <c r="E529" s="18">
        <f t="shared" si="5"/>
        <v>141507</v>
      </c>
    </row>
    <row r="530" customHeight="1" spans="1:5">
      <c r="A530" s="13">
        <v>44959</v>
      </c>
      <c r="B530" s="4">
        <v>7083133</v>
      </c>
      <c r="C530" s="19" t="s">
        <v>25</v>
      </c>
      <c r="D530" s="4">
        <v>3700</v>
      </c>
      <c r="E530" s="18">
        <f t="shared" si="5"/>
        <v>137807</v>
      </c>
    </row>
    <row r="531" customHeight="1" spans="1:5">
      <c r="A531" s="13">
        <v>44959</v>
      </c>
      <c r="B531" s="4">
        <v>7177409</v>
      </c>
      <c r="C531" s="19" t="s">
        <v>25</v>
      </c>
      <c r="D531" s="4">
        <v>1200</v>
      </c>
      <c r="E531" s="18">
        <f t="shared" si="5"/>
        <v>136607</v>
      </c>
    </row>
    <row r="532" customHeight="1" spans="1:5">
      <c r="A532" s="13">
        <v>44961</v>
      </c>
      <c r="B532" s="4">
        <v>5232725</v>
      </c>
      <c r="C532" s="19" t="s">
        <v>25</v>
      </c>
      <c r="D532" s="4">
        <v>4132</v>
      </c>
      <c r="E532" s="18">
        <f t="shared" si="5"/>
        <v>132475</v>
      </c>
    </row>
    <row r="533" customHeight="1" spans="1:5">
      <c r="A533" s="13">
        <v>44965</v>
      </c>
      <c r="B533" s="4" t="s">
        <v>1018</v>
      </c>
      <c r="C533" s="4" t="s">
        <v>25</v>
      </c>
      <c r="D533" s="4">
        <v>400</v>
      </c>
      <c r="E533" s="18">
        <f t="shared" si="5"/>
        <v>132075</v>
      </c>
    </row>
    <row r="534" customHeight="1" spans="1:5">
      <c r="A534" s="13">
        <v>45000</v>
      </c>
      <c r="B534" s="4">
        <v>6783510</v>
      </c>
      <c r="C534" s="4" t="s">
        <v>25</v>
      </c>
      <c r="D534" s="4">
        <v>4000</v>
      </c>
      <c r="E534" s="18">
        <f t="shared" si="5"/>
        <v>128075</v>
      </c>
    </row>
    <row r="535" customHeight="1" spans="1:5">
      <c r="A535" s="13">
        <v>45000</v>
      </c>
      <c r="B535" s="4">
        <v>6870718</v>
      </c>
      <c r="C535" s="4" t="s">
        <v>25</v>
      </c>
      <c r="D535" s="4">
        <v>4828</v>
      </c>
      <c r="E535" s="18">
        <f t="shared" si="5"/>
        <v>123247</v>
      </c>
    </row>
    <row r="536" customHeight="1" spans="1:5">
      <c r="A536" s="13">
        <v>45000</v>
      </c>
      <c r="B536" s="4">
        <v>8226928</v>
      </c>
      <c r="C536" s="4" t="s">
        <v>25</v>
      </c>
      <c r="D536" s="4">
        <v>4172</v>
      </c>
      <c r="E536" s="18">
        <f t="shared" si="5"/>
        <v>119075</v>
      </c>
    </row>
    <row r="537" customHeight="1" spans="1:5">
      <c r="A537" s="13">
        <v>45000</v>
      </c>
      <c r="B537" s="4">
        <v>8226928</v>
      </c>
      <c r="C537" s="4" t="s">
        <v>25</v>
      </c>
      <c r="D537" s="4">
        <v>3900</v>
      </c>
      <c r="E537" s="18">
        <f t="shared" si="5"/>
        <v>115175</v>
      </c>
    </row>
    <row r="538" customHeight="1" spans="1:5">
      <c r="A538" s="13">
        <v>45000</v>
      </c>
      <c r="B538" s="4" t="s">
        <v>1019</v>
      </c>
      <c r="C538" s="4" t="s">
        <v>25</v>
      </c>
      <c r="D538" s="4">
        <v>800</v>
      </c>
      <c r="E538" s="18">
        <f t="shared" ref="E538:E601" si="6">E537-D538</f>
        <v>114375</v>
      </c>
    </row>
    <row r="539" customHeight="1" spans="1:5">
      <c r="A539" s="13">
        <v>45000</v>
      </c>
      <c r="B539" s="4">
        <v>214148213</v>
      </c>
      <c r="C539" s="4" t="s">
        <v>25</v>
      </c>
      <c r="D539" s="4">
        <v>424</v>
      </c>
      <c r="E539" s="18">
        <f t="shared" si="6"/>
        <v>113951</v>
      </c>
    </row>
    <row r="540" customHeight="1" spans="1:5">
      <c r="A540" s="13">
        <v>45000</v>
      </c>
      <c r="B540" s="4">
        <v>214148222</v>
      </c>
      <c r="C540" s="4" t="s">
        <v>25</v>
      </c>
      <c r="D540" s="4">
        <v>288</v>
      </c>
      <c r="E540" s="18">
        <f t="shared" si="6"/>
        <v>113663</v>
      </c>
    </row>
    <row r="541" customHeight="1" spans="1:5">
      <c r="A541" s="13">
        <v>45000</v>
      </c>
      <c r="B541" s="4" t="s">
        <v>1020</v>
      </c>
      <c r="C541" s="4" t="s">
        <v>25</v>
      </c>
      <c r="D541" s="4">
        <v>4000</v>
      </c>
      <c r="E541" s="18">
        <f t="shared" si="6"/>
        <v>109663</v>
      </c>
    </row>
    <row r="542" customHeight="1" spans="1:5">
      <c r="A542" s="13">
        <v>45006</v>
      </c>
      <c r="B542" s="4" t="s">
        <v>1021</v>
      </c>
      <c r="C542" s="4" t="s">
        <v>25</v>
      </c>
      <c r="D542" s="4">
        <v>828</v>
      </c>
      <c r="E542" s="18">
        <f t="shared" si="6"/>
        <v>108835</v>
      </c>
    </row>
    <row r="543" customHeight="1" spans="1:5">
      <c r="A543" s="13">
        <v>45006</v>
      </c>
      <c r="B543" s="4" t="s">
        <v>1022</v>
      </c>
      <c r="C543" s="4" t="s">
        <v>25</v>
      </c>
      <c r="D543" s="4">
        <v>708</v>
      </c>
      <c r="E543" s="18">
        <f t="shared" si="6"/>
        <v>108127</v>
      </c>
    </row>
    <row r="544" customHeight="1" spans="1:5">
      <c r="A544" s="13">
        <v>45006</v>
      </c>
      <c r="B544" s="4" t="s">
        <v>1023</v>
      </c>
      <c r="C544" s="4" t="s">
        <v>25</v>
      </c>
      <c r="D544" s="4">
        <v>336</v>
      </c>
      <c r="E544" s="18">
        <f t="shared" si="6"/>
        <v>107791</v>
      </c>
    </row>
    <row r="545" customHeight="1" spans="1:5">
      <c r="A545" s="13">
        <v>45006</v>
      </c>
      <c r="B545" s="4" t="s">
        <v>1024</v>
      </c>
      <c r="C545" s="4" t="s">
        <v>25</v>
      </c>
      <c r="D545" s="4">
        <v>488</v>
      </c>
      <c r="E545" s="18">
        <f t="shared" si="6"/>
        <v>107303</v>
      </c>
    </row>
    <row r="546" customHeight="1" spans="1:5">
      <c r="A546" s="13">
        <v>45006</v>
      </c>
      <c r="B546" s="4" t="s">
        <v>1025</v>
      </c>
      <c r="C546" s="4" t="s">
        <v>25</v>
      </c>
      <c r="D546" s="4">
        <v>112</v>
      </c>
      <c r="E546" s="18">
        <f t="shared" si="6"/>
        <v>107191</v>
      </c>
    </row>
    <row r="547" customHeight="1" spans="1:5">
      <c r="A547" s="13">
        <v>45006</v>
      </c>
      <c r="B547" s="4" t="s">
        <v>1026</v>
      </c>
      <c r="C547" s="4" t="s">
        <v>25</v>
      </c>
      <c r="D547" s="4">
        <v>660</v>
      </c>
      <c r="E547" s="18">
        <f t="shared" si="6"/>
        <v>106531</v>
      </c>
    </row>
    <row r="548" customHeight="1" spans="1:5">
      <c r="A548" s="13">
        <v>45013</v>
      </c>
      <c r="B548" s="4" t="s">
        <v>1027</v>
      </c>
      <c r="C548" s="4" t="s">
        <v>25</v>
      </c>
      <c r="D548" s="4">
        <v>17000</v>
      </c>
      <c r="E548" s="18">
        <f t="shared" si="6"/>
        <v>89531</v>
      </c>
    </row>
    <row r="549" customHeight="1" spans="1:5">
      <c r="A549" s="13">
        <v>45023</v>
      </c>
      <c r="B549" s="30" t="s">
        <v>1028</v>
      </c>
      <c r="C549" s="18" t="s">
        <v>25</v>
      </c>
      <c r="D549" s="19">
        <v>1600</v>
      </c>
      <c r="E549" s="18">
        <f t="shared" si="6"/>
        <v>87931</v>
      </c>
    </row>
    <row r="550" customHeight="1" spans="1:5">
      <c r="A550" s="13">
        <v>45023</v>
      </c>
      <c r="B550" s="30" t="s">
        <v>1029</v>
      </c>
      <c r="C550" s="18" t="s">
        <v>25</v>
      </c>
      <c r="D550" s="19">
        <v>1400</v>
      </c>
      <c r="E550" s="18">
        <f t="shared" si="6"/>
        <v>86531</v>
      </c>
    </row>
    <row r="551" customHeight="1" spans="1:5">
      <c r="A551" s="13">
        <v>45029</v>
      </c>
      <c r="B551" s="30" t="s">
        <v>1030</v>
      </c>
      <c r="C551" s="18" t="s">
        <v>25</v>
      </c>
      <c r="D551" s="19">
        <v>600</v>
      </c>
      <c r="E551" s="18">
        <f t="shared" si="6"/>
        <v>85931</v>
      </c>
    </row>
    <row r="552" customHeight="1" spans="1:5">
      <c r="A552" s="13">
        <v>45029</v>
      </c>
      <c r="B552" s="30" t="s">
        <v>1031</v>
      </c>
      <c r="C552" s="18" t="s">
        <v>25</v>
      </c>
      <c r="D552" s="19">
        <v>720</v>
      </c>
      <c r="E552" s="18">
        <f t="shared" si="6"/>
        <v>85211</v>
      </c>
    </row>
    <row r="553" customHeight="1" spans="1:5">
      <c r="A553" s="13">
        <v>45030</v>
      </c>
      <c r="B553" s="30">
        <v>2401525498</v>
      </c>
      <c r="C553" s="18" t="s">
        <v>25</v>
      </c>
      <c r="D553" s="19">
        <v>104</v>
      </c>
      <c r="E553" s="18">
        <f t="shared" si="6"/>
        <v>85107</v>
      </c>
    </row>
    <row r="554" customHeight="1" spans="1:5">
      <c r="A554" s="13">
        <v>45030</v>
      </c>
      <c r="B554" s="30">
        <v>3501525498</v>
      </c>
      <c r="C554" s="18" t="s">
        <v>25</v>
      </c>
      <c r="D554" s="19">
        <v>596</v>
      </c>
      <c r="E554" s="18">
        <f t="shared" si="6"/>
        <v>84511</v>
      </c>
    </row>
    <row r="555" customHeight="1" spans="1:5">
      <c r="A555" s="13">
        <v>45037</v>
      </c>
      <c r="B555" s="30" t="s">
        <v>1032</v>
      </c>
      <c r="C555" s="18" t="s">
        <v>25</v>
      </c>
      <c r="D555" s="19">
        <v>2976</v>
      </c>
      <c r="E555" s="18">
        <f t="shared" si="6"/>
        <v>81535</v>
      </c>
    </row>
    <row r="556" customHeight="1" spans="1:5">
      <c r="A556" s="13">
        <v>45041</v>
      </c>
      <c r="B556" s="30">
        <v>3750663514</v>
      </c>
      <c r="C556" s="18" t="s">
        <v>31</v>
      </c>
      <c r="D556" s="19">
        <v>3000</v>
      </c>
      <c r="E556" s="18">
        <f t="shared" si="6"/>
        <v>78535</v>
      </c>
    </row>
    <row r="557" customHeight="1" spans="1:5">
      <c r="A557" s="13">
        <v>45043</v>
      </c>
      <c r="B557" s="30">
        <v>5579415</v>
      </c>
      <c r="C557" s="18" t="s">
        <v>25</v>
      </c>
      <c r="D557" s="19">
        <v>100</v>
      </c>
      <c r="E557" s="18">
        <f t="shared" si="6"/>
        <v>78435</v>
      </c>
    </row>
    <row r="558" customHeight="1" spans="1:5">
      <c r="A558" s="13">
        <v>45043</v>
      </c>
      <c r="B558" s="30">
        <v>2401525497</v>
      </c>
      <c r="C558" s="18" t="s">
        <v>25</v>
      </c>
      <c r="D558" s="19">
        <v>104</v>
      </c>
      <c r="E558" s="18">
        <f t="shared" si="6"/>
        <v>78331</v>
      </c>
    </row>
    <row r="559" customHeight="1" spans="1:5">
      <c r="A559" s="13">
        <v>45043</v>
      </c>
      <c r="B559" s="30">
        <v>3501525497</v>
      </c>
      <c r="C559" s="18" t="s">
        <v>25</v>
      </c>
      <c r="D559" s="19">
        <v>596</v>
      </c>
      <c r="E559" s="18">
        <f t="shared" si="6"/>
        <v>77735</v>
      </c>
    </row>
    <row r="560" customHeight="1" spans="1:5">
      <c r="A560" s="13">
        <v>45049</v>
      </c>
      <c r="B560" s="4">
        <v>214655624</v>
      </c>
      <c r="C560" s="18" t="s">
        <v>25</v>
      </c>
      <c r="D560" s="4">
        <v>400</v>
      </c>
      <c r="E560" s="18">
        <f t="shared" si="6"/>
        <v>77335</v>
      </c>
    </row>
    <row r="561" customHeight="1" spans="1:5">
      <c r="A561" s="13">
        <v>45049</v>
      </c>
      <c r="B561" s="4">
        <v>214655623</v>
      </c>
      <c r="C561" s="18" t="s">
        <v>25</v>
      </c>
      <c r="D561" s="4">
        <v>300</v>
      </c>
      <c r="E561" s="18">
        <f t="shared" si="6"/>
        <v>77035</v>
      </c>
    </row>
    <row r="562" customHeight="1" spans="1:5">
      <c r="A562" s="13">
        <v>45055</v>
      </c>
      <c r="B562" s="4">
        <v>3750663549</v>
      </c>
      <c r="C562" s="18" t="s">
        <v>31</v>
      </c>
      <c r="D562" s="4">
        <v>3000</v>
      </c>
      <c r="E562" s="18">
        <f t="shared" si="6"/>
        <v>74035</v>
      </c>
    </row>
    <row r="563" customHeight="1" spans="1:5">
      <c r="A563" s="13">
        <v>45058</v>
      </c>
      <c r="B563" s="4">
        <v>64</v>
      </c>
      <c r="C563" s="18" t="s">
        <v>25</v>
      </c>
      <c r="D563" s="4">
        <v>3000</v>
      </c>
      <c r="E563" s="18">
        <f t="shared" si="6"/>
        <v>71035</v>
      </c>
    </row>
    <row r="564" customHeight="1" spans="1:5">
      <c r="A564" s="13">
        <v>45058</v>
      </c>
      <c r="B564" s="4" t="s">
        <v>1033</v>
      </c>
      <c r="C564" s="18" t="s">
        <v>25</v>
      </c>
      <c r="D564" s="4">
        <v>2000</v>
      </c>
      <c r="E564" s="18">
        <f t="shared" si="6"/>
        <v>69035</v>
      </c>
    </row>
    <row r="565" customHeight="1" spans="1:5">
      <c r="A565" s="13">
        <v>45061</v>
      </c>
      <c r="B565" s="4">
        <v>4500227837</v>
      </c>
      <c r="C565" s="18" t="s">
        <v>25</v>
      </c>
      <c r="D565" s="4">
        <v>2400</v>
      </c>
      <c r="E565" s="18">
        <f t="shared" si="6"/>
        <v>66635</v>
      </c>
    </row>
    <row r="566" customHeight="1" spans="1:5">
      <c r="A566" s="13">
        <v>45062</v>
      </c>
      <c r="B566" s="4" t="s">
        <v>1034</v>
      </c>
      <c r="C566" s="18" t="s">
        <v>31</v>
      </c>
      <c r="D566" s="4">
        <v>2400</v>
      </c>
      <c r="E566" s="18">
        <f t="shared" si="6"/>
        <v>64235</v>
      </c>
    </row>
    <row r="567" customHeight="1" spans="1:5">
      <c r="A567" s="13">
        <v>45064</v>
      </c>
      <c r="B567" s="4" t="s">
        <v>1035</v>
      </c>
      <c r="C567" s="18" t="s">
        <v>31</v>
      </c>
      <c r="D567" s="4">
        <v>5000</v>
      </c>
      <c r="E567" s="18">
        <f t="shared" si="6"/>
        <v>59235</v>
      </c>
    </row>
    <row r="568" customHeight="1" spans="1:5">
      <c r="A568" s="13">
        <v>45082</v>
      </c>
      <c r="B568" s="4" t="s">
        <v>1036</v>
      </c>
      <c r="C568" s="18" t="s">
        <v>25</v>
      </c>
      <c r="D568" s="4">
        <v>900</v>
      </c>
      <c r="E568" s="18">
        <f t="shared" si="6"/>
        <v>58335</v>
      </c>
    </row>
    <row r="569" customHeight="1" spans="1:5">
      <c r="A569" s="13">
        <v>45084</v>
      </c>
      <c r="B569" s="371" t="s">
        <v>1037</v>
      </c>
      <c r="C569" s="18" t="s">
        <v>25</v>
      </c>
      <c r="D569" s="4">
        <v>1420</v>
      </c>
      <c r="E569" s="18">
        <f t="shared" si="6"/>
        <v>56915</v>
      </c>
    </row>
    <row r="570" customHeight="1" spans="1:5">
      <c r="A570" s="13">
        <v>45085</v>
      </c>
      <c r="B570" s="372" t="s">
        <v>1038</v>
      </c>
      <c r="C570" s="18" t="s">
        <v>25</v>
      </c>
      <c r="D570" s="4">
        <v>2272</v>
      </c>
      <c r="E570" s="18">
        <f t="shared" si="6"/>
        <v>54643</v>
      </c>
    </row>
    <row r="571" customHeight="1" spans="1:5">
      <c r="A571" s="13">
        <v>45086</v>
      </c>
      <c r="B571" s="14" t="s">
        <v>1039</v>
      </c>
      <c r="C571" s="18" t="s">
        <v>25</v>
      </c>
      <c r="D571" s="4">
        <v>880</v>
      </c>
      <c r="E571" s="18">
        <f t="shared" si="6"/>
        <v>53763</v>
      </c>
    </row>
    <row r="572" customHeight="1" spans="1:5">
      <c r="A572" s="13">
        <v>45098</v>
      </c>
      <c r="B572" s="14">
        <v>3750663885</v>
      </c>
      <c r="C572" s="18" t="s">
        <v>31</v>
      </c>
      <c r="D572" s="4">
        <v>4250</v>
      </c>
      <c r="E572" s="18">
        <f t="shared" si="6"/>
        <v>49513</v>
      </c>
    </row>
    <row r="573" customHeight="1" spans="1:5">
      <c r="A573" s="13">
        <v>45100</v>
      </c>
      <c r="B573" s="14">
        <v>10045</v>
      </c>
      <c r="C573" s="18" t="s">
        <v>25</v>
      </c>
      <c r="D573" s="4">
        <v>320</v>
      </c>
      <c r="E573" s="18">
        <f t="shared" si="6"/>
        <v>49193</v>
      </c>
    </row>
    <row r="574" customHeight="1" spans="1:5">
      <c r="A574" s="13">
        <v>45108</v>
      </c>
      <c r="B574" s="4">
        <v>9572</v>
      </c>
      <c r="C574" s="18" t="s">
        <v>25</v>
      </c>
      <c r="D574" s="4">
        <v>80</v>
      </c>
      <c r="E574" s="18">
        <f t="shared" si="6"/>
        <v>49113</v>
      </c>
    </row>
    <row r="575" customHeight="1" spans="1:5">
      <c r="A575" s="13">
        <v>45124</v>
      </c>
      <c r="B575" s="4">
        <v>3750663922</v>
      </c>
      <c r="C575" s="18" t="s">
        <v>31</v>
      </c>
      <c r="D575" s="4">
        <v>1000</v>
      </c>
      <c r="E575" s="18">
        <f t="shared" si="6"/>
        <v>48113</v>
      </c>
    </row>
    <row r="576" customHeight="1" spans="1:5">
      <c r="A576" s="13">
        <v>45124</v>
      </c>
      <c r="B576" s="4" t="s">
        <v>1040</v>
      </c>
      <c r="C576" s="18" t="s">
        <v>25</v>
      </c>
      <c r="D576" s="4">
        <v>7000</v>
      </c>
      <c r="E576" s="18">
        <f t="shared" si="6"/>
        <v>41113</v>
      </c>
    </row>
    <row r="577" customHeight="1" spans="1:5">
      <c r="A577" s="13">
        <v>45127</v>
      </c>
      <c r="B577" s="4">
        <v>3876918</v>
      </c>
      <c r="C577" s="18" t="s">
        <v>25</v>
      </c>
      <c r="D577" s="4">
        <v>4588</v>
      </c>
      <c r="E577" s="18">
        <f t="shared" si="6"/>
        <v>36525</v>
      </c>
    </row>
    <row r="578" customHeight="1" spans="1:5">
      <c r="A578" s="13">
        <v>45127</v>
      </c>
      <c r="B578" s="4">
        <v>9617</v>
      </c>
      <c r="C578" s="18" t="s">
        <v>25</v>
      </c>
      <c r="D578" s="4">
        <v>720</v>
      </c>
      <c r="E578" s="18">
        <f t="shared" si="6"/>
        <v>35805</v>
      </c>
    </row>
    <row r="579" customHeight="1" spans="1:5">
      <c r="A579" s="13">
        <v>45124</v>
      </c>
      <c r="B579" s="4" t="s">
        <v>1041</v>
      </c>
      <c r="C579" s="18" t="s">
        <v>31</v>
      </c>
      <c r="D579" s="4">
        <v>2000</v>
      </c>
      <c r="E579" s="18">
        <f t="shared" si="6"/>
        <v>33805</v>
      </c>
    </row>
    <row r="580" customHeight="1" spans="1:5">
      <c r="A580" s="13">
        <v>45134</v>
      </c>
      <c r="B580" s="4">
        <v>3422738</v>
      </c>
      <c r="C580" s="18" t="s">
        <v>25</v>
      </c>
      <c r="D580" s="4">
        <v>2692</v>
      </c>
      <c r="E580" s="18">
        <f t="shared" si="6"/>
        <v>31113</v>
      </c>
    </row>
    <row r="581" s="1" customFormat="1" customHeight="1" spans="1:5">
      <c r="A581" s="13">
        <v>45148</v>
      </c>
      <c r="B581" s="14" t="s">
        <v>1042</v>
      </c>
      <c r="C581" s="14" t="s">
        <v>25</v>
      </c>
      <c r="D581" s="18">
        <v>3000</v>
      </c>
      <c r="E581" s="18">
        <f t="shared" si="6"/>
        <v>28113</v>
      </c>
    </row>
    <row r="582" s="1" customFormat="1" customHeight="1" spans="1:5">
      <c r="A582" s="13">
        <v>45176</v>
      </c>
      <c r="B582" s="14" t="s">
        <v>1043</v>
      </c>
      <c r="C582" s="14" t="s">
        <v>25</v>
      </c>
      <c r="D582" s="18">
        <v>504</v>
      </c>
      <c r="E582" s="18">
        <f t="shared" si="6"/>
        <v>27609</v>
      </c>
    </row>
    <row r="583" s="1" customFormat="1" customHeight="1" spans="1:5">
      <c r="A583" s="13">
        <v>45176</v>
      </c>
      <c r="B583" s="14" t="s">
        <v>1044</v>
      </c>
      <c r="C583" s="14" t="s">
        <v>25</v>
      </c>
      <c r="D583" s="18">
        <v>1608</v>
      </c>
      <c r="E583" s="18">
        <f t="shared" si="6"/>
        <v>26001</v>
      </c>
    </row>
    <row r="584" s="1" customFormat="1" customHeight="1" spans="1:5">
      <c r="A584" s="13">
        <v>45176</v>
      </c>
      <c r="B584" s="14" t="s">
        <v>1045</v>
      </c>
      <c r="C584" s="14" t="s">
        <v>25</v>
      </c>
      <c r="D584" s="18">
        <v>1280</v>
      </c>
      <c r="E584" s="18">
        <f t="shared" si="6"/>
        <v>24721</v>
      </c>
    </row>
    <row r="585" s="1" customFormat="1" customHeight="1" spans="1:5">
      <c r="A585" s="13">
        <v>45177</v>
      </c>
      <c r="B585" s="14" t="s">
        <v>1046</v>
      </c>
      <c r="C585" s="14" t="s">
        <v>25</v>
      </c>
      <c r="D585" s="18">
        <v>720</v>
      </c>
      <c r="E585" s="18">
        <f t="shared" si="6"/>
        <v>24001</v>
      </c>
    </row>
    <row r="586" s="1" customFormat="1" customHeight="1" spans="1:5">
      <c r="A586" s="13">
        <v>45177</v>
      </c>
      <c r="B586" s="14" t="s">
        <v>1047</v>
      </c>
      <c r="C586" s="14" t="s">
        <v>25</v>
      </c>
      <c r="D586" s="18">
        <v>1200</v>
      </c>
      <c r="E586" s="18">
        <f t="shared" si="6"/>
        <v>22801</v>
      </c>
    </row>
    <row r="587" s="1" customFormat="1" customHeight="1" spans="1:5">
      <c r="A587" s="13">
        <v>45177</v>
      </c>
      <c r="B587" s="14" t="s">
        <v>1048</v>
      </c>
      <c r="C587" s="14" t="s">
        <v>25</v>
      </c>
      <c r="D587" s="18">
        <v>480</v>
      </c>
      <c r="E587" s="18">
        <f t="shared" si="6"/>
        <v>22321</v>
      </c>
    </row>
    <row r="588" s="1" customFormat="1" customHeight="1" spans="1:5">
      <c r="A588" s="13">
        <v>45177</v>
      </c>
      <c r="B588" s="14" t="s">
        <v>1049</v>
      </c>
      <c r="C588" s="14" t="s">
        <v>25</v>
      </c>
      <c r="D588" s="18">
        <v>720</v>
      </c>
      <c r="E588" s="18">
        <f t="shared" si="6"/>
        <v>21601</v>
      </c>
    </row>
    <row r="589" s="1" customFormat="1" customHeight="1" spans="1:5">
      <c r="A589" s="13">
        <v>45177</v>
      </c>
      <c r="B589" s="14" t="s">
        <v>1050</v>
      </c>
      <c r="C589" s="14" t="s">
        <v>25</v>
      </c>
      <c r="D589" s="18">
        <v>32</v>
      </c>
      <c r="E589" s="18">
        <f t="shared" si="6"/>
        <v>21569</v>
      </c>
    </row>
    <row r="590" s="1" customFormat="1" customHeight="1" spans="1:5">
      <c r="A590" s="13">
        <v>45177</v>
      </c>
      <c r="B590" s="14" t="s">
        <v>1051</v>
      </c>
      <c r="C590" s="14" t="s">
        <v>25</v>
      </c>
      <c r="D590" s="18">
        <v>2000</v>
      </c>
      <c r="E590" s="18">
        <f t="shared" si="6"/>
        <v>19569</v>
      </c>
    </row>
    <row r="591" s="1" customFormat="1" customHeight="1" spans="1:5">
      <c r="A591" s="13">
        <v>45177</v>
      </c>
      <c r="B591" s="14">
        <v>2980141</v>
      </c>
      <c r="C591" s="14" t="s">
        <v>25</v>
      </c>
      <c r="D591" s="18">
        <v>272</v>
      </c>
      <c r="E591" s="18">
        <f t="shared" si="6"/>
        <v>19297</v>
      </c>
    </row>
    <row r="592" s="1" customFormat="1" customHeight="1" spans="1:5">
      <c r="A592" s="13">
        <v>45177</v>
      </c>
      <c r="B592" s="14">
        <v>2980142</v>
      </c>
      <c r="C592" s="14" t="s">
        <v>25</v>
      </c>
      <c r="D592" s="18">
        <v>928</v>
      </c>
      <c r="E592" s="18">
        <f t="shared" si="6"/>
        <v>18369</v>
      </c>
    </row>
    <row r="593" s="1" customFormat="1" customHeight="1" spans="1:17">
      <c r="A593" s="13">
        <v>45194</v>
      </c>
      <c r="B593" s="14" t="s">
        <v>1052</v>
      </c>
      <c r="C593" s="14" t="s">
        <v>25</v>
      </c>
      <c r="D593" s="18">
        <v>884</v>
      </c>
      <c r="E593" s="18">
        <f t="shared" si="6"/>
        <v>17485</v>
      </c>
    </row>
    <row r="594" s="1" customFormat="1" customHeight="1" spans="1:17">
      <c r="A594" s="13">
        <v>45194</v>
      </c>
      <c r="B594" s="14" t="s">
        <v>1053</v>
      </c>
      <c r="C594" s="14" t="s">
        <v>25</v>
      </c>
      <c r="D594" s="18">
        <v>720</v>
      </c>
      <c r="E594" s="18">
        <f t="shared" si="6"/>
        <v>16765</v>
      </c>
    </row>
    <row r="595" s="1" customFormat="1" customHeight="1" spans="1:17">
      <c r="A595" s="13">
        <v>45194</v>
      </c>
      <c r="B595" s="14" t="s">
        <v>1054</v>
      </c>
      <c r="C595" s="14" t="s">
        <v>25</v>
      </c>
      <c r="D595" s="18">
        <v>504</v>
      </c>
      <c r="E595" s="18">
        <f t="shared" si="6"/>
        <v>16261</v>
      </c>
    </row>
    <row r="596" s="1" customFormat="1" customHeight="1" spans="1:17">
      <c r="A596" s="13">
        <v>45194</v>
      </c>
      <c r="B596" s="14" t="s">
        <v>1055</v>
      </c>
      <c r="C596" s="14" t="s">
        <v>25</v>
      </c>
      <c r="D596" s="18">
        <v>384</v>
      </c>
      <c r="E596" s="18">
        <f t="shared" si="6"/>
        <v>15877</v>
      </c>
    </row>
    <row r="597" s="1" customFormat="1" customHeight="1" spans="1:17">
      <c r="A597" s="13">
        <v>45194</v>
      </c>
      <c r="B597" s="14" t="s">
        <v>1056</v>
      </c>
      <c r="C597" s="14" t="s">
        <v>25</v>
      </c>
      <c r="D597" s="18">
        <v>392</v>
      </c>
      <c r="E597" s="18">
        <f t="shared" si="6"/>
        <v>15485</v>
      </c>
    </row>
    <row r="598" s="1" customFormat="1" customHeight="1" spans="1:17">
      <c r="A598" s="13">
        <v>45194</v>
      </c>
      <c r="B598" s="14" t="s">
        <v>1057</v>
      </c>
      <c r="C598" s="14" t="s">
        <v>25</v>
      </c>
      <c r="D598" s="18">
        <v>44</v>
      </c>
      <c r="E598" s="18">
        <f t="shared" si="6"/>
        <v>15441</v>
      </c>
    </row>
    <row r="599" s="1" customFormat="1" customHeight="1" spans="1:17">
      <c r="A599" s="13">
        <v>45194</v>
      </c>
      <c r="B599" s="14" t="s">
        <v>1058</v>
      </c>
      <c r="C599" s="14" t="s">
        <v>25</v>
      </c>
      <c r="D599" s="18">
        <v>1288</v>
      </c>
      <c r="E599" s="18">
        <f t="shared" si="6"/>
        <v>14153</v>
      </c>
    </row>
    <row r="600" s="1" customFormat="1" customHeight="1" spans="1:17">
      <c r="A600" s="13">
        <v>45194</v>
      </c>
      <c r="B600" s="14" t="s">
        <v>1059</v>
      </c>
      <c r="C600" s="14" t="s">
        <v>25</v>
      </c>
      <c r="D600" s="18">
        <v>256</v>
      </c>
      <c r="E600" s="18">
        <f t="shared" si="6"/>
        <v>13897</v>
      </c>
    </row>
    <row r="601" s="1" customFormat="1" customHeight="1" spans="1:17">
      <c r="A601" s="13">
        <v>45194</v>
      </c>
      <c r="B601" s="14" t="s">
        <v>1060</v>
      </c>
      <c r="C601" s="14" t="s">
        <v>25</v>
      </c>
      <c r="D601" s="18">
        <v>96</v>
      </c>
      <c r="E601" s="18">
        <f t="shared" si="6"/>
        <v>13801</v>
      </c>
    </row>
    <row r="602" s="1" customFormat="1" customHeight="1" spans="1:17">
      <c r="A602" s="13">
        <v>45194</v>
      </c>
      <c r="B602" s="14" t="s">
        <v>1061</v>
      </c>
      <c r="C602" s="14" t="s">
        <v>25</v>
      </c>
      <c r="D602" s="18">
        <v>196</v>
      </c>
      <c r="E602" s="18">
        <f t="shared" ref="E602:E619" si="7">E601-D602</f>
        <v>13605</v>
      </c>
    </row>
    <row r="603" s="1" customFormat="1" customHeight="1" spans="1:17">
      <c r="A603" s="13">
        <v>45194</v>
      </c>
      <c r="B603" s="14" t="s">
        <v>1062</v>
      </c>
      <c r="C603" s="14" t="s">
        <v>25</v>
      </c>
      <c r="D603" s="18">
        <v>256</v>
      </c>
      <c r="E603" s="18">
        <f t="shared" si="7"/>
        <v>13349</v>
      </c>
    </row>
    <row r="604" s="1" customFormat="1" customHeight="1" spans="1:17">
      <c r="A604" s="13">
        <v>45194</v>
      </c>
      <c r="B604" s="4">
        <v>24715</v>
      </c>
      <c r="C604" s="14" t="s">
        <v>25</v>
      </c>
      <c r="D604" s="4">
        <v>1500</v>
      </c>
      <c r="E604" s="18">
        <f t="shared" si="7"/>
        <v>11849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="1" customFormat="1" customHeight="1" spans="1:17">
      <c r="A605" s="13">
        <v>45194</v>
      </c>
      <c r="B605" s="4" t="s">
        <v>1063</v>
      </c>
      <c r="C605" s="14" t="s">
        <v>25</v>
      </c>
      <c r="D605" s="4">
        <v>540</v>
      </c>
      <c r="E605" s="18">
        <f t="shared" si="7"/>
        <v>11309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="1" customFormat="1" customHeight="1" spans="1:17">
      <c r="A606" s="13">
        <v>45203</v>
      </c>
      <c r="B606" s="4">
        <v>2401526323</v>
      </c>
      <c r="C606" s="14" t="s">
        <v>25</v>
      </c>
      <c r="D606" s="4">
        <v>180</v>
      </c>
      <c r="E606" s="18">
        <f t="shared" si="7"/>
        <v>11129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="1" customFormat="1" customHeight="1" spans="1:17">
      <c r="A607" s="13">
        <v>45203</v>
      </c>
      <c r="B607" s="4">
        <v>3501526323</v>
      </c>
      <c r="C607" s="14" t="s">
        <v>25</v>
      </c>
      <c r="D607" s="4">
        <v>612</v>
      </c>
      <c r="E607" s="18">
        <f t="shared" si="7"/>
        <v>10517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="1" customFormat="1" customHeight="1" spans="1:17">
      <c r="A608" s="13">
        <v>45209</v>
      </c>
      <c r="B608" s="4" t="s">
        <v>1064</v>
      </c>
      <c r="C608" s="14" t="s">
        <v>31</v>
      </c>
      <c r="D608" s="4">
        <v>2500</v>
      </c>
      <c r="E608" s="18">
        <f t="shared" si="7"/>
        <v>8017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="1" customFormat="1" customHeight="1" spans="1:17">
      <c r="A609" s="13">
        <v>45209</v>
      </c>
      <c r="B609" s="4" t="s">
        <v>1065</v>
      </c>
      <c r="C609" s="14" t="s">
        <v>31</v>
      </c>
      <c r="D609" s="4">
        <v>400</v>
      </c>
      <c r="E609" s="18">
        <f t="shared" si="7"/>
        <v>7617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="1" customFormat="1" customHeight="1" spans="1:17">
      <c r="A610" s="13">
        <v>45212</v>
      </c>
      <c r="B610" s="4" t="s">
        <v>1066</v>
      </c>
      <c r="C610" s="14" t="s">
        <v>31</v>
      </c>
      <c r="D610" s="4">
        <v>5700</v>
      </c>
      <c r="E610" s="18">
        <f t="shared" si="7"/>
        <v>1917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="1" customFormat="1" customHeight="1" spans="1:17">
      <c r="A611" s="13">
        <v>45213</v>
      </c>
      <c r="B611" s="4" t="s">
        <v>1067</v>
      </c>
      <c r="C611" s="14" t="s">
        <v>31</v>
      </c>
      <c r="D611" s="4">
        <v>750</v>
      </c>
      <c r="E611" s="18">
        <f t="shared" si="7"/>
        <v>1167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="1" customFormat="1" customHeight="1" spans="1:17">
      <c r="A612" s="13">
        <v>45222</v>
      </c>
      <c r="B612" s="4">
        <v>3501526772</v>
      </c>
      <c r="C612" s="14" t="s">
        <v>25</v>
      </c>
      <c r="D612" s="4">
        <v>408</v>
      </c>
      <c r="E612" s="18">
        <f t="shared" si="7"/>
        <v>759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="1" customFormat="1" customHeight="1" spans="1:17">
      <c r="A613" s="13">
        <v>45222</v>
      </c>
      <c r="B613" s="4">
        <v>2401526772</v>
      </c>
      <c r="C613" s="14" t="s">
        <v>25</v>
      </c>
      <c r="D613" s="4">
        <v>116</v>
      </c>
      <c r="E613" s="18">
        <f t="shared" si="7"/>
        <v>643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="1" customFormat="1" customHeight="1" spans="1:17">
      <c r="A614" s="13">
        <v>45223</v>
      </c>
      <c r="B614" s="4">
        <v>4235627</v>
      </c>
      <c r="C614" s="14" t="s">
        <v>25</v>
      </c>
      <c r="D614" s="4">
        <v>1000</v>
      </c>
      <c r="E614" s="18">
        <f t="shared" si="7"/>
        <v>-357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="1" customFormat="1" customHeight="1" spans="1:17">
      <c r="A615" s="13">
        <v>45223</v>
      </c>
      <c r="B615" s="4">
        <v>8959325</v>
      </c>
      <c r="C615" s="14" t="s">
        <v>25</v>
      </c>
      <c r="D615" s="4">
        <v>1000</v>
      </c>
      <c r="E615" s="18">
        <f t="shared" si="7"/>
        <v>-1357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="1" customFormat="1" customHeight="1" spans="1:17">
      <c r="A616" s="13">
        <v>45223</v>
      </c>
      <c r="B616" s="4">
        <v>9441822</v>
      </c>
      <c r="C616" s="14" t="s">
        <v>25</v>
      </c>
      <c r="D616" s="4">
        <v>1000</v>
      </c>
      <c r="E616" s="18">
        <f t="shared" si="7"/>
        <v>-2357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="1" customFormat="1" customHeight="1" spans="1:17">
      <c r="A617" s="13">
        <v>45233</v>
      </c>
      <c r="B617" s="4" t="s">
        <v>1068</v>
      </c>
      <c r="C617" s="14" t="s">
        <v>25</v>
      </c>
      <c r="D617" s="4">
        <v>600</v>
      </c>
      <c r="E617" s="18">
        <f t="shared" si="7"/>
        <v>-2957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="1" customFormat="1" customHeight="1" spans="1:17">
      <c r="A618" s="13">
        <v>45233</v>
      </c>
      <c r="B618" s="4" t="s">
        <v>1069</v>
      </c>
      <c r="C618" s="14" t="s">
        <v>25</v>
      </c>
      <c r="D618" s="4">
        <v>1800</v>
      </c>
      <c r="E618" s="18">
        <f t="shared" si="7"/>
        <v>-4757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="1" customFormat="1" customHeight="1" spans="1:17">
      <c r="A619" s="13">
        <v>45233</v>
      </c>
      <c r="B619" s="4" t="s">
        <v>1070</v>
      </c>
      <c r="C619" s="14" t="s">
        <v>25</v>
      </c>
      <c r="D619" s="4">
        <v>1800</v>
      </c>
      <c r="E619" s="18">
        <f t="shared" si="7"/>
        <v>-6557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="1" customFormat="1" customHeight="1" spans="1:17">
      <c r="A620" s="13"/>
      <c r="B620" s="4"/>
      <c r="C620" s="14"/>
      <c r="D620" s="4"/>
      <c r="E620" s="1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customHeight="1" spans="1:17">
      <c r="A621" s="15" t="s">
        <v>620</v>
      </c>
      <c r="B621" s="16"/>
      <c r="C621" s="16"/>
      <c r="D621" s="17"/>
      <c r="E621" s="4">
        <f>E619</f>
        <v>-6557</v>
      </c>
    </row>
    <row r="624" customHeight="1" spans="1:17">
      <c r="A624" s="6" t="s">
        <v>904</v>
      </c>
      <c r="B624" s="7" t="s">
        <v>905</v>
      </c>
      <c r="C624" s="6" t="s">
        <v>906</v>
      </c>
      <c r="D624" s="8" t="s">
        <v>907</v>
      </c>
      <c r="E624" s="6" t="s">
        <v>908</v>
      </c>
    </row>
    <row r="625" customHeight="1" spans="1:5">
      <c r="A625" s="10" t="s">
        <v>34</v>
      </c>
      <c r="B625" s="21">
        <v>32000</v>
      </c>
      <c r="C625" s="10" t="s">
        <v>1071</v>
      </c>
      <c r="D625" s="10" t="s">
        <v>1072</v>
      </c>
      <c r="E625" s="20">
        <v>44649</v>
      </c>
    </row>
    <row r="626" customHeight="1" spans="1:5">
      <c r="A626" s="10" t="s">
        <v>34</v>
      </c>
      <c r="B626" s="21">
        <v>16000</v>
      </c>
      <c r="C626" s="10" t="s">
        <v>1071</v>
      </c>
      <c r="D626" s="10" t="s">
        <v>1072</v>
      </c>
      <c r="E626" s="20">
        <v>44680</v>
      </c>
    </row>
    <row r="627" customHeight="1" spans="1:5">
      <c r="A627" s="18" t="s">
        <v>34</v>
      </c>
      <c r="B627" s="31">
        <v>16000</v>
      </c>
      <c r="C627" s="18" t="s">
        <v>1073</v>
      </c>
      <c r="D627" s="18" t="s">
        <v>1074</v>
      </c>
      <c r="E627" s="20">
        <v>44680</v>
      </c>
    </row>
    <row r="628" customHeight="1" spans="1:5">
      <c r="A628" s="18" t="s">
        <v>34</v>
      </c>
      <c r="B628" s="31">
        <v>32000</v>
      </c>
      <c r="C628" s="18" t="s">
        <v>1073</v>
      </c>
      <c r="D628" s="18" t="s">
        <v>1075</v>
      </c>
      <c r="E628" s="32">
        <v>44684</v>
      </c>
    </row>
    <row r="629" customHeight="1" spans="1:5">
      <c r="A629" s="18" t="s">
        <v>34</v>
      </c>
      <c r="B629" s="31">
        <v>48000</v>
      </c>
      <c r="C629" s="18" t="s">
        <v>1076</v>
      </c>
      <c r="D629" s="18" t="s">
        <v>1077</v>
      </c>
      <c r="E629" s="32">
        <v>44757</v>
      </c>
    </row>
    <row r="630" customHeight="1" spans="1:5">
      <c r="A630" s="6" t="s">
        <v>910</v>
      </c>
      <c r="B630" s="7" t="s">
        <v>911</v>
      </c>
      <c r="C630" s="12" t="s">
        <v>904</v>
      </c>
      <c r="D630" s="12" t="s">
        <v>912</v>
      </c>
      <c r="E630" s="6" t="s">
        <v>913</v>
      </c>
    </row>
    <row r="631" customHeight="1" spans="1:5">
      <c r="A631" s="15" t="s">
        <v>998</v>
      </c>
      <c r="B631" s="16"/>
      <c r="C631" s="16"/>
      <c r="D631" s="17"/>
      <c r="E631" s="4">
        <v>16796</v>
      </c>
    </row>
    <row r="632" customHeight="1" spans="1:5">
      <c r="A632" s="13">
        <v>44566</v>
      </c>
      <c r="B632" s="14" t="s">
        <v>1078</v>
      </c>
      <c r="C632" s="14" t="s">
        <v>34</v>
      </c>
      <c r="D632" s="14">
        <v>5900</v>
      </c>
      <c r="E632" s="18">
        <f>(E631+B629+B625+B626+B627+B628)-D632</f>
        <v>154896</v>
      </c>
    </row>
    <row r="633" customHeight="1" spans="1:5">
      <c r="A633" s="13">
        <v>44566</v>
      </c>
      <c r="B633" s="14" t="s">
        <v>1079</v>
      </c>
      <c r="C633" s="14" t="s">
        <v>34</v>
      </c>
      <c r="D633" s="14">
        <v>4600</v>
      </c>
      <c r="E633" s="18">
        <f t="shared" ref="E633:E649" si="8">E632-D633</f>
        <v>150296</v>
      </c>
    </row>
    <row r="634" customHeight="1" spans="1:5">
      <c r="A634" s="13">
        <v>44553</v>
      </c>
      <c r="B634" s="14" t="s">
        <v>1080</v>
      </c>
      <c r="C634" s="14" t="s">
        <v>34</v>
      </c>
      <c r="D634" s="14">
        <v>30000</v>
      </c>
      <c r="E634" s="18">
        <f t="shared" si="8"/>
        <v>120296</v>
      </c>
    </row>
    <row r="635" customHeight="1" spans="1:5">
      <c r="A635" s="13">
        <v>44607</v>
      </c>
      <c r="B635" s="14">
        <v>24102</v>
      </c>
      <c r="C635" s="14" t="s">
        <v>34</v>
      </c>
      <c r="D635" s="14">
        <v>4400</v>
      </c>
      <c r="E635" s="18">
        <f t="shared" si="8"/>
        <v>115896</v>
      </c>
    </row>
    <row r="636" customHeight="1" spans="1:5">
      <c r="A636" s="13">
        <v>44614</v>
      </c>
      <c r="B636" s="14" t="s">
        <v>1081</v>
      </c>
      <c r="C636" s="14" t="s">
        <v>34</v>
      </c>
      <c r="D636" s="14">
        <v>10308</v>
      </c>
      <c r="E636" s="18">
        <f t="shared" si="8"/>
        <v>105588</v>
      </c>
    </row>
    <row r="637" customHeight="1" spans="1:5">
      <c r="A637" s="13">
        <v>44610</v>
      </c>
      <c r="B637" s="14" t="s">
        <v>1082</v>
      </c>
      <c r="C637" s="14" t="s">
        <v>34</v>
      </c>
      <c r="D637" s="14">
        <v>10000</v>
      </c>
      <c r="E637" s="18">
        <f t="shared" si="8"/>
        <v>95588</v>
      </c>
    </row>
    <row r="638" customHeight="1" spans="1:5">
      <c r="A638" s="13">
        <v>44610</v>
      </c>
      <c r="B638" s="14" t="s">
        <v>1083</v>
      </c>
      <c r="C638" s="14" t="s">
        <v>34</v>
      </c>
      <c r="D638" s="14">
        <v>10000</v>
      </c>
      <c r="E638" s="18">
        <f t="shared" si="8"/>
        <v>85588</v>
      </c>
    </row>
    <row r="639" customHeight="1" spans="1:5">
      <c r="A639" s="13">
        <v>44610</v>
      </c>
      <c r="B639" s="14" t="s">
        <v>1084</v>
      </c>
      <c r="C639" s="14" t="s">
        <v>34</v>
      </c>
      <c r="D639" s="14">
        <v>7860</v>
      </c>
      <c r="E639" s="18">
        <f t="shared" si="8"/>
        <v>77728</v>
      </c>
    </row>
    <row r="640" customHeight="1" spans="1:5">
      <c r="A640" s="13">
        <v>44610</v>
      </c>
      <c r="B640" s="14" t="s">
        <v>1084</v>
      </c>
      <c r="C640" s="14" t="s">
        <v>34</v>
      </c>
      <c r="D640" s="14">
        <v>2140</v>
      </c>
      <c r="E640" s="18">
        <f t="shared" si="8"/>
        <v>75588</v>
      </c>
    </row>
    <row r="641" customHeight="1" spans="1:5">
      <c r="A641" s="13">
        <v>44644</v>
      </c>
      <c r="B641" s="14">
        <v>60039147</v>
      </c>
      <c r="C641" s="14" t="s">
        <v>34</v>
      </c>
      <c r="D641" s="14">
        <v>4056</v>
      </c>
      <c r="E641" s="18">
        <f t="shared" si="8"/>
        <v>71532</v>
      </c>
    </row>
    <row r="642" customHeight="1" spans="1:5">
      <c r="A642" s="13">
        <v>44644</v>
      </c>
      <c r="B642" s="14">
        <v>60039309</v>
      </c>
      <c r="C642" s="14" t="s">
        <v>34</v>
      </c>
      <c r="D642" s="14">
        <v>1464</v>
      </c>
      <c r="E642" s="18">
        <f t="shared" si="8"/>
        <v>70068</v>
      </c>
    </row>
    <row r="643" customHeight="1" spans="1:5">
      <c r="A643" s="13">
        <v>44644</v>
      </c>
      <c r="B643" s="14">
        <v>60039112</v>
      </c>
      <c r="C643" s="14" t="s">
        <v>34</v>
      </c>
      <c r="D643" s="14">
        <v>2392</v>
      </c>
      <c r="E643" s="18">
        <f t="shared" si="8"/>
        <v>67676</v>
      </c>
    </row>
    <row r="644" customHeight="1" spans="1:5">
      <c r="A644" s="13">
        <v>44644</v>
      </c>
      <c r="B644" s="14">
        <v>60039125</v>
      </c>
      <c r="C644" s="14" t="s">
        <v>34</v>
      </c>
      <c r="D644" s="14">
        <v>3460</v>
      </c>
      <c r="E644" s="18">
        <f t="shared" si="8"/>
        <v>64216</v>
      </c>
    </row>
    <row r="645" customHeight="1" spans="1:5">
      <c r="A645" s="13">
        <v>44644</v>
      </c>
      <c r="B645" s="14">
        <v>60039137</v>
      </c>
      <c r="C645" s="14" t="s">
        <v>34</v>
      </c>
      <c r="D645" s="14">
        <v>4968</v>
      </c>
      <c r="E645" s="18">
        <f t="shared" si="8"/>
        <v>59248</v>
      </c>
    </row>
    <row r="646" customHeight="1" spans="1:5">
      <c r="A646" s="4"/>
      <c r="B646" s="33" t="s">
        <v>1085</v>
      </c>
      <c r="C646" s="34" t="s">
        <v>34</v>
      </c>
      <c r="D646" s="33">
        <v>5534</v>
      </c>
      <c r="E646" s="35">
        <f t="shared" si="8"/>
        <v>53714</v>
      </c>
    </row>
    <row r="647" customHeight="1" spans="1:5">
      <c r="A647" s="13">
        <v>44722</v>
      </c>
      <c r="B647" s="14" t="s">
        <v>1086</v>
      </c>
      <c r="C647" s="14" t="s">
        <v>1087</v>
      </c>
      <c r="D647" s="14">
        <v>41600</v>
      </c>
      <c r="E647" s="18">
        <f t="shared" si="8"/>
        <v>12114</v>
      </c>
    </row>
    <row r="648" customHeight="1" spans="1:5">
      <c r="A648" s="13">
        <v>44743</v>
      </c>
      <c r="B648" s="14">
        <v>24225</v>
      </c>
      <c r="C648" s="14" t="s">
        <v>1088</v>
      </c>
      <c r="D648" s="14">
        <v>3456</v>
      </c>
      <c r="E648" s="18">
        <f t="shared" si="8"/>
        <v>8658</v>
      </c>
    </row>
    <row r="649" customHeight="1" spans="1:5">
      <c r="A649" s="13">
        <v>44809</v>
      </c>
      <c r="B649" s="14">
        <v>7950831336</v>
      </c>
      <c r="C649" s="14" t="s">
        <v>100</v>
      </c>
      <c r="D649" s="14">
        <v>1600</v>
      </c>
      <c r="E649" s="18">
        <f t="shared" si="8"/>
        <v>7058</v>
      </c>
    </row>
    <row r="650" customHeight="1" spans="1:5">
      <c r="A650" s="13"/>
      <c r="B650" s="14"/>
      <c r="C650" s="14"/>
      <c r="D650" s="14"/>
      <c r="E650" s="18"/>
    </row>
    <row r="651" customHeight="1" spans="1:5">
      <c r="A651" s="13"/>
      <c r="B651" s="14"/>
      <c r="C651" s="14"/>
      <c r="D651" s="14"/>
      <c r="E651" s="18"/>
    </row>
    <row r="652" customHeight="1" spans="1:5">
      <c r="A652" s="4"/>
      <c r="B652" s="4"/>
      <c r="C652" s="4"/>
      <c r="D652" s="4"/>
      <c r="E652" s="4"/>
    </row>
    <row r="653" customHeight="1" spans="1:5">
      <c r="A653" s="15" t="s">
        <v>620</v>
      </c>
      <c r="B653" s="16"/>
      <c r="C653" s="16"/>
      <c r="D653" s="17"/>
      <c r="E653" s="4">
        <f>E649</f>
        <v>7058</v>
      </c>
    </row>
    <row r="656" customHeight="1" spans="1:5">
      <c r="A656" s="6" t="s">
        <v>904</v>
      </c>
      <c r="B656" s="7" t="s">
        <v>905</v>
      </c>
      <c r="C656" s="6" t="s">
        <v>906</v>
      </c>
      <c r="D656" s="8" t="s">
        <v>907</v>
      </c>
      <c r="E656" s="6" t="s">
        <v>908</v>
      </c>
    </row>
    <row r="657" customHeight="1" spans="1:6">
      <c r="A657" s="10" t="s">
        <v>46</v>
      </c>
      <c r="B657" s="21"/>
      <c r="C657" s="10"/>
      <c r="D657" s="10"/>
      <c r="E657" s="10"/>
    </row>
    <row r="658" customHeight="1" spans="1:6">
      <c r="A658" s="6" t="s">
        <v>910</v>
      </c>
      <c r="B658" s="7" t="s">
        <v>911</v>
      </c>
      <c r="C658" s="12" t="s">
        <v>904</v>
      </c>
      <c r="D658" s="12" t="s">
        <v>912</v>
      </c>
      <c r="E658" s="6" t="s">
        <v>913</v>
      </c>
    </row>
    <row r="659" customHeight="1" spans="1:6">
      <c r="A659" s="15" t="s">
        <v>998</v>
      </c>
      <c r="B659" s="16"/>
      <c r="C659" s="16"/>
      <c r="D659" s="17"/>
      <c r="E659" s="4">
        <v>194202</v>
      </c>
    </row>
    <row r="660" customHeight="1" spans="1:6">
      <c r="A660" s="13">
        <v>44756</v>
      </c>
      <c r="B660" s="14">
        <v>61</v>
      </c>
      <c r="C660" s="14" t="s">
        <v>46</v>
      </c>
      <c r="D660" s="14">
        <v>3200</v>
      </c>
      <c r="E660" s="18">
        <f>E659-D660</f>
        <v>191002</v>
      </c>
    </row>
    <row r="661" customHeight="1" spans="1:6">
      <c r="A661" s="13"/>
      <c r="B661" s="14"/>
      <c r="C661" s="14"/>
      <c r="D661" s="14"/>
      <c r="E661" s="18"/>
    </row>
    <row r="662" customHeight="1" spans="1:6">
      <c r="A662" s="4"/>
      <c r="B662" s="4"/>
      <c r="C662" s="4"/>
      <c r="D662" s="4"/>
      <c r="E662" s="4"/>
    </row>
    <row r="663" customHeight="1" spans="1:6">
      <c r="A663" s="4"/>
      <c r="B663" s="4"/>
      <c r="C663" s="4"/>
      <c r="D663" s="4"/>
      <c r="E663" s="4"/>
    </row>
    <row r="664" customHeight="1" spans="1:6">
      <c r="A664" s="4"/>
      <c r="B664" s="4"/>
      <c r="C664" s="4"/>
      <c r="D664" s="4"/>
      <c r="E664" s="4"/>
    </row>
    <row r="665" customHeight="1" spans="1:6">
      <c r="A665" s="4"/>
      <c r="B665" s="4"/>
      <c r="C665" s="4"/>
      <c r="D665" s="4"/>
      <c r="E665" s="4"/>
    </row>
    <row r="666" customHeight="1" spans="1:6">
      <c r="A666" s="4"/>
      <c r="B666" s="4"/>
      <c r="C666" s="4"/>
      <c r="D666" s="4"/>
      <c r="E666" s="4"/>
    </row>
    <row r="667" customHeight="1" spans="1:6">
      <c r="A667" s="15" t="s">
        <v>620</v>
      </c>
      <c r="B667" s="16"/>
      <c r="C667" s="16"/>
      <c r="D667" s="17"/>
      <c r="E667" s="4">
        <f>E660</f>
        <v>191002</v>
      </c>
    </row>
    <row r="669" customHeight="1" spans="1:6">
      <c r="A669" s="6" t="s">
        <v>904</v>
      </c>
      <c r="B669" s="7" t="s">
        <v>905</v>
      </c>
      <c r="C669" s="6" t="s">
        <v>906</v>
      </c>
      <c r="D669" s="8" t="s">
        <v>907</v>
      </c>
      <c r="E669" s="6" t="s">
        <v>908</v>
      </c>
    </row>
    <row r="670" customHeight="1" spans="1:6">
      <c r="A670" s="10" t="s">
        <v>208</v>
      </c>
      <c r="B670" s="21">
        <v>15000</v>
      </c>
      <c r="C670" s="10"/>
      <c r="D670" s="20">
        <v>44844</v>
      </c>
      <c r="E670" s="20">
        <v>44875</v>
      </c>
      <c r="F670" s="36"/>
    </row>
    <row r="671" customHeight="1" spans="1:6">
      <c r="A671" s="10" t="s">
        <v>208</v>
      </c>
      <c r="B671" s="21">
        <v>5000</v>
      </c>
      <c r="C671" s="10"/>
      <c r="D671" s="20">
        <v>45019</v>
      </c>
      <c r="E671" s="20"/>
      <c r="F671" s="36"/>
    </row>
    <row r="672" customHeight="1" spans="1:6">
      <c r="A672" s="6" t="s">
        <v>910</v>
      </c>
      <c r="B672" s="7" t="s">
        <v>911</v>
      </c>
      <c r="C672" s="12" t="s">
        <v>904</v>
      </c>
      <c r="D672" s="12" t="s">
        <v>912</v>
      </c>
      <c r="E672" s="6" t="s">
        <v>913</v>
      </c>
    </row>
    <row r="673" customHeight="1" spans="1:6">
      <c r="A673" s="13">
        <v>44988</v>
      </c>
      <c r="B673" s="18" t="s">
        <v>1089</v>
      </c>
      <c r="C673" s="37" t="s">
        <v>208</v>
      </c>
      <c r="D673" s="37">
        <v>2300</v>
      </c>
      <c r="E673" s="18">
        <f>B670+B671-D673</f>
        <v>17700</v>
      </c>
    </row>
    <row r="674" customHeight="1" spans="1:6">
      <c r="A674" s="13">
        <v>44988</v>
      </c>
      <c r="B674" s="14" t="s">
        <v>1090</v>
      </c>
      <c r="C674" s="37" t="s">
        <v>208</v>
      </c>
      <c r="D674" s="37">
        <v>700</v>
      </c>
      <c r="E674" s="18">
        <f t="shared" ref="E674:E681" si="9">E673-D674</f>
        <v>17000</v>
      </c>
    </row>
    <row r="675" customHeight="1" spans="1:6">
      <c r="A675" s="13">
        <v>44988</v>
      </c>
      <c r="B675" s="4" t="s">
        <v>1091</v>
      </c>
      <c r="C675" s="37" t="s">
        <v>208</v>
      </c>
      <c r="D675" s="4">
        <v>800</v>
      </c>
      <c r="E675" s="18">
        <f t="shared" si="9"/>
        <v>16200</v>
      </c>
    </row>
    <row r="676" customHeight="1" spans="1:6">
      <c r="A676" s="13">
        <v>45015</v>
      </c>
      <c r="B676" s="4" t="s">
        <v>1092</v>
      </c>
      <c r="C676" s="37" t="s">
        <v>208</v>
      </c>
      <c r="D676" s="4">
        <v>600</v>
      </c>
      <c r="E676" s="18">
        <f t="shared" si="9"/>
        <v>15600</v>
      </c>
    </row>
    <row r="677" customHeight="1" spans="1:6">
      <c r="A677" s="13">
        <v>45015</v>
      </c>
      <c r="B677" s="4" t="s">
        <v>1093</v>
      </c>
      <c r="C677" s="37" t="s">
        <v>208</v>
      </c>
      <c r="D677" s="4">
        <v>600</v>
      </c>
      <c r="E677" s="18">
        <f t="shared" si="9"/>
        <v>15000</v>
      </c>
    </row>
    <row r="678" customHeight="1" spans="1:6">
      <c r="A678" s="13">
        <v>45015</v>
      </c>
      <c r="B678" s="4" t="s">
        <v>1094</v>
      </c>
      <c r="C678" s="37" t="s">
        <v>208</v>
      </c>
      <c r="D678" s="4">
        <v>6000</v>
      </c>
      <c r="E678" s="18">
        <f t="shared" si="9"/>
        <v>9000</v>
      </c>
    </row>
    <row r="679" customHeight="1" spans="1:6">
      <c r="A679" s="13">
        <v>45015</v>
      </c>
      <c r="B679" s="4" t="s">
        <v>1095</v>
      </c>
      <c r="C679" s="37" t="s">
        <v>208</v>
      </c>
      <c r="D679" s="4">
        <v>1968</v>
      </c>
      <c r="E679" s="18">
        <f t="shared" si="9"/>
        <v>7032</v>
      </c>
    </row>
    <row r="680" customHeight="1" spans="1:6">
      <c r="A680" s="13">
        <v>45016</v>
      </c>
      <c r="B680" s="4">
        <v>1000000063</v>
      </c>
      <c r="C680" s="37" t="s">
        <v>208</v>
      </c>
      <c r="D680" s="4">
        <v>1500</v>
      </c>
      <c r="E680" s="18">
        <f t="shared" si="9"/>
        <v>5532</v>
      </c>
    </row>
    <row r="681" customHeight="1" spans="1:6">
      <c r="A681" s="13">
        <v>45016</v>
      </c>
      <c r="B681" s="4" t="s">
        <v>1096</v>
      </c>
      <c r="C681" s="37" t="s">
        <v>208</v>
      </c>
      <c r="D681" s="4">
        <v>4800</v>
      </c>
      <c r="E681" s="18">
        <f t="shared" si="9"/>
        <v>732</v>
      </c>
    </row>
    <row r="682" customHeight="1" spans="1:6">
      <c r="A682" s="13"/>
      <c r="B682" s="4"/>
      <c r="C682" s="37"/>
      <c r="D682" s="4"/>
      <c r="E682" s="18"/>
    </row>
    <row r="683" customHeight="1" spans="1:6">
      <c r="A683" s="13"/>
      <c r="B683" s="4"/>
      <c r="C683" s="37"/>
      <c r="D683" s="4"/>
      <c r="E683" s="18"/>
    </row>
    <row r="684" customHeight="1" spans="1:6">
      <c r="A684" s="15" t="s">
        <v>620</v>
      </c>
      <c r="B684" s="16"/>
      <c r="C684" s="16"/>
      <c r="D684" s="17"/>
      <c r="E684" s="4">
        <f>E681</f>
        <v>732</v>
      </c>
    </row>
    <row r="687" customHeight="1" spans="1:6">
      <c r="A687" s="6" t="s">
        <v>904</v>
      </c>
      <c r="B687" s="7" t="s">
        <v>905</v>
      </c>
      <c r="C687" s="6" t="s">
        <v>906</v>
      </c>
      <c r="D687" s="8" t="s">
        <v>907</v>
      </c>
      <c r="E687" s="6" t="s">
        <v>908</v>
      </c>
    </row>
    <row r="688" customHeight="1" spans="1:6">
      <c r="A688" s="10" t="s">
        <v>70</v>
      </c>
      <c r="B688" s="21">
        <v>50000</v>
      </c>
      <c r="C688" s="10"/>
      <c r="D688" s="20">
        <v>44888</v>
      </c>
      <c r="E688" s="20">
        <v>44918</v>
      </c>
      <c r="F688" s="38" t="s">
        <v>1097</v>
      </c>
    </row>
    <row r="689" customHeight="1" spans="1:6">
      <c r="A689" s="10" t="s">
        <v>70</v>
      </c>
      <c r="B689" s="21">
        <v>3000</v>
      </c>
      <c r="C689" s="10"/>
      <c r="D689" s="20">
        <v>45119</v>
      </c>
      <c r="E689" s="20">
        <v>45137</v>
      </c>
      <c r="F689" s="38"/>
    </row>
    <row r="690" customHeight="1" spans="1:6">
      <c r="A690" s="10" t="s">
        <v>70</v>
      </c>
      <c r="B690" s="21">
        <v>20000</v>
      </c>
      <c r="C690" s="10"/>
      <c r="D690" s="20">
        <v>45127</v>
      </c>
      <c r="E690" s="20">
        <v>45137</v>
      </c>
      <c r="F690" s="38"/>
    </row>
    <row r="691" customHeight="1" spans="1:6">
      <c r="A691" s="6" t="s">
        <v>910</v>
      </c>
      <c r="B691" s="7" t="s">
        <v>911</v>
      </c>
      <c r="C691" s="12" t="s">
        <v>904</v>
      </c>
      <c r="D691" s="12" t="s">
        <v>912</v>
      </c>
      <c r="E691" s="6" t="s">
        <v>913</v>
      </c>
      <c r="F691" s="39" t="s">
        <v>1098</v>
      </c>
    </row>
    <row r="692" customHeight="1" spans="1:6">
      <c r="A692" s="13">
        <v>44886</v>
      </c>
      <c r="B692" s="18" t="s">
        <v>1099</v>
      </c>
      <c r="C692" s="37" t="s">
        <v>70</v>
      </c>
      <c r="D692" s="37">
        <v>7200</v>
      </c>
      <c r="E692" s="18">
        <f>B690+B688+B689-D692</f>
        <v>65800</v>
      </c>
      <c r="F692" s="39" t="s">
        <v>1100</v>
      </c>
    </row>
    <row r="693" customHeight="1" spans="1:6">
      <c r="A693" s="13">
        <v>44887</v>
      </c>
      <c r="B693" s="18" t="s">
        <v>848</v>
      </c>
      <c r="C693" s="37" t="s">
        <v>94</v>
      </c>
      <c r="D693" s="37">
        <v>4800</v>
      </c>
      <c r="E693" s="18">
        <f t="shared" ref="E693:E742" si="10">E692-D693</f>
        <v>61000</v>
      </c>
    </row>
    <row r="694" customHeight="1" spans="1:6">
      <c r="A694" s="13">
        <v>44966</v>
      </c>
      <c r="B694" s="18" t="s">
        <v>1101</v>
      </c>
      <c r="C694" s="37" t="s">
        <v>89</v>
      </c>
      <c r="D694" s="37">
        <v>6000</v>
      </c>
      <c r="E694" s="18">
        <f t="shared" si="10"/>
        <v>55000</v>
      </c>
    </row>
    <row r="695" customHeight="1" spans="1:6">
      <c r="A695" s="13">
        <v>44966</v>
      </c>
      <c r="B695" s="18" t="s">
        <v>1102</v>
      </c>
      <c r="C695" s="37" t="s">
        <v>89</v>
      </c>
      <c r="D695" s="37">
        <v>800</v>
      </c>
      <c r="E695" s="18">
        <f t="shared" si="10"/>
        <v>54200</v>
      </c>
    </row>
    <row r="696" customHeight="1" spans="1:6">
      <c r="A696" s="13">
        <v>45022</v>
      </c>
      <c r="B696" s="30" t="s">
        <v>1103</v>
      </c>
      <c r="C696" s="14" t="s">
        <v>94</v>
      </c>
      <c r="D696" s="14">
        <v>424</v>
      </c>
      <c r="E696" s="18">
        <f t="shared" si="10"/>
        <v>53776</v>
      </c>
    </row>
    <row r="697" customHeight="1" spans="1:6">
      <c r="A697" s="13">
        <v>45022</v>
      </c>
      <c r="B697" s="30" t="s">
        <v>1103</v>
      </c>
      <c r="C697" s="14" t="s">
        <v>94</v>
      </c>
      <c r="D697" s="14">
        <f>2576</f>
        <v>2576</v>
      </c>
      <c r="E697" s="18">
        <f t="shared" si="10"/>
        <v>51200</v>
      </c>
    </row>
    <row r="698" customHeight="1" spans="1:6">
      <c r="A698" s="13">
        <v>45022</v>
      </c>
      <c r="B698" s="30" t="s">
        <v>1104</v>
      </c>
      <c r="C698" s="18" t="s">
        <v>70</v>
      </c>
      <c r="D698" s="4">
        <v>400</v>
      </c>
      <c r="E698" s="18">
        <f t="shared" si="10"/>
        <v>50800</v>
      </c>
    </row>
    <row r="699" customHeight="1" spans="1:6">
      <c r="A699" s="13">
        <v>45026</v>
      </c>
      <c r="B699" s="30" t="s">
        <v>1105</v>
      </c>
      <c r="C699" s="18" t="s">
        <v>70</v>
      </c>
      <c r="D699" s="4">
        <v>20</v>
      </c>
      <c r="E699" s="18">
        <f t="shared" si="10"/>
        <v>50780</v>
      </c>
    </row>
    <row r="700" customHeight="1" spans="1:6">
      <c r="A700" s="13">
        <v>45029</v>
      </c>
      <c r="B700" s="30" t="s">
        <v>1106</v>
      </c>
      <c r="C700" s="18" t="s">
        <v>70</v>
      </c>
      <c r="D700" s="4">
        <v>2000</v>
      </c>
      <c r="E700" s="18">
        <f t="shared" si="10"/>
        <v>48780</v>
      </c>
    </row>
    <row r="701" customHeight="1" spans="1:6">
      <c r="A701" s="13">
        <v>45029</v>
      </c>
      <c r="B701" s="30" t="s">
        <v>1107</v>
      </c>
      <c r="C701" s="18" t="s">
        <v>70</v>
      </c>
      <c r="D701" s="4">
        <v>3000</v>
      </c>
      <c r="E701" s="18">
        <f t="shared" si="10"/>
        <v>45780</v>
      </c>
    </row>
    <row r="702" customHeight="1" spans="1:6">
      <c r="A702" s="13">
        <v>45043</v>
      </c>
      <c r="B702" s="30">
        <v>2401525497</v>
      </c>
      <c r="C702" s="18" t="s">
        <v>70</v>
      </c>
      <c r="D702" s="4">
        <v>132</v>
      </c>
      <c r="E702" s="18">
        <f t="shared" si="10"/>
        <v>45648</v>
      </c>
    </row>
    <row r="703" customHeight="1" spans="1:6">
      <c r="A703" s="13">
        <v>45043</v>
      </c>
      <c r="B703" s="30">
        <v>3501525497</v>
      </c>
      <c r="C703" s="18" t="s">
        <v>70</v>
      </c>
      <c r="D703" s="4">
        <v>748</v>
      </c>
      <c r="E703" s="18">
        <f t="shared" si="10"/>
        <v>44900</v>
      </c>
    </row>
    <row r="704" customHeight="1" spans="1:6">
      <c r="A704" s="13">
        <v>45058</v>
      </c>
      <c r="B704" s="30" t="s">
        <v>1108</v>
      </c>
      <c r="C704" s="18" t="s">
        <v>89</v>
      </c>
      <c r="D704" s="4">
        <v>512</v>
      </c>
      <c r="E704" s="18">
        <f t="shared" si="10"/>
        <v>44388</v>
      </c>
    </row>
    <row r="705" customHeight="1" spans="1:5">
      <c r="A705" s="13">
        <v>45058</v>
      </c>
      <c r="B705" s="30" t="s">
        <v>1109</v>
      </c>
      <c r="C705" s="18" t="s">
        <v>89</v>
      </c>
      <c r="D705" s="4">
        <v>500</v>
      </c>
      <c r="E705" s="18">
        <f t="shared" si="10"/>
        <v>43888</v>
      </c>
    </row>
    <row r="706" customHeight="1" spans="1:5">
      <c r="A706" s="13">
        <v>45058</v>
      </c>
      <c r="B706" s="30" t="s">
        <v>1110</v>
      </c>
      <c r="C706" s="18" t="s">
        <v>89</v>
      </c>
      <c r="D706" s="4">
        <v>156</v>
      </c>
      <c r="E706" s="18">
        <f t="shared" si="10"/>
        <v>43732</v>
      </c>
    </row>
    <row r="707" customHeight="1" spans="1:5">
      <c r="A707" s="13">
        <v>45058</v>
      </c>
      <c r="B707" s="30" t="s">
        <v>1111</v>
      </c>
      <c r="C707" s="18" t="s">
        <v>89</v>
      </c>
      <c r="D707" s="4">
        <v>336</v>
      </c>
      <c r="E707" s="18">
        <f t="shared" si="10"/>
        <v>43396</v>
      </c>
    </row>
    <row r="708" customHeight="1" spans="1:5">
      <c r="A708" s="13">
        <v>45058</v>
      </c>
      <c r="B708" s="30" t="s">
        <v>1112</v>
      </c>
      <c r="C708" s="18" t="s">
        <v>89</v>
      </c>
      <c r="D708" s="4">
        <v>2676</v>
      </c>
      <c r="E708" s="18">
        <f t="shared" si="10"/>
        <v>40720</v>
      </c>
    </row>
    <row r="709" customHeight="1" spans="1:5">
      <c r="A709" s="13">
        <v>45058</v>
      </c>
      <c r="B709" s="30" t="s">
        <v>1113</v>
      </c>
      <c r="C709" s="18" t="s">
        <v>89</v>
      </c>
      <c r="D709" s="4">
        <v>28</v>
      </c>
      <c r="E709" s="18">
        <f t="shared" si="10"/>
        <v>40692</v>
      </c>
    </row>
    <row r="710" customHeight="1" spans="1:5">
      <c r="A710" s="13">
        <v>45058</v>
      </c>
      <c r="B710" s="30" t="s">
        <v>1114</v>
      </c>
      <c r="C710" s="18" t="s">
        <v>89</v>
      </c>
      <c r="D710" s="4">
        <v>304</v>
      </c>
      <c r="E710" s="18">
        <f t="shared" si="10"/>
        <v>40388</v>
      </c>
    </row>
    <row r="711" customHeight="1" spans="1:5">
      <c r="A711" s="13">
        <v>45058</v>
      </c>
      <c r="B711" s="30" t="s">
        <v>1115</v>
      </c>
      <c r="C711" s="18" t="s">
        <v>89</v>
      </c>
      <c r="D711" s="4">
        <v>296</v>
      </c>
      <c r="E711" s="18">
        <f t="shared" si="10"/>
        <v>40092</v>
      </c>
    </row>
    <row r="712" customHeight="1" spans="1:5">
      <c r="A712" s="13">
        <v>45058</v>
      </c>
      <c r="B712" s="30" t="s">
        <v>1116</v>
      </c>
      <c r="C712" s="18" t="s">
        <v>89</v>
      </c>
      <c r="D712" s="4">
        <v>552</v>
      </c>
      <c r="E712" s="18">
        <f t="shared" si="10"/>
        <v>39540</v>
      </c>
    </row>
    <row r="713" customHeight="1" spans="1:5">
      <c r="A713" s="13">
        <v>45058</v>
      </c>
      <c r="B713" s="30" t="s">
        <v>1117</v>
      </c>
      <c r="C713" s="18" t="s">
        <v>89</v>
      </c>
      <c r="D713" s="4">
        <v>676</v>
      </c>
      <c r="E713" s="18">
        <f t="shared" si="10"/>
        <v>38864</v>
      </c>
    </row>
    <row r="714" customHeight="1" spans="1:5">
      <c r="A714" s="13">
        <v>45058</v>
      </c>
      <c r="B714" s="30" t="s">
        <v>1118</v>
      </c>
      <c r="C714" s="18" t="s">
        <v>89</v>
      </c>
      <c r="D714" s="4">
        <v>280</v>
      </c>
      <c r="E714" s="18">
        <f t="shared" si="10"/>
        <v>38584</v>
      </c>
    </row>
    <row r="715" customHeight="1" spans="1:5">
      <c r="A715" s="13">
        <v>45058</v>
      </c>
      <c r="B715" s="30" t="s">
        <v>1119</v>
      </c>
      <c r="C715" s="18" t="s">
        <v>89</v>
      </c>
      <c r="D715" s="4">
        <v>1336</v>
      </c>
      <c r="E715" s="18">
        <f t="shared" si="10"/>
        <v>37248</v>
      </c>
    </row>
    <row r="716" customHeight="1" spans="1:5">
      <c r="A716" s="13">
        <v>45058</v>
      </c>
      <c r="B716" s="30" t="s">
        <v>1120</v>
      </c>
      <c r="C716" s="18" t="s">
        <v>89</v>
      </c>
      <c r="D716" s="4">
        <v>560</v>
      </c>
      <c r="E716" s="18">
        <f t="shared" si="10"/>
        <v>36688</v>
      </c>
    </row>
    <row r="717" customHeight="1" spans="1:5">
      <c r="A717" s="13">
        <v>45058</v>
      </c>
      <c r="B717" s="30" t="s">
        <v>1121</v>
      </c>
      <c r="C717" s="18" t="s">
        <v>89</v>
      </c>
      <c r="D717" s="4">
        <v>88</v>
      </c>
      <c r="E717" s="18">
        <f t="shared" si="10"/>
        <v>36600</v>
      </c>
    </row>
    <row r="718" customHeight="1" spans="1:5">
      <c r="A718" s="13">
        <v>45058</v>
      </c>
      <c r="B718" s="30" t="s">
        <v>1122</v>
      </c>
      <c r="C718" s="18" t="s">
        <v>89</v>
      </c>
      <c r="D718" s="4">
        <v>224</v>
      </c>
      <c r="E718" s="18">
        <f t="shared" si="10"/>
        <v>36376</v>
      </c>
    </row>
    <row r="719" customHeight="1" spans="1:5">
      <c r="A719" s="13">
        <v>45058</v>
      </c>
      <c r="B719" s="30" t="s">
        <v>1123</v>
      </c>
      <c r="C719" s="18" t="s">
        <v>89</v>
      </c>
      <c r="D719" s="4">
        <v>2228</v>
      </c>
      <c r="E719" s="18">
        <f t="shared" si="10"/>
        <v>34148</v>
      </c>
    </row>
    <row r="720" customHeight="1" spans="1:5">
      <c r="A720" s="13">
        <v>45058</v>
      </c>
      <c r="B720" s="30" t="s">
        <v>1124</v>
      </c>
      <c r="C720" s="18" t="s">
        <v>89</v>
      </c>
      <c r="D720" s="4">
        <v>460</v>
      </c>
      <c r="E720" s="18">
        <f t="shared" si="10"/>
        <v>33688</v>
      </c>
    </row>
    <row r="721" customHeight="1" spans="1:5">
      <c r="A721" s="13">
        <v>45058</v>
      </c>
      <c r="B721" s="30" t="s">
        <v>1125</v>
      </c>
      <c r="C721" s="18" t="s">
        <v>89</v>
      </c>
      <c r="D721" s="4">
        <v>188</v>
      </c>
      <c r="E721" s="18">
        <f t="shared" si="10"/>
        <v>33500</v>
      </c>
    </row>
    <row r="722" customHeight="1" spans="1:5">
      <c r="A722" s="13">
        <v>45058</v>
      </c>
      <c r="B722" s="30" t="s">
        <v>1126</v>
      </c>
      <c r="C722" s="18" t="s">
        <v>89</v>
      </c>
      <c r="D722" s="4">
        <v>168</v>
      </c>
      <c r="E722" s="18">
        <f t="shared" si="10"/>
        <v>33332</v>
      </c>
    </row>
    <row r="723" customHeight="1" spans="1:5">
      <c r="A723" s="13">
        <v>45058</v>
      </c>
      <c r="B723" s="30" t="s">
        <v>1127</v>
      </c>
      <c r="C723" s="18" t="s">
        <v>89</v>
      </c>
      <c r="D723" s="4">
        <v>600</v>
      </c>
      <c r="E723" s="18">
        <f t="shared" si="10"/>
        <v>32732</v>
      </c>
    </row>
    <row r="724" customHeight="1" spans="1:5">
      <c r="A724" s="13">
        <v>45058</v>
      </c>
      <c r="B724" s="30" t="s">
        <v>1128</v>
      </c>
      <c r="C724" s="18" t="s">
        <v>89</v>
      </c>
      <c r="D724" s="4">
        <v>260</v>
      </c>
      <c r="E724" s="18">
        <f t="shared" si="10"/>
        <v>32472</v>
      </c>
    </row>
    <row r="725" customHeight="1" spans="1:5">
      <c r="A725" s="13">
        <v>45115</v>
      </c>
      <c r="B725" s="30" t="s">
        <v>252</v>
      </c>
      <c r="C725" s="18" t="s">
        <v>70</v>
      </c>
      <c r="D725" s="4">
        <v>984</v>
      </c>
      <c r="E725" s="18">
        <f t="shared" si="10"/>
        <v>31488</v>
      </c>
    </row>
    <row r="726" customHeight="1" spans="1:5">
      <c r="A726" s="13">
        <v>45115</v>
      </c>
      <c r="B726" s="30" t="s">
        <v>1039</v>
      </c>
      <c r="C726" s="18" t="s">
        <v>70</v>
      </c>
      <c r="D726" s="4">
        <v>300</v>
      </c>
      <c r="E726" s="18">
        <f t="shared" si="10"/>
        <v>31188</v>
      </c>
    </row>
    <row r="727" customHeight="1" spans="1:5">
      <c r="A727" s="13">
        <v>45115</v>
      </c>
      <c r="B727" s="30" t="s">
        <v>1129</v>
      </c>
      <c r="C727" s="18" t="s">
        <v>70</v>
      </c>
      <c r="D727" s="4">
        <v>280</v>
      </c>
      <c r="E727" s="18">
        <f t="shared" si="10"/>
        <v>30908</v>
      </c>
    </row>
    <row r="728" customHeight="1" spans="1:5">
      <c r="A728" s="13">
        <v>45115</v>
      </c>
      <c r="B728" s="30">
        <v>64</v>
      </c>
      <c r="C728" s="18" t="s">
        <v>70</v>
      </c>
      <c r="D728" s="4">
        <v>600</v>
      </c>
      <c r="E728" s="18">
        <f t="shared" si="10"/>
        <v>30308</v>
      </c>
    </row>
    <row r="729" customHeight="1" spans="1:5">
      <c r="A729" s="13">
        <v>45115</v>
      </c>
      <c r="B729" s="30">
        <v>3689</v>
      </c>
      <c r="C729" s="18" t="s">
        <v>70</v>
      </c>
      <c r="D729" s="4">
        <v>836</v>
      </c>
      <c r="E729" s="18">
        <f t="shared" si="10"/>
        <v>29472</v>
      </c>
    </row>
    <row r="730" customHeight="1" spans="1:5">
      <c r="A730" s="13">
        <v>45119</v>
      </c>
      <c r="B730" s="30">
        <v>1388411</v>
      </c>
      <c r="C730" s="18" t="s">
        <v>70</v>
      </c>
      <c r="D730" s="4">
        <v>1000</v>
      </c>
      <c r="E730" s="18">
        <f t="shared" si="10"/>
        <v>28472</v>
      </c>
    </row>
    <row r="731" customHeight="1" spans="1:5">
      <c r="A731" s="13">
        <v>45119</v>
      </c>
      <c r="B731" s="30">
        <v>3482514</v>
      </c>
      <c r="C731" s="18" t="s">
        <v>70</v>
      </c>
      <c r="D731" s="4">
        <v>1000</v>
      </c>
      <c r="E731" s="18">
        <f t="shared" si="10"/>
        <v>27472</v>
      </c>
    </row>
    <row r="732" customHeight="1" spans="1:5">
      <c r="A732" s="13">
        <v>45119</v>
      </c>
      <c r="B732" s="30">
        <v>7569024</v>
      </c>
      <c r="C732" s="18" t="s">
        <v>70</v>
      </c>
      <c r="D732" s="4">
        <f>4540+984</f>
        <v>5524</v>
      </c>
      <c r="E732" s="18">
        <f t="shared" si="10"/>
        <v>21948</v>
      </c>
    </row>
    <row r="733" customHeight="1" spans="1:5">
      <c r="A733" s="13">
        <v>45127</v>
      </c>
      <c r="B733" s="30">
        <v>1080953</v>
      </c>
      <c r="C733" s="18" t="s">
        <v>70</v>
      </c>
      <c r="D733" s="4">
        <v>2000</v>
      </c>
      <c r="E733" s="18">
        <f t="shared" si="10"/>
        <v>19948</v>
      </c>
    </row>
    <row r="734" customHeight="1" spans="1:5">
      <c r="A734" s="13">
        <v>45127</v>
      </c>
      <c r="B734" s="30">
        <v>3224680</v>
      </c>
      <c r="C734" s="18" t="s">
        <v>70</v>
      </c>
      <c r="D734" s="4">
        <v>1464</v>
      </c>
      <c r="E734" s="18">
        <f t="shared" si="10"/>
        <v>18484</v>
      </c>
    </row>
    <row r="735" customHeight="1" spans="1:5">
      <c r="A735" s="13">
        <v>45127</v>
      </c>
      <c r="B735" s="30">
        <v>3763028</v>
      </c>
      <c r="C735" s="18" t="s">
        <v>70</v>
      </c>
      <c r="D735" s="4">
        <v>2028</v>
      </c>
      <c r="E735" s="18">
        <f t="shared" si="10"/>
        <v>16456</v>
      </c>
    </row>
    <row r="736" customHeight="1" spans="1:5">
      <c r="A736" s="13">
        <v>45127</v>
      </c>
      <c r="B736" s="30">
        <v>5670526</v>
      </c>
      <c r="C736" s="18" t="s">
        <v>70</v>
      </c>
      <c r="D736" s="4">
        <v>2332</v>
      </c>
      <c r="E736" s="18">
        <f t="shared" si="10"/>
        <v>14124</v>
      </c>
    </row>
    <row r="737" customHeight="1" spans="1:6">
      <c r="A737" s="13">
        <v>45127</v>
      </c>
      <c r="B737" s="30">
        <v>6367146</v>
      </c>
      <c r="C737" s="18" t="s">
        <v>70</v>
      </c>
      <c r="D737" s="4">
        <v>1660</v>
      </c>
      <c r="E737" s="18">
        <f t="shared" si="10"/>
        <v>12464</v>
      </c>
    </row>
    <row r="738" customHeight="1" spans="1:6">
      <c r="A738" s="13">
        <v>45128</v>
      </c>
      <c r="B738" s="30" t="s">
        <v>1130</v>
      </c>
      <c r="C738" s="18" t="s">
        <v>70</v>
      </c>
      <c r="D738" s="4">
        <v>4016</v>
      </c>
      <c r="E738" s="18">
        <f t="shared" si="10"/>
        <v>8448</v>
      </c>
    </row>
    <row r="739" customHeight="1" spans="1:6">
      <c r="A739" s="13">
        <v>45177</v>
      </c>
      <c r="B739" s="30" t="s">
        <v>1046</v>
      </c>
      <c r="C739" s="18" t="s">
        <v>70</v>
      </c>
      <c r="D739" s="4">
        <v>1200</v>
      </c>
      <c r="E739" s="18">
        <f t="shared" si="10"/>
        <v>7248</v>
      </c>
    </row>
    <row r="740" customHeight="1" spans="1:6">
      <c r="A740" s="13">
        <v>45177</v>
      </c>
      <c r="B740" s="30" t="s">
        <v>1047</v>
      </c>
      <c r="C740" s="18" t="s">
        <v>70</v>
      </c>
      <c r="D740" s="4">
        <v>1200</v>
      </c>
      <c r="E740" s="18">
        <f t="shared" si="10"/>
        <v>6048</v>
      </c>
    </row>
    <row r="741" customHeight="1" spans="1:6">
      <c r="A741" s="13">
        <v>45177</v>
      </c>
      <c r="B741" s="30" t="s">
        <v>1048</v>
      </c>
      <c r="C741" s="18" t="s">
        <v>70</v>
      </c>
      <c r="D741" s="4">
        <v>360</v>
      </c>
      <c r="E741" s="18">
        <f t="shared" si="10"/>
        <v>5688</v>
      </c>
    </row>
    <row r="742" customHeight="1" spans="1:6">
      <c r="A742" s="13">
        <v>45177</v>
      </c>
      <c r="B742" s="30" t="s">
        <v>1131</v>
      </c>
      <c r="C742" s="18" t="s">
        <v>70</v>
      </c>
      <c r="D742" s="4">
        <v>240</v>
      </c>
      <c r="E742" s="18">
        <f t="shared" si="10"/>
        <v>5448</v>
      </c>
    </row>
    <row r="743" customHeight="1" spans="1:6">
      <c r="A743" s="13"/>
      <c r="B743" s="30"/>
      <c r="C743" s="18"/>
      <c r="D743" s="4"/>
      <c r="E743" s="18"/>
    </row>
    <row r="744" customHeight="1" spans="1:6">
      <c r="A744" s="15" t="s">
        <v>620</v>
      </c>
      <c r="B744" s="16"/>
      <c r="C744" s="16"/>
      <c r="D744" s="17"/>
      <c r="E744" s="40">
        <f>E742</f>
        <v>5448</v>
      </c>
    </row>
    <row r="745" customHeight="1" spans="1:6">
      <c r="E745" s="36"/>
    </row>
    <row r="746" customHeight="1" spans="1:6">
      <c r="A746" s="6" t="s">
        <v>904</v>
      </c>
      <c r="B746" s="7" t="s">
        <v>905</v>
      </c>
      <c r="C746" s="6" t="s">
        <v>906</v>
      </c>
      <c r="D746" s="8" t="s">
        <v>907</v>
      </c>
      <c r="E746" s="6" t="s">
        <v>908</v>
      </c>
    </row>
    <row r="747" customHeight="1" spans="1:6">
      <c r="A747" s="2" t="s">
        <v>1132</v>
      </c>
      <c r="B747" s="2">
        <v>300000</v>
      </c>
      <c r="C747" s="2">
        <f>331717+B747</f>
        <v>631717</v>
      </c>
      <c r="D747" s="2" t="s">
        <v>1133</v>
      </c>
      <c r="E747" s="41" t="s">
        <v>1134</v>
      </c>
      <c r="F747" s="42" t="s">
        <v>1135</v>
      </c>
    </row>
    <row r="748" customHeight="1" spans="1:6">
      <c r="A748" s="6" t="s">
        <v>910</v>
      </c>
      <c r="B748" s="7" t="s">
        <v>911</v>
      </c>
      <c r="C748" s="12" t="s">
        <v>904</v>
      </c>
      <c r="D748" s="12" t="s">
        <v>912</v>
      </c>
      <c r="E748" s="6" t="s">
        <v>913</v>
      </c>
    </row>
    <row r="749" customHeight="1" spans="1:6">
      <c r="A749" s="43">
        <v>44634</v>
      </c>
      <c r="B749" s="10">
        <v>835882</v>
      </c>
      <c r="C749" s="10">
        <v>11588</v>
      </c>
      <c r="D749" s="21">
        <v>900</v>
      </c>
      <c r="E749" s="2">
        <f>C747-D749</f>
        <v>630817</v>
      </c>
    </row>
    <row r="750" customHeight="1" spans="1:6">
      <c r="A750" s="43">
        <v>44638</v>
      </c>
      <c r="B750" s="10">
        <v>836021</v>
      </c>
      <c r="C750" s="10">
        <v>11588</v>
      </c>
      <c r="D750" s="21">
        <v>4182</v>
      </c>
      <c r="E750" s="2">
        <f t="shared" ref="E750:E774" si="11">E749-D750</f>
        <v>626635</v>
      </c>
    </row>
    <row r="751" customHeight="1" spans="1:6">
      <c r="A751" s="44">
        <v>44639</v>
      </c>
      <c r="B751" s="10" t="s">
        <v>1136</v>
      </c>
      <c r="C751" s="10">
        <v>11588</v>
      </c>
      <c r="D751" s="21">
        <v>8997</v>
      </c>
      <c r="E751" s="2">
        <f t="shared" si="11"/>
        <v>617638</v>
      </c>
    </row>
    <row r="752" customHeight="1" spans="1:6">
      <c r="A752" s="44">
        <v>44639</v>
      </c>
      <c r="B752" s="10" t="s">
        <v>1136</v>
      </c>
      <c r="C752" s="10">
        <v>11588</v>
      </c>
      <c r="D752" s="21">
        <v>1002</v>
      </c>
      <c r="E752" s="2">
        <f t="shared" si="11"/>
        <v>616636</v>
      </c>
    </row>
    <row r="753" customHeight="1" spans="1:5">
      <c r="A753" s="44">
        <v>44639</v>
      </c>
      <c r="B753" s="10" t="s">
        <v>1137</v>
      </c>
      <c r="C753" s="10">
        <v>11588</v>
      </c>
      <c r="D753" s="21">
        <v>3000</v>
      </c>
      <c r="E753" s="2">
        <f t="shared" si="11"/>
        <v>613636</v>
      </c>
    </row>
    <row r="754" customHeight="1" spans="1:5">
      <c r="A754" s="44">
        <v>44639</v>
      </c>
      <c r="B754" s="10" t="s">
        <v>1138</v>
      </c>
      <c r="C754" s="10">
        <v>11588</v>
      </c>
      <c r="D754" s="21">
        <v>1842</v>
      </c>
      <c r="E754" s="2">
        <f t="shared" si="11"/>
        <v>611794</v>
      </c>
    </row>
    <row r="755" customHeight="1" spans="1:5">
      <c r="A755" s="44">
        <v>44639</v>
      </c>
      <c r="B755" s="10" t="s">
        <v>1139</v>
      </c>
      <c r="C755" s="10">
        <v>11588</v>
      </c>
      <c r="D755" s="21">
        <v>21000</v>
      </c>
      <c r="E755" s="2">
        <f t="shared" si="11"/>
        <v>590794</v>
      </c>
    </row>
    <row r="756" customHeight="1" spans="1:5">
      <c r="A756" s="44">
        <v>44639</v>
      </c>
      <c r="B756" s="10" t="s">
        <v>1137</v>
      </c>
      <c r="C756" s="10">
        <v>11588</v>
      </c>
      <c r="D756" s="21">
        <v>12000</v>
      </c>
      <c r="E756" s="2">
        <f t="shared" si="11"/>
        <v>578794</v>
      </c>
    </row>
    <row r="757" customHeight="1" spans="1:5">
      <c r="A757" s="44">
        <v>44639</v>
      </c>
      <c r="B757" s="10" t="s">
        <v>1140</v>
      </c>
      <c r="C757" s="10">
        <v>11588</v>
      </c>
      <c r="D757" s="21">
        <v>3999</v>
      </c>
      <c r="E757" s="2">
        <f t="shared" si="11"/>
        <v>574795</v>
      </c>
    </row>
    <row r="758" customHeight="1" spans="1:5">
      <c r="A758" s="44">
        <v>44639</v>
      </c>
      <c r="B758" s="10" t="s">
        <v>1140</v>
      </c>
      <c r="C758" s="10">
        <v>11588</v>
      </c>
      <c r="D758" s="21">
        <v>1002</v>
      </c>
      <c r="E758" s="2">
        <f t="shared" si="11"/>
        <v>573793</v>
      </c>
    </row>
    <row r="759" customHeight="1" spans="1:5">
      <c r="A759" s="44">
        <v>44645</v>
      </c>
      <c r="B759" s="9" t="s">
        <v>1141</v>
      </c>
      <c r="C759" s="10">
        <v>11588</v>
      </c>
      <c r="D759" s="21">
        <v>12999</v>
      </c>
      <c r="E759" s="2">
        <f t="shared" si="11"/>
        <v>560794</v>
      </c>
    </row>
    <row r="760" customHeight="1" spans="1:5">
      <c r="A760" s="44">
        <v>44649</v>
      </c>
      <c r="B760" s="10" t="s">
        <v>1142</v>
      </c>
      <c r="C760" s="10" t="s">
        <v>156</v>
      </c>
      <c r="D760" s="21">
        <v>72</v>
      </c>
      <c r="E760" s="2">
        <f t="shared" si="11"/>
        <v>560722</v>
      </c>
    </row>
    <row r="761" customHeight="1" spans="1:5">
      <c r="A761" s="44">
        <v>44649</v>
      </c>
      <c r="B761" s="10" t="s">
        <v>1143</v>
      </c>
      <c r="C761" s="10" t="s">
        <v>156</v>
      </c>
      <c r="D761" s="21">
        <v>812</v>
      </c>
      <c r="E761" s="2">
        <f t="shared" si="11"/>
        <v>559910</v>
      </c>
    </row>
    <row r="762" customHeight="1" spans="1:5">
      <c r="A762" s="44">
        <v>44649</v>
      </c>
      <c r="B762" s="10">
        <v>160322</v>
      </c>
      <c r="C762" s="10" t="s">
        <v>158</v>
      </c>
      <c r="D762" s="21">
        <v>12500</v>
      </c>
      <c r="E762" s="2">
        <f t="shared" si="11"/>
        <v>547410</v>
      </c>
    </row>
    <row r="763" customHeight="1" spans="1:5">
      <c r="A763" s="44">
        <v>44649</v>
      </c>
      <c r="B763" s="10">
        <v>160322</v>
      </c>
      <c r="C763" s="10" t="s">
        <v>158</v>
      </c>
      <c r="D763" s="21">
        <v>500</v>
      </c>
      <c r="E763" s="2">
        <f t="shared" si="11"/>
        <v>546910</v>
      </c>
    </row>
    <row r="764" customHeight="1" spans="1:5">
      <c r="A764" s="44">
        <v>44651</v>
      </c>
      <c r="B764" s="10" t="s">
        <v>1144</v>
      </c>
      <c r="C764" s="10" t="s">
        <v>156</v>
      </c>
      <c r="D764" s="21">
        <v>2516</v>
      </c>
      <c r="E764" s="2">
        <f t="shared" si="11"/>
        <v>544394</v>
      </c>
    </row>
    <row r="765" customHeight="1" spans="1:5">
      <c r="A765" s="44">
        <v>44651</v>
      </c>
      <c r="B765" s="10" t="s">
        <v>1145</v>
      </c>
      <c r="C765" s="10" t="s">
        <v>156</v>
      </c>
      <c r="D765" s="21">
        <v>1376</v>
      </c>
      <c r="E765" s="2">
        <f t="shared" si="11"/>
        <v>543018</v>
      </c>
    </row>
    <row r="766" customHeight="1" spans="1:5">
      <c r="A766" s="44">
        <v>44651</v>
      </c>
      <c r="B766" s="10" t="s">
        <v>1146</v>
      </c>
      <c r="C766" s="10" t="s">
        <v>156</v>
      </c>
      <c r="D766" s="21">
        <v>1204</v>
      </c>
      <c r="E766" s="2">
        <f t="shared" si="11"/>
        <v>541814</v>
      </c>
    </row>
    <row r="767" customHeight="1" spans="1:5">
      <c r="A767" s="44">
        <v>44651</v>
      </c>
      <c r="B767" s="10" t="s">
        <v>1147</v>
      </c>
      <c r="C767" s="10" t="s">
        <v>156</v>
      </c>
      <c r="D767" s="21">
        <v>6104</v>
      </c>
      <c r="E767" s="2">
        <f t="shared" si="11"/>
        <v>535710</v>
      </c>
    </row>
    <row r="768" customHeight="1" spans="1:5">
      <c r="A768" s="44">
        <v>44669</v>
      </c>
      <c r="B768" s="10">
        <v>120422</v>
      </c>
      <c r="C768" s="10" t="s">
        <v>158</v>
      </c>
      <c r="D768" s="21">
        <v>8000</v>
      </c>
      <c r="E768" s="2">
        <f t="shared" si="11"/>
        <v>527710</v>
      </c>
    </row>
    <row r="769" customHeight="1" spans="1:6">
      <c r="A769" s="44">
        <v>44685</v>
      </c>
      <c r="B769" s="10">
        <v>2401571318</v>
      </c>
      <c r="C769" s="10" t="s">
        <v>158</v>
      </c>
      <c r="D769" s="21">
        <v>388</v>
      </c>
      <c r="E769" s="2">
        <f t="shared" si="11"/>
        <v>527322</v>
      </c>
    </row>
    <row r="770" customHeight="1" spans="1:6">
      <c r="A770" s="44">
        <v>44685</v>
      </c>
      <c r="B770" s="10">
        <v>3501571318</v>
      </c>
      <c r="C770" s="10" t="s">
        <v>158</v>
      </c>
      <c r="D770" s="21">
        <v>856</v>
      </c>
      <c r="E770" s="2">
        <f t="shared" si="11"/>
        <v>526466</v>
      </c>
    </row>
    <row r="771" customHeight="1" spans="1:6">
      <c r="A771" s="44">
        <v>44685</v>
      </c>
      <c r="B771" s="10">
        <v>3501571318</v>
      </c>
      <c r="C771" s="10" t="s">
        <v>158</v>
      </c>
      <c r="D771" s="21">
        <v>1344</v>
      </c>
      <c r="E771" s="2">
        <f t="shared" si="11"/>
        <v>525122</v>
      </c>
    </row>
    <row r="772" customHeight="1" spans="1:6">
      <c r="A772" s="44">
        <v>44685</v>
      </c>
      <c r="B772" s="10">
        <v>3501571326</v>
      </c>
      <c r="C772" s="10" t="s">
        <v>158</v>
      </c>
      <c r="D772" s="21">
        <v>1464</v>
      </c>
      <c r="E772" s="2">
        <f t="shared" si="11"/>
        <v>523658</v>
      </c>
    </row>
    <row r="773" customHeight="1" spans="1:6">
      <c r="A773" s="44">
        <v>44685</v>
      </c>
      <c r="B773" s="10">
        <v>2401571326</v>
      </c>
      <c r="C773" s="10" t="s">
        <v>158</v>
      </c>
      <c r="D773" s="21">
        <v>260</v>
      </c>
      <c r="E773" s="2">
        <f t="shared" si="11"/>
        <v>523398</v>
      </c>
    </row>
    <row r="774" customHeight="1" spans="1:6">
      <c r="A774" s="44">
        <v>44694</v>
      </c>
      <c r="B774" s="10" t="s">
        <v>1148</v>
      </c>
      <c r="C774" s="10" t="s">
        <v>156</v>
      </c>
      <c r="D774" s="21">
        <v>500</v>
      </c>
      <c r="E774" s="2">
        <f t="shared" si="11"/>
        <v>522898</v>
      </c>
    </row>
    <row r="775" s="1" customFormat="1" customHeight="1" spans="1:6">
      <c r="A775" s="6" t="s">
        <v>904</v>
      </c>
      <c r="B775" s="7" t="s">
        <v>905</v>
      </c>
      <c r="C775" s="6" t="s">
        <v>906</v>
      </c>
      <c r="D775" s="8" t="s">
        <v>907</v>
      </c>
      <c r="E775" s="6" t="s">
        <v>908</v>
      </c>
    </row>
    <row r="776" s="1" customFormat="1" customHeight="1" spans="1:6">
      <c r="A776" s="1" t="s">
        <v>1132</v>
      </c>
      <c r="C776" s="1">
        <f>E774</f>
        <v>522898</v>
      </c>
      <c r="E776" s="45"/>
      <c r="F776" s="42" t="s">
        <v>1149</v>
      </c>
    </row>
    <row r="777" customHeight="1" spans="1:6">
      <c r="A777" s="6" t="s">
        <v>910</v>
      </c>
      <c r="B777" s="7" t="s">
        <v>911</v>
      </c>
      <c r="C777" s="12" t="s">
        <v>904</v>
      </c>
      <c r="D777" s="12" t="s">
        <v>912</v>
      </c>
      <c r="E777" s="6" t="s">
        <v>913</v>
      </c>
    </row>
    <row r="778" customHeight="1" spans="1:6">
      <c r="A778" s="46">
        <v>44966</v>
      </c>
      <c r="B778" s="14" t="s">
        <v>1150</v>
      </c>
      <c r="C778" s="18">
        <v>11588</v>
      </c>
      <c r="D778" s="31">
        <v>1500</v>
      </c>
      <c r="E778" s="2">
        <f>C776-D778</f>
        <v>521398</v>
      </c>
    </row>
    <row r="779" customHeight="1" spans="1:6">
      <c r="A779" s="46">
        <v>44966</v>
      </c>
      <c r="B779" s="14" t="s">
        <v>1150</v>
      </c>
      <c r="C779" s="18">
        <v>11588</v>
      </c>
      <c r="D779" s="31">
        <v>1500</v>
      </c>
      <c r="E779" s="2">
        <f>E778-D779</f>
        <v>519898</v>
      </c>
    </row>
    <row r="781" customHeight="1" spans="1:6">
      <c r="A781" s="6" t="s">
        <v>904</v>
      </c>
      <c r="B781" s="7" t="s">
        <v>905</v>
      </c>
      <c r="C781" s="6" t="s">
        <v>906</v>
      </c>
      <c r="D781" s="8" t="s">
        <v>907</v>
      </c>
      <c r="E781" s="6" t="s">
        <v>908</v>
      </c>
      <c r="F781" s="1"/>
    </row>
    <row r="782" customHeight="1" spans="1:6">
      <c r="A782" s="47" t="s">
        <v>903</v>
      </c>
      <c r="B782" s="47">
        <v>25000</v>
      </c>
      <c r="C782" s="47">
        <f>68019+B782</f>
        <v>93019</v>
      </c>
      <c r="D782" s="47" t="s">
        <v>1151</v>
      </c>
      <c r="E782" s="48"/>
      <c r="F782" s="42" t="s">
        <v>1135</v>
      </c>
    </row>
    <row r="783" customHeight="1" spans="1:6">
      <c r="A783" s="6" t="s">
        <v>910</v>
      </c>
      <c r="B783" s="7" t="s">
        <v>911</v>
      </c>
      <c r="C783" s="12" t="s">
        <v>904</v>
      </c>
      <c r="D783" s="12" t="s">
        <v>912</v>
      </c>
      <c r="E783" s="6" t="s">
        <v>913</v>
      </c>
      <c r="F783" s="1"/>
    </row>
    <row r="784" customHeight="1" spans="1:6">
      <c r="A784" s="44">
        <v>44544</v>
      </c>
      <c r="B784" s="373" t="s">
        <v>1152</v>
      </c>
      <c r="C784" s="10" t="s">
        <v>159</v>
      </c>
      <c r="D784" s="21">
        <v>3000</v>
      </c>
      <c r="E784" s="49">
        <f>C782-D784</f>
        <v>90019</v>
      </c>
      <c r="F784" s="50"/>
    </row>
    <row r="785" customHeight="1" spans="1:7">
      <c r="A785" s="44">
        <v>44625</v>
      </c>
      <c r="B785" s="10" t="s">
        <v>1153</v>
      </c>
      <c r="C785" s="10" t="s">
        <v>161</v>
      </c>
      <c r="D785" s="21">
        <v>3162</v>
      </c>
      <c r="E785" s="49">
        <f>E784-D785</f>
        <v>86857</v>
      </c>
      <c r="F785" s="50"/>
    </row>
    <row r="786" customHeight="1" spans="1:7">
      <c r="A786" s="44"/>
      <c r="B786" s="10"/>
      <c r="C786" s="10"/>
      <c r="D786" s="21"/>
      <c r="E786" s="49"/>
      <c r="F786" s="50"/>
    </row>
    <row r="787" customHeight="1" spans="1:7">
      <c r="A787" s="44"/>
      <c r="B787" s="10"/>
      <c r="C787" s="10"/>
      <c r="D787" s="21"/>
      <c r="E787" s="49"/>
      <c r="F787" s="50"/>
    </row>
    <row r="788" customHeight="1" spans="1:7">
      <c r="A788" s="44"/>
      <c r="B788" s="10"/>
      <c r="C788" s="10"/>
      <c r="D788" s="21"/>
      <c r="E788" s="49"/>
      <c r="F788" s="50"/>
    </row>
    <row r="789" customHeight="1" spans="1:7">
      <c r="A789" s="15" t="s">
        <v>620</v>
      </c>
      <c r="B789" s="16"/>
      <c r="C789" s="16"/>
      <c r="D789" s="17"/>
      <c r="E789" s="40">
        <f>E785</f>
        <v>86857</v>
      </c>
      <c r="F789" s="50"/>
    </row>
    <row r="790" s="1" customFormat="1" customHeight="1" spans="1:7">
      <c r="A790" s="6" t="s">
        <v>904</v>
      </c>
      <c r="B790" s="7" t="s">
        <v>905</v>
      </c>
      <c r="C790" s="6" t="s">
        <v>906</v>
      </c>
      <c r="D790" s="8" t="s">
        <v>907</v>
      </c>
      <c r="E790" s="6" t="s">
        <v>908</v>
      </c>
    </row>
    <row r="791" s="1" customFormat="1" customHeight="1" spans="1:7">
      <c r="A791" s="18" t="s">
        <v>903</v>
      </c>
      <c r="B791" s="18"/>
      <c r="C791" s="18">
        <f>E785</f>
        <v>86857</v>
      </c>
      <c r="D791" s="18"/>
      <c r="E791" s="14"/>
      <c r="F791" s="42" t="s">
        <v>1149</v>
      </c>
    </row>
    <row r="792" s="1" customFormat="1" customHeight="1" spans="1:7">
      <c r="A792" s="6" t="s">
        <v>910</v>
      </c>
      <c r="B792" s="7" t="s">
        <v>911</v>
      </c>
      <c r="C792" s="12" t="s">
        <v>904</v>
      </c>
      <c r="D792" s="12" t="s">
        <v>912</v>
      </c>
      <c r="E792" s="6" t="s">
        <v>913</v>
      </c>
    </row>
    <row r="793" s="1" customFormat="1" customHeight="1" spans="1:7">
      <c r="A793" s="18"/>
      <c r="B793" s="18"/>
      <c r="C793" s="18"/>
      <c r="D793" s="18"/>
      <c r="E793" s="14">
        <f>C791</f>
        <v>86857</v>
      </c>
    </row>
    <row r="794" s="1" customFormat="1" customHeight="1" spans="1:7">
      <c r="A794" s="18"/>
      <c r="B794" s="18"/>
      <c r="C794" s="18"/>
      <c r="D794" s="18"/>
      <c r="E794" s="14"/>
    </row>
    <row r="795" s="1" customFormat="1" customHeight="1" spans="1:7">
      <c r="A795" s="18"/>
      <c r="B795" s="18"/>
      <c r="C795" s="18"/>
      <c r="D795" s="18"/>
      <c r="E795" s="14"/>
    </row>
    <row r="796" customHeight="1" spans="1:7">
      <c r="A796" s="15" t="s">
        <v>620</v>
      </c>
      <c r="B796" s="16"/>
      <c r="C796" s="16"/>
      <c r="D796" s="17"/>
      <c r="E796" s="40">
        <f>E793</f>
        <v>86857</v>
      </c>
    </row>
    <row r="797" customHeight="1" spans="1:7">
      <c r="A797" s="6" t="s">
        <v>904</v>
      </c>
      <c r="B797" s="7" t="s">
        <v>905</v>
      </c>
      <c r="C797" s="6" t="s">
        <v>906</v>
      </c>
      <c r="D797" s="8" t="s">
        <v>907</v>
      </c>
      <c r="E797" s="6" t="s">
        <v>908</v>
      </c>
      <c r="F797" s="1"/>
      <c r="G797" s="1"/>
    </row>
    <row r="798" customHeight="1" spans="1:7">
      <c r="A798" s="47" t="s">
        <v>181</v>
      </c>
      <c r="B798" s="49">
        <v>21000</v>
      </c>
      <c r="C798" s="49">
        <f>101001+B798</f>
        <v>122001</v>
      </c>
      <c r="D798" s="49" t="s">
        <v>1154</v>
      </c>
      <c r="E798" s="49"/>
      <c r="F798" s="51" t="s">
        <v>1135</v>
      </c>
      <c r="G798" s="49" t="s">
        <v>1155</v>
      </c>
    </row>
    <row r="799" customHeight="1" spans="1:7">
      <c r="A799" s="6" t="s">
        <v>910</v>
      </c>
      <c r="B799" s="7" t="s">
        <v>911</v>
      </c>
      <c r="C799" s="12" t="s">
        <v>904</v>
      </c>
      <c r="D799" s="12" t="s">
        <v>912</v>
      </c>
      <c r="E799" s="6" t="s">
        <v>913</v>
      </c>
      <c r="F799" s="1"/>
      <c r="G799" s="1"/>
    </row>
    <row r="800" customHeight="1" spans="1:7">
      <c r="A800" s="44">
        <v>44574</v>
      </c>
      <c r="B800" s="10">
        <v>3123238</v>
      </c>
      <c r="C800" s="10" t="s">
        <v>181</v>
      </c>
      <c r="D800" s="21">
        <v>999</v>
      </c>
      <c r="E800" s="49">
        <f>C798-D800</f>
        <v>121002</v>
      </c>
      <c r="F800" s="50"/>
    </row>
    <row r="801" customHeight="1" spans="1:6">
      <c r="A801" s="44">
        <v>44574</v>
      </c>
      <c r="B801" s="10">
        <v>7296283</v>
      </c>
      <c r="C801" s="10" t="s">
        <v>181</v>
      </c>
      <c r="D801" s="21">
        <v>999</v>
      </c>
      <c r="E801" s="49">
        <f t="shared" ref="E801:E815" si="12">E800-D801</f>
        <v>120003</v>
      </c>
      <c r="F801" s="50"/>
    </row>
    <row r="802" customHeight="1" spans="1:6">
      <c r="A802" s="44">
        <v>44604</v>
      </c>
      <c r="B802" s="10">
        <v>92000313</v>
      </c>
      <c r="C802" s="10" t="s">
        <v>181</v>
      </c>
      <c r="D802" s="21">
        <v>3000</v>
      </c>
      <c r="E802" s="49">
        <f t="shared" si="12"/>
        <v>117003</v>
      </c>
      <c r="F802" s="50"/>
    </row>
    <row r="803" customHeight="1" spans="1:6">
      <c r="A803" s="44">
        <v>44625</v>
      </c>
      <c r="B803" s="10" t="s">
        <v>1156</v>
      </c>
      <c r="C803" s="10" t="s">
        <v>181</v>
      </c>
      <c r="D803" s="21">
        <v>129</v>
      </c>
      <c r="E803" s="49">
        <f t="shared" si="12"/>
        <v>116874</v>
      </c>
      <c r="F803" s="50"/>
    </row>
    <row r="804" customHeight="1" spans="1:6">
      <c r="A804" s="44">
        <v>44625</v>
      </c>
      <c r="B804" s="10" t="s">
        <v>1157</v>
      </c>
      <c r="C804" s="10" t="s">
        <v>181</v>
      </c>
      <c r="D804" s="21">
        <v>1374</v>
      </c>
      <c r="E804" s="49">
        <f t="shared" si="12"/>
        <v>115500</v>
      </c>
      <c r="F804" s="50"/>
    </row>
    <row r="805" customHeight="1" spans="1:6">
      <c r="A805" s="44">
        <v>44625</v>
      </c>
      <c r="B805" s="10" t="s">
        <v>1158</v>
      </c>
      <c r="C805" s="10" t="s">
        <v>181</v>
      </c>
      <c r="D805" s="21">
        <v>3660</v>
      </c>
      <c r="E805" s="49">
        <f t="shared" si="12"/>
        <v>111840</v>
      </c>
      <c r="F805" s="50"/>
    </row>
    <row r="806" customHeight="1" spans="1:6">
      <c r="A806" s="44">
        <v>44625</v>
      </c>
      <c r="B806" s="10" t="s">
        <v>1159</v>
      </c>
      <c r="C806" s="10" t="s">
        <v>181</v>
      </c>
      <c r="D806" s="21">
        <v>1071</v>
      </c>
      <c r="E806" s="49">
        <f t="shared" si="12"/>
        <v>110769</v>
      </c>
      <c r="F806" s="50"/>
    </row>
    <row r="807" customHeight="1" spans="1:6">
      <c r="A807" s="44">
        <v>44625</v>
      </c>
      <c r="B807" s="10" t="s">
        <v>1160</v>
      </c>
      <c r="C807" s="10" t="s">
        <v>181</v>
      </c>
      <c r="D807" s="21">
        <v>1605</v>
      </c>
      <c r="E807" s="49">
        <f t="shared" si="12"/>
        <v>109164</v>
      </c>
      <c r="F807" s="50"/>
    </row>
    <row r="808" customHeight="1" spans="1:6">
      <c r="A808" s="44">
        <v>44574</v>
      </c>
      <c r="B808" s="10">
        <v>8823533</v>
      </c>
      <c r="C808" s="10" t="s">
        <v>181</v>
      </c>
      <c r="D808" s="21">
        <v>1299</v>
      </c>
      <c r="E808" s="49">
        <f t="shared" si="12"/>
        <v>107865</v>
      </c>
      <c r="F808" s="50"/>
    </row>
    <row r="809" customHeight="1" spans="1:6">
      <c r="A809" s="44">
        <v>44694</v>
      </c>
      <c r="B809" s="10">
        <v>92000433</v>
      </c>
      <c r="C809" s="10" t="s">
        <v>181</v>
      </c>
      <c r="D809" s="21">
        <v>2001</v>
      </c>
      <c r="E809" s="49">
        <f t="shared" si="12"/>
        <v>105864</v>
      </c>
      <c r="F809" s="50"/>
    </row>
    <row r="810" customHeight="1" spans="1:6">
      <c r="A810" s="44">
        <v>44694</v>
      </c>
      <c r="B810" s="10">
        <v>92000431</v>
      </c>
      <c r="C810" s="10" t="s">
        <v>181</v>
      </c>
      <c r="D810" s="21">
        <v>2001</v>
      </c>
      <c r="E810" s="49">
        <f t="shared" si="12"/>
        <v>103863</v>
      </c>
      <c r="F810" s="50"/>
    </row>
    <row r="811" customHeight="1" spans="1:6">
      <c r="A811" s="44">
        <v>44753</v>
      </c>
      <c r="B811" s="10" t="s">
        <v>1161</v>
      </c>
      <c r="C811" s="10" t="s">
        <v>181</v>
      </c>
      <c r="D811" s="21">
        <v>3000</v>
      </c>
      <c r="E811" s="49">
        <f t="shared" si="12"/>
        <v>100863</v>
      </c>
      <c r="F811" s="50"/>
    </row>
    <row r="812" customHeight="1" spans="1:6">
      <c r="A812" s="44">
        <v>44858</v>
      </c>
      <c r="B812" s="10" t="s">
        <v>1162</v>
      </c>
      <c r="C812" s="10" t="s">
        <v>181</v>
      </c>
      <c r="D812" s="21">
        <v>1200</v>
      </c>
      <c r="E812" s="49">
        <f t="shared" si="12"/>
        <v>99663</v>
      </c>
      <c r="F812" s="50"/>
    </row>
    <row r="813" customHeight="1" spans="1:6">
      <c r="A813" s="44">
        <v>44909</v>
      </c>
      <c r="B813" s="10" t="s">
        <v>1163</v>
      </c>
      <c r="C813" s="10" t="s">
        <v>181</v>
      </c>
      <c r="D813" s="21">
        <v>3000</v>
      </c>
      <c r="E813" s="49">
        <f t="shared" si="12"/>
        <v>96663</v>
      </c>
      <c r="F813" s="50"/>
    </row>
    <row r="814" customHeight="1" spans="1:6">
      <c r="A814" s="44">
        <v>44995</v>
      </c>
      <c r="B814" s="10" t="s">
        <v>1164</v>
      </c>
      <c r="C814" s="10" t="s">
        <v>181</v>
      </c>
      <c r="D814" s="21">
        <v>3000</v>
      </c>
      <c r="E814" s="49">
        <f t="shared" si="12"/>
        <v>93663</v>
      </c>
      <c r="F814" s="50"/>
    </row>
    <row r="815" customHeight="1" spans="1:6">
      <c r="A815" s="44">
        <v>44995</v>
      </c>
      <c r="B815" s="10" t="s">
        <v>1165</v>
      </c>
      <c r="C815" s="10" t="s">
        <v>181</v>
      </c>
      <c r="D815" s="4">
        <v>600</v>
      </c>
      <c r="E815" s="49">
        <f t="shared" si="12"/>
        <v>93063</v>
      </c>
    </row>
    <row r="816" customHeight="1" spans="1:6">
      <c r="A816" s="44"/>
      <c r="B816" s="10"/>
      <c r="C816" s="10"/>
      <c r="D816" s="4"/>
      <c r="E816" s="49"/>
    </row>
    <row r="817" customHeight="1" spans="1:6">
      <c r="A817" s="44"/>
      <c r="B817" s="10"/>
      <c r="C817" s="10"/>
      <c r="D817" s="4"/>
      <c r="E817" s="49"/>
    </row>
    <row r="818" customHeight="1" spans="1:6">
      <c r="A818" s="44"/>
      <c r="B818" s="10"/>
      <c r="C818" s="10"/>
      <c r="D818" s="4"/>
      <c r="E818" s="49"/>
    </row>
    <row r="819" customHeight="1" spans="1:6">
      <c r="A819" s="44"/>
      <c r="B819" s="10"/>
      <c r="C819" s="10"/>
      <c r="D819" s="4"/>
      <c r="E819" s="49"/>
    </row>
    <row r="820" customHeight="1" spans="1:6">
      <c r="A820" s="44"/>
      <c r="B820" s="10"/>
      <c r="C820" s="10"/>
      <c r="D820" s="4"/>
      <c r="E820" s="49"/>
    </row>
    <row r="821" customHeight="1" spans="1:6">
      <c r="A821" s="15" t="s">
        <v>620</v>
      </c>
      <c r="B821" s="16"/>
      <c r="C821" s="16"/>
      <c r="D821" s="17"/>
      <c r="E821" s="40">
        <f>E815</f>
        <v>93063</v>
      </c>
      <c r="F821" s="1"/>
    </row>
    <row r="822" customHeight="1" spans="1:6">
      <c r="A822" s="6" t="s">
        <v>904</v>
      </c>
      <c r="B822" s="7" t="s">
        <v>905</v>
      </c>
      <c r="C822" s="6" t="s">
        <v>906</v>
      </c>
      <c r="D822" s="8" t="s">
        <v>907</v>
      </c>
      <c r="E822" s="6" t="s">
        <v>908</v>
      </c>
      <c r="F822" s="50"/>
    </row>
    <row r="823" customHeight="1" spans="1:6">
      <c r="A823" s="52" t="s">
        <v>1166</v>
      </c>
      <c r="B823" s="52">
        <v>42000</v>
      </c>
      <c r="C823" s="53">
        <f>90089+B823</f>
        <v>132089</v>
      </c>
      <c r="D823" s="52" t="s">
        <v>1167</v>
      </c>
      <c r="E823" s="54"/>
      <c r="F823" s="55" t="s">
        <v>1135</v>
      </c>
    </row>
    <row r="824" customHeight="1" spans="1:6">
      <c r="A824" s="6" t="s">
        <v>910</v>
      </c>
      <c r="B824" s="7" t="s">
        <v>911</v>
      </c>
      <c r="C824" s="12" t="s">
        <v>904</v>
      </c>
      <c r="D824" s="12" t="s">
        <v>912</v>
      </c>
      <c r="E824" s="6" t="s">
        <v>913</v>
      </c>
      <c r="F824" s="1"/>
    </row>
    <row r="825" customHeight="1" spans="1:6">
      <c r="A825" s="43">
        <v>44483</v>
      </c>
      <c r="B825" s="10" t="s">
        <v>1168</v>
      </c>
      <c r="C825" s="10">
        <v>97759</v>
      </c>
      <c r="D825" s="21">
        <v>366</v>
      </c>
      <c r="E825" s="49">
        <f>C823-D825</f>
        <v>131723</v>
      </c>
      <c r="F825" s="50"/>
    </row>
    <row r="826" customHeight="1" spans="1:6">
      <c r="A826" s="43">
        <v>44604</v>
      </c>
      <c r="B826" s="10">
        <v>92000313</v>
      </c>
      <c r="C826" s="10">
        <v>97759</v>
      </c>
      <c r="D826" s="21">
        <v>3000</v>
      </c>
      <c r="E826" s="49">
        <f t="shared" ref="E826:E859" si="13">E825-D826</f>
        <v>128723</v>
      </c>
      <c r="F826" s="50"/>
    </row>
    <row r="827" customHeight="1" spans="1:6">
      <c r="A827" s="43">
        <v>44616</v>
      </c>
      <c r="B827" s="10">
        <v>21000415</v>
      </c>
      <c r="C827" s="10">
        <v>97759</v>
      </c>
      <c r="D827" s="21">
        <v>501</v>
      </c>
      <c r="E827" s="49">
        <f t="shared" si="13"/>
        <v>128222</v>
      </c>
      <c r="F827" s="50"/>
    </row>
    <row r="828" customHeight="1" spans="1:6">
      <c r="A828" s="43">
        <v>44624</v>
      </c>
      <c r="B828" s="10" t="s">
        <v>1169</v>
      </c>
      <c r="C828" s="10">
        <v>97759</v>
      </c>
      <c r="D828" s="21">
        <v>900</v>
      </c>
      <c r="E828" s="49">
        <f t="shared" si="13"/>
        <v>127322</v>
      </c>
      <c r="F828" s="50"/>
    </row>
    <row r="829" customHeight="1" spans="1:6">
      <c r="A829" s="43">
        <v>44624</v>
      </c>
      <c r="B829" s="10" t="s">
        <v>1170</v>
      </c>
      <c r="C829" s="10">
        <v>97759</v>
      </c>
      <c r="D829" s="21">
        <v>342</v>
      </c>
      <c r="E829" s="49">
        <f t="shared" si="13"/>
        <v>126980</v>
      </c>
      <c r="F829" s="50"/>
    </row>
    <row r="830" customHeight="1" spans="1:6">
      <c r="A830" s="43">
        <v>44624</v>
      </c>
      <c r="B830" s="10" t="s">
        <v>1171</v>
      </c>
      <c r="C830" s="10">
        <v>97759</v>
      </c>
      <c r="D830" s="21">
        <v>465</v>
      </c>
      <c r="E830" s="49">
        <f t="shared" si="13"/>
        <v>126515</v>
      </c>
      <c r="F830" s="50"/>
    </row>
    <row r="831" customHeight="1" spans="1:6">
      <c r="A831" s="43">
        <v>44624</v>
      </c>
      <c r="B831" s="10" t="s">
        <v>1172</v>
      </c>
      <c r="C831" s="10">
        <v>97759</v>
      </c>
      <c r="D831" s="21">
        <v>2922</v>
      </c>
      <c r="E831" s="49">
        <f t="shared" si="13"/>
        <v>123593</v>
      </c>
      <c r="F831" s="50"/>
    </row>
    <row r="832" customHeight="1" spans="1:6">
      <c r="A832" s="43">
        <v>44624</v>
      </c>
      <c r="B832" s="10" t="s">
        <v>1173</v>
      </c>
      <c r="C832" s="10">
        <v>97759</v>
      </c>
      <c r="D832" s="21">
        <v>2829</v>
      </c>
      <c r="E832" s="49">
        <f t="shared" si="13"/>
        <v>120764</v>
      </c>
      <c r="F832" s="50"/>
    </row>
    <row r="833" customHeight="1" spans="1:6">
      <c r="A833" s="43">
        <v>44627</v>
      </c>
      <c r="B833" s="10" t="s">
        <v>1174</v>
      </c>
      <c r="C833" s="10">
        <v>97759</v>
      </c>
      <c r="D833" s="21">
        <v>1572</v>
      </c>
      <c r="E833" s="49">
        <f t="shared" si="13"/>
        <v>119192</v>
      </c>
      <c r="F833" s="50"/>
    </row>
    <row r="834" customHeight="1" spans="1:6">
      <c r="A834" s="43">
        <v>44627</v>
      </c>
      <c r="B834" s="10" t="s">
        <v>1175</v>
      </c>
      <c r="C834" s="10">
        <v>97759</v>
      </c>
      <c r="D834" s="21">
        <v>5490</v>
      </c>
      <c r="E834" s="49">
        <f t="shared" si="13"/>
        <v>113702</v>
      </c>
      <c r="F834" s="50"/>
    </row>
    <row r="835" customHeight="1" spans="1:6">
      <c r="A835" s="43">
        <v>44627</v>
      </c>
      <c r="B835" s="10" t="s">
        <v>1175</v>
      </c>
      <c r="C835" s="10">
        <v>97759</v>
      </c>
      <c r="D835" s="21">
        <v>1281</v>
      </c>
      <c r="E835" s="49">
        <f t="shared" si="13"/>
        <v>112421</v>
      </c>
      <c r="F835" s="50"/>
    </row>
    <row r="836" customHeight="1" spans="1:6">
      <c r="A836" s="43">
        <v>44627</v>
      </c>
      <c r="B836" s="10" t="s">
        <v>1176</v>
      </c>
      <c r="C836" s="10">
        <v>97759</v>
      </c>
      <c r="D836" s="21">
        <v>1254</v>
      </c>
      <c r="E836" s="49">
        <f t="shared" si="13"/>
        <v>111167</v>
      </c>
      <c r="F836" s="50"/>
    </row>
    <row r="837" customHeight="1" spans="1:6">
      <c r="A837" s="43">
        <v>44629</v>
      </c>
      <c r="B837" s="10">
        <v>92000382</v>
      </c>
      <c r="C837" s="10">
        <v>97759</v>
      </c>
      <c r="D837" s="21">
        <v>4002</v>
      </c>
      <c r="E837" s="49">
        <f t="shared" si="13"/>
        <v>107165</v>
      </c>
      <c r="F837" s="50"/>
    </row>
    <row r="838" customHeight="1" spans="1:6">
      <c r="A838" s="43">
        <v>44660</v>
      </c>
      <c r="B838" s="10" t="s">
        <v>1177</v>
      </c>
      <c r="C838" s="10">
        <v>97759</v>
      </c>
      <c r="D838" s="21">
        <v>318</v>
      </c>
      <c r="E838" s="49">
        <f t="shared" si="13"/>
        <v>106847</v>
      </c>
      <c r="F838" s="50"/>
    </row>
    <row r="839" customHeight="1" spans="1:6">
      <c r="A839" s="43">
        <v>44660</v>
      </c>
      <c r="B839" s="10" t="s">
        <v>1178</v>
      </c>
      <c r="C839" s="10">
        <v>97759</v>
      </c>
      <c r="D839" s="21">
        <v>1548</v>
      </c>
      <c r="E839" s="49">
        <f t="shared" si="13"/>
        <v>105299</v>
      </c>
      <c r="F839" s="50"/>
    </row>
    <row r="840" customHeight="1" spans="1:6">
      <c r="A840" s="43">
        <v>44673</v>
      </c>
      <c r="B840" s="10">
        <v>92000433</v>
      </c>
      <c r="C840" s="10">
        <v>97759</v>
      </c>
      <c r="D840" s="21">
        <v>4002</v>
      </c>
      <c r="E840" s="49">
        <f t="shared" si="13"/>
        <v>101297</v>
      </c>
      <c r="F840" s="50"/>
    </row>
    <row r="841" customHeight="1" spans="1:6">
      <c r="A841" s="43">
        <v>44673</v>
      </c>
      <c r="B841" s="10">
        <v>92000431</v>
      </c>
      <c r="C841" s="10">
        <v>97759</v>
      </c>
      <c r="D841" s="21">
        <v>4500</v>
      </c>
      <c r="E841" s="49">
        <f t="shared" si="13"/>
        <v>96797</v>
      </c>
      <c r="F841" s="50"/>
    </row>
    <row r="842" customHeight="1" spans="1:6">
      <c r="A842" s="43">
        <v>44688</v>
      </c>
      <c r="B842" s="10" t="s">
        <v>1179</v>
      </c>
      <c r="C842" s="10" t="s">
        <v>178</v>
      </c>
      <c r="D842" s="49">
        <v>720</v>
      </c>
      <c r="E842" s="49">
        <f t="shared" si="13"/>
        <v>96077</v>
      </c>
      <c r="F842" s="50"/>
    </row>
    <row r="843" customHeight="1" spans="1:6">
      <c r="A843" s="44">
        <v>44692</v>
      </c>
      <c r="B843" s="10">
        <v>3501569496</v>
      </c>
      <c r="C843" s="10" t="s">
        <v>178</v>
      </c>
      <c r="D843" s="49">
        <v>240</v>
      </c>
      <c r="E843" s="49">
        <f t="shared" si="13"/>
        <v>95837</v>
      </c>
      <c r="F843" s="50"/>
    </row>
    <row r="844" customHeight="1" spans="1:6">
      <c r="A844" s="44">
        <v>44692</v>
      </c>
      <c r="B844" s="10">
        <v>2401569496</v>
      </c>
      <c r="C844" s="10" t="s">
        <v>178</v>
      </c>
      <c r="D844" s="49">
        <v>60</v>
      </c>
      <c r="E844" s="49">
        <f t="shared" si="13"/>
        <v>95777</v>
      </c>
      <c r="F844" s="50"/>
    </row>
    <row r="845" customHeight="1" spans="1:6">
      <c r="A845" s="44">
        <v>44697</v>
      </c>
      <c r="B845" s="10" t="s">
        <v>984</v>
      </c>
      <c r="C845" s="10">
        <v>97759</v>
      </c>
      <c r="D845" s="21">
        <v>456</v>
      </c>
      <c r="E845" s="49">
        <f t="shared" si="13"/>
        <v>95321</v>
      </c>
      <c r="F845" s="50"/>
    </row>
    <row r="846" customHeight="1" spans="1:6">
      <c r="A846" s="44">
        <v>44697</v>
      </c>
      <c r="B846" s="10">
        <v>3501569607</v>
      </c>
      <c r="C846" s="10" t="s">
        <v>178</v>
      </c>
      <c r="D846" s="49">
        <v>240</v>
      </c>
      <c r="E846" s="49">
        <f t="shared" si="13"/>
        <v>95081</v>
      </c>
      <c r="F846" s="50"/>
    </row>
    <row r="847" customHeight="1" spans="1:6">
      <c r="A847" s="44">
        <v>44697</v>
      </c>
      <c r="B847" s="10">
        <v>2401569593</v>
      </c>
      <c r="C847" s="10" t="s">
        <v>178</v>
      </c>
      <c r="D847" s="49">
        <v>60</v>
      </c>
      <c r="E847" s="49">
        <f t="shared" si="13"/>
        <v>95021</v>
      </c>
      <c r="F847" s="50"/>
    </row>
    <row r="848" customHeight="1" spans="1:6">
      <c r="A848" s="44">
        <v>44697</v>
      </c>
      <c r="B848" s="10">
        <v>3501569593</v>
      </c>
      <c r="C848" s="10" t="s">
        <v>178</v>
      </c>
      <c r="D848" s="49">
        <v>240</v>
      </c>
      <c r="E848" s="49">
        <f t="shared" si="13"/>
        <v>94781</v>
      </c>
      <c r="F848" s="50"/>
    </row>
    <row r="849" customHeight="1" spans="1:6">
      <c r="A849" s="44">
        <v>44697</v>
      </c>
      <c r="B849" s="10">
        <v>2401569607</v>
      </c>
      <c r="C849" s="10" t="s">
        <v>178</v>
      </c>
      <c r="D849" s="49">
        <v>60</v>
      </c>
      <c r="E849" s="49">
        <f t="shared" si="13"/>
        <v>94721</v>
      </c>
      <c r="F849" s="50"/>
    </row>
    <row r="850" customHeight="1" spans="1:6">
      <c r="A850" s="44">
        <v>44705</v>
      </c>
      <c r="B850" s="10" t="s">
        <v>1180</v>
      </c>
      <c r="C850" s="10">
        <v>97759</v>
      </c>
      <c r="D850" s="21">
        <v>501</v>
      </c>
      <c r="E850" s="49">
        <f t="shared" si="13"/>
        <v>94220</v>
      </c>
      <c r="F850" s="50"/>
    </row>
    <row r="851" customHeight="1" spans="1:6">
      <c r="A851" s="44">
        <v>44714</v>
      </c>
      <c r="B851" s="10" t="s">
        <v>1181</v>
      </c>
      <c r="C851" s="10">
        <v>97759</v>
      </c>
      <c r="D851" s="21">
        <v>600</v>
      </c>
      <c r="E851" s="49">
        <f t="shared" si="13"/>
        <v>93620</v>
      </c>
      <c r="F851" s="50"/>
    </row>
    <row r="852" customHeight="1" spans="1:6">
      <c r="A852" s="44">
        <v>44718</v>
      </c>
      <c r="B852" s="10" t="s">
        <v>1182</v>
      </c>
      <c r="C852" s="10">
        <v>97759</v>
      </c>
      <c r="D852" s="21">
        <v>5004</v>
      </c>
      <c r="E852" s="49">
        <f t="shared" si="13"/>
        <v>88616</v>
      </c>
      <c r="F852" s="50"/>
    </row>
    <row r="853" customHeight="1" spans="1:6">
      <c r="A853" s="44">
        <v>44726</v>
      </c>
      <c r="B853" s="10">
        <v>75032</v>
      </c>
      <c r="C853" s="10">
        <v>97759</v>
      </c>
      <c r="D853" s="21">
        <v>600</v>
      </c>
      <c r="E853" s="49">
        <f t="shared" si="13"/>
        <v>88016</v>
      </c>
      <c r="F853" s="50"/>
    </row>
    <row r="854" customHeight="1" spans="1:6">
      <c r="A854" s="44">
        <v>44753</v>
      </c>
      <c r="B854" s="10" t="s">
        <v>1161</v>
      </c>
      <c r="C854" s="10">
        <v>97759</v>
      </c>
      <c r="D854" s="21">
        <v>3000</v>
      </c>
      <c r="E854" s="49">
        <f t="shared" si="13"/>
        <v>85016</v>
      </c>
      <c r="F854" s="50"/>
    </row>
    <row r="855" customHeight="1" spans="1:6">
      <c r="A855" s="44">
        <v>44762</v>
      </c>
      <c r="B855" s="10" t="s">
        <v>1183</v>
      </c>
      <c r="C855" s="10">
        <v>97759</v>
      </c>
      <c r="D855" s="21">
        <v>600</v>
      </c>
      <c r="E855" s="49">
        <f t="shared" si="13"/>
        <v>84416</v>
      </c>
      <c r="F855" s="50"/>
    </row>
    <row r="856" customHeight="1" spans="1:6">
      <c r="A856" s="44">
        <v>44782</v>
      </c>
      <c r="B856" s="10" t="s">
        <v>1184</v>
      </c>
      <c r="C856" s="10">
        <v>97759</v>
      </c>
      <c r="D856" s="21">
        <v>780</v>
      </c>
      <c r="E856" s="49">
        <f t="shared" si="13"/>
        <v>83636</v>
      </c>
      <c r="F856" s="50"/>
    </row>
    <row r="857" customHeight="1" spans="1:6">
      <c r="A857" s="44">
        <v>44817</v>
      </c>
      <c r="B857" s="10" t="s">
        <v>1185</v>
      </c>
      <c r="C857" s="10">
        <v>97759</v>
      </c>
      <c r="D857" s="21">
        <v>600</v>
      </c>
      <c r="E857" s="49">
        <f t="shared" si="13"/>
        <v>83036</v>
      </c>
      <c r="F857" s="50"/>
    </row>
    <row r="858" customHeight="1" spans="1:6">
      <c r="A858" s="44">
        <v>44823</v>
      </c>
      <c r="B858" s="10">
        <v>22000162</v>
      </c>
      <c r="C858" s="10">
        <v>97759</v>
      </c>
      <c r="D858" s="21">
        <v>702</v>
      </c>
      <c r="E858" s="49">
        <f t="shared" si="13"/>
        <v>82334</v>
      </c>
      <c r="F858" s="50"/>
    </row>
    <row r="859" customHeight="1" spans="1:6">
      <c r="A859" s="44">
        <v>44840</v>
      </c>
      <c r="B859" s="10">
        <v>61743016</v>
      </c>
      <c r="C859" s="10" t="s">
        <v>178</v>
      </c>
      <c r="D859" s="49">
        <v>600</v>
      </c>
      <c r="E859" s="49">
        <f t="shared" si="13"/>
        <v>81734</v>
      </c>
      <c r="F859" s="50"/>
    </row>
    <row r="860" customHeight="1" spans="1:6">
      <c r="A860" s="6" t="s">
        <v>904</v>
      </c>
      <c r="B860" s="7" t="s">
        <v>905</v>
      </c>
      <c r="C860" s="6" t="s">
        <v>906</v>
      </c>
      <c r="D860" s="8" t="s">
        <v>907</v>
      </c>
      <c r="E860" s="6" t="s">
        <v>908</v>
      </c>
      <c r="F860" s="50"/>
    </row>
    <row r="861" customHeight="1" spans="1:6">
      <c r="A861" s="49" t="s">
        <v>1166</v>
      </c>
      <c r="B861" s="49"/>
      <c r="C861" s="49">
        <f>E859</f>
        <v>81734</v>
      </c>
      <c r="D861" s="49"/>
      <c r="E861" s="49"/>
      <c r="F861" s="51" t="s">
        <v>1149</v>
      </c>
    </row>
    <row r="862" customHeight="1" spans="1:6">
      <c r="A862" s="6" t="s">
        <v>910</v>
      </c>
      <c r="B862" s="7" t="s">
        <v>911</v>
      </c>
      <c r="C862" s="12" t="s">
        <v>904</v>
      </c>
      <c r="D862" s="12" t="s">
        <v>912</v>
      </c>
      <c r="E862" s="6" t="s">
        <v>913</v>
      </c>
      <c r="F862" s="1"/>
    </row>
    <row r="863" customHeight="1" spans="1:6">
      <c r="A863" s="56">
        <v>44964</v>
      </c>
      <c r="B863" s="57" t="s">
        <v>1186</v>
      </c>
      <c r="C863" s="18">
        <v>97759</v>
      </c>
      <c r="D863" s="31">
        <v>504</v>
      </c>
      <c r="E863" s="49">
        <f>C861-D863</f>
        <v>81230</v>
      </c>
      <c r="F863" s="50"/>
    </row>
    <row r="864" customHeight="1" spans="1:6">
      <c r="A864" s="56">
        <v>44970</v>
      </c>
      <c r="B864" s="18" t="s">
        <v>1187</v>
      </c>
      <c r="C864" s="18">
        <v>97759</v>
      </c>
      <c r="D864" s="31">
        <v>600</v>
      </c>
      <c r="E864" s="49">
        <f>E863-D864</f>
        <v>80630</v>
      </c>
      <c r="F864" s="50"/>
    </row>
    <row r="865" customHeight="1" spans="1:6">
      <c r="A865" s="58"/>
      <c r="B865" s="59"/>
      <c r="C865" s="59"/>
      <c r="D865" s="60"/>
      <c r="E865" s="49"/>
      <c r="F865" s="50"/>
    </row>
    <row r="866" customHeight="1" spans="1:6">
      <c r="A866" s="58"/>
      <c r="B866" s="59"/>
      <c r="C866" s="59"/>
      <c r="D866" s="60"/>
      <c r="E866" s="49"/>
      <c r="F866" s="50"/>
    </row>
    <row r="867" customHeight="1" spans="1:6">
      <c r="A867" s="58"/>
      <c r="B867" s="59"/>
      <c r="C867" s="59"/>
      <c r="D867" s="60"/>
      <c r="E867" s="49"/>
      <c r="F867" s="50"/>
    </row>
    <row r="868" customHeight="1" spans="1:6">
      <c r="A868" s="15" t="s">
        <v>620</v>
      </c>
      <c r="B868" s="16"/>
      <c r="C868" s="16"/>
      <c r="D868" s="17"/>
      <c r="E868" s="40">
        <f>E864</f>
        <v>80630</v>
      </c>
    </row>
    <row r="870" customHeight="1" spans="1:6">
      <c r="A870" s="6" t="s">
        <v>904</v>
      </c>
      <c r="B870" s="7" t="s">
        <v>905</v>
      </c>
      <c r="C870" s="6" t="s">
        <v>906</v>
      </c>
      <c r="D870" s="8" t="s">
        <v>907</v>
      </c>
      <c r="E870" s="6" t="s">
        <v>908</v>
      </c>
    </row>
    <row r="871" customHeight="1" spans="1:6">
      <c r="A871" s="2" t="s">
        <v>176</v>
      </c>
      <c r="B871" s="2">
        <v>15000</v>
      </c>
      <c r="D871" s="61">
        <v>44866</v>
      </c>
    </row>
    <row r="872" customHeight="1" spans="1:6">
      <c r="A872" s="6" t="s">
        <v>910</v>
      </c>
      <c r="B872" s="7" t="s">
        <v>911</v>
      </c>
      <c r="C872" s="12" t="s">
        <v>904</v>
      </c>
      <c r="D872" s="12" t="s">
        <v>912</v>
      </c>
      <c r="E872" s="6" t="s">
        <v>913</v>
      </c>
      <c r="F872" s="1"/>
    </row>
    <row r="873" customHeight="1" spans="1:6">
      <c r="A873" s="62">
        <v>44966</v>
      </c>
      <c r="B873" s="4" t="s">
        <v>1188</v>
      </c>
      <c r="C873" s="4" t="s">
        <v>176</v>
      </c>
      <c r="D873" s="31">
        <v>6000</v>
      </c>
      <c r="E873" s="4">
        <f>B871-D873</f>
        <v>9000</v>
      </c>
    </row>
    <row r="874" customHeight="1" spans="1:6">
      <c r="A874" s="62">
        <v>45089</v>
      </c>
      <c r="B874" s="4" t="s">
        <v>1189</v>
      </c>
      <c r="C874" s="4" t="s">
        <v>176</v>
      </c>
      <c r="D874" s="4">
        <v>5480</v>
      </c>
      <c r="E874" s="4">
        <f>E873-D874</f>
        <v>3520</v>
      </c>
    </row>
    <row r="875" customHeight="1" spans="1:6">
      <c r="A875" s="62"/>
      <c r="B875" s="4"/>
      <c r="C875" s="4"/>
      <c r="D875" s="4"/>
      <c r="E875" s="4"/>
    </row>
    <row r="876" customHeight="1" spans="1:6">
      <c r="A876" s="4"/>
      <c r="B876" s="4"/>
      <c r="C876" s="4"/>
      <c r="D876" s="4"/>
      <c r="E876" s="4"/>
    </row>
    <row r="877" customHeight="1" spans="1:6">
      <c r="A877" s="15" t="s">
        <v>620</v>
      </c>
      <c r="B877" s="16"/>
      <c r="C877" s="16"/>
      <c r="D877" s="17"/>
      <c r="E877" s="40">
        <f>E874</f>
        <v>3520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6" name="Range1"/>
  </protectedRanges>
  <mergeCells count="38">
    <mergeCell ref="A18:D18"/>
    <mergeCell ref="A30:D30"/>
    <mergeCell ref="A42:D42"/>
    <mergeCell ref="A54:D54"/>
    <mergeCell ref="A64:D64"/>
    <mergeCell ref="A75:D75"/>
    <mergeCell ref="A226:D226"/>
    <mergeCell ref="A237:D237"/>
    <mergeCell ref="A269:D269"/>
    <mergeCell ref="A280:D280"/>
    <mergeCell ref="A290:D290"/>
    <mergeCell ref="A299:D299"/>
    <mergeCell ref="A310:D310"/>
    <mergeCell ref="A345:D345"/>
    <mergeCell ref="A360:D360"/>
    <mergeCell ref="A373:D373"/>
    <mergeCell ref="A389:D389"/>
    <mergeCell ref="A418:D418"/>
    <mergeCell ref="A433:D433"/>
    <mergeCell ref="A439:D439"/>
    <mergeCell ref="A444:D444"/>
    <mergeCell ref="A450:D450"/>
    <mergeCell ref="A455:D455"/>
    <mergeCell ref="A461:D461"/>
    <mergeCell ref="A466:D466"/>
    <mergeCell ref="A473:D473"/>
    <mergeCell ref="A621:D621"/>
    <mergeCell ref="A631:D631"/>
    <mergeCell ref="A653:D653"/>
    <mergeCell ref="A659:D659"/>
    <mergeCell ref="A667:D667"/>
    <mergeCell ref="A684:D684"/>
    <mergeCell ref="A744:D744"/>
    <mergeCell ref="A789:D789"/>
    <mergeCell ref="A796:D796"/>
    <mergeCell ref="A821:D821"/>
    <mergeCell ref="A868:D868"/>
    <mergeCell ref="A877:D877"/>
  </mergeCells>
  <pageMargins left="0.75" right="0.75" top="1" bottom="1" header="0.5" footer="0.5"/>
  <pageSetup paperSize="9" orientation="portrait"/>
  <headerFooter/>
  <ignoredErrors>
    <ignoredError sqref="B569:B571" numberStoredAsText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 otherUserPermission="edit"/>
  <rangeList sheetStid="47" master="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45" master="1475153551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  <userID accessPermission="edit">1862877470</userID>
      <userID accessPermission="edit">1828109780</userID>
      <userID accessPermission="edit">1474966847</userID>
    </arrUserId>
    <arrUserId title="Range2" rangeCreator="" othersAccessPermission="visible">
      <userID accessPermission="edit">1475153551</userID>
      <userID accessPermission="edit">1715258932</userID>
      <userID accessPermission="edit">1475148402</userID>
      <userID accessPermission="edit">1475426452</userID>
      <userID accessPermission="edit">1475812750</userID>
      <userID accessPermission="edit">1828109780</userID>
      <userID accessPermission="edit">1862877470</userID>
      <userID accessPermission="edit">1474966847</userID>
    </arrUserId>
  </rangeList>
  <rangeList sheetStid="44" master="1475153551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  <userID accessPermission="edit">1828109780</userID>
      <userID accessPermission="edit">1862877470</userID>
    </arrUserId>
    <arrUserId title="Range2" rangeCreator="" othersAccessPermission="visible">
      <userID accessPermission="edit">1475153551</userID>
      <userID accessPermission="edit">1715258932</userID>
      <userID accessPermission="edit">1475426452</userID>
      <userID accessPermission="edit">1475812750</userID>
      <userID accessPermission="edit">1475148402</userID>
      <userID accessPermission="edit">1862877470</userID>
      <userID accessPermission="edit">1828109780</userID>
      <userID accessPermission="edit">1474966847</userID>
    </arrUserId>
  </rangeList>
  <rangeList sheetStid="46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</arrUserId>
  </rangeList>
  <rangeList sheetStid="39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</arrUserId>
  </rangeList>
  <rangeList sheetStid="37" master="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47">
    <commentChains s:ref="AP33" rgbClr="FF0000">
      <unresolved>
        <commentChain chainId="e906d2501e461f52db581c0f2ea2763e212bb441">
          <item id="409edf73f10de186f8ea717cae7440c551bc81ee" isNormal="1">
            <s:text>
              <s:r>
                <s:t xml:space="preserve">Administrator:
八折</s:t>
              </s:r>
            </s:text>
          </item>
        </commentChain>
      </unresolved>
      <resolved/>
    </commentChains>
  </commentList>
  <commentList sheetStid="45">
    <commentChains s:ref="G46" rgbClr="FF0000">
      <unresolved>
        <commentChain chainId="d80815a1ced9677baabfc8a147a78d13f94cc4f6">
          <item id="6f08f3a36af49d2324d647869678b564bb036686" isNormal="1">
            <s:text>
              <s:r>
                <s:t xml:space="preserve">焦扬广:
客人要求取消，沟通退回仓单</s:t>
              </s:r>
            </s:text>
          </item>
        </commentChain>
      </unresolved>
      <resolved/>
    </commentChains>
    <commentChains s:ref="G47" rgbClr="FF0000">
      <unresolved>
        <commentChain chainId="03d57b905468156a5640deeeae4f9c03617e36a9">
          <item id="86bfa9fc4e26ffd33b96fc659479f70098ff4f65" isNormal="1">
            <s:text>
              <s:r>
                <s:t xml:space="preserve">焦扬广:
客人要求取消，沟通退回仓单</s:t>
              </s:r>
            </s:text>
          </item>
        </commentChain>
      </unresolved>
      <resolved/>
    </commentChains>
    <commentChains s:ref="G50" rgbClr="FF0000">
      <unresolved>
        <commentChain chainId="c1aab1e9693d1e1553b05e89072f834f9e2ea764">
          <item id="28f0a0435a2c6ebd7109dfe8406dae65d8ea57c1" isNormal="1">
            <s:text>
              <s:r>
                <s:t xml:space="preserve">焦扬广:
客人要求取消，沟通退回仓单</s:t>
              </s:r>
            </s:text>
          </item>
        </commentChain>
      </unresolved>
      <resolved/>
    </commentChains>
    <commentChains s:ref="T72" rgbClr="FF0000">
      <unresolved>
        <commentChain chainId="1a901c45236cf83bed063b75b25c48462379218e">
          <item id="29445eeb06ac67d88b819814e89e25ed699da300" isNormal="1">
            <s:text>
              <s:r>
                <s:t xml:space="preserve">Administrator:
只收到了各1000pcs，欠1900pcs</s:t>
              </s:r>
            </s:text>
          </item>
        </commentChain>
      </unresolved>
      <resolved/>
    </commentChains>
  </commentList>
  <commentList sheetStid="46">
    <commentChains s:ref="Z2" rgbClr="FF0000">
      <unresolved>
        <commentChain chainId="9d426025a981b2f80b14aa5d2c51a6392470b075">
          <item id="1d790bcce93f655cd0e36ffa13ed63df5112b07d" isNormal="1">
            <s:text>
              <s:r>
                <s:t xml:space="preserve">Administrator:
八折</s:t>
              </s:r>
            </s:text>
          </item>
        </commentChain>
      </unresolved>
      <resolved/>
    </commentChains>
    <commentChains s:ref="R49" rgbClr="FF0000">
      <unresolved>
        <commentChain chainId="6abe72dd2e0c792a0369e8f48d2d283238e8c013">
          <item id="f2d48ab570c3cb452e9a991849920e81960272df" isNormal="1">
            <s:text>
              <s:r>
                <s:t xml:space="preserve">dell:
6/11空运360pcs</s:t>
              </s:r>
            </s:text>
          </item>
        </commentChain>
      </unresolved>
      <resolved/>
    </commentChains>
    <commentChains s:ref="X53" rgbClr="FF0000">
      <unresolved>
        <commentChain chainId="0a685335fec89066bfe6c2fa942c4ee1dba067c2">
          <item id="ec4f627860f585c94c3066b896fc5e17eff145b4" isNormal="1">
            <s:text>
              <s:r>
                <s:t xml:space="preserve">dell:
其中3996日期码印SNF0145-052626-RR</s:t>
              </s:r>
            </s:text>
          </item>
        </commentChain>
      </unresolved>
      <resolved/>
    </commentChains>
    <commentChains s:ref="X54" rgbClr="FF0000">
      <unresolved>
        <commentChain chainId="6723995b6013af9bad25b812270fce9e5fb6113a">
          <item id="9a31b28e9a08d711e48b44683024c8f4bcbe29da" isNormal="1">
            <s:text>
              <s:r>
                <s:t xml:space="preserve">dell:
其中1998pcs日期码印：SNF0145-052926-RR</s:t>
              </s:r>
            </s:text>
          </item>
        </commentChain>
      </unresolved>
      <resolved/>
    </commentChains>
    <commentChains s:ref="AD101" rgbClr="FF0000">
      <unresolved>
        <commentChain chainId="f4cf1d8456b67237fc1c390e42f7f98453482809">
          <item id="08ccd4755d111fdf791f1db451e47bf80a4ed0c4" isNormal="1">
            <s:text>
              <s:r>
                <s:t xml:space="preserve">Administrator:
系统PO：2025-4459</s:t>
              </s:r>
            </s:text>
          </item>
        </commentChain>
      </unresolved>
      <resolved/>
    </commentChains>
  </commentList>
  <commentList sheetStid="37">
    <commentChains s:ref="I4" rgbClr="FF0000">
      <unresolved>
        <commentChain chainId="ffb731fbdd09427ede6a762d0945a8305f4b78f8">
          <item id="d17955e3eb6428dc5f5dad122e6c655de2a89578" isNormal="1">
            <s:text>
              <s:r>
                <s:t xml:space="preserve">deng:
来数少6000个</s:t>
              </s:r>
            </s:text>
          </item>
        </commentChain>
      </unresolved>
      <resolved/>
    </commentChains>
    <commentChains s:ref="D825" rgbClr="FF0000">
      <unresolved>
        <commentChain chainId="9bfe7f1cf25037cece12eef26f4807b08543a6fb">
          <item id="0bd20d676e7ffcc56a8c59b5d99d7d7d63b81cc0" isNormal="1">
            <s:text>
              <s:r>
                <s:t xml:space="preserve">Administrator:
6/13客人确定只落#97759</s:t>
              </s:r>
            </s:text>
          </item>
        </commentChain>
      </unresolved>
      <resolved/>
    </commentChains>
  </commentList>
</comments>
</file>

<file path=customXml/item3.xml><?xml version="1.0" encoding="utf-8"?>
<autofilters xmlns="https://web.wps.cn/et/2018/main">
  <sheetItem sheetStid="47">
    <filterData filterID="1828109158"/>
    <filterData filterID="1715258932">
      <hiddenRange rowFrom="2" rowTo="3"/>
      <hiddenRange rowFrom="5" rowTo="20"/>
      <hiddenRange rowFrom="22" rowTo="28"/>
      <hiddenRange rowFrom="30" rowTo="41"/>
      <hiddenRange rowFrom="47" rowTo="81"/>
      <hiddenRange rowFrom="83" rowTo="97"/>
      <hiddenRange rowFrom="99" rowTo="99"/>
      <hiddenRange rowFrom="103" rowTo="103"/>
      <hiddenRange rowFrom="107" rowTo="127"/>
      <hiddenRange rowFrom="129" rowTo="153"/>
      <hiddenRange rowFrom="155" rowTo="157"/>
      <hiddenRange rowFrom="159" rowTo="209"/>
    </filterData>
    <filterData filterID="1475148402"/>
    <filterData filterID="1862877470">
      <hiddenRange rowFrom="2" rowTo="145"/>
      <hiddenRange rowFrom="151" rowTo="151"/>
      <hiddenRange rowFrom="153" rowTo="154"/>
      <hiddenRange rowFrom="156" rowTo="209"/>
    </filterData>
    <filterData filterID="1828109780">
      <hiddenRange rowFrom="2" rowTo="166"/>
      <hiddenRange rowFrom="168" rowTo="168"/>
      <hiddenRange rowFrom="170" rowTo="209"/>
    </filterData>
    <filterData filterID="1475426452">
      <hiddenRange rowFrom="2" rowTo="126"/>
      <hiddenRange rowFrom="133" rowTo="167"/>
      <hiddenRange rowFrom="169" rowTo="209"/>
    </filterData>
    <autofilterInfo filterID="1715258932">
      <autoFilter xmlns="http://schemas.openxmlformats.org/spreadsheetml/2006/main" ref="A2:AR210">
        <filterColumn colId="5">
          <customFilters>
            <customFilter operator="equal" val="CMW0182"/>
            <customFilter operator="equal" val="SNF0182"/>
          </customFilters>
        </filterColumn>
      </autoFilter>
    </autofilterInfo>
    <autofilterInfo filterID="1862877470">
      <autoFilter xmlns="http://schemas.openxmlformats.org/spreadsheetml/2006/main" ref="A2:AR210">
        <filterColumn colId="5">
          <customFilters>
            <customFilter operator="equal" val="CMW0298"/>
          </customFilters>
        </filterColumn>
      </autoFilter>
    </autofilterInfo>
    <autofilterInfo filterID="1475426452">
      <autoFilter xmlns="http://schemas.openxmlformats.org/spreadsheetml/2006/main" ref="A2:AR210">
        <filterColumn colId="5">
          <customFilters>
            <customFilter operator="equal" val="FNT1702"/>
          </customFilters>
        </filterColumn>
      </autoFilter>
    </autofilterInfo>
    <autofilterInfo filterID="1828109780">
      <autoFilter xmlns="http://schemas.openxmlformats.org/spreadsheetml/2006/main" ref="A2:AR210">
        <filterColumn colId="5">
          <customFilters>
            <customFilter operator="equal" val="FNT1658"/>
          </customFilters>
        </filterColumn>
      </autoFilter>
    </autofilterInfo>
  </sheetItem>
  <sheetItem sheetStid="45">
    <filterData filterID="1828109780"/>
    <filterData filterID="1688736548"/>
    <filterData filterID="1475148402"/>
    <filterData filterID="1862877470"/>
    <filterData filterID="1828109158"/>
  </sheetItem>
  <sheetItem sheetStid="44">
    <filterData filterID="1862877470"/>
  </sheetItem>
  <sheetItem sheetStid="46">
    <filterData filterID="1828109780"/>
    <filterData filterID="1475148402"/>
    <filterData filterID="1862877470">
      <hiddenRange rowFrom="1" rowTo="54"/>
      <hiddenRange rowFrom="56" rowTo="113"/>
    </filterData>
    <autofilterInfo filterID="1862877470">
      <autoFilter xmlns="http://schemas.openxmlformats.org/spreadsheetml/2006/main" ref="A1:AG114">
        <filterColumn colId="1">
          <customFilters>
            <customFilter operator="equal" val="AMAZON CANADA"/>
          </customFilters>
        </filterColumn>
      </autoFilter>
    </autofilterInfo>
  </sheetItem>
</autofilters>
</file>

<file path=customXml/item4.xml><?xml version="1.0" encoding="utf-8"?>
<woProps xmlns="https://web.wps.cn/et/2018/main" xmlns:s="http://schemas.openxmlformats.org/spreadsheetml/2006/main">
  <woSheetsProps>
    <woSheetProps sheetStid="48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44" interlineOnOff="0" interlineColor="0" isDbSheet="0" isDashBoardSheet="0" isDbDashBoardSheet="0" isFlexPaperSheet="0">
      <cellprotection/>
      <appEtDbRelations/>
    </woSheetProps>
    <woSheetProps sheetStid="46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</woSheetsProps>
  <woBookProps>
    <bookSettings fileId="547801387406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pixelators xmlns="https://web.wps.cn/et/2018/main" xmlns:s="http://schemas.openxmlformats.org/spreadsheetml/2006/main">
  <pixelatorList sheetStid="48"/>
  <pixelatorList sheetStid="47"/>
  <pixelatorList sheetStid="45"/>
  <pixelatorList sheetStid="44"/>
  <pixelatorList sheetStid="46"/>
  <pixelatorList sheetStid="39"/>
  <pixelatorList sheetStid="37"/>
  <pixelatorList sheetStid="4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名称</vt:lpstr>
      <vt:lpstr>CMW+NER+PKW接单</vt:lpstr>
      <vt:lpstr>CMW+NER+PKW客排</vt:lpstr>
      <vt:lpstr>CMW+NER+PKW仓排</vt:lpstr>
      <vt:lpstr>已走货</vt:lpstr>
      <vt:lpstr>0和取消单</vt:lpstr>
      <vt:lpstr>IC 扣数明细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刘锦龙</cp:lastModifiedBy>
  <dcterms:created xsi:type="dcterms:W3CDTF">1997-04-08T01:32:00Z</dcterms:created>
  <cp:lastPrinted>2019-04-04T09:58:00Z</cp:lastPrinted>
  <dcterms:modified xsi:type="dcterms:W3CDTF">2026-08-25T20:19:00Z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0D1DF3B69E10EE95E9926C6A2F5F9D35_43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