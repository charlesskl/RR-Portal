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56"/>
  <workbookPr codeName="ThisWorkbook"/>
  <bookViews>
    <workbookView windowWidth="22368" windowHeight="10668" tabRatio="776" activeTab="1"/>
  </bookViews>
  <sheets>
    <sheet name="总接单" sheetId="41" r:id="rId1"/>
    <sheet name="排期" sheetId="50" r:id="rId2"/>
    <sheet name="已走货" sheetId="44" r:id="rId3"/>
    <sheet name="MA" sheetId="53" r:id="rId4"/>
    <sheet name="取消单" sheetId="51" r:id="rId5"/>
    <sheet name="惠州浩华" sheetId="56" r:id="rId6"/>
    <sheet name="配比图" sheetId="36" r:id="rId7"/>
    <sheet name="MA 表" sheetId="58" state="hidden" r:id="rId8"/>
    <sheet name="☆" sheetId="52" state="hidden" r:id="rId9"/>
    <sheet name="Sheet1" sheetId="57" state="hidden" r:id="rId10"/>
  </sheets>
  <definedNames>
    <definedName name="_xlnm._FilterDatabase" localSheetId="0" hidden="1">总接单!$A$2:$CS$75</definedName>
    <definedName name="_xlnm._FilterDatabase" localSheetId="1" hidden="1">排期!$A$1:$AJ$14</definedName>
    <definedName name="_xlnm._FilterDatabase" localSheetId="2" hidden="1">已走货!$A$1:$AL$34</definedName>
    <definedName name="_xlnm._FilterDatabase" localSheetId="3" hidden="1">MA!$A$1:$AJ$13</definedName>
    <definedName name="_xlnm._FilterDatabase" localSheetId="4" hidden="1">取消单!$A$1:$AK$6</definedName>
    <definedName name="_xlnm._FilterDatabase" localSheetId="5" hidden="1">惠州浩华!$A$1:$O$12</definedName>
    <definedName name="_xlnm._FilterDatabase" localSheetId="7" hidden="1">'MA 表'!$A$1:$B$11</definedName>
    <definedName name="_xlnm._FilterDatabase" localSheetId="8" hidden="1">☆!$A$1:$D$199</definedName>
    <definedName name="_xlnm.Print_Area" localSheetId="3">MA!$A$1:$AA$10</definedName>
    <definedName name="_xlnm.Print_Area" localSheetId="5">惠州浩华!$A$1:$N$1</definedName>
    <definedName name="_xlnm.Print_Area" localSheetId="1">排期!$A$1:$AC$1</definedName>
    <definedName name="_xlnm.Print_Area" localSheetId="4">取消单!$A$1:$AE$2</definedName>
    <definedName name="_xlnm.Print_Area" localSheetId="2">已走货!$A$1:$AC$1</definedName>
    <definedName name="_xlnm.Print_Area" localSheetId="7">'MA 表'!$A$1:$A$8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DELL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扣960pcs到PO:808565 (179840)；
扣40pcs到PO:808568 (179839)
扣14pcs到PO：876446（232723）
扣90pcs
PO:876502(232722)
扣14pcs到PO:876520(232721)
扣40pcs到PO：876463（232720）
扣80pcs到PO：876492（232727）
扣98pcs到PO:876448(232726)
扣26pcs到PO:876483(232725)
扣36pcs到PO:876442(232724)
扣46到
PO:892164 (242239)
扣22到
PO:892160 (242238)
扣204到
PO:892148 (242237)
扣52到
PO:892147 (242236)
</t>
        </r>
      </text>
    </comment>
    <comment ref="H30" authorId="1">
      <text>
        <r>
          <rPr>
            <sz val="9"/>
            <rFont val="宋体"/>
            <charset val="0"/>
          </rPr>
          <t>扣120pcs到PO:1017910 (308293)
扣270pcs到PO:1017911 (308294)
扣486pcs到PO：1017912 (308295)
扣90pcsPO:876502(232722)
扣14pcs到PO:876520(232721)
扣40pcs到PO：876463（232720）
扣80pcs到PO：876492（232727）
扣98pcs到PO:876448(232726)
扣26pcs到PO:876483(232725)
扣36pcs到PO:876442(232724)</t>
        </r>
        <r>
          <rPr>
            <b/>
            <sz val="9"/>
            <rFont val="宋体"/>
            <charset val="0"/>
          </rPr>
          <t xml:space="preserve">
卿颖:</t>
        </r>
        <r>
          <rPr>
            <sz val="9"/>
            <rFont val="宋体"/>
            <charset val="0"/>
          </rPr>
          <t xml:space="preserve">
扣564pcs到po：336018 OF</t>
        </r>
      </text>
    </comment>
    <comment ref="H36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扣1203pcs到PO1040096 (325618)
扣162pcs到PO1040103 (325620)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DELL</author>
  </authors>
  <commentList>
    <comment ref="G2" authorId="0">
      <text>
        <r>
          <rPr>
            <sz val="9"/>
            <rFont val="宋体"/>
            <charset val="134"/>
          </rPr>
          <t>扣960pcs到PO:808565 (179840)；
扣40pcs到PO:808568 (179839)
扣14pcs到PO：876446（232723）
扣90pcs
PO:876502(232722)
扣14pcs到PO:876520(232721)
扣40pcs到PO：876463（232720）
扣80pcs到PO：876492（232727）
扣98pcs到PO:876448(232726)
扣26pcs到PO:876483(232725)
扣36pcs到PO:876442(232724</t>
        </r>
      </text>
    </comment>
    <comment ref="G4" authorId="1">
      <text>
        <r>
          <rPr>
            <sz val="9"/>
            <rFont val="宋体"/>
            <charset val="0"/>
          </rPr>
          <t>扣120pcs到PO:1017910 (308293)
扣270pcs到PO:1017911 (308294)
扣486pcs到PO：1017912 (308295)
扣90pcsPO:876502(232722)
扣14pcs到PO:876520(232721)
扣40pcs到PO：876463（232720）
扣80pcs到PO：876492（232727）
扣98pcs到PO:876448(232726)
扣26pcs到PO:876483(232725)
扣36pcs到PO:876442(232724)</t>
        </r>
        <r>
          <rPr>
            <b/>
            <sz val="9"/>
            <rFont val="宋体"/>
            <charset val="0"/>
          </rPr>
          <t xml:space="preserve">
卿颖:</t>
        </r>
        <r>
          <rPr>
            <sz val="9"/>
            <rFont val="宋体"/>
            <charset val="0"/>
          </rPr>
          <t xml:space="preserve">
扣564pcs到po：336018 OF</t>
        </r>
      </text>
    </comment>
    <comment ref="G5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扣1203pcs到PO1040096 (325618)
扣162pcs到PO1040103 (325620)</t>
        </r>
      </text>
    </comment>
  </commentList>
</comments>
</file>

<file path=xl/sharedStrings.xml><?xml version="1.0" encoding="utf-8"?>
<sst xmlns="http://schemas.openxmlformats.org/spreadsheetml/2006/main" count="1720" uniqueCount="495">
  <si>
    <t>产品名称</t>
  </si>
  <si>
    <t>确认走货期</t>
  </si>
  <si>
    <t>车发公仔系列四代</t>
  </si>
  <si>
    <t>车发公仔系列三代HS</t>
  </si>
  <si>
    <t>50216-50226</t>
  </si>
  <si>
    <t>50212、50213</t>
  </si>
  <si>
    <t>14312/14764/14347/14765/14766/14767/14768/14769</t>
  </si>
  <si>
    <t>50191、50190</t>
  </si>
  <si>
    <t>七代公仔50238/八代50271</t>
  </si>
  <si>
    <t>七代50242/八代50273</t>
  </si>
  <si>
    <t>50267/50279</t>
  </si>
  <si>
    <t>七代17341/八代17527</t>
  </si>
  <si>
    <t>18060</t>
  </si>
  <si>
    <t>单价USD</t>
  </si>
  <si>
    <t>金额USD</t>
  </si>
  <si>
    <t>HK金额</t>
  </si>
  <si>
    <t>发票号</t>
  </si>
  <si>
    <t>备注</t>
  </si>
  <si>
    <t>接单期</t>
  </si>
  <si>
    <t>客名</t>
  </si>
  <si>
    <t>国家</t>
  </si>
  <si>
    <t>Customer</t>
  </si>
  <si>
    <t>PO号</t>
  </si>
  <si>
    <t>ItemCode</t>
  </si>
  <si>
    <t>货号</t>
  </si>
  <si>
    <t>数量</t>
  </si>
  <si>
    <t>50110小狗</t>
  </si>
  <si>
    <t>50111小猫</t>
  </si>
  <si>
    <t>50112考拉</t>
  </si>
  <si>
    <t>50113小兔</t>
  </si>
  <si>
    <t>MA单可抵扣实单</t>
  </si>
  <si>
    <t>MAR23-0563</t>
  </si>
  <si>
    <t>17389.AB0.0000</t>
  </si>
  <si>
    <t>SUCKOT S.A.C.</t>
  </si>
  <si>
    <t>哥伦比亚</t>
  </si>
  <si>
    <t>291456 (O)</t>
  </si>
  <si>
    <t>982441 (292209)</t>
  </si>
  <si>
    <t>13095.AC0.005L</t>
  </si>
  <si>
    <t>FE54198</t>
  </si>
  <si>
    <t>BOING GLOBAL S. DE R.L</t>
  </si>
  <si>
    <t>巴拿马</t>
  </si>
  <si>
    <t>292018 (O)</t>
  </si>
  <si>
    <t>983480 (292842)</t>
  </si>
  <si>
    <t>13095.AC0.0000</t>
  </si>
  <si>
    <t>FE54196</t>
  </si>
  <si>
    <t>AMAZON.COM FOB</t>
  </si>
  <si>
    <t>亚马逊</t>
  </si>
  <si>
    <t>293871 (O)</t>
  </si>
  <si>
    <t>986311 (293990)</t>
  </si>
  <si>
    <t>17563.AB0.0000</t>
  </si>
  <si>
    <t>FE54193</t>
  </si>
  <si>
    <t>293872 (O)</t>
  </si>
  <si>
    <t>986312 (293991)</t>
  </si>
  <si>
    <t>FE54194</t>
  </si>
  <si>
    <t>293873 (O)</t>
  </si>
  <si>
    <t>986313 (293992)</t>
  </si>
  <si>
    <t>FE54195</t>
  </si>
  <si>
    <t>MOOSE AU WAREHOUSE</t>
  </si>
  <si>
    <t>澳洲</t>
  </si>
  <si>
    <t>297464 OF</t>
  </si>
  <si>
    <t>FE54197</t>
  </si>
  <si>
    <t>ROSS PROCUREMENT FOB</t>
  </si>
  <si>
    <t>美国</t>
  </si>
  <si>
    <t>299320 (O)</t>
  </si>
  <si>
    <t>997259 (299363)</t>
  </si>
  <si>
    <t>18060.AB0.0000</t>
  </si>
  <si>
    <t>FE54199</t>
  </si>
  <si>
    <t>KMART AUSTRALIA LIMITED - FOB C</t>
  </si>
  <si>
    <t>澳大利亚</t>
  </si>
  <si>
    <t>300092 (O)</t>
  </si>
  <si>
    <t>999894 (300642)</t>
  </si>
  <si>
    <t>17552.AB0.005L</t>
  </si>
  <si>
    <t>FE54200</t>
  </si>
  <si>
    <t>300096 (O)</t>
  </si>
  <si>
    <t>999896 (300643)</t>
  </si>
  <si>
    <t>FE64211</t>
  </si>
  <si>
    <t>TJX UK (FOB-CLEAR)</t>
  </si>
  <si>
    <t>英国</t>
  </si>
  <si>
    <t>301842 (O)</t>
  </si>
  <si>
    <t>1003914 (303564)</t>
  </si>
  <si>
    <t>FE64209</t>
  </si>
  <si>
    <t>301841 (O)</t>
  </si>
  <si>
    <t>1003913 (303563)</t>
  </si>
  <si>
    <t>FE64208</t>
  </si>
  <si>
    <t>301840 (O)</t>
  </si>
  <si>
    <t>1003912 (303562)</t>
  </si>
  <si>
    <t>FE64207</t>
  </si>
  <si>
    <t>301839 (O)</t>
  </si>
  <si>
    <t>1003911 (303561)</t>
  </si>
  <si>
    <t>FE64206</t>
  </si>
  <si>
    <t>301848 (O)</t>
  </si>
  <si>
    <t>1003920 (303570)</t>
  </si>
  <si>
    <t>FE64205</t>
  </si>
  <si>
    <t>301847 (O)</t>
  </si>
  <si>
    <t>1003919 (303569)</t>
  </si>
  <si>
    <t>FE64204</t>
  </si>
  <si>
    <t>301845 (O)</t>
  </si>
  <si>
    <t>1003917 (303567)</t>
  </si>
  <si>
    <t>FE64202</t>
  </si>
  <si>
    <t>301843 (O)</t>
  </si>
  <si>
    <t>1003915 (303565)</t>
  </si>
  <si>
    <t>FE64210</t>
  </si>
  <si>
    <t>301846 (O)</t>
  </si>
  <si>
    <t>1003918 (303568)</t>
  </si>
  <si>
    <t>FE64203</t>
  </si>
  <si>
    <t>301844 (O)</t>
  </si>
  <si>
    <t>1003916 (303566)</t>
  </si>
  <si>
    <t>FE64201</t>
  </si>
  <si>
    <t>306420 (O)</t>
  </si>
  <si>
    <t>1017910 (308293)</t>
  </si>
  <si>
    <t>FE64212</t>
  </si>
  <si>
    <t>306421 (O)</t>
  </si>
  <si>
    <t>1017911 (308294)</t>
  </si>
  <si>
    <t>FE64213</t>
  </si>
  <si>
    <t>306422 (O)</t>
  </si>
  <si>
    <t>1017912 (308295)</t>
  </si>
  <si>
    <t>FE64214</t>
  </si>
  <si>
    <t>秘鲁</t>
  </si>
  <si>
    <t>308285 (O)</t>
  </si>
  <si>
    <t>1020855 (309910)</t>
  </si>
  <si>
    <t>OJ 306890</t>
  </si>
  <si>
    <t>314412 (O)</t>
  </si>
  <si>
    <t>1028658 (315378)</t>
  </si>
  <si>
    <t>314413 (O)</t>
  </si>
  <si>
    <t>1028659 (315380)</t>
  </si>
  <si>
    <t>314414 (O)</t>
  </si>
  <si>
    <t>1028660 (315381)</t>
  </si>
  <si>
    <t>314415 (O)</t>
  </si>
  <si>
    <t>1028661 (315382)</t>
  </si>
  <si>
    <t>314416 (O)</t>
  </si>
  <si>
    <t>1028662 (315383)</t>
  </si>
  <si>
    <t>OJ 325393</t>
  </si>
  <si>
    <t>Moose Toys Distribution MX</t>
  </si>
  <si>
    <t>墨西哥</t>
  </si>
  <si>
    <t>323923 (O)</t>
  </si>
  <si>
    <t>1040096 (325618)</t>
  </si>
  <si>
    <t>323940 (O)</t>
  </si>
  <si>
    <t>1040103 (325620)</t>
  </si>
  <si>
    <t>334843 (O)</t>
  </si>
  <si>
    <t>1053032 (335280)</t>
  </si>
  <si>
    <t>334845 (O)</t>
  </si>
  <si>
    <t>1053034 (335282)</t>
  </si>
  <si>
    <t>2026/10/29周四</t>
  </si>
  <si>
    <t>334846 (O)</t>
  </si>
  <si>
    <t>1053035 (335283)</t>
  </si>
  <si>
    <t>336018 OF</t>
  </si>
  <si>
    <t>Ross MDDP order - Change</t>
  </si>
  <si>
    <t>1064052 (339336)</t>
  </si>
  <si>
    <t>合计：</t>
  </si>
  <si>
    <t>25年库存：</t>
  </si>
  <si>
    <t>26年总接单：</t>
  </si>
  <si>
    <t>A</t>
  </si>
  <si>
    <t>B</t>
  </si>
  <si>
    <t>排期：</t>
  </si>
  <si>
    <t>已走货：</t>
  </si>
  <si>
    <t>浩华总接单</t>
  </si>
  <si>
    <t>已走货</t>
  </si>
  <si>
    <t>未走货</t>
  </si>
  <si>
    <t>以下标注内容区分识别备注：</t>
  </si>
  <si>
    <t>类型</t>
  </si>
  <si>
    <t>内容</t>
  </si>
  <si>
    <t>黄色填充</t>
  </si>
  <si>
    <t>新加单或更改</t>
  </si>
  <si>
    <t>绿色填充</t>
  </si>
  <si>
    <t>转单</t>
  </si>
  <si>
    <t>蓝色字体</t>
  </si>
  <si>
    <t>已经完成</t>
  </si>
  <si>
    <t>粉色字体</t>
  </si>
  <si>
    <t>已出货</t>
  </si>
  <si>
    <t>红色字体</t>
  </si>
  <si>
    <t>取消单</t>
  </si>
  <si>
    <t>备注：1PCS17392=48PCS17513，1PCS17644=4PCS17529</t>
  </si>
  <si>
    <t>注意：17529从2023/1/9号走货的开始，用新版本彩盒！！！</t>
  </si>
  <si>
    <t>Kohl's客外箱贴纸需扫描!</t>
  </si>
  <si>
    <t>国家/客名</t>
  </si>
  <si>
    <t>名称</t>
  </si>
  <si>
    <t>装箱数</t>
  </si>
  <si>
    <t>总箱数</t>
  </si>
  <si>
    <t>客PO期</t>
  </si>
  <si>
    <t>计划验货期</t>
  </si>
  <si>
    <t>第三方验货</t>
  </si>
  <si>
    <t>验货时间</t>
  </si>
  <si>
    <t>SI日期</t>
  </si>
  <si>
    <t>验货 结果</t>
  </si>
  <si>
    <t>箱唛 资料</t>
  </si>
  <si>
    <t>外箱 贴纸</t>
  </si>
  <si>
    <t>客贴纸</t>
  </si>
  <si>
    <t>包装版本</t>
  </si>
  <si>
    <t>日期码</t>
  </si>
  <si>
    <t>是否扣FGMA</t>
  </si>
  <si>
    <t>单价</t>
  </si>
  <si>
    <t>金额HKD</t>
  </si>
  <si>
    <t>是否     入系统</t>
  </si>
  <si>
    <t>车间</t>
  </si>
  <si>
    <t>下单明细</t>
  </si>
  <si>
    <t>送回数量</t>
  </si>
  <si>
    <t>欠数</t>
  </si>
  <si>
    <t>贴纸</t>
  </si>
  <si>
    <t>外箱</t>
  </si>
  <si>
    <t>SY回复</t>
  </si>
  <si>
    <t>车子+公仔</t>
  </si>
  <si>
    <t>N</t>
  </si>
  <si>
    <t>ok</t>
  </si>
  <si>
    <t>Y</t>
  </si>
  <si>
    <t>MOOSE</t>
  </si>
  <si>
    <t>HS 25126</t>
  </si>
  <si>
    <t>翻单,替换PO 1048839(332168)，更改cust。订单号从602992543到60308543</t>
  </si>
  <si>
    <t>已入系统</t>
  </si>
  <si>
    <t>系统出单</t>
  </si>
  <si>
    <t>HS 28826</t>
  </si>
  <si>
    <t>翻单,替换PO 1048815(332167)，更改cust。PO号从60299523到60308546.替换采购订单PO1048815(332167)，更改客户采购订
单号从60299523更改为60308546，R1:更新交货日期至10月29日</t>
  </si>
  <si>
    <t>Pass</t>
  </si>
  <si>
    <t>HS 21526</t>
  </si>
  <si>
    <t>翻单,替换PO 1048793(332166)，更改cust。PO号从60299490到60308547</t>
  </si>
  <si>
    <t>医药箱</t>
  </si>
  <si>
    <t>HSXXXXX</t>
  </si>
  <si>
    <t>OJ306890</t>
  </si>
  <si>
    <t>翻单</t>
  </si>
  <si>
    <t>翻单，替换已取消的采购订单1053033(335281)，更新客户采购订单号#</t>
  </si>
  <si>
    <t>翻单已入</t>
  </si>
  <si>
    <t>人民币单价</t>
  </si>
  <si>
    <t>人民币总价</t>
  </si>
  <si>
    <t>校巴邮购盒装</t>
  </si>
  <si>
    <t>PASS</t>
  </si>
  <si>
    <t>11-18提供给A车间</t>
  </si>
  <si>
    <t>5L</t>
  </si>
  <si>
    <t>HS01526</t>
  </si>
  <si>
    <t>玩具商场</t>
  </si>
  <si>
    <t>已下半成品</t>
  </si>
  <si>
    <t>4/10收到贴纸</t>
  </si>
  <si>
    <t>4/20收到贴纸</t>
  </si>
  <si>
    <t>FE64215</t>
  </si>
  <si>
    <t>pass</t>
  </si>
  <si>
    <t>5/14收到贴纸</t>
  </si>
  <si>
    <t>FE64216</t>
  </si>
  <si>
    <t>FE64217</t>
  </si>
  <si>
    <t>FE64218</t>
  </si>
  <si>
    <t>FE64219</t>
  </si>
  <si>
    <t>6/10收到贴纸</t>
  </si>
  <si>
    <t>FE64220</t>
  </si>
  <si>
    <t>6/9收到贴纸</t>
  </si>
  <si>
    <t>FE64221</t>
  </si>
  <si>
    <t>FE64222</t>
  </si>
  <si>
    <t>.</t>
  </si>
  <si>
    <t xml:space="preserve">扣960pcs到PO:808565 (179840)；
扣40pcs到PO:808568 (179839)
扣14pcs到PO：876446（232723）
</t>
  </si>
  <si>
    <t>OJ 263825</t>
  </si>
  <si>
    <t>扣120pcs到PO:1017910 (308293)
扣270pcs到PO:1017911 (308294)
扣486pcs到PO：1017912 (308295)
扣90pcsPO:876502(232722)
扣14pcs到PO:876520(232721)
扣40pcs到PO：876463（232720）
扣80pcs到PO：876492（232727）
扣98pcs到PO:876448(232726)
扣26pcs到PO:876483(232725)
扣36pcs到PO:876442(232724)
扣564pcs到po：336018 OF</t>
  </si>
  <si>
    <t>扣1203pcs到PO1040096 (325618)
扣162pcs到PO1040103 (325620)</t>
  </si>
  <si>
    <t>1048839 (332168)</t>
  </si>
  <si>
    <t>1048844 (332169)</t>
  </si>
  <si>
    <t>1048815 (332167)</t>
  </si>
  <si>
    <t>1048793 (332166)</t>
  </si>
  <si>
    <t>1053033 (335281)</t>
  </si>
  <si>
    <t>翻单,替换PO 1048844(332169)，更改cust。PO号从60299555到60308545</t>
  </si>
  <si>
    <t>金额RMB</t>
  </si>
  <si>
    <t>是否入系统</t>
  </si>
  <si>
    <t>惠州浩华</t>
  </si>
  <si>
    <t>HH260203</t>
  </si>
  <si>
    <t>4件胶件公仔</t>
  </si>
  <si>
    <t>HH260428</t>
  </si>
  <si>
    <t>大宾果</t>
  </si>
  <si>
    <t>大布鲁</t>
  </si>
  <si>
    <t>50074两个装</t>
  </si>
  <si>
    <t>50074六个装</t>
  </si>
  <si>
    <t>客人放MA数量</t>
  </si>
  <si>
    <t>已接实单</t>
  </si>
  <si>
    <t>剩余MA数量</t>
  </si>
  <si>
    <t>出货期</t>
  </si>
  <si>
    <t>13095.AC0.00WR</t>
  </si>
  <si>
    <t>C</t>
  </si>
  <si>
    <t>14312.AF0.106L</t>
  </si>
  <si>
    <t>灯公仔</t>
  </si>
  <si>
    <t>14345.AF0.106L</t>
  </si>
  <si>
    <t>17344.AD0.005L</t>
  </si>
  <si>
    <t>布鲁公仔一代</t>
  </si>
  <si>
    <t>17345.AB0.00WR</t>
  </si>
  <si>
    <t>校巴</t>
  </si>
  <si>
    <t>17529.AB0.00WR</t>
  </si>
  <si>
    <t>大树</t>
  </si>
  <si>
    <t>17552.AB0.00WR</t>
  </si>
  <si>
    <t>A-C</t>
  </si>
  <si>
    <t>17588.AA0.005L</t>
  </si>
  <si>
    <t>玩具商场+车仔</t>
  </si>
  <si>
    <t>17644.AA0.0000</t>
  </si>
  <si>
    <t>13095.AC0.00KL</t>
  </si>
  <si>
    <t>13095.AC0.00SS</t>
  </si>
  <si>
    <t>14300.AF0.106L</t>
  </si>
  <si>
    <t>14303.AF0.106L</t>
  </si>
  <si>
    <t>14305.AF0.106L</t>
  </si>
  <si>
    <t>14311.AB0.0000</t>
  </si>
  <si>
    <t>14311.AB0.00SS</t>
  </si>
  <si>
    <t>14312.AB0.0000</t>
  </si>
  <si>
    <t>14312.AB0.00SS</t>
  </si>
  <si>
    <t>14312.AF0.0000</t>
  </si>
  <si>
    <t>14317.AF0.106L</t>
  </si>
  <si>
    <t>14344.AF0.106L</t>
  </si>
  <si>
    <t>14345.AF0.0000</t>
  </si>
  <si>
    <t>14347.AG0.CT00</t>
  </si>
  <si>
    <t>14349.AF0.0000</t>
  </si>
  <si>
    <t>14764.AF0.106L</t>
  </si>
  <si>
    <t>14765.AG0.CT00</t>
  </si>
  <si>
    <t>14766.AG0.CT00</t>
  </si>
  <si>
    <t>14766.AG0.CT02</t>
  </si>
  <si>
    <t>14766</t>
  </si>
  <si>
    <t>14766.AG0.CT04</t>
  </si>
  <si>
    <t>14767.AG0.CT03</t>
  </si>
  <si>
    <t>14767</t>
  </si>
  <si>
    <t>14768.AG0.CT05</t>
  </si>
  <si>
    <t>14768</t>
  </si>
  <si>
    <t>14769.AG0.CT06</t>
  </si>
  <si>
    <t>14769</t>
  </si>
  <si>
    <t>17337.AB0.0000</t>
  </si>
  <si>
    <t>学校</t>
  </si>
  <si>
    <t>17337.AB0.005L</t>
  </si>
  <si>
    <t>17337.AB0.11AZ</t>
  </si>
  <si>
    <t>17337.AD0.0000</t>
  </si>
  <si>
    <t>17341.AB0.0000</t>
  </si>
  <si>
    <t>17341.AD0.0000</t>
  </si>
  <si>
    <t>17341.AD0.005L</t>
  </si>
  <si>
    <t>17341.EG0.0000</t>
  </si>
  <si>
    <t>17342.AD0.0000</t>
  </si>
  <si>
    <t>布鲁伊玩偶2只装-布鲁伊和温顿</t>
  </si>
  <si>
    <t>17342.AD0.005L</t>
  </si>
  <si>
    <t>17342.AF0.0000</t>
  </si>
  <si>
    <t>17343.AD0.0000</t>
  </si>
  <si>
    <t>布鲁伊玩偶2只装-学校茶话会</t>
  </si>
  <si>
    <t>17343.AD0.005L</t>
  </si>
  <si>
    <t>17344.AD0.0000</t>
  </si>
  <si>
    <t>17345.AB0.0000</t>
  </si>
  <si>
    <t>17345.AB0.005L</t>
  </si>
  <si>
    <t>17345.AB0.00SS</t>
  </si>
  <si>
    <t>17345.AD0.0000</t>
  </si>
  <si>
    <t>学校邮购合装</t>
  </si>
  <si>
    <t>17392.AA0.0000</t>
  </si>
  <si>
    <t>17513.AA0.0000</t>
  </si>
  <si>
    <t>17513.AA0.005L</t>
  </si>
  <si>
    <t>17527.AD0.0000</t>
  </si>
  <si>
    <t>布鲁公仔二代</t>
  </si>
  <si>
    <t>17528.AD0.0000</t>
  </si>
  <si>
    <t>布鲁伊&amp;强盗</t>
  </si>
  <si>
    <t>17529.AB0.0000</t>
  </si>
  <si>
    <t>17529.AB0.005L</t>
  </si>
  <si>
    <t>17529.AD0.0000</t>
  </si>
  <si>
    <t>17529.BB0.0000</t>
  </si>
  <si>
    <t>17552.AB0.0000</t>
  </si>
  <si>
    <t>17588.AB0.0000</t>
  </si>
  <si>
    <t>18947.AD0.005L</t>
  </si>
  <si>
    <t>大树，校巴，车仔</t>
  </si>
  <si>
    <t>50040.AB0.0000</t>
  </si>
  <si>
    <t>大头公仔</t>
  </si>
  <si>
    <t>50040.AB0.0200</t>
  </si>
  <si>
    <t>50040.AB0.11AZ</t>
  </si>
  <si>
    <t>50047.AC0.005L</t>
  </si>
  <si>
    <t>50047.AC0.0200</t>
  </si>
  <si>
    <t>50060.AB0.0000</t>
  </si>
  <si>
    <t>50064.AB0.0000</t>
  </si>
  <si>
    <t>50064.AB0.TB00</t>
  </si>
  <si>
    <t>50074.AB0.0000</t>
  </si>
  <si>
    <t>50074.AB0.0200</t>
  </si>
  <si>
    <t>50074.AB0.025L</t>
  </si>
  <si>
    <t>50110.AB0.0000</t>
  </si>
  <si>
    <t>50111.AB0.0000</t>
  </si>
  <si>
    <t>50111.AB0.025L</t>
  </si>
  <si>
    <t>50112.AB0.0000</t>
  </si>
  <si>
    <t>50112.AB0.025L</t>
  </si>
  <si>
    <t>50113.AB0.0000</t>
  </si>
  <si>
    <t>50113.AB0.025L</t>
  </si>
  <si>
    <t>50116.AB0.0000</t>
  </si>
  <si>
    <t>50119.AB0.0200</t>
  </si>
  <si>
    <t>50122.AB0.0000</t>
  </si>
  <si>
    <t>50122.AB0.0200</t>
  </si>
  <si>
    <t>50124.AB0.0200</t>
  </si>
  <si>
    <t>50125.AB0.0000</t>
  </si>
  <si>
    <t>五代BB公仔</t>
  </si>
  <si>
    <t>50125.AB0.0200</t>
  </si>
  <si>
    <t>50127.AB0.0000</t>
  </si>
  <si>
    <t>50127.AB0.0200</t>
  </si>
  <si>
    <t>50127.AB0.025L</t>
  </si>
  <si>
    <t>50128.AB0.0000</t>
  </si>
  <si>
    <t>50128.AB0.0200</t>
  </si>
  <si>
    <t>50128.AB0.025L</t>
  </si>
  <si>
    <t>50157.AB0.0000</t>
  </si>
  <si>
    <t>50157.AB0.0200</t>
  </si>
  <si>
    <t>50171.AB0.0000</t>
  </si>
  <si>
    <t>大头+BB公仔</t>
  </si>
  <si>
    <t>50171.AB0.0200</t>
  </si>
  <si>
    <t>50186.AB0.0000</t>
  </si>
  <si>
    <t>BB公仔</t>
  </si>
  <si>
    <t>50186.AB0.005L</t>
  </si>
  <si>
    <t>50186.AB0.BM00</t>
  </si>
  <si>
    <t>50187.AB0.0000</t>
  </si>
  <si>
    <t>50187.AB0.005L</t>
  </si>
  <si>
    <t>50187.AB0.0200</t>
  </si>
  <si>
    <t>50188.AB0.0000</t>
  </si>
  <si>
    <t>六代BB公仔</t>
  </si>
  <si>
    <t>50188.AB0.005L</t>
  </si>
  <si>
    <t>50188.AB0.0200</t>
  </si>
  <si>
    <t>50189.AB0.0000</t>
  </si>
  <si>
    <t>50189.AB0.005L</t>
  </si>
  <si>
    <t>50189.AB0.BM00</t>
  </si>
  <si>
    <t>50190.AB0.0000</t>
  </si>
  <si>
    <t>50190.AB0.005L</t>
  </si>
  <si>
    <t>50190.AB0.0200</t>
  </si>
  <si>
    <t>50191.AB0.0000</t>
  </si>
  <si>
    <t>50191.AB0.005L</t>
  </si>
  <si>
    <t>50191.AB0.0200</t>
  </si>
  <si>
    <t>50212.AB0.0200</t>
  </si>
  <si>
    <t>50221.AB0.025L</t>
  </si>
  <si>
    <t>50224.AB0.0200</t>
  </si>
  <si>
    <t>50238.AB0.0000</t>
  </si>
  <si>
    <t>50238.AB0.005L</t>
  </si>
  <si>
    <t>50239.AB0.0000</t>
  </si>
  <si>
    <t>50239.AB0.005L</t>
  </si>
  <si>
    <t>50239.AB0.00SS</t>
  </si>
  <si>
    <t>50239.AB0.BA00</t>
  </si>
  <si>
    <t>50240.AB0.0000</t>
  </si>
  <si>
    <t>50240.AB0.005L</t>
  </si>
  <si>
    <t>50240.AB0.00SS</t>
  </si>
  <si>
    <t>50240.AB0.BA00</t>
  </si>
  <si>
    <t>50241.AB0.0000</t>
  </si>
  <si>
    <t>50241.AB0.005L</t>
  </si>
  <si>
    <t>50241.AB0.00SS</t>
  </si>
  <si>
    <t>50241.AB0.BA00</t>
  </si>
  <si>
    <t>50242.AB0.0000</t>
  </si>
  <si>
    <t>50242.AB0.005L</t>
  </si>
  <si>
    <t>50242.AB0.BM00</t>
  </si>
  <si>
    <t>50243.AB0.0000</t>
  </si>
  <si>
    <t>50243.AB0.005L</t>
  </si>
  <si>
    <t>50243.AB0.00SS</t>
  </si>
  <si>
    <t>50243.AB0.BA00</t>
  </si>
  <si>
    <t>50244.AB0.0000</t>
  </si>
  <si>
    <t>50244.AB0.005L</t>
  </si>
  <si>
    <t>50244.AB0.00SS</t>
  </si>
  <si>
    <t>50244.AB0.BA00</t>
  </si>
  <si>
    <t>50245.AB0.0000</t>
  </si>
  <si>
    <t>50245.AB0.005L</t>
  </si>
  <si>
    <t>50245.AB0.00SS</t>
  </si>
  <si>
    <t>50245.AB0.BA00</t>
  </si>
  <si>
    <t>50246.AB0.0000</t>
  </si>
  <si>
    <t>50246.AB0.005L</t>
  </si>
  <si>
    <t>50246.AB0.00SS</t>
  </si>
  <si>
    <t>50246.AB0.BA00</t>
  </si>
  <si>
    <t>50247.AB0.0000</t>
  </si>
  <si>
    <t>独角兽</t>
  </si>
  <si>
    <t>50247.AB0.005L</t>
  </si>
  <si>
    <t>50247.AB0.00SS</t>
  </si>
  <si>
    <t>50247.AB0.BA00</t>
  </si>
  <si>
    <t>50247.AB0.BM00</t>
  </si>
  <si>
    <t>50253.AB0.0000</t>
  </si>
  <si>
    <t>50253.AB0.005L</t>
  </si>
  <si>
    <t>50256.AB0.0000</t>
  </si>
  <si>
    <t>50256.AB0.005L</t>
  </si>
  <si>
    <t>50263.AB0.0000</t>
  </si>
  <si>
    <t>50263.AB0.005L</t>
  </si>
  <si>
    <t>50267.AB0.0000</t>
  </si>
  <si>
    <t>50268.AB0.0000</t>
  </si>
  <si>
    <t>50268.AB0.005L</t>
  </si>
  <si>
    <t>50269.AB0.0000</t>
  </si>
  <si>
    <t>50269.AB0.005L</t>
  </si>
  <si>
    <t>50270.AB0.0000</t>
  </si>
  <si>
    <t>50270.AB0.005L</t>
  </si>
  <si>
    <t>50271.AB0.0000</t>
  </si>
  <si>
    <t>50272.AB0.0000</t>
  </si>
  <si>
    <t>50272.AB0.005L</t>
  </si>
  <si>
    <t>50273.AB0.0000</t>
  </si>
  <si>
    <t>50274.AB0.0000</t>
  </si>
  <si>
    <t>50274.AB0.005L</t>
  </si>
  <si>
    <t>50275.AB0.0000</t>
  </si>
  <si>
    <t>50275.AB0.005L</t>
  </si>
  <si>
    <t>50275.AB0.00SS</t>
  </si>
  <si>
    <t>50275.AB0.BA00</t>
  </si>
  <si>
    <t>50276.AB0.0000</t>
  </si>
  <si>
    <t>50276.AB0.005L</t>
  </si>
  <si>
    <t>50279.AB0.0000</t>
  </si>
  <si>
    <t>二代植绒公仔</t>
  </si>
  <si>
    <t>50279.AB0.005L</t>
  </si>
  <si>
    <t>50280.AB0.005L</t>
  </si>
  <si>
    <t>50281.AB0.BM00</t>
  </si>
  <si>
    <t>50282.AB0.BM00</t>
  </si>
  <si>
    <t>BAN KEE TRADING INCORPORATED</t>
  </si>
  <si>
    <t>菲律宾</t>
  </si>
  <si>
    <t xml:space="preserve"> L.E. INTERNATIONAL CORP.</t>
  </si>
  <si>
    <t>台湾</t>
  </si>
  <si>
    <t xml:space="preserve">TJX UK FREIGHT FORWARDER
</t>
  </si>
  <si>
    <t xml:space="preserve">TJX DE FREIGHT FORWARDER
</t>
  </si>
  <si>
    <t>德国</t>
  </si>
  <si>
    <t>SPECTRON BV</t>
  </si>
  <si>
    <t>荷兰</t>
  </si>
  <si>
    <t xml:space="preserve"> MOOSE AU WAREHOUSE
</t>
  </si>
  <si>
    <t xml:space="preserve"> ALDI STORES (IRELAND) LTD M'TOWN FOBCC E(FOBCC - Euro)</t>
  </si>
  <si>
    <t>爱尔兰</t>
  </si>
  <si>
    <t>ALDI STORES (A'STONE) FOBCC (FOBCC - Sterling)</t>
  </si>
  <si>
    <t xml:space="preserve">MOOSE REGAL WAREHOUSE
</t>
  </si>
  <si>
    <t>SHENG TAI TOYS PTE LTD</t>
  </si>
  <si>
    <t>新加坡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</si>
</sst>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_(* #,##0.00_);_(* \(#,##0.00\);_(* &quot;-&quot;??_);_(@_)"/>
    <numFmt numFmtId="178" formatCode="yyyy/m/d&quot;周&quot;aaa"/>
    <numFmt numFmtId="179" formatCode="yyyy&quot;年&quot;m&quot;月&quot;d&quot;日&quot;;@"/>
    <numFmt numFmtId="180" formatCode="0.000_ "/>
    <numFmt numFmtId="181" formatCode="0.00_ "/>
    <numFmt numFmtId="182" formatCode="m&quot;月&quot;d&quot;日&quot;;@"/>
    <numFmt numFmtId="183" formatCode="yyyy/m/d;@"/>
    <numFmt numFmtId="184" formatCode="0.00_);[Red]\(0.00\)"/>
    <numFmt numFmtId="185" formatCode="0.000_);[Red]\(0.000\)"/>
  </numFmts>
  <fonts count="56"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  <scheme val="major"/>
    </font>
    <font>
      <sz val="10"/>
      <color rgb="FFFF0000"/>
      <name val="宋体"/>
      <charset val="134"/>
      <scheme val="major"/>
    </font>
    <font>
      <b/>
      <sz val="20"/>
      <name val="宋体"/>
      <charset val="134"/>
    </font>
    <font>
      <sz val="12"/>
      <color rgb="FF000000"/>
      <name val="宋体"/>
      <charset val="134"/>
    </font>
    <font>
      <b/>
      <sz val="10"/>
      <color rgb="FFFF00FF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2"/>
      <color rgb="FF0000FF"/>
      <name val="宋体"/>
      <charset val="134"/>
    </font>
    <font>
      <sz val="10"/>
      <color rgb="FF0000FF"/>
      <name val="宋体"/>
      <charset val="134"/>
    </font>
    <font>
      <b/>
      <sz val="10"/>
      <color rgb="FFFF00FF"/>
      <name val="宋体"/>
      <charset val="134"/>
      <scheme val="major"/>
    </font>
    <font>
      <b/>
      <sz val="10"/>
      <color rgb="FFFF0000"/>
      <name val="宋体"/>
      <charset val="134"/>
      <scheme val="major"/>
    </font>
    <font>
      <b/>
      <sz val="10"/>
      <name val="宋体"/>
      <charset val="134"/>
      <scheme val="major"/>
    </font>
    <font>
      <sz val="12"/>
      <color rgb="FFFF00FF"/>
      <name val="宋体"/>
      <charset val="134"/>
    </font>
    <font>
      <sz val="12"/>
      <color rgb="FFE82EE6"/>
      <name val="宋体"/>
      <charset val="134"/>
    </font>
    <font>
      <sz val="10"/>
      <color rgb="FFFF00FF"/>
      <name val="宋体"/>
      <charset val="134"/>
      <scheme val="major"/>
    </font>
    <font>
      <sz val="10"/>
      <color rgb="FFFF00FF"/>
      <name val="宋体"/>
      <charset val="134"/>
    </font>
    <font>
      <sz val="10"/>
      <color rgb="FFE82EE6"/>
      <name val="宋体"/>
      <charset val="134"/>
    </font>
    <font>
      <b/>
      <sz val="10"/>
      <color rgb="FFE82EE6"/>
      <name val="宋体"/>
      <charset val="134"/>
    </font>
    <font>
      <sz val="10"/>
      <color rgb="FFE82EE6"/>
      <name val="宋体"/>
      <charset val="134"/>
      <scheme val="major"/>
    </font>
    <font>
      <strike/>
      <sz val="10"/>
      <name val="宋体"/>
      <charset val="134"/>
      <scheme val="major"/>
    </font>
    <font>
      <b/>
      <sz val="14"/>
      <name val="宋体"/>
      <charset val="134"/>
      <scheme val="major"/>
    </font>
    <font>
      <sz val="10"/>
      <color rgb="FF0000FF"/>
      <name val="宋体"/>
      <charset val="134"/>
      <scheme val="major"/>
    </font>
    <font>
      <b/>
      <sz val="16"/>
      <color rgb="FFFF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0"/>
    </font>
    <font>
      <sz val="11"/>
      <color theme="1"/>
      <name val="Arial"/>
      <charset val="134"/>
    </font>
    <font>
      <b/>
      <sz val="9"/>
      <name val="宋体"/>
      <charset val="0"/>
    </font>
    <font>
      <sz val="9"/>
      <name val="宋体"/>
      <charset val="134"/>
    </font>
    <font>
      <sz val="9"/>
      <name val="宋体"/>
      <charset val="0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176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" fillId="3" borderId="7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4" borderId="10" applyNumberFormat="0" applyAlignment="0" applyProtection="0">
      <alignment vertical="center"/>
    </xf>
    <xf numFmtId="0" fontId="40" fillId="5" borderId="11" applyNumberFormat="0" applyAlignment="0" applyProtection="0">
      <alignment vertical="center"/>
    </xf>
    <xf numFmtId="0" fontId="41" fillId="5" borderId="10" applyNumberFormat="0" applyAlignment="0" applyProtection="0">
      <alignment vertical="center"/>
    </xf>
    <xf numFmtId="0" fontId="42" fillId="6" borderId="12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0" fillId="0" borderId="0"/>
    <xf numFmtId="177" fontId="2" fillId="0" borderId="0" applyFont="0" applyFill="0" applyBorder="0" applyAlignment="0" applyProtection="0"/>
    <xf numFmtId="176" fontId="0" fillId="0" borderId="0"/>
    <xf numFmtId="176" fontId="0" fillId="0" borderId="0"/>
    <xf numFmtId="176" fontId="2" fillId="0" borderId="0"/>
    <xf numFmtId="177" fontId="51" fillId="0" borderId="0" applyFont="0" applyFill="0" applyBorder="0" applyAlignment="0" applyProtection="0"/>
    <xf numFmtId="176" fontId="0" fillId="0" borderId="0">
      <alignment vertical="center"/>
    </xf>
    <xf numFmtId="176" fontId="0" fillId="0" borderId="0"/>
    <xf numFmtId="176" fontId="0" fillId="0" borderId="0"/>
  </cellStyleXfs>
  <cellXfs count="283">
    <xf numFmtId="176" fontId="0" fillId="0" borderId="0" xfId="0"/>
    <xf numFmtId="176" fontId="0" fillId="0" borderId="0" xfId="0" applyAlignment="1">
      <alignment horizontal="center"/>
    </xf>
    <xf numFmtId="176" fontId="1" fillId="0" borderId="0" xfId="0" applyFont="1" applyFill="1" applyAlignment="1" applyProtection="1">
      <alignment horizontal="center" vertical="center"/>
    </xf>
    <xf numFmtId="176" fontId="2" fillId="0" borderId="0" xfId="0" applyFont="1" applyFill="1" applyAlignment="1" applyProtection="1">
      <alignment horizontal="center" vertical="center"/>
    </xf>
    <xf numFmtId="176" fontId="3" fillId="0" borderId="0" xfId="0" applyFont="1" applyFill="1" applyAlignment="1" applyProtection="1">
      <alignment horizontal="center" vertical="center" wrapText="1"/>
    </xf>
    <xf numFmtId="176" fontId="3" fillId="0" borderId="0" xfId="0" applyFon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  <xf numFmtId="176" fontId="0" fillId="0" borderId="0" xfId="0" applyFont="1" applyFill="1" applyProtection="1">
      <protection locked="0"/>
    </xf>
    <xf numFmtId="176" fontId="0" fillId="0" borderId="0" xfId="0" applyFont="1" applyFill="1" applyAlignment="1" applyProtection="1">
      <alignment horizontal="center" vertical="center"/>
      <protection locked="0"/>
    </xf>
    <xf numFmtId="176" fontId="4" fillId="0" borderId="0" xfId="0" applyFont="1" applyFill="1" applyProtection="1"/>
    <xf numFmtId="176" fontId="5" fillId="0" borderId="0" xfId="0" applyFont="1" applyFill="1" applyBorder="1" applyAlignment="1" applyProtection="1">
      <alignment horizontal="center" vertical="center"/>
    </xf>
    <xf numFmtId="176" fontId="0" fillId="0" borderId="0" xfId="0" applyFont="1" applyFill="1" applyProtection="1"/>
    <xf numFmtId="178" fontId="5" fillId="0" borderId="0" xfId="0" applyNumberFormat="1" applyFont="1" applyFill="1" applyBorder="1" applyAlignment="1" applyProtection="1">
      <alignment horizontal="center" vertical="center" wrapText="1" shrinkToFit="1"/>
    </xf>
    <xf numFmtId="178" fontId="3" fillId="0" borderId="0" xfId="0" applyNumberFormat="1" applyFont="1" applyFill="1" applyBorder="1" applyAlignment="1" applyProtection="1">
      <alignment horizontal="center" vertical="center" wrapText="1" shrinkToFit="1"/>
    </xf>
    <xf numFmtId="176" fontId="3" fillId="0" borderId="0" xfId="0" applyFont="1" applyFill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/>
      <protection locked="0"/>
    </xf>
    <xf numFmtId="179" fontId="0" fillId="0" borderId="0" xfId="0" applyNumberFormat="1" applyFont="1" applyFill="1" applyAlignment="1" applyProtection="1">
      <alignment horizontal="center" vertical="center"/>
      <protection locked="0"/>
    </xf>
    <xf numFmtId="178" fontId="5" fillId="0" borderId="0" xfId="0" applyNumberFormat="1" applyFont="1" applyFill="1" applyBorder="1" applyAlignment="1">
      <alignment horizontal="center" vertical="center" shrinkToFit="1"/>
    </xf>
    <xf numFmtId="58" fontId="5" fillId="0" borderId="0" xfId="0" applyNumberFormat="1" applyFont="1" applyFill="1" applyBorder="1" applyAlignment="1" applyProtection="1">
      <alignment horizontal="center" vertical="center" shrinkToFit="1"/>
    </xf>
    <xf numFmtId="178" fontId="6" fillId="0" borderId="0" xfId="0" applyNumberFormat="1" applyFont="1" applyFill="1" applyBorder="1" applyAlignment="1" applyProtection="1">
      <alignment horizontal="center" vertical="center" shrinkToFit="1"/>
    </xf>
    <xf numFmtId="176" fontId="0" fillId="0" borderId="0" xfId="0" applyAlignment="1">
      <alignment horizontal="center" vertical="center"/>
    </xf>
    <xf numFmtId="176" fontId="7" fillId="0" borderId="0" xfId="0" applyFont="1" applyAlignment="1">
      <alignment horizontal="center" vertical="center"/>
    </xf>
    <xf numFmtId="176" fontId="7" fillId="0" borderId="0" xfId="0" applyFont="1" applyAlignment="1">
      <alignment vertical="center"/>
    </xf>
    <xf numFmtId="176" fontId="8" fillId="0" borderId="0" xfId="0" applyFont="1" applyFill="1" applyAlignment="1" applyProtection="1">
      <alignment horizontal="center" vertical="center"/>
      <protection locked="0"/>
    </xf>
    <xf numFmtId="176" fontId="3" fillId="0" borderId="0" xfId="0" applyFont="1" applyFill="1" applyBorder="1" applyAlignment="1" applyProtection="1">
      <alignment horizontal="center" vertical="center"/>
      <protection locked="0"/>
    </xf>
    <xf numFmtId="180" fontId="3" fillId="0" borderId="0" xfId="0" applyNumberFormat="1" applyFont="1" applyFill="1" applyBorder="1" applyAlignment="1" applyProtection="1">
      <alignment horizontal="center" vertical="center"/>
    </xf>
    <xf numFmtId="176" fontId="9" fillId="0" borderId="0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 wrapText="1" shrinkToFit="1"/>
    </xf>
    <xf numFmtId="178" fontId="3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1" fontId="3" fillId="0" borderId="0" xfId="0" applyNumberFormat="1" applyFont="1" applyFill="1" applyBorder="1" applyAlignment="1" applyProtection="1">
      <alignment horizontal="center" vertical="center"/>
    </xf>
    <xf numFmtId="178" fontId="9" fillId="0" borderId="0" xfId="0" applyNumberFormat="1" applyFont="1" applyFill="1" applyBorder="1" applyAlignment="1" applyProtection="1">
      <alignment horizontal="center" vertical="center" wrapText="1" shrinkToFit="1"/>
    </xf>
    <xf numFmtId="178" fontId="10" fillId="0" borderId="0" xfId="0" applyNumberFormat="1" applyFont="1" applyFill="1" applyBorder="1" applyAlignment="1" applyProtection="1">
      <alignment horizontal="center" vertical="center" wrapText="1" shrinkToFit="1"/>
    </xf>
    <xf numFmtId="176" fontId="10" fillId="0" borderId="0" xfId="0" applyFont="1" applyFill="1" applyBorder="1" applyAlignment="1" applyProtection="1">
      <alignment horizontal="center" vertical="center"/>
      <protection locked="0"/>
    </xf>
    <xf numFmtId="176" fontId="10" fillId="0" borderId="0" xfId="0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178" fontId="10" fillId="0" borderId="0" xfId="0" applyNumberFormat="1" applyFont="1" applyFill="1" applyBorder="1" applyAlignment="1" applyProtection="1">
      <alignment horizontal="center" vertical="center"/>
    </xf>
    <xf numFmtId="180" fontId="10" fillId="0" borderId="0" xfId="0" applyNumberFormat="1" applyFont="1" applyFill="1" applyBorder="1" applyAlignment="1" applyProtection="1">
      <alignment horizontal="center" vertical="center"/>
    </xf>
    <xf numFmtId="181" fontId="10" fillId="0" borderId="0" xfId="0" applyNumberFormat="1" applyFont="1" applyFill="1" applyBorder="1" applyAlignment="1" applyProtection="1">
      <alignment horizontal="center" vertical="center"/>
    </xf>
    <xf numFmtId="176" fontId="11" fillId="0" borderId="0" xfId="0" applyFont="1" applyFill="1" applyBorder="1" applyAlignment="1" applyProtection="1">
      <alignment horizontal="center" vertical="center"/>
    </xf>
    <xf numFmtId="181" fontId="10" fillId="0" borderId="0" xfId="0" applyNumberFormat="1" applyFont="1" applyFill="1" applyAlignment="1" applyProtection="1">
      <alignment horizontal="center" vertical="center"/>
    </xf>
    <xf numFmtId="178" fontId="3" fillId="0" borderId="0" xfId="0" applyNumberFormat="1" applyFont="1" applyFill="1" applyBorder="1" applyAlignment="1" applyProtection="1">
      <alignment horizontal="center" vertical="center"/>
    </xf>
    <xf numFmtId="181" fontId="3" fillId="0" borderId="0" xfId="0" applyNumberFormat="1" applyFont="1" applyFill="1" applyAlignment="1" applyProtection="1">
      <alignment horizontal="center" vertical="center"/>
    </xf>
    <xf numFmtId="176" fontId="12" fillId="0" borderId="0" xfId="0" applyFont="1" applyFill="1" applyBorder="1" applyAlignment="1" applyProtection="1">
      <alignment horizontal="center" vertical="center"/>
    </xf>
    <xf numFmtId="176" fontId="12" fillId="0" borderId="0" xfId="0" applyFont="1" applyFill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181" fontId="14" fillId="0" borderId="0" xfId="0" applyNumberFormat="1" applyFont="1" applyFill="1" applyAlignment="1" applyProtection="1">
      <alignment horizontal="center" vertical="center"/>
    </xf>
    <xf numFmtId="181" fontId="14" fillId="0" borderId="0" xfId="0" applyNumberFormat="1" applyFont="1" applyFill="1" applyBorder="1" applyAlignment="1" applyProtection="1">
      <alignment horizontal="center" vertical="center"/>
    </xf>
    <xf numFmtId="176" fontId="14" fillId="0" borderId="0" xfId="0" applyFont="1" applyFill="1" applyAlignment="1" applyProtection="1">
      <alignment horizontal="center" vertical="center"/>
    </xf>
    <xf numFmtId="176" fontId="14" fillId="0" borderId="0" xfId="0" applyFont="1" applyFill="1" applyBorder="1" applyAlignment="1" applyProtection="1">
      <alignment horizontal="center" vertical="center"/>
    </xf>
    <xf numFmtId="176" fontId="4" fillId="0" borderId="0" xfId="0" applyFont="1" applyFill="1" applyAlignment="1" applyProtection="1">
      <alignment horizontal="center" vertical="center"/>
      <protection locked="0"/>
    </xf>
    <xf numFmtId="182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15" fillId="0" borderId="0" xfId="0" applyFont="1" applyFill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 shrinkToFit="1"/>
    </xf>
    <xf numFmtId="182" fontId="3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76" fontId="3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78" fontId="16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58" fontId="13" fillId="0" borderId="0" xfId="0" applyNumberFormat="1" applyFont="1" applyFill="1" applyBorder="1" applyAlignment="1" applyProtection="1">
      <alignment horizontal="center" vertical="center" shrinkToFit="1"/>
      <protection locked="0"/>
    </xf>
    <xf numFmtId="178" fontId="13" fillId="0" borderId="1" xfId="0" applyNumberFormat="1" applyFont="1" applyFill="1" applyBorder="1" applyAlignment="1" applyProtection="1">
      <alignment horizontal="center" vertical="center" wrapText="1" shrinkToFit="1"/>
    </xf>
    <xf numFmtId="176" fontId="13" fillId="0" borderId="1" xfId="0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178" fontId="13" fillId="0" borderId="1" xfId="0" applyNumberFormat="1" applyFont="1" applyFill="1" applyBorder="1" applyAlignment="1" applyProtection="1">
      <alignment horizontal="center" vertical="center"/>
    </xf>
    <xf numFmtId="178" fontId="13" fillId="0" borderId="1" xfId="0" applyNumberFormat="1" applyFont="1" applyFill="1" applyBorder="1" applyAlignment="1" applyProtection="1">
      <alignment horizontal="center" vertical="center" shrinkToFit="1"/>
    </xf>
    <xf numFmtId="182" fontId="13" fillId="0" borderId="1" xfId="0" applyNumberFormat="1" applyFont="1" applyFill="1" applyBorder="1" applyAlignment="1" applyProtection="1">
      <alignment horizontal="center" vertical="center"/>
      <protection locked="0"/>
    </xf>
    <xf numFmtId="176" fontId="13" fillId="0" borderId="1" xfId="0" applyNumberFormat="1" applyFont="1" applyFill="1" applyBorder="1" applyAlignment="1" applyProtection="1">
      <alignment horizontal="center" vertical="center"/>
      <protection locked="0"/>
    </xf>
    <xf numFmtId="176" fontId="13" fillId="0" borderId="1" xfId="0" applyFont="1" applyFill="1" applyBorder="1" applyAlignment="1" applyProtection="1">
      <alignment horizontal="center" vertical="center"/>
      <protection locked="0"/>
    </xf>
    <xf numFmtId="180" fontId="13" fillId="0" borderId="1" xfId="0" applyNumberFormat="1" applyFont="1" applyFill="1" applyBorder="1" applyAlignment="1" applyProtection="1">
      <alignment horizontal="center" vertical="center"/>
      <protection locked="0"/>
    </xf>
    <xf numFmtId="181" fontId="13" fillId="0" borderId="1" xfId="0" applyNumberFormat="1" applyFont="1" applyFill="1" applyBorder="1" applyAlignment="1" applyProtection="1">
      <alignment horizontal="center" vertical="center"/>
    </xf>
    <xf numFmtId="176" fontId="14" fillId="0" borderId="1" xfId="0" applyFont="1" applyFill="1" applyBorder="1" applyAlignment="1" applyProtection="1">
      <alignment horizontal="center" vertical="center"/>
    </xf>
    <xf numFmtId="176" fontId="13" fillId="0" borderId="1" xfId="0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Alignment="1" applyProtection="1">
      <alignment horizontal="center" vertical="center"/>
    </xf>
    <xf numFmtId="176" fontId="3" fillId="0" borderId="0" xfId="0" applyFont="1" applyFill="1" applyBorder="1" applyAlignment="1" applyProtection="1">
      <alignment horizontal="center" vertical="center" wrapText="1"/>
      <protection locked="0"/>
    </xf>
    <xf numFmtId="180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Border="1" applyAlignment="1" applyProtection="1">
      <alignment horizontal="center" vertical="center"/>
    </xf>
    <xf numFmtId="176" fontId="13" fillId="0" borderId="0" xfId="0" applyFont="1" applyFill="1" applyBorder="1" applyAlignment="1" applyProtection="1">
      <alignment horizontal="center" vertical="center"/>
    </xf>
    <xf numFmtId="182" fontId="13" fillId="0" borderId="0" xfId="0" applyNumberFormat="1" applyFont="1" applyFill="1" applyBorder="1" applyAlignment="1" applyProtection="1">
      <alignment horizontal="center" vertical="center"/>
      <protection locked="0"/>
    </xf>
    <xf numFmtId="176" fontId="13" fillId="0" borderId="0" xfId="0" applyNumberFormat="1" applyFont="1" applyFill="1" applyBorder="1" applyAlignment="1" applyProtection="1">
      <alignment horizontal="center" vertical="center"/>
      <protection locked="0"/>
    </xf>
    <xf numFmtId="176" fontId="13" fillId="0" borderId="0" xfId="0" applyFont="1" applyFill="1" applyBorder="1" applyAlignment="1" applyProtection="1">
      <alignment horizontal="center" vertical="center"/>
      <protection locked="0"/>
    </xf>
    <xf numFmtId="181" fontId="4" fillId="2" borderId="0" xfId="0" applyNumberFormat="1" applyFont="1" applyFill="1" applyBorder="1" applyAlignment="1" applyProtection="1">
      <alignment horizontal="center" vertical="center"/>
      <protection locked="0"/>
    </xf>
    <xf numFmtId="181" fontId="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180" fontId="5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wrapText="1" shrinkToFit="1"/>
    </xf>
    <xf numFmtId="178" fontId="5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2" fontId="5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76" fontId="5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1" fontId="5" fillId="0" borderId="0" xfId="0" applyNumberFormat="1" applyFont="1" applyFill="1" applyBorder="1" applyAlignment="1" applyProtection="1">
      <alignment horizontal="center" vertical="center"/>
    </xf>
    <xf numFmtId="178" fontId="17" fillId="0" borderId="0" xfId="0" applyNumberFormat="1" applyFont="1" applyFill="1" applyBorder="1" applyAlignment="1" applyProtection="1">
      <alignment horizontal="center" vertical="center" wrapText="1" shrinkToFit="1"/>
    </xf>
    <xf numFmtId="176" fontId="5" fillId="0" borderId="0" xfId="0" applyFont="1" applyFill="1" applyBorder="1" applyAlignment="1" applyProtection="1">
      <alignment horizontal="center" vertical="center"/>
      <protection locked="0"/>
    </xf>
    <xf numFmtId="58" fontId="6" fillId="0" borderId="0" xfId="0" applyNumberFormat="1" applyFont="1" applyFill="1" applyBorder="1" applyAlignment="1" applyProtection="1">
      <alignment horizontal="center" vertical="center" shrinkToFit="1"/>
      <protection locked="0"/>
    </xf>
    <xf numFmtId="183" fontId="3" fillId="0" borderId="0" xfId="0" applyNumberFormat="1" applyFont="1" applyFill="1" applyBorder="1" applyAlignment="1" applyProtection="1">
      <alignment horizontal="center" vertical="center" shrinkToFit="1"/>
    </xf>
    <xf numFmtId="176" fontId="3" fillId="0" borderId="0" xfId="0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Alignment="1" applyProtection="1">
      <alignment horizontal="center" vertical="center"/>
    </xf>
    <xf numFmtId="176" fontId="10" fillId="0" borderId="0" xfId="0" applyFont="1" applyFill="1" applyBorder="1" applyAlignment="1" applyProtection="1">
      <alignment horizontal="center" vertical="center" wrapText="1"/>
    </xf>
    <xf numFmtId="176" fontId="5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76" fontId="5" fillId="0" borderId="0" xfId="0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shrinkToFit="1"/>
    </xf>
    <xf numFmtId="176" fontId="5" fillId="0" borderId="0" xfId="0" applyFont="1" applyFill="1" applyBorder="1" applyAlignment="1">
      <alignment horizontal="center" vertical="center"/>
    </xf>
    <xf numFmtId="176" fontId="6" fillId="0" borderId="0" xfId="0" applyFont="1" applyFill="1" applyBorder="1" applyAlignment="1" applyProtection="1">
      <alignment horizontal="center" vertical="center"/>
    </xf>
    <xf numFmtId="176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 shrinkToFit="1"/>
    </xf>
    <xf numFmtId="176" fontId="6" fillId="0" borderId="0" xfId="0" applyFont="1" applyFill="1" applyBorder="1" applyAlignment="1" applyProtection="1">
      <alignment horizontal="center" vertical="center" wrapText="1"/>
    </xf>
    <xf numFmtId="180" fontId="6" fillId="0" borderId="0" xfId="0" applyNumberFormat="1" applyFont="1" applyFill="1" applyBorder="1" applyAlignment="1" applyProtection="1">
      <alignment horizontal="center" vertical="center"/>
    </xf>
    <xf numFmtId="181" fontId="6" fillId="0" borderId="0" xfId="0" applyNumberFormat="1" applyFont="1" applyFill="1" applyBorder="1" applyAlignment="1" applyProtection="1">
      <alignment horizontal="center" vertical="center"/>
    </xf>
    <xf numFmtId="176" fontId="18" fillId="0" borderId="0" xfId="0" applyFont="1" applyFill="1" applyBorder="1" applyAlignment="1" applyProtection="1">
      <alignment horizontal="center" vertical="center"/>
    </xf>
    <xf numFmtId="176" fontId="18" fillId="0" borderId="0" xfId="0" applyFont="1" applyFill="1" applyAlignment="1" applyProtection="1">
      <alignment horizontal="center" vertical="center"/>
    </xf>
    <xf numFmtId="176" fontId="19" fillId="0" borderId="0" xfId="0" applyFont="1" applyFill="1" applyAlignment="1" applyProtection="1">
      <alignment horizontal="center" vertical="center"/>
    </xf>
    <xf numFmtId="176" fontId="20" fillId="0" borderId="0" xfId="0" applyFont="1" applyFill="1" applyAlignment="1" applyProtection="1">
      <alignment horizontal="center" vertical="center"/>
      <protection locked="0"/>
    </xf>
    <xf numFmtId="176" fontId="21" fillId="0" borderId="0" xfId="0" applyFont="1" applyFill="1" applyAlignment="1" applyProtection="1">
      <alignment horizontal="center" vertical="center"/>
      <protection locked="0"/>
    </xf>
    <xf numFmtId="184" fontId="5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178" fontId="5" fillId="0" borderId="1" xfId="0" applyNumberFormat="1" applyFont="1" applyFill="1" applyBorder="1" applyAlignment="1" applyProtection="1">
      <alignment horizontal="center" vertical="center" wrapText="1" shrinkToFit="1"/>
    </xf>
    <xf numFmtId="0" fontId="5" fillId="0" borderId="1" xfId="0" applyNumberFormat="1" applyFont="1" applyFill="1" applyBorder="1" applyAlignment="1" applyProtection="1">
      <alignment horizontal="center" vertical="center" wrapText="1" shrinkToFit="1"/>
    </xf>
    <xf numFmtId="178" fontId="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2" fontId="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6" fontId="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0" fontId="5" fillId="0" borderId="1" xfId="0" applyNumberFormat="1" applyFont="1" applyFill="1" applyBorder="1" applyAlignment="1" applyProtection="1">
      <alignment horizontal="center" vertical="center"/>
    </xf>
    <xf numFmtId="181" fontId="5" fillId="0" borderId="1" xfId="0" applyNumberFormat="1" applyFont="1" applyFill="1" applyBorder="1" applyAlignment="1" applyProtection="1">
      <alignment horizontal="center" vertical="center"/>
    </xf>
    <xf numFmtId="184" fontId="5" fillId="0" borderId="1" xfId="0" applyNumberFormat="1" applyFont="1" applyFill="1" applyBorder="1" applyAlignment="1" applyProtection="1">
      <alignment horizontal="center" vertical="center"/>
    </xf>
    <xf numFmtId="0" fontId="18" fillId="0" borderId="1" xfId="0" applyNumberFormat="1" applyFont="1" applyFill="1" applyBorder="1" applyAlignment="1" applyProtection="1">
      <alignment horizontal="center" vertical="center" wrapText="1" shrinkToFit="1"/>
    </xf>
    <xf numFmtId="176" fontId="5" fillId="0" borderId="1" xfId="0" applyFont="1" applyFill="1" applyBorder="1" applyAlignment="1" applyProtection="1">
      <alignment horizontal="center" vertical="center"/>
      <protection locked="0"/>
    </xf>
    <xf numFmtId="58" fontId="6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23" fillId="0" borderId="1" xfId="0" applyNumberFormat="1" applyFont="1" applyFill="1" applyBorder="1" applyAlignment="1" applyProtection="1">
      <alignment horizontal="center" vertical="center" wrapText="1" shrinkToFit="1"/>
    </xf>
    <xf numFmtId="176" fontId="23" fillId="0" borderId="1" xfId="0" applyFont="1" applyFill="1" applyBorder="1" applyAlignment="1" applyProtection="1">
      <alignment horizontal="center" vertical="center"/>
    </xf>
    <xf numFmtId="0" fontId="23" fillId="0" borderId="1" xfId="0" applyNumberFormat="1" applyFont="1" applyFill="1" applyBorder="1" applyAlignment="1" applyProtection="1">
      <alignment horizontal="center" vertical="center"/>
    </xf>
    <xf numFmtId="178" fontId="23" fillId="0" borderId="1" xfId="0" applyNumberFormat="1" applyFont="1" applyFill="1" applyBorder="1" applyAlignment="1" applyProtection="1">
      <alignment horizontal="center" vertical="center"/>
    </xf>
    <xf numFmtId="178" fontId="23" fillId="0" borderId="1" xfId="0" applyNumberFormat="1" applyFont="1" applyFill="1" applyBorder="1" applyAlignment="1" applyProtection="1">
      <alignment horizontal="center" vertical="center" shrinkToFit="1"/>
    </xf>
    <xf numFmtId="182" fontId="23" fillId="0" borderId="1" xfId="0" applyNumberFormat="1" applyFont="1" applyFill="1" applyBorder="1" applyAlignment="1" applyProtection="1">
      <alignment horizontal="center" vertical="center"/>
      <protection locked="0"/>
    </xf>
    <xf numFmtId="176" fontId="23" fillId="0" borderId="1" xfId="0" applyNumberFormat="1" applyFont="1" applyFill="1" applyBorder="1" applyAlignment="1" applyProtection="1">
      <alignment horizontal="center" vertical="center"/>
      <protection locked="0"/>
    </xf>
    <xf numFmtId="176" fontId="23" fillId="0" borderId="1" xfId="0" applyFont="1" applyFill="1" applyBorder="1" applyAlignment="1" applyProtection="1">
      <alignment horizontal="center" vertical="center"/>
      <protection locked="0"/>
    </xf>
    <xf numFmtId="180" fontId="23" fillId="0" borderId="1" xfId="0" applyNumberFormat="1" applyFont="1" applyFill="1" applyBorder="1" applyAlignment="1" applyProtection="1">
      <alignment horizontal="center" vertical="center"/>
      <protection locked="0"/>
    </xf>
    <xf numFmtId="181" fontId="23" fillId="0" borderId="1" xfId="0" applyNumberFormat="1" applyFont="1" applyFill="1" applyBorder="1" applyAlignment="1" applyProtection="1">
      <alignment horizontal="center" vertical="center"/>
    </xf>
    <xf numFmtId="176" fontId="9" fillId="0" borderId="1" xfId="0" applyFont="1" applyFill="1" applyBorder="1" applyAlignment="1" applyProtection="1">
      <alignment horizontal="center" vertical="center"/>
    </xf>
    <xf numFmtId="176" fontId="20" fillId="0" borderId="1" xfId="0" applyFont="1" applyFill="1" applyBorder="1" applyAlignment="1" applyProtection="1">
      <alignment horizontal="center" vertical="center"/>
      <protection locked="0"/>
    </xf>
    <xf numFmtId="178" fontId="24" fillId="0" borderId="1" xfId="0" applyNumberFormat="1" applyFont="1" applyFill="1" applyBorder="1" applyAlignment="1" applyProtection="1">
      <alignment horizontal="center" vertical="center"/>
    </xf>
    <xf numFmtId="178" fontId="24" fillId="0" borderId="1" xfId="0" applyNumberFormat="1" applyFont="1" applyFill="1" applyBorder="1" applyAlignment="1" applyProtection="1">
      <alignment horizontal="center" vertical="center" wrapText="1" shrinkToFit="1"/>
    </xf>
    <xf numFmtId="176" fontId="24" fillId="0" borderId="1" xfId="0" applyFont="1" applyFill="1" applyBorder="1" applyAlignment="1" applyProtection="1">
      <alignment horizontal="center" vertical="center"/>
    </xf>
    <xf numFmtId="0" fontId="24" fillId="0" borderId="1" xfId="0" applyNumberFormat="1" applyFont="1" applyFill="1" applyBorder="1" applyAlignment="1" applyProtection="1">
      <alignment horizontal="center" vertical="center"/>
    </xf>
    <xf numFmtId="178" fontId="24" fillId="0" borderId="1" xfId="0" applyNumberFormat="1" applyFont="1" applyFill="1" applyBorder="1" applyAlignment="1" applyProtection="1">
      <alignment horizontal="center" vertical="center" shrinkToFit="1"/>
    </xf>
    <xf numFmtId="182" fontId="24" fillId="0" borderId="1" xfId="0" applyNumberFormat="1" applyFont="1" applyFill="1" applyBorder="1" applyAlignment="1" applyProtection="1">
      <alignment horizontal="center" vertical="center"/>
      <protection locked="0"/>
    </xf>
    <xf numFmtId="176" fontId="24" fillId="0" borderId="1" xfId="0" applyFont="1" applyFill="1" applyBorder="1" applyAlignment="1" applyProtection="1">
      <alignment horizontal="center" vertical="center"/>
      <protection locked="0"/>
    </xf>
    <xf numFmtId="180" fontId="24" fillId="0" borderId="1" xfId="0" applyNumberFormat="1" applyFont="1" applyFill="1" applyBorder="1" applyAlignment="1" applyProtection="1">
      <alignment horizontal="center" vertical="center"/>
      <protection locked="0"/>
    </xf>
    <xf numFmtId="181" fontId="24" fillId="0" borderId="1" xfId="0" applyNumberFormat="1" applyFont="1" applyFill="1" applyBorder="1" applyAlignment="1" applyProtection="1">
      <alignment horizontal="center" vertical="center"/>
    </xf>
    <xf numFmtId="176" fontId="25" fillId="0" borderId="1" xfId="0" applyFont="1" applyFill="1" applyBorder="1" applyAlignment="1" applyProtection="1">
      <alignment horizontal="center" vertical="center"/>
    </xf>
    <xf numFmtId="176" fontId="21" fillId="0" borderId="1" xfId="0" applyFont="1" applyFill="1" applyBorder="1" applyAlignment="1" applyProtection="1">
      <alignment horizontal="center" vertical="center"/>
      <protection locked="0"/>
    </xf>
    <xf numFmtId="176" fontId="23" fillId="0" borderId="1" xfId="0" applyFont="1" applyFill="1" applyBorder="1" applyAlignment="1" applyProtection="1">
      <alignment horizontal="center" vertical="center" wrapText="1"/>
      <protection locked="0"/>
    </xf>
    <xf numFmtId="180" fontId="23" fillId="0" borderId="1" xfId="0" applyNumberFormat="1" applyFont="1" applyFill="1" applyBorder="1" applyAlignment="1" applyProtection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178" fontId="23" fillId="0" borderId="0" xfId="0" applyNumberFormat="1" applyFont="1" applyFill="1" applyBorder="1" applyAlignment="1" applyProtection="1">
      <alignment horizontal="center" vertical="center" wrapText="1" shrinkToFit="1"/>
    </xf>
    <xf numFmtId="176" fontId="23" fillId="0" borderId="0" xfId="0" applyFont="1" applyFill="1" applyBorder="1" applyAlignment="1" applyProtection="1">
      <alignment horizontal="center" vertical="center"/>
      <protection locked="0"/>
    </xf>
    <xf numFmtId="176" fontId="23" fillId="0" borderId="0" xfId="0" applyFont="1" applyFill="1" applyAlignment="1" applyProtection="1">
      <alignment horizontal="center" vertical="center"/>
      <protection locked="0"/>
    </xf>
    <xf numFmtId="0" fontId="23" fillId="0" borderId="0" xfId="0" applyNumberFormat="1" applyFont="1" applyFill="1" applyAlignment="1" applyProtection="1">
      <alignment horizontal="center" vertical="center"/>
    </xf>
    <xf numFmtId="176" fontId="23" fillId="0" borderId="0" xfId="0" applyFont="1" applyFill="1" applyAlignment="1" applyProtection="1">
      <alignment horizontal="center" vertical="center"/>
    </xf>
    <xf numFmtId="0" fontId="23" fillId="0" borderId="0" xfId="0" applyNumberFormat="1" applyFont="1" applyFill="1" applyBorder="1" applyAlignment="1" applyProtection="1">
      <alignment horizontal="center" vertical="center"/>
    </xf>
    <xf numFmtId="178" fontId="23" fillId="0" borderId="0" xfId="0" applyNumberFormat="1" applyFont="1" applyFill="1" applyBorder="1" applyAlignment="1" applyProtection="1">
      <alignment horizontal="center" vertical="center" shrinkToFit="1"/>
    </xf>
    <xf numFmtId="182" fontId="23" fillId="0" borderId="0" xfId="0" applyNumberFormat="1" applyFont="1" applyFill="1" applyBorder="1" applyAlignment="1" applyProtection="1">
      <alignment horizontal="center" vertical="center"/>
      <protection locked="0"/>
    </xf>
    <xf numFmtId="176" fontId="23" fillId="0" borderId="0" xfId="0" applyNumberFormat="1" applyFont="1" applyFill="1" applyBorder="1" applyAlignment="1" applyProtection="1">
      <alignment horizontal="center" vertical="center"/>
      <protection locked="0"/>
    </xf>
    <xf numFmtId="176" fontId="23" fillId="0" borderId="0" xfId="0" applyFont="1" applyFill="1" applyBorder="1" applyAlignment="1" applyProtection="1">
      <alignment horizontal="center" vertical="center"/>
    </xf>
    <xf numFmtId="176" fontId="23" fillId="0" borderId="0" xfId="0" applyFont="1" applyFill="1" applyBorder="1" applyAlignment="1" applyProtection="1">
      <alignment horizontal="center" vertical="center" wrapText="1"/>
      <protection locked="0"/>
    </xf>
    <xf numFmtId="180" fontId="23" fillId="0" borderId="0" xfId="0" applyNumberFormat="1" applyFont="1" applyFill="1" applyBorder="1" applyAlignment="1" applyProtection="1">
      <alignment horizontal="center" vertical="center"/>
    </xf>
    <xf numFmtId="181" fontId="23" fillId="0" borderId="0" xfId="0" applyNumberFormat="1" applyFont="1" applyFill="1" applyAlignment="1" applyProtection="1">
      <alignment horizontal="center" vertical="center"/>
    </xf>
    <xf numFmtId="184" fontId="2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176" fontId="17" fillId="0" borderId="0" xfId="0" applyFont="1" applyFill="1" applyBorder="1" applyAlignment="1" applyProtection="1">
      <alignment horizontal="center" vertical="center"/>
    </xf>
    <xf numFmtId="181" fontId="17" fillId="0" borderId="0" xfId="0" applyNumberFormat="1" applyFont="1" applyFill="1" applyAlignment="1" applyProtection="1">
      <alignment vertical="center"/>
    </xf>
    <xf numFmtId="176" fontId="22" fillId="0" borderId="0" xfId="0" applyFont="1" applyFill="1" applyAlignment="1" applyProtection="1">
      <alignment horizontal="center" vertical="center"/>
      <protection locked="0"/>
    </xf>
    <xf numFmtId="176" fontId="17" fillId="0" borderId="0" xfId="0" applyFont="1" applyFill="1" applyAlignment="1" applyProtection="1">
      <alignment horizontal="center" vertical="center"/>
    </xf>
    <xf numFmtId="184" fontId="17" fillId="0" borderId="0" xfId="0" applyNumberFormat="1" applyFont="1" applyFill="1" applyBorder="1" applyAlignment="1" applyProtection="1">
      <alignment horizontal="center" vertical="center"/>
    </xf>
    <xf numFmtId="0" fontId="17" fillId="0" borderId="0" xfId="0" applyNumberFormat="1" applyFont="1" applyFill="1" applyBorder="1" applyAlignment="1" applyProtection="1">
      <alignment horizontal="center" vertical="center"/>
    </xf>
    <xf numFmtId="176" fontId="22" fillId="0" borderId="0" xfId="0" applyFont="1" applyFill="1" applyBorder="1" applyAlignment="1" applyProtection="1">
      <alignment horizontal="center" vertical="center"/>
    </xf>
    <xf numFmtId="176" fontId="22" fillId="0" borderId="0" xfId="0" applyFont="1" applyFill="1" applyAlignment="1" applyProtection="1">
      <alignment horizontal="center" vertical="center"/>
    </xf>
    <xf numFmtId="184" fontId="18" fillId="0" borderId="0" xfId="0" applyNumberFormat="1" applyFont="1" applyFill="1" applyBorder="1" applyAlignment="1" applyProtection="1">
      <alignment horizontal="center" vertical="center"/>
    </xf>
    <xf numFmtId="184" fontId="17" fillId="0" borderId="0" xfId="0" applyNumberFormat="1" applyFont="1" applyFill="1" applyAlignment="1" applyProtection="1">
      <alignment vertical="center"/>
    </xf>
    <xf numFmtId="178" fontId="16" fillId="0" borderId="1" xfId="0" applyNumberFormat="1" applyFont="1" applyFill="1" applyBorder="1" applyAlignment="1" applyProtection="1">
      <alignment horizontal="center" vertical="center" wrapText="1" shrinkToFit="1"/>
    </xf>
    <xf numFmtId="0" fontId="16" fillId="0" borderId="1" xfId="0" applyNumberFormat="1" applyFont="1" applyFill="1" applyBorder="1" applyAlignment="1" applyProtection="1">
      <alignment horizontal="center" vertical="center" wrapText="1" shrinkToFit="1"/>
    </xf>
    <xf numFmtId="178" fontId="16" fillId="0" borderId="1" xfId="0" applyNumberFormat="1" applyFont="1" applyFill="1" applyBorder="1" applyAlignment="1" applyProtection="1">
      <alignment horizontal="center" vertical="center" shrinkToFit="1"/>
    </xf>
    <xf numFmtId="182" fontId="1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6" fontId="1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0" fontId="16" fillId="0" borderId="1" xfId="0" applyNumberFormat="1" applyFont="1" applyFill="1" applyBorder="1" applyAlignment="1" applyProtection="1">
      <alignment horizontal="center" vertical="center"/>
    </xf>
    <xf numFmtId="181" fontId="16" fillId="0" borderId="1" xfId="0" applyNumberFormat="1" applyFont="1" applyFill="1" applyBorder="1" applyAlignment="1" applyProtection="1">
      <alignment horizontal="center" vertical="center"/>
    </xf>
    <xf numFmtId="176" fontId="16" fillId="0" borderId="1" xfId="0" applyFont="1" applyFill="1" applyBorder="1" applyAlignment="1" applyProtection="1">
      <alignment horizontal="center" vertical="center"/>
      <protection locked="0"/>
    </xf>
    <xf numFmtId="58" fontId="16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</xf>
    <xf numFmtId="176" fontId="3" fillId="0" borderId="1" xfId="0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 shrinkToFit="1"/>
    </xf>
    <xf numFmtId="182" fontId="3" fillId="0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Font="1" applyFill="1" applyBorder="1" applyAlignment="1" applyProtection="1">
      <alignment horizontal="center" vertical="center"/>
      <protection locked="0"/>
    </xf>
    <xf numFmtId="176" fontId="10" fillId="0" borderId="1" xfId="0" applyFont="1" applyFill="1" applyBorder="1" applyAlignment="1" applyProtection="1">
      <alignment horizontal="center" vertical="center"/>
    </xf>
    <xf numFmtId="176" fontId="10" fillId="0" borderId="1" xfId="0" applyFont="1" applyFill="1" applyBorder="1" applyAlignment="1" applyProtection="1">
      <alignment vertical="center"/>
      <protection locked="0"/>
    </xf>
    <xf numFmtId="180" fontId="3" fillId="0" borderId="1" xfId="0" applyNumberFormat="1" applyFont="1" applyFill="1" applyBorder="1" applyAlignment="1" applyProtection="1">
      <alignment horizontal="center" vertical="center"/>
      <protection locked="0"/>
    </xf>
    <xf numFmtId="181" fontId="3" fillId="0" borderId="1" xfId="0" applyNumberFormat="1" applyFont="1" applyFill="1" applyBorder="1" applyAlignment="1" applyProtection="1">
      <alignment horizontal="center" vertical="center"/>
    </xf>
    <xf numFmtId="176" fontId="16" fillId="0" borderId="1" xfId="0" applyFont="1" applyFill="1" applyBorder="1" applyAlignment="1" applyProtection="1">
      <alignment horizontal="center" vertical="center"/>
    </xf>
    <xf numFmtId="0" fontId="16" fillId="0" borderId="1" xfId="0" applyNumberFormat="1" applyFont="1" applyFill="1" applyBorder="1" applyAlignment="1" applyProtection="1">
      <alignment horizontal="center" vertical="center"/>
    </xf>
    <xf numFmtId="178" fontId="16" fillId="0" borderId="1" xfId="0" applyNumberFormat="1" applyFont="1" applyFill="1" applyBorder="1" applyAlignment="1" applyProtection="1">
      <alignment horizontal="center" vertical="center"/>
    </xf>
    <xf numFmtId="182" fontId="16" fillId="0" borderId="1" xfId="0" applyNumberFormat="1" applyFont="1" applyFill="1" applyBorder="1" applyAlignment="1" applyProtection="1">
      <alignment horizontal="center" vertical="center"/>
      <protection locked="0"/>
    </xf>
    <xf numFmtId="176" fontId="16" fillId="0" borderId="1" xfId="0" applyNumberFormat="1" applyFont="1" applyFill="1" applyBorder="1" applyAlignment="1" applyProtection="1">
      <alignment horizontal="center" vertical="center"/>
      <protection locked="0"/>
    </xf>
    <xf numFmtId="176" fontId="16" fillId="0" borderId="1" xfId="0" applyFont="1" applyFill="1" applyBorder="1" applyAlignment="1" applyProtection="1">
      <alignment vertical="center"/>
      <protection locked="0"/>
    </xf>
    <xf numFmtId="180" fontId="16" fillId="0" borderId="1" xfId="0" applyNumberFormat="1" applyFont="1" applyFill="1" applyBorder="1" applyAlignment="1" applyProtection="1">
      <alignment horizontal="center" vertical="center"/>
      <protection locked="0"/>
    </xf>
    <xf numFmtId="176" fontId="10" fillId="0" borderId="1" xfId="0" applyFont="1" applyFill="1" applyBorder="1" applyAlignment="1" applyProtection="1">
      <alignment horizontal="center" vertical="center"/>
      <protection locked="0"/>
    </xf>
    <xf numFmtId="176" fontId="12" fillId="0" borderId="1" xfId="0" applyFont="1" applyFill="1" applyBorder="1" applyAlignment="1" applyProtection="1">
      <alignment horizontal="center" vertical="center"/>
    </xf>
    <xf numFmtId="176" fontId="3" fillId="0" borderId="1" xfId="0" applyFont="1" applyFill="1" applyBorder="1" applyAlignment="1" applyProtection="1">
      <alignment horizontal="center" vertical="center" wrapText="1"/>
    </xf>
    <xf numFmtId="176" fontId="3" fillId="0" borderId="1" xfId="0" applyNumberFormat="1" applyFont="1" applyFill="1" applyBorder="1" applyAlignment="1" applyProtection="1">
      <alignment horizontal="center" vertical="center"/>
    </xf>
    <xf numFmtId="181" fontId="4" fillId="0" borderId="1" xfId="0" applyNumberFormat="1" applyFont="1" applyFill="1" applyBorder="1" applyAlignment="1" applyProtection="1">
      <alignment horizontal="center" vertical="center"/>
      <protection locked="0"/>
    </xf>
    <xf numFmtId="181" fontId="4" fillId="0" borderId="1" xfId="0" applyNumberFormat="1" applyFont="1" applyFill="1" applyBorder="1" applyAlignment="1" applyProtection="1">
      <alignment horizontal="center" vertical="center"/>
    </xf>
    <xf numFmtId="176" fontId="5" fillId="0" borderId="0" xfId="0" applyNumberFormat="1" applyFont="1" applyFill="1" applyBorder="1" applyAlignment="1" applyProtection="1">
      <alignment horizontal="center" vertical="center"/>
    </xf>
    <xf numFmtId="176" fontId="3" fillId="0" borderId="0" xfId="0" applyFont="1" applyFill="1" applyAlignment="1" applyProtection="1">
      <alignment horizontal="center" vertical="center"/>
      <protection locked="0"/>
    </xf>
    <xf numFmtId="176" fontId="24" fillId="0" borderId="0" xfId="0" applyFont="1" applyFill="1" applyAlignment="1" applyProtection="1">
      <alignment horizontal="center" vertical="center"/>
      <protection locked="0"/>
    </xf>
    <xf numFmtId="176" fontId="5" fillId="0" borderId="0" xfId="0" applyFont="1" applyFill="1" applyAlignment="1" applyProtection="1">
      <alignment horizontal="center" vertical="center"/>
    </xf>
    <xf numFmtId="176" fontId="5" fillId="0" borderId="0" xfId="0" applyFont="1" applyFill="1" applyBorder="1" applyAlignment="1" applyProtection="1">
      <alignment horizontal="center" vertical="center" wrapText="1"/>
    </xf>
    <xf numFmtId="178" fontId="5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 applyProtection="1">
      <alignment horizontal="center" vertical="center"/>
    </xf>
    <xf numFmtId="176" fontId="19" fillId="0" borderId="1" xfId="0" applyNumberFormat="1" applyFont="1" applyFill="1" applyBorder="1" applyAlignment="1" applyProtection="1">
      <alignment horizontal="center" vertical="center" wrapText="1"/>
    </xf>
    <xf numFmtId="0" fontId="19" fillId="0" borderId="1" xfId="0" applyNumberFormat="1" applyFont="1" applyFill="1" applyBorder="1" applyAlignment="1" applyProtection="1">
      <alignment horizontal="center" vertical="center"/>
    </xf>
    <xf numFmtId="178" fontId="5" fillId="0" borderId="1" xfId="1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52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52" applyNumberFormat="1" applyFont="1" applyFill="1" applyBorder="1" applyAlignment="1" applyProtection="1">
      <alignment horizontal="center" vertical="center" wrapText="1"/>
      <protection locked="0"/>
    </xf>
    <xf numFmtId="184" fontId="5" fillId="0" borderId="1" xfId="52" applyNumberFormat="1" applyFont="1" applyFill="1" applyBorder="1" applyAlignment="1" applyProtection="1">
      <alignment horizontal="center" vertical="center" wrapText="1"/>
    </xf>
    <xf numFmtId="176" fontId="22" fillId="0" borderId="1" xfId="1" applyNumberFormat="1" applyFont="1" applyFill="1" applyBorder="1" applyAlignment="1" applyProtection="1">
      <alignment horizontal="center" vertical="center"/>
    </xf>
    <xf numFmtId="176" fontId="5" fillId="0" borderId="1" xfId="1" applyNumberFormat="1" applyFont="1" applyFill="1" applyBorder="1" applyAlignment="1" applyProtection="1">
      <alignment horizontal="center" vertical="center"/>
    </xf>
    <xf numFmtId="176" fontId="5" fillId="0" borderId="1" xfId="52" applyNumberFormat="1" applyFont="1" applyFill="1" applyBorder="1" applyAlignment="1" applyProtection="1">
      <alignment horizontal="center" vertical="center"/>
    </xf>
    <xf numFmtId="176" fontId="5" fillId="0" borderId="1" xfId="52" applyNumberFormat="1" applyFont="1" applyFill="1" applyBorder="1" applyAlignment="1" applyProtection="1">
      <alignment horizontal="center" vertical="center" wrapText="1"/>
    </xf>
    <xf numFmtId="176" fontId="5" fillId="0" borderId="1" xfId="0" applyNumberFormat="1" applyFont="1" applyFill="1" applyBorder="1" applyAlignment="1" applyProtection="1">
      <alignment horizontal="center" vertical="center"/>
    </xf>
    <xf numFmtId="184" fontId="22" fillId="0" borderId="1" xfId="0" applyNumberFormat="1" applyFont="1" applyFill="1" applyBorder="1" applyAlignment="1" applyProtection="1">
      <alignment horizontal="center" vertical="center"/>
    </xf>
    <xf numFmtId="185" fontId="23" fillId="0" borderId="1" xfId="0" applyNumberFormat="1" applyFont="1" applyFill="1" applyBorder="1" applyAlignment="1" applyProtection="1">
      <alignment horizontal="center" vertical="center"/>
    </xf>
    <xf numFmtId="184" fontId="23" fillId="0" borderId="1" xfId="0" applyNumberFormat="1" applyFont="1" applyFill="1" applyBorder="1" applyAlignment="1" applyProtection="1">
      <alignment horizontal="center" vertical="center"/>
    </xf>
    <xf numFmtId="184" fontId="26" fillId="0" borderId="1" xfId="0" applyNumberFormat="1" applyFont="1" applyFill="1" applyBorder="1" applyAlignment="1" applyProtection="1">
      <alignment horizontal="center" vertical="center"/>
    </xf>
    <xf numFmtId="176" fontId="5" fillId="0" borderId="1" xfId="0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178" fontId="10" fillId="0" borderId="1" xfId="0" applyNumberFormat="1" applyFont="1" applyFill="1" applyBorder="1" applyAlignment="1" applyProtection="1">
      <alignment horizontal="center" vertical="center"/>
    </xf>
    <xf numFmtId="176" fontId="3" fillId="0" borderId="4" xfId="0" applyFont="1" applyFill="1" applyBorder="1" applyAlignment="1" applyProtection="1">
      <alignment horizontal="center" vertical="center"/>
      <protection locked="0"/>
    </xf>
    <xf numFmtId="0" fontId="3" fillId="0" borderId="6" xfId="0" applyNumberFormat="1" applyFont="1" applyFill="1" applyBorder="1" applyAlignment="1" applyProtection="1">
      <alignment horizontal="center" vertical="center"/>
    </xf>
    <xf numFmtId="185" fontId="3" fillId="0" borderId="1" xfId="0" applyNumberFormat="1" applyFont="1" applyFill="1" applyBorder="1" applyAlignment="1" applyProtection="1">
      <alignment horizontal="center" vertical="center"/>
      <protection locked="0"/>
    </xf>
    <xf numFmtId="176" fontId="5" fillId="0" borderId="1" xfId="0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184" fontId="6" fillId="0" borderId="1" xfId="0" applyNumberFormat="1" applyFont="1" applyFill="1" applyBorder="1" applyAlignment="1" applyProtection="1">
      <alignment horizontal="center" vertical="center"/>
    </xf>
    <xf numFmtId="176" fontId="27" fillId="0" borderId="1" xfId="0" applyFont="1" applyFill="1" applyBorder="1" applyAlignment="1" applyProtection="1">
      <alignment horizontal="center" vertical="center"/>
    </xf>
    <xf numFmtId="0" fontId="5" fillId="0" borderId="0" xfId="0" applyNumberFormat="1" applyFont="1" applyFill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/>
    </xf>
    <xf numFmtId="178" fontId="18" fillId="0" borderId="0" xfId="0" applyNumberFormat="1" applyFont="1" applyFill="1" applyBorder="1" applyAlignment="1" applyProtection="1">
      <alignment horizontal="center" vertical="center"/>
    </xf>
    <xf numFmtId="43" fontId="5" fillId="0" borderId="0" xfId="1" applyNumberFormat="1" applyFont="1" applyFill="1" applyBorder="1" applyAlignment="1" applyProtection="1">
      <alignment horizontal="center" vertical="center"/>
    </xf>
    <xf numFmtId="176" fontId="5" fillId="0" borderId="0" xfId="0" applyFont="1" applyFill="1" applyAlignment="1" applyProtection="1">
      <alignment horizontal="center" vertical="center" wrapText="1"/>
    </xf>
    <xf numFmtId="178" fontId="5" fillId="0" borderId="0" xfId="0" applyNumberFormat="1" applyFont="1" applyFill="1" applyAlignment="1" applyProtection="1">
      <alignment horizontal="center" vertical="center"/>
    </xf>
    <xf numFmtId="0" fontId="5" fillId="0" borderId="0" xfId="0" applyNumberFormat="1" applyFont="1" applyFill="1" applyAlignment="1" applyProtection="1">
      <alignment horizontal="center" vertical="center"/>
      <protection locked="0"/>
    </xf>
    <xf numFmtId="184" fontId="5" fillId="0" borderId="0" xfId="0" applyNumberFormat="1" applyFont="1" applyFill="1" applyAlignment="1" applyProtection="1">
      <alignment horizontal="center" vertical="center"/>
    </xf>
    <xf numFmtId="181" fontId="18" fillId="0" borderId="0" xfId="0" applyNumberFormat="1" applyFont="1" applyFill="1" applyAlignment="1" applyProtection="1">
      <alignment horizontal="center" vertical="center"/>
    </xf>
    <xf numFmtId="181" fontId="18" fillId="0" borderId="0" xfId="0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Fill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NumberFormat="1" applyFont="1" applyFill="1" applyBorder="1" applyAlignment="1" applyProtection="1">
      <alignment horizontal="center" vertical="center" wrapText="1"/>
    </xf>
    <xf numFmtId="176" fontId="28" fillId="0" borderId="0" xfId="0" applyFont="1" applyFill="1" applyBorder="1" applyAlignment="1" applyProtection="1">
      <alignment horizontal="center" vertical="center"/>
    </xf>
    <xf numFmtId="176" fontId="5" fillId="0" borderId="0" xfId="0" applyFont="1" applyFill="1" applyBorder="1" applyAlignment="1" applyProtection="1">
      <alignment horizontal="left" vertical="center"/>
    </xf>
    <xf numFmtId="176" fontId="5" fillId="0" borderId="0" xfId="0" applyFont="1" applyFill="1" applyBorder="1" applyAlignment="1" applyProtection="1">
      <alignment horizontal="left" vertical="center" wrapText="1"/>
    </xf>
    <xf numFmtId="176" fontId="29" fillId="0" borderId="1" xfId="0" applyFont="1" applyFill="1" applyBorder="1" applyAlignment="1" applyProtection="1">
      <alignment horizontal="center" vertical="center"/>
    </xf>
    <xf numFmtId="0" fontId="29" fillId="0" borderId="1" xfId="0" applyNumberFormat="1" applyFont="1" applyFill="1" applyBorder="1" applyAlignment="1" applyProtection="1">
      <alignment horizontal="center" vertical="center"/>
    </xf>
    <xf numFmtId="176" fontId="22" fillId="0" borderId="1" xfId="0" applyFont="1" applyFill="1" applyBorder="1" applyAlignment="1" applyProtection="1">
      <alignment horizontal="center" vertical="center"/>
    </xf>
    <xf numFmtId="0" fontId="22" fillId="0" borderId="1" xfId="0" applyNumberFormat="1" applyFont="1" applyFill="1" applyBorder="1" applyAlignment="1" applyProtection="1">
      <alignment horizontal="center" vertical="center"/>
    </xf>
    <xf numFmtId="176" fontId="6" fillId="0" borderId="1" xfId="0" applyFont="1" applyFill="1" applyBorder="1" applyAlignment="1" applyProtection="1">
      <alignment horizontal="center" vertical="center"/>
    </xf>
    <xf numFmtId="176" fontId="30" fillId="0" borderId="0" xfId="0" applyFont="1" applyFill="1" applyAlignment="1" applyProtection="1">
      <alignment horizontal="left" vertical="center"/>
    </xf>
    <xf numFmtId="176" fontId="30" fillId="0" borderId="0" xfId="0" applyFont="1" applyFill="1" applyAlignment="1" applyProtection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184" fontId="3" fillId="0" borderId="0" xfId="0" applyNumberFormat="1" applyFont="1" applyFill="1" applyBorder="1" applyAlignment="1">
      <alignment horizontal="center" vertical="center"/>
    </xf>
    <xf numFmtId="176" fontId="18" fillId="0" borderId="0" xfId="0" applyFont="1" applyFill="1" applyAlignment="1" applyProtection="1">
      <alignment horizontal="center" vertical="center" wrapText="1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1年华登制品HK应收未收" xfId="49"/>
    <cellStyle name="Comma 2" xfId="50"/>
    <cellStyle name="常规_排期" xfId="51"/>
    <cellStyle name="常规_Famosa P0 2010-4-13" xfId="52"/>
    <cellStyle name="Normal 3" xfId="53"/>
    <cellStyle name="Comma 2 2" xfId="54"/>
    <cellStyle name="常规 130" xfId="55"/>
    <cellStyle name="常规 2" xfId="56"/>
    <cellStyle name="样式 1" xfId="5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C9F3FF"/>
      <color rgb="00FFFFFF"/>
      <color rgb="000000FF"/>
      <color rgb="00ECA7E6"/>
      <color rgb="00FF0000"/>
      <color rgb="000033CC"/>
      <color rgb="00E82EE6"/>
      <color rgb="00000000"/>
      <color rgb="00FFFF00"/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40" dbFileVersion="0" changeLogVersion="0">
    <open main="62" threadCnt="1"/>
    <sheetInfos>
      <sheetInfo cellCmpFml="56" sheetStid="41">
        <open main="12" threadCnt="1"/>
      </sheetInfo>
      <sheetInfo cellCmpFml="26" sheetStid="50">
        <open main="1" threadCnt="1"/>
      </sheetInfo>
      <sheetInfo cellCmpFml="14" sheetStid="44">
        <open main="1" threadCnt="1"/>
      </sheetInfo>
      <sheetInfo cellCmpFml="21" sheetStid="53">
        <open main="1" threadCnt="1"/>
      </sheetInfo>
      <sheetInfo cellCmpFml="4" sheetStid="51">
        <open threadCnt="1"/>
      </sheetInfo>
      <sheetInfo cellCmpFml="12" sheetStid="56">
        <open threadCnt="1"/>
      </sheetInfo>
      <sheetInfo cellCmpFml="0" sheetStid="36">
        <open threadCnt="1"/>
      </sheetInfo>
      <sheetInfo cellCmpFml="3" sheetStid="58">
        <open threadCnt="1"/>
      </sheetInfo>
      <sheetInfo cellCmpFml="4" sheetStid="52">
        <open main="1" threadCnt="1"/>
      </sheetInfo>
      <sheetInfo cellCmpFml="0" sheetStid="57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4.xml"/><Relationship Id="rId15" Type="http://schemas.openxmlformats.org/officeDocument/2006/relationships/customXml" Target="../customXml/item3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3</xdr:row>
      <xdr:rowOff>66675</xdr:rowOff>
    </xdr:from>
    <xdr:to>
      <xdr:col>7</xdr:col>
      <xdr:colOff>514350</xdr:colOff>
      <xdr:row>21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4612" r="936" b="2807"/>
        <a:stretch>
          <a:fillRect/>
        </a:stretch>
      </xdr:blipFill>
      <xdr:spPr>
        <a:xfrm>
          <a:off x="828675" y="1038225"/>
          <a:ext cx="4486275" cy="327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219075</xdr:colOff>
      <xdr:row>3</xdr:row>
      <xdr:rowOff>66675</xdr:rowOff>
    </xdr:from>
    <xdr:to>
      <xdr:col>15</xdr:col>
      <xdr:colOff>523875</xdr:colOff>
      <xdr:row>21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l="4305" t="562" r="574" b="3371"/>
        <a:stretch>
          <a:fillRect/>
        </a:stretch>
      </xdr:blipFill>
      <xdr:spPr>
        <a:xfrm>
          <a:off x="6391275" y="1038225"/>
          <a:ext cx="4419600" cy="3257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S78"/>
  <sheetViews>
    <sheetView workbookViewId="0">
      <pane xSplit="9" ySplit="2" topLeftCell="V13" activePane="bottomRight" state="frozen"/>
      <selection/>
      <selection pane="topRight"/>
      <selection pane="bottomLeft"/>
      <selection pane="bottomRight" activeCell="D44" sqref="D44"/>
    </sheetView>
  </sheetViews>
  <sheetFormatPr defaultColWidth="9" defaultRowHeight="18" customHeight="1"/>
  <cols>
    <col min="1" max="1" width="12.6" style="10" customWidth="1"/>
    <col min="2" max="2" width="28.9" style="218" customWidth="1"/>
    <col min="3" max="3" width="12.8" style="10" customWidth="1"/>
    <col min="4" max="4" width="14.1083333333333" style="82" customWidth="1"/>
    <col min="5" max="6" width="15.6" style="10" customWidth="1"/>
    <col min="7" max="8" width="8.6" style="82" customWidth="1"/>
    <col min="9" max="9" width="13.4" style="219" customWidth="1"/>
    <col min="10" max="73" width="8.6" style="82" hidden="1" customWidth="1"/>
    <col min="74" max="92" width="8.6" style="82" customWidth="1"/>
    <col min="93" max="93" width="8.6" style="220" customWidth="1"/>
    <col min="94" max="95" width="12.6" style="113" customWidth="1"/>
    <col min="96" max="96" width="8.25" style="10" customWidth="1"/>
    <col min="97" max="97" width="9" style="10"/>
    <col min="98" max="98" width="9" style="221"/>
    <col min="99" max="99" width="9.25" style="221"/>
    <col min="100" max="16384" width="9" style="221"/>
  </cols>
  <sheetData>
    <row r="1" s="214" customFormat="1" ht="30" customHeight="1" spans="1:97">
      <c r="A1" s="222" t="s">
        <v>0</v>
      </c>
      <c r="B1" s="223"/>
      <c r="C1" s="222"/>
      <c r="D1" s="224"/>
      <c r="E1" s="222"/>
      <c r="F1" s="222"/>
      <c r="G1" s="224"/>
      <c r="H1" s="224"/>
      <c r="I1" s="225" t="s">
        <v>1</v>
      </c>
      <c r="J1" s="226" t="s">
        <v>2</v>
      </c>
      <c r="K1" s="226"/>
      <c r="L1" s="226"/>
      <c r="M1" s="226" t="s">
        <v>3</v>
      </c>
      <c r="N1" s="226"/>
      <c r="O1" s="226">
        <v>50124</v>
      </c>
      <c r="P1" s="226"/>
      <c r="Q1" s="226"/>
      <c r="R1" s="226">
        <v>50074</v>
      </c>
      <c r="S1" s="226"/>
      <c r="T1" s="226"/>
      <c r="U1" s="226"/>
      <c r="V1" s="227" t="s">
        <v>4</v>
      </c>
      <c r="W1" s="227"/>
      <c r="X1" s="226">
        <v>50119</v>
      </c>
      <c r="Y1" s="226"/>
      <c r="Z1" s="226"/>
      <c r="AA1" s="226">
        <v>50171</v>
      </c>
      <c r="AB1" s="226">
        <v>50221</v>
      </c>
      <c r="AC1" s="226"/>
      <c r="AD1" s="226" t="s">
        <v>5</v>
      </c>
      <c r="AE1" s="226"/>
      <c r="AF1" s="226">
        <v>50186</v>
      </c>
      <c r="AG1" s="226"/>
      <c r="AH1" s="226" t="s">
        <v>6</v>
      </c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 t="s">
        <v>7</v>
      </c>
      <c r="AT1" s="226"/>
      <c r="AU1" s="226"/>
      <c r="AV1" s="226"/>
      <c r="AW1" s="226"/>
      <c r="AX1" s="226" t="s">
        <v>8</v>
      </c>
      <c r="AY1" s="226"/>
      <c r="AZ1" s="226"/>
      <c r="BA1" s="226"/>
      <c r="BB1" s="226"/>
      <c r="BC1" s="226" t="s">
        <v>9</v>
      </c>
      <c r="BD1" s="226"/>
      <c r="BE1" s="226"/>
      <c r="BF1" s="226"/>
      <c r="BG1" s="226"/>
      <c r="BH1" s="226">
        <v>50247</v>
      </c>
      <c r="BI1" s="226">
        <v>50253</v>
      </c>
      <c r="BJ1" s="228">
        <v>50116</v>
      </c>
      <c r="BK1" s="226">
        <v>50040</v>
      </c>
      <c r="BL1" s="226">
        <v>14303</v>
      </c>
      <c r="BM1" s="226">
        <v>14344</v>
      </c>
      <c r="BN1" s="226">
        <v>14345</v>
      </c>
      <c r="BO1" s="228">
        <v>50263</v>
      </c>
      <c r="BP1" s="226" t="s">
        <v>10</v>
      </c>
      <c r="BQ1" s="226"/>
      <c r="BR1" s="226"/>
      <c r="BS1" s="226"/>
      <c r="BT1" s="226">
        <v>50047</v>
      </c>
      <c r="BU1" s="226">
        <v>17337</v>
      </c>
      <c r="BV1" s="226">
        <v>17563</v>
      </c>
      <c r="BW1" s="226">
        <v>50276</v>
      </c>
      <c r="BX1" s="226">
        <v>13095</v>
      </c>
      <c r="BY1" s="226">
        <v>17513</v>
      </c>
      <c r="BZ1" s="226">
        <v>17389</v>
      </c>
      <c r="CA1" s="226">
        <v>50224</v>
      </c>
      <c r="CB1" s="226">
        <v>17345</v>
      </c>
      <c r="CC1" s="226" t="s">
        <v>11</v>
      </c>
      <c r="CD1" s="228"/>
      <c r="CE1" s="228"/>
      <c r="CF1" s="228"/>
      <c r="CG1" s="228"/>
      <c r="CH1" s="226">
        <v>17392</v>
      </c>
      <c r="CI1" s="226">
        <v>17529</v>
      </c>
      <c r="CJ1" s="226">
        <v>14349</v>
      </c>
      <c r="CK1" s="228">
        <v>17552</v>
      </c>
      <c r="CL1" s="226">
        <v>17588</v>
      </c>
      <c r="CM1" s="226">
        <v>17644</v>
      </c>
      <c r="CN1" s="226" t="s">
        <v>12</v>
      </c>
      <c r="CO1" s="229" t="s">
        <v>13</v>
      </c>
      <c r="CP1" s="230" t="s">
        <v>14</v>
      </c>
      <c r="CQ1" s="230" t="s">
        <v>15</v>
      </c>
      <c r="CR1" s="231" t="s">
        <v>16</v>
      </c>
      <c r="CS1" s="232" t="s">
        <v>17</v>
      </c>
    </row>
    <row r="2" s="214" customFormat="1" customHeight="1" spans="1:97">
      <c r="A2" s="233" t="s">
        <v>18</v>
      </c>
      <c r="B2" s="234" t="s">
        <v>19</v>
      </c>
      <c r="C2" s="233" t="s">
        <v>20</v>
      </c>
      <c r="D2" s="226" t="s">
        <v>21</v>
      </c>
      <c r="E2" s="235" t="s">
        <v>22</v>
      </c>
      <c r="F2" s="235" t="s">
        <v>23</v>
      </c>
      <c r="G2" s="228" t="s">
        <v>24</v>
      </c>
      <c r="H2" s="228" t="s">
        <v>25</v>
      </c>
      <c r="I2" s="225"/>
      <c r="J2" s="228">
        <v>50060</v>
      </c>
      <c r="K2" s="228">
        <v>50116</v>
      </c>
      <c r="L2" s="228">
        <v>50061</v>
      </c>
      <c r="M2" s="228">
        <v>50064</v>
      </c>
      <c r="N2" s="228">
        <v>50065</v>
      </c>
      <c r="O2" s="228">
        <v>50125</v>
      </c>
      <c r="P2" s="228">
        <v>50127</v>
      </c>
      <c r="Q2" s="228">
        <v>50128</v>
      </c>
      <c r="R2" s="228" t="s">
        <v>26</v>
      </c>
      <c r="S2" s="228" t="s">
        <v>27</v>
      </c>
      <c r="T2" s="228" t="s">
        <v>28</v>
      </c>
      <c r="U2" s="228" t="s">
        <v>29</v>
      </c>
      <c r="V2" s="228">
        <v>50226</v>
      </c>
      <c r="W2" s="228">
        <v>50216</v>
      </c>
      <c r="X2" s="228">
        <v>50120</v>
      </c>
      <c r="Y2" s="228">
        <v>50122</v>
      </c>
      <c r="Z2" s="228">
        <v>50157</v>
      </c>
      <c r="AA2" s="228">
        <v>50171</v>
      </c>
      <c r="AB2" s="228">
        <v>50221</v>
      </c>
      <c r="AC2" s="228">
        <v>50222</v>
      </c>
      <c r="AD2" s="228">
        <v>50212</v>
      </c>
      <c r="AE2" s="228">
        <v>50213</v>
      </c>
      <c r="AF2" s="228">
        <v>50187</v>
      </c>
      <c r="AG2" s="228">
        <v>50188</v>
      </c>
      <c r="AH2" s="228">
        <v>14312</v>
      </c>
      <c r="AI2" s="228">
        <v>14311</v>
      </c>
      <c r="AJ2" s="228">
        <v>14300</v>
      </c>
      <c r="AK2" s="228">
        <v>14341</v>
      </c>
      <c r="AL2" s="228">
        <v>14302</v>
      </c>
      <c r="AM2" s="228">
        <v>14317</v>
      </c>
      <c r="AN2" s="228">
        <v>14305</v>
      </c>
      <c r="AO2" s="228">
        <v>14334</v>
      </c>
      <c r="AP2" s="228">
        <v>14335</v>
      </c>
      <c r="AQ2" s="228">
        <v>14343</v>
      </c>
      <c r="AR2" s="228">
        <v>14342</v>
      </c>
      <c r="AS2" s="228">
        <v>50190</v>
      </c>
      <c r="AT2" s="228">
        <v>50191</v>
      </c>
      <c r="AU2" s="228">
        <v>50252</v>
      </c>
      <c r="AV2" s="228">
        <v>50281</v>
      </c>
      <c r="AW2" s="228">
        <v>50282</v>
      </c>
      <c r="AX2" s="228">
        <v>50239</v>
      </c>
      <c r="AY2" s="228">
        <v>50240</v>
      </c>
      <c r="AZ2" s="228">
        <v>50241</v>
      </c>
      <c r="BA2" s="228">
        <v>50275</v>
      </c>
      <c r="BB2" s="226">
        <v>50272</v>
      </c>
      <c r="BC2" s="228">
        <v>50243</v>
      </c>
      <c r="BD2" s="228">
        <v>50244</v>
      </c>
      <c r="BE2" s="228">
        <v>50245</v>
      </c>
      <c r="BF2" s="228">
        <v>50246</v>
      </c>
      <c r="BG2" s="226">
        <v>50274</v>
      </c>
      <c r="BH2" s="228">
        <v>50247</v>
      </c>
      <c r="BI2" s="228">
        <v>50253</v>
      </c>
      <c r="BJ2" s="228">
        <v>50256</v>
      </c>
      <c r="BK2" s="228">
        <v>50040</v>
      </c>
      <c r="BL2" s="228">
        <v>14303</v>
      </c>
      <c r="BM2" s="228">
        <v>14344</v>
      </c>
      <c r="BN2" s="228">
        <v>14345</v>
      </c>
      <c r="BO2" s="228">
        <v>50263</v>
      </c>
      <c r="BP2" s="228">
        <v>50268</v>
      </c>
      <c r="BQ2" s="228">
        <v>50269</v>
      </c>
      <c r="BR2" s="228">
        <v>50270</v>
      </c>
      <c r="BS2" s="226">
        <v>50280</v>
      </c>
      <c r="BT2" s="228">
        <v>50047</v>
      </c>
      <c r="BU2" s="228">
        <v>17337</v>
      </c>
      <c r="BV2" s="228">
        <v>17563</v>
      </c>
      <c r="BW2" s="228">
        <v>50276</v>
      </c>
      <c r="BX2" s="228">
        <v>13095</v>
      </c>
      <c r="BY2" s="226">
        <v>17513</v>
      </c>
      <c r="BZ2" s="226">
        <v>17389</v>
      </c>
      <c r="CA2" s="226">
        <v>50224</v>
      </c>
      <c r="CB2" s="228">
        <v>17345</v>
      </c>
      <c r="CC2" s="228">
        <v>13084</v>
      </c>
      <c r="CD2" s="228">
        <v>17342</v>
      </c>
      <c r="CE2" s="226">
        <v>17343</v>
      </c>
      <c r="CF2" s="228">
        <v>17344</v>
      </c>
      <c r="CG2" s="228">
        <v>17528</v>
      </c>
      <c r="CH2" s="226">
        <v>17392</v>
      </c>
      <c r="CI2" s="228">
        <v>17529</v>
      </c>
      <c r="CJ2" s="226">
        <v>14349</v>
      </c>
      <c r="CK2" s="228">
        <v>17552</v>
      </c>
      <c r="CL2" s="226">
        <v>17588</v>
      </c>
      <c r="CM2" s="226">
        <v>17644</v>
      </c>
      <c r="CN2" s="226" t="s">
        <v>12</v>
      </c>
      <c r="CO2" s="229"/>
      <c r="CP2" s="230"/>
      <c r="CQ2" s="230"/>
      <c r="CR2" s="231"/>
      <c r="CS2" s="232"/>
    </row>
    <row r="3" s="215" customFormat="1" customHeight="1" spans="1:97">
      <c r="A3" s="188">
        <v>45287</v>
      </c>
      <c r="B3" s="188"/>
      <c r="C3" s="188"/>
      <c r="D3" s="191" t="s">
        <v>30</v>
      </c>
      <c r="E3" s="189" t="s">
        <v>31</v>
      </c>
      <c r="F3" s="189" t="s">
        <v>32</v>
      </c>
      <c r="G3" s="191" t="str">
        <f>TEXT(MID(F3,1,5),"00000")</f>
        <v>17389</v>
      </c>
      <c r="H3" s="191">
        <f>3000-960-40-14-90-14-40-80-98-26-36-52-46-22-204</f>
        <v>1278</v>
      </c>
      <c r="I3" s="193">
        <v>45402</v>
      </c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>
        <f>H3</f>
        <v>1278</v>
      </c>
      <c r="CA3" s="191"/>
      <c r="CB3" s="191"/>
      <c r="CC3" s="191"/>
      <c r="CD3" s="191"/>
      <c r="CE3" s="191"/>
      <c r="CF3" s="191"/>
      <c r="CG3" s="191"/>
      <c r="CH3" s="191"/>
      <c r="CI3" s="191"/>
      <c r="CJ3" s="191"/>
      <c r="CK3" s="191"/>
      <c r="CL3" s="191"/>
      <c r="CM3" s="191"/>
      <c r="CN3" s="191"/>
      <c r="CO3" s="191">
        <v>0</v>
      </c>
      <c r="CP3" s="122">
        <f>CO3*SUM(J3:CN3)</f>
        <v>0</v>
      </c>
      <c r="CQ3" s="122">
        <f t="shared" ref="CQ3:CQ8" si="0">CP3*7.75</f>
        <v>0</v>
      </c>
      <c r="CR3" s="196"/>
      <c r="CS3" s="196"/>
    </row>
    <row r="4" s="155" customFormat="1" customHeight="1" spans="1:97">
      <c r="A4" s="126">
        <v>45953</v>
      </c>
      <c r="B4" s="127" t="s">
        <v>33</v>
      </c>
      <c r="C4" s="127" t="s">
        <v>34</v>
      </c>
      <c r="D4" s="128" t="s">
        <v>35</v>
      </c>
      <c r="E4" s="128" t="s">
        <v>36</v>
      </c>
      <c r="F4" s="127" t="s">
        <v>37</v>
      </c>
      <c r="G4" s="128" t="str">
        <f>TEXT(MID(F4,1,5),"00000")</f>
        <v>13095</v>
      </c>
      <c r="H4" s="128">
        <v>900</v>
      </c>
      <c r="I4" s="129">
        <v>46038</v>
      </c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  <c r="BS4" s="128"/>
      <c r="BT4" s="128"/>
      <c r="BU4" s="128"/>
      <c r="BV4" s="128"/>
      <c r="BW4" s="128"/>
      <c r="BX4" s="128">
        <f t="shared" ref="BX4:BX9" si="1">H4</f>
        <v>900</v>
      </c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128"/>
      <c r="CN4" s="128"/>
      <c r="CO4" s="134">
        <v>3.671</v>
      </c>
      <c r="CP4" s="236">
        <f>H4*CO4</f>
        <v>3303.9</v>
      </c>
      <c r="CQ4" s="236">
        <f t="shared" si="0"/>
        <v>25605.23</v>
      </c>
      <c r="CR4" s="133" t="s">
        <v>38</v>
      </c>
      <c r="CS4" s="237"/>
    </row>
    <row r="5" s="155" customFormat="1" customHeight="1" spans="1:97">
      <c r="A5" s="126">
        <v>45959</v>
      </c>
      <c r="B5" s="127" t="s">
        <v>39</v>
      </c>
      <c r="C5" s="127" t="s">
        <v>40</v>
      </c>
      <c r="D5" s="128" t="s">
        <v>41</v>
      </c>
      <c r="E5" s="128" t="s">
        <v>42</v>
      </c>
      <c r="F5" s="127" t="s">
        <v>43</v>
      </c>
      <c r="G5" s="128" t="str">
        <f>TEXT(MID(F5,1,5),"00000")</f>
        <v>13095</v>
      </c>
      <c r="H5" s="128">
        <v>501</v>
      </c>
      <c r="I5" s="129">
        <v>46031</v>
      </c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>
        <f t="shared" si="1"/>
        <v>501</v>
      </c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34">
        <v>3.641</v>
      </c>
      <c r="CP5" s="236">
        <f>H5*CO5</f>
        <v>1824.14</v>
      </c>
      <c r="CQ5" s="236">
        <f t="shared" si="0"/>
        <v>14137.09</v>
      </c>
      <c r="CR5" s="133" t="s">
        <v>44</v>
      </c>
      <c r="CS5" s="237"/>
    </row>
    <row r="6" s="155" customFormat="1" customHeight="1" spans="1:97">
      <c r="A6" s="126">
        <v>45962</v>
      </c>
      <c r="B6" s="127" t="s">
        <v>45</v>
      </c>
      <c r="C6" s="127" t="s">
        <v>46</v>
      </c>
      <c r="D6" s="128" t="s">
        <v>47</v>
      </c>
      <c r="E6" s="128" t="s">
        <v>48</v>
      </c>
      <c r="F6" s="127" t="s">
        <v>49</v>
      </c>
      <c r="G6" s="128">
        <v>17563</v>
      </c>
      <c r="H6" s="128">
        <v>330</v>
      </c>
      <c r="I6" s="129">
        <v>46026</v>
      </c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>
        <f>H6</f>
        <v>330</v>
      </c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34">
        <v>5.942</v>
      </c>
      <c r="CP6" s="236">
        <f>H6*CO6</f>
        <v>1960.86</v>
      </c>
      <c r="CQ6" s="236">
        <f t="shared" si="0"/>
        <v>15196.67</v>
      </c>
      <c r="CR6" s="133" t="s">
        <v>50</v>
      </c>
      <c r="CS6" s="237"/>
    </row>
    <row r="7" s="155" customFormat="1" customHeight="1" spans="1:97">
      <c r="A7" s="126">
        <v>45962</v>
      </c>
      <c r="B7" s="127" t="s">
        <v>45</v>
      </c>
      <c r="C7" s="127" t="s">
        <v>46</v>
      </c>
      <c r="D7" s="128" t="s">
        <v>51</v>
      </c>
      <c r="E7" s="128" t="s">
        <v>52</v>
      </c>
      <c r="F7" s="127" t="s">
        <v>49</v>
      </c>
      <c r="G7" s="128">
        <v>17563</v>
      </c>
      <c r="H7" s="128">
        <v>378</v>
      </c>
      <c r="I7" s="129">
        <v>46026</v>
      </c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>
        <f>H7</f>
        <v>378</v>
      </c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34">
        <v>5.942</v>
      </c>
      <c r="CP7" s="236">
        <f>H7*CO7</f>
        <v>2246.08</v>
      </c>
      <c r="CQ7" s="236">
        <f t="shared" si="0"/>
        <v>17407.12</v>
      </c>
      <c r="CR7" s="133" t="s">
        <v>53</v>
      </c>
      <c r="CS7" s="237"/>
    </row>
    <row r="8" s="155" customFormat="1" customHeight="1" spans="1:97">
      <c r="A8" s="126">
        <v>45962</v>
      </c>
      <c r="B8" s="127" t="s">
        <v>45</v>
      </c>
      <c r="C8" s="127" t="s">
        <v>46</v>
      </c>
      <c r="D8" s="128" t="s">
        <v>54</v>
      </c>
      <c r="E8" s="128" t="s">
        <v>55</v>
      </c>
      <c r="F8" s="127" t="s">
        <v>49</v>
      </c>
      <c r="G8" s="128">
        <v>17563</v>
      </c>
      <c r="H8" s="128">
        <v>1170</v>
      </c>
      <c r="I8" s="129">
        <v>46026</v>
      </c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>
        <f>H8</f>
        <v>1170</v>
      </c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  <c r="CJ8" s="128"/>
      <c r="CK8" s="128"/>
      <c r="CL8" s="128"/>
      <c r="CM8" s="128"/>
      <c r="CN8" s="128"/>
      <c r="CO8" s="134">
        <v>5.942</v>
      </c>
      <c r="CP8" s="236">
        <f>H8*CO8</f>
        <v>6952.14</v>
      </c>
      <c r="CQ8" s="236">
        <f t="shared" si="0"/>
        <v>53879.09</v>
      </c>
      <c r="CR8" s="133" t="s">
        <v>56</v>
      </c>
      <c r="CS8" s="237"/>
    </row>
    <row r="9" s="155" customFormat="1" customHeight="1" spans="1:97">
      <c r="A9" s="126">
        <v>45993</v>
      </c>
      <c r="B9" s="127" t="s">
        <v>57</v>
      </c>
      <c r="C9" s="127" t="s">
        <v>58</v>
      </c>
      <c r="D9" s="128">
        <v>500633</v>
      </c>
      <c r="E9" s="128" t="s">
        <v>59</v>
      </c>
      <c r="F9" s="127" t="s">
        <v>43</v>
      </c>
      <c r="G9" s="128">
        <v>13095</v>
      </c>
      <c r="H9" s="128">
        <v>3000</v>
      </c>
      <c r="I9" s="129">
        <v>46035</v>
      </c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>
        <f t="shared" si="1"/>
        <v>3000</v>
      </c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  <c r="CJ9" s="128"/>
      <c r="CK9" s="128"/>
      <c r="CL9" s="128"/>
      <c r="CM9" s="128"/>
      <c r="CN9" s="128"/>
      <c r="CO9" s="134">
        <v>3.641</v>
      </c>
      <c r="CP9" s="236">
        <f t="shared" ref="CP9:CP18" si="2">H9*CO9</f>
        <v>10923</v>
      </c>
      <c r="CQ9" s="236">
        <f t="shared" ref="CQ9:CQ18" si="3">CP9*7.75</f>
        <v>84653.25</v>
      </c>
      <c r="CR9" s="133" t="s">
        <v>60</v>
      </c>
      <c r="CS9" s="237"/>
    </row>
    <row r="10" s="155" customFormat="1" customHeight="1" spans="1:97">
      <c r="A10" s="126">
        <v>45993</v>
      </c>
      <c r="B10" s="127" t="s">
        <v>61</v>
      </c>
      <c r="C10" s="127" t="s">
        <v>62</v>
      </c>
      <c r="D10" s="128" t="s">
        <v>63</v>
      </c>
      <c r="E10" s="128" t="s">
        <v>64</v>
      </c>
      <c r="F10" s="127" t="s">
        <v>65</v>
      </c>
      <c r="G10" s="128">
        <v>18060</v>
      </c>
      <c r="H10" s="128">
        <v>1600</v>
      </c>
      <c r="I10" s="129">
        <v>46041</v>
      </c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>
        <f>H10</f>
        <v>1600</v>
      </c>
      <c r="CO10" s="134">
        <v>3.842</v>
      </c>
      <c r="CP10" s="236">
        <f t="shared" si="2"/>
        <v>6147.2</v>
      </c>
      <c r="CQ10" s="236">
        <f t="shared" si="3"/>
        <v>47640.8</v>
      </c>
      <c r="CR10" s="133" t="s">
        <v>66</v>
      </c>
      <c r="CS10" s="237"/>
    </row>
    <row r="11" s="155" customFormat="1" customHeight="1" spans="1:97">
      <c r="A11" s="126">
        <v>45993</v>
      </c>
      <c r="B11" s="127" t="s">
        <v>61</v>
      </c>
      <c r="C11" s="127" t="s">
        <v>62</v>
      </c>
      <c r="D11" s="128" t="s">
        <v>63</v>
      </c>
      <c r="E11" s="128" t="s">
        <v>64</v>
      </c>
      <c r="F11" s="127" t="s">
        <v>65</v>
      </c>
      <c r="G11" s="128">
        <v>18060</v>
      </c>
      <c r="H11" s="128">
        <v>1200</v>
      </c>
      <c r="I11" s="129">
        <v>46041</v>
      </c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>
        <f>H11</f>
        <v>1200</v>
      </c>
      <c r="CO11" s="134">
        <v>3.842</v>
      </c>
      <c r="CP11" s="236">
        <f t="shared" si="2"/>
        <v>4610.4</v>
      </c>
      <c r="CQ11" s="236">
        <f t="shared" si="3"/>
        <v>35730.6</v>
      </c>
      <c r="CR11" s="133" t="s">
        <v>66</v>
      </c>
      <c r="CS11" s="238"/>
    </row>
    <row r="12" s="155" customFormat="1" customHeight="1" spans="1:97">
      <c r="A12" s="126">
        <v>45993</v>
      </c>
      <c r="B12" s="127" t="s">
        <v>61</v>
      </c>
      <c r="C12" s="127" t="s">
        <v>62</v>
      </c>
      <c r="D12" s="128" t="s">
        <v>63</v>
      </c>
      <c r="E12" s="128" t="s">
        <v>64</v>
      </c>
      <c r="F12" s="127" t="s">
        <v>65</v>
      </c>
      <c r="G12" s="128">
        <v>18060</v>
      </c>
      <c r="H12" s="128">
        <v>1600</v>
      </c>
      <c r="I12" s="129">
        <v>46041</v>
      </c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  <c r="CJ12" s="128"/>
      <c r="CK12" s="128"/>
      <c r="CL12" s="128"/>
      <c r="CM12" s="128"/>
      <c r="CN12" s="128">
        <f>H12</f>
        <v>1600</v>
      </c>
      <c r="CO12" s="134">
        <v>3.842</v>
      </c>
      <c r="CP12" s="236">
        <f t="shared" si="2"/>
        <v>6147.2</v>
      </c>
      <c r="CQ12" s="236">
        <f t="shared" si="3"/>
        <v>47640.8</v>
      </c>
      <c r="CR12" s="133" t="s">
        <v>66</v>
      </c>
      <c r="CS12" s="238"/>
    </row>
    <row r="13" s="155" customFormat="1" customHeight="1" spans="1:97">
      <c r="A13" s="126">
        <v>45993</v>
      </c>
      <c r="B13" s="127" t="s">
        <v>61</v>
      </c>
      <c r="C13" s="127" t="s">
        <v>62</v>
      </c>
      <c r="D13" s="128" t="s">
        <v>63</v>
      </c>
      <c r="E13" s="128" t="s">
        <v>64</v>
      </c>
      <c r="F13" s="127" t="s">
        <v>65</v>
      </c>
      <c r="G13" s="128">
        <v>18060</v>
      </c>
      <c r="H13" s="128">
        <v>1550</v>
      </c>
      <c r="I13" s="129">
        <v>46041</v>
      </c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  <c r="CJ13" s="128"/>
      <c r="CK13" s="128"/>
      <c r="CL13" s="128"/>
      <c r="CM13" s="128"/>
      <c r="CN13" s="128">
        <f>H13</f>
        <v>1550</v>
      </c>
      <c r="CO13" s="134">
        <v>3.842</v>
      </c>
      <c r="CP13" s="236">
        <f t="shared" si="2"/>
        <v>5955.1</v>
      </c>
      <c r="CQ13" s="236">
        <f t="shared" si="3"/>
        <v>46152.03</v>
      </c>
      <c r="CR13" s="133" t="s">
        <v>66</v>
      </c>
      <c r="CS13" s="238"/>
    </row>
    <row r="14" s="155" customFormat="1" customHeight="1" spans="1:97">
      <c r="A14" s="126">
        <v>46029</v>
      </c>
      <c r="B14" s="127" t="s">
        <v>67</v>
      </c>
      <c r="C14" s="127" t="s">
        <v>68</v>
      </c>
      <c r="D14" s="128" t="s">
        <v>69</v>
      </c>
      <c r="E14" s="128" t="s">
        <v>70</v>
      </c>
      <c r="F14" s="127" t="s">
        <v>71</v>
      </c>
      <c r="G14" s="128">
        <v>17552</v>
      </c>
      <c r="H14" s="128">
        <v>600</v>
      </c>
      <c r="I14" s="129">
        <v>46108</v>
      </c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>
        <f>H14</f>
        <v>600</v>
      </c>
      <c r="CL14" s="128"/>
      <c r="CM14" s="128"/>
      <c r="CN14" s="128"/>
      <c r="CO14" s="134">
        <v>13.059</v>
      </c>
      <c r="CP14" s="236">
        <f t="shared" si="2"/>
        <v>7835.4</v>
      </c>
      <c r="CQ14" s="236">
        <f t="shared" si="3"/>
        <v>60724.35</v>
      </c>
      <c r="CR14" s="133" t="s">
        <v>72</v>
      </c>
      <c r="CS14" s="238"/>
    </row>
    <row r="15" s="155" customFormat="1" customHeight="1" spans="1:97">
      <c r="A15" s="126">
        <v>46029</v>
      </c>
      <c r="B15" s="127" t="s">
        <v>67</v>
      </c>
      <c r="C15" s="127" t="s">
        <v>68</v>
      </c>
      <c r="D15" s="128" t="s">
        <v>73</v>
      </c>
      <c r="E15" s="128" t="s">
        <v>74</v>
      </c>
      <c r="F15" s="127" t="s">
        <v>71</v>
      </c>
      <c r="G15" s="128">
        <v>17552</v>
      </c>
      <c r="H15" s="128">
        <v>4400</v>
      </c>
      <c r="I15" s="129">
        <v>46122</v>
      </c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28">
        <f>H15</f>
        <v>4400</v>
      </c>
      <c r="CL15" s="128"/>
      <c r="CM15" s="128"/>
      <c r="CN15" s="128"/>
      <c r="CO15" s="134">
        <v>13.059</v>
      </c>
      <c r="CP15" s="236">
        <f t="shared" si="2"/>
        <v>57459.6</v>
      </c>
      <c r="CQ15" s="236">
        <f t="shared" si="3"/>
        <v>445311.9</v>
      </c>
      <c r="CR15" s="133" t="s">
        <v>75</v>
      </c>
      <c r="CS15" s="238"/>
    </row>
    <row r="16" s="155" customFormat="1" customHeight="1" spans="1:97">
      <c r="A16" s="126">
        <v>46057</v>
      </c>
      <c r="B16" s="127" t="s">
        <v>76</v>
      </c>
      <c r="C16" s="127" t="s">
        <v>77</v>
      </c>
      <c r="D16" s="128" t="s">
        <v>78</v>
      </c>
      <c r="E16" s="128" t="s">
        <v>79</v>
      </c>
      <c r="F16" s="127" t="s">
        <v>37</v>
      </c>
      <c r="G16" s="128">
        <v>13095</v>
      </c>
      <c r="H16" s="128">
        <v>402</v>
      </c>
      <c r="I16" s="129">
        <v>46113</v>
      </c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>
        <f>H16</f>
        <v>402</v>
      </c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  <c r="CJ16" s="128"/>
      <c r="CK16" s="128"/>
      <c r="CL16" s="128"/>
      <c r="CM16" s="128"/>
      <c r="CN16" s="128"/>
      <c r="CO16" s="134">
        <v>3.671</v>
      </c>
      <c r="CP16" s="236">
        <f t="shared" ref="CP16:CP35" si="4">H16*CO16</f>
        <v>1475.74</v>
      </c>
      <c r="CQ16" s="236">
        <f t="shared" ref="CQ16:CQ35" si="5">CP16*7.75</f>
        <v>11436.99</v>
      </c>
      <c r="CR16" s="133" t="s">
        <v>80</v>
      </c>
      <c r="CS16" s="238"/>
    </row>
    <row r="17" s="155" customFormat="1" customHeight="1" spans="1:97">
      <c r="A17" s="126">
        <v>46057</v>
      </c>
      <c r="B17" s="127" t="s">
        <v>76</v>
      </c>
      <c r="C17" s="127" t="s">
        <v>77</v>
      </c>
      <c r="D17" s="128" t="s">
        <v>81</v>
      </c>
      <c r="E17" s="128" t="s">
        <v>82</v>
      </c>
      <c r="F17" s="127" t="s">
        <v>37</v>
      </c>
      <c r="G17" s="128">
        <v>13095</v>
      </c>
      <c r="H17" s="128">
        <v>600</v>
      </c>
      <c r="I17" s="129">
        <v>46113</v>
      </c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>
        <f t="shared" ref="BX17:BX38" si="6">H17</f>
        <v>600</v>
      </c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8"/>
      <c r="CO17" s="134">
        <v>3.671</v>
      </c>
      <c r="CP17" s="236">
        <f t="shared" si="4"/>
        <v>2202.6</v>
      </c>
      <c r="CQ17" s="236">
        <f t="shared" si="5"/>
        <v>17070.15</v>
      </c>
      <c r="CR17" s="133" t="s">
        <v>83</v>
      </c>
      <c r="CS17" s="238"/>
    </row>
    <row r="18" s="155" customFormat="1" customHeight="1" spans="1:97">
      <c r="A18" s="126">
        <v>46057</v>
      </c>
      <c r="B18" s="127" t="s">
        <v>76</v>
      </c>
      <c r="C18" s="127" t="s">
        <v>77</v>
      </c>
      <c r="D18" s="128" t="s">
        <v>84</v>
      </c>
      <c r="E18" s="128" t="s">
        <v>85</v>
      </c>
      <c r="F18" s="127" t="s">
        <v>37</v>
      </c>
      <c r="G18" s="128">
        <v>13095</v>
      </c>
      <c r="H18" s="128">
        <v>402</v>
      </c>
      <c r="I18" s="129">
        <v>46113</v>
      </c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>
        <f t="shared" si="6"/>
        <v>402</v>
      </c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  <c r="CJ18" s="128"/>
      <c r="CK18" s="128"/>
      <c r="CL18" s="128"/>
      <c r="CM18" s="128"/>
      <c r="CN18" s="128"/>
      <c r="CO18" s="134">
        <v>3.671</v>
      </c>
      <c r="CP18" s="236">
        <f t="shared" si="4"/>
        <v>1475.74</v>
      </c>
      <c r="CQ18" s="236">
        <f t="shared" si="5"/>
        <v>11436.99</v>
      </c>
      <c r="CR18" s="133" t="s">
        <v>86</v>
      </c>
      <c r="CS18" s="238"/>
    </row>
    <row r="19" s="155" customFormat="1" customHeight="1" spans="1:97">
      <c r="A19" s="126">
        <v>46057</v>
      </c>
      <c r="B19" s="127" t="s">
        <v>76</v>
      </c>
      <c r="C19" s="127" t="s">
        <v>77</v>
      </c>
      <c r="D19" s="128" t="s">
        <v>87</v>
      </c>
      <c r="E19" s="128" t="s">
        <v>88</v>
      </c>
      <c r="F19" s="127" t="s">
        <v>37</v>
      </c>
      <c r="G19" s="128">
        <v>13095</v>
      </c>
      <c r="H19" s="128">
        <v>801</v>
      </c>
      <c r="I19" s="129">
        <v>46113</v>
      </c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>
        <f t="shared" si="6"/>
        <v>801</v>
      </c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  <c r="CJ19" s="128"/>
      <c r="CK19" s="128"/>
      <c r="CL19" s="128"/>
      <c r="CM19" s="128"/>
      <c r="CN19" s="128"/>
      <c r="CO19" s="134">
        <v>3.671</v>
      </c>
      <c r="CP19" s="236">
        <f t="shared" si="4"/>
        <v>2940.47</v>
      </c>
      <c r="CQ19" s="236">
        <f t="shared" si="5"/>
        <v>22788.64</v>
      </c>
      <c r="CR19" s="133" t="s">
        <v>89</v>
      </c>
      <c r="CS19" s="238"/>
    </row>
    <row r="20" s="155" customFormat="1" customHeight="1" spans="1:97">
      <c r="A20" s="126">
        <v>46057</v>
      </c>
      <c r="B20" s="127" t="s">
        <v>76</v>
      </c>
      <c r="C20" s="127" t="s">
        <v>77</v>
      </c>
      <c r="D20" s="128" t="s">
        <v>90</v>
      </c>
      <c r="E20" s="128" t="s">
        <v>91</v>
      </c>
      <c r="F20" s="127" t="s">
        <v>37</v>
      </c>
      <c r="G20" s="128">
        <v>13095</v>
      </c>
      <c r="H20" s="128">
        <v>600</v>
      </c>
      <c r="I20" s="129">
        <v>46113</v>
      </c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>
        <f t="shared" si="6"/>
        <v>600</v>
      </c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  <c r="CJ20" s="128"/>
      <c r="CK20" s="128"/>
      <c r="CL20" s="128"/>
      <c r="CM20" s="128"/>
      <c r="CN20" s="128"/>
      <c r="CO20" s="134">
        <v>3.671</v>
      </c>
      <c r="CP20" s="236">
        <f t="shared" si="4"/>
        <v>2202.6</v>
      </c>
      <c r="CQ20" s="236">
        <f t="shared" si="5"/>
        <v>17070.15</v>
      </c>
      <c r="CR20" s="133" t="s">
        <v>92</v>
      </c>
      <c r="CS20" s="238"/>
    </row>
    <row r="21" s="155" customFormat="1" customHeight="1" spans="1:97">
      <c r="A21" s="126">
        <v>46057</v>
      </c>
      <c r="B21" s="127" t="s">
        <v>76</v>
      </c>
      <c r="C21" s="127" t="s">
        <v>77</v>
      </c>
      <c r="D21" s="128" t="s">
        <v>93</v>
      </c>
      <c r="E21" s="128" t="s">
        <v>94</v>
      </c>
      <c r="F21" s="127" t="s">
        <v>37</v>
      </c>
      <c r="G21" s="128">
        <v>13095</v>
      </c>
      <c r="H21" s="128">
        <v>402</v>
      </c>
      <c r="I21" s="129">
        <v>46113</v>
      </c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>
        <f t="shared" si="6"/>
        <v>402</v>
      </c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  <c r="CJ21" s="128"/>
      <c r="CK21" s="128"/>
      <c r="CL21" s="128"/>
      <c r="CM21" s="128"/>
      <c r="CN21" s="128"/>
      <c r="CO21" s="134">
        <v>3.671</v>
      </c>
      <c r="CP21" s="236">
        <f t="shared" si="4"/>
        <v>1475.74</v>
      </c>
      <c r="CQ21" s="236">
        <f t="shared" si="5"/>
        <v>11436.99</v>
      </c>
      <c r="CR21" s="133" t="s">
        <v>95</v>
      </c>
      <c r="CS21" s="238"/>
    </row>
    <row r="22" s="155" customFormat="1" customHeight="1" spans="1:97">
      <c r="A22" s="126">
        <v>46057</v>
      </c>
      <c r="B22" s="127" t="s">
        <v>76</v>
      </c>
      <c r="C22" s="127" t="s">
        <v>77</v>
      </c>
      <c r="D22" s="128" t="s">
        <v>96</v>
      </c>
      <c r="E22" s="128" t="s">
        <v>97</v>
      </c>
      <c r="F22" s="127" t="s">
        <v>37</v>
      </c>
      <c r="G22" s="128">
        <v>13095</v>
      </c>
      <c r="H22" s="128">
        <v>402</v>
      </c>
      <c r="I22" s="129">
        <v>46113</v>
      </c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>
        <f t="shared" si="6"/>
        <v>402</v>
      </c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  <c r="CJ22" s="128"/>
      <c r="CK22" s="128"/>
      <c r="CL22" s="128"/>
      <c r="CM22" s="128"/>
      <c r="CN22" s="128"/>
      <c r="CO22" s="134">
        <v>3.671</v>
      </c>
      <c r="CP22" s="236">
        <f t="shared" si="4"/>
        <v>1475.74</v>
      </c>
      <c r="CQ22" s="236">
        <f t="shared" si="5"/>
        <v>11436.99</v>
      </c>
      <c r="CR22" s="133" t="s">
        <v>98</v>
      </c>
      <c r="CS22" s="238"/>
    </row>
    <row r="23" s="155" customFormat="1" customHeight="1" spans="1:97">
      <c r="A23" s="126">
        <v>46057</v>
      </c>
      <c r="B23" s="127" t="s">
        <v>76</v>
      </c>
      <c r="C23" s="127" t="s">
        <v>77</v>
      </c>
      <c r="D23" s="128" t="s">
        <v>99</v>
      </c>
      <c r="E23" s="128" t="s">
        <v>100</v>
      </c>
      <c r="F23" s="127" t="s">
        <v>37</v>
      </c>
      <c r="G23" s="128">
        <v>13095</v>
      </c>
      <c r="H23" s="128">
        <v>600</v>
      </c>
      <c r="I23" s="129">
        <v>46113</v>
      </c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>
        <f t="shared" si="6"/>
        <v>600</v>
      </c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  <c r="CJ23" s="128"/>
      <c r="CK23" s="128"/>
      <c r="CL23" s="128"/>
      <c r="CM23" s="128"/>
      <c r="CN23" s="128"/>
      <c r="CO23" s="134">
        <v>3.671</v>
      </c>
      <c r="CP23" s="236">
        <f t="shared" si="4"/>
        <v>2202.6</v>
      </c>
      <c r="CQ23" s="236">
        <f t="shared" si="5"/>
        <v>17070.15</v>
      </c>
      <c r="CR23" s="133" t="s">
        <v>101</v>
      </c>
      <c r="CS23" s="238"/>
    </row>
    <row r="24" s="155" customFormat="1" customHeight="1" spans="1:97">
      <c r="A24" s="126">
        <v>46057</v>
      </c>
      <c r="B24" s="127" t="s">
        <v>76</v>
      </c>
      <c r="C24" s="127" t="s">
        <v>77</v>
      </c>
      <c r="D24" s="128" t="s">
        <v>102</v>
      </c>
      <c r="E24" s="128" t="s">
        <v>103</v>
      </c>
      <c r="F24" s="127" t="s">
        <v>37</v>
      </c>
      <c r="G24" s="128">
        <v>13095</v>
      </c>
      <c r="H24" s="128">
        <v>600</v>
      </c>
      <c r="I24" s="129">
        <v>46113</v>
      </c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>
        <f t="shared" si="6"/>
        <v>600</v>
      </c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  <c r="CJ24" s="128"/>
      <c r="CK24" s="128"/>
      <c r="CL24" s="128"/>
      <c r="CM24" s="128"/>
      <c r="CN24" s="128"/>
      <c r="CO24" s="134">
        <v>3.671</v>
      </c>
      <c r="CP24" s="236">
        <f t="shared" si="4"/>
        <v>2202.6</v>
      </c>
      <c r="CQ24" s="236">
        <f t="shared" si="5"/>
        <v>17070.15</v>
      </c>
      <c r="CR24" s="133" t="s">
        <v>104</v>
      </c>
      <c r="CS24" s="238"/>
    </row>
    <row r="25" s="155" customFormat="1" customHeight="1" spans="1:97">
      <c r="A25" s="126">
        <v>46057</v>
      </c>
      <c r="B25" s="127" t="s">
        <v>76</v>
      </c>
      <c r="C25" s="127" t="s">
        <v>77</v>
      </c>
      <c r="D25" s="128" t="s">
        <v>105</v>
      </c>
      <c r="E25" s="128" t="s">
        <v>106</v>
      </c>
      <c r="F25" s="127" t="s">
        <v>37</v>
      </c>
      <c r="G25" s="128">
        <v>13095</v>
      </c>
      <c r="H25" s="128">
        <v>801</v>
      </c>
      <c r="I25" s="129">
        <v>46113</v>
      </c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>
        <f t="shared" si="6"/>
        <v>801</v>
      </c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  <c r="CJ25" s="128"/>
      <c r="CK25" s="128"/>
      <c r="CL25" s="128"/>
      <c r="CM25" s="128"/>
      <c r="CN25" s="128"/>
      <c r="CO25" s="134">
        <v>3.671</v>
      </c>
      <c r="CP25" s="236">
        <f t="shared" si="4"/>
        <v>2940.47</v>
      </c>
      <c r="CQ25" s="236">
        <f t="shared" si="5"/>
        <v>22788.64</v>
      </c>
      <c r="CR25" s="133" t="s">
        <v>107</v>
      </c>
      <c r="CS25" s="238"/>
    </row>
    <row r="26" s="216" customFormat="1" customHeight="1" spans="1:97">
      <c r="A26" s="139">
        <v>46092</v>
      </c>
      <c r="B26" s="140" t="s">
        <v>45</v>
      </c>
      <c r="C26" s="140" t="s">
        <v>62</v>
      </c>
      <c r="D26" s="141" t="s">
        <v>108</v>
      </c>
      <c r="E26" s="141" t="s">
        <v>109</v>
      </c>
      <c r="F26" s="140" t="s">
        <v>43</v>
      </c>
      <c r="G26" s="141">
        <v>13095</v>
      </c>
      <c r="H26" s="141">
        <v>102</v>
      </c>
      <c r="I26" s="138">
        <v>46154</v>
      </c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>
        <f t="shared" si="6"/>
        <v>102</v>
      </c>
      <c r="BY26" s="141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5">
        <v>3.641</v>
      </c>
      <c r="CP26" s="239">
        <f t="shared" si="4"/>
        <v>371.38</v>
      </c>
      <c r="CQ26" s="239">
        <f t="shared" si="5"/>
        <v>2878.2</v>
      </c>
      <c r="CR26" s="133" t="s">
        <v>110</v>
      </c>
      <c r="CS26" s="144"/>
    </row>
    <row r="27" s="216" customFormat="1" customHeight="1" spans="1:97">
      <c r="A27" s="139">
        <v>46092</v>
      </c>
      <c r="B27" s="140" t="s">
        <v>45</v>
      </c>
      <c r="C27" s="140" t="s">
        <v>46</v>
      </c>
      <c r="D27" s="141" t="s">
        <v>111</v>
      </c>
      <c r="E27" s="141" t="s">
        <v>112</v>
      </c>
      <c r="F27" s="140" t="s">
        <v>43</v>
      </c>
      <c r="G27" s="141">
        <v>13095</v>
      </c>
      <c r="H27" s="141">
        <v>270</v>
      </c>
      <c r="I27" s="138">
        <v>46154</v>
      </c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>
        <f t="shared" si="6"/>
        <v>270</v>
      </c>
      <c r="BY27" s="141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5">
        <v>3.641</v>
      </c>
      <c r="CP27" s="239">
        <f t="shared" si="4"/>
        <v>983.07</v>
      </c>
      <c r="CQ27" s="239">
        <f t="shared" si="5"/>
        <v>7618.79</v>
      </c>
      <c r="CR27" s="133" t="s">
        <v>113</v>
      </c>
      <c r="CS27" s="144"/>
    </row>
    <row r="28" s="216" customFormat="1" customHeight="1" spans="1:97">
      <c r="A28" s="139">
        <v>46092</v>
      </c>
      <c r="B28" s="140" t="s">
        <v>45</v>
      </c>
      <c r="C28" s="140" t="s">
        <v>46</v>
      </c>
      <c r="D28" s="141" t="s">
        <v>114</v>
      </c>
      <c r="E28" s="141" t="s">
        <v>115</v>
      </c>
      <c r="F28" s="140" t="s">
        <v>43</v>
      </c>
      <c r="G28" s="141">
        <v>13095</v>
      </c>
      <c r="H28" s="141">
        <v>486</v>
      </c>
      <c r="I28" s="138">
        <v>46154</v>
      </c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>
        <f t="shared" si="6"/>
        <v>486</v>
      </c>
      <c r="BY28" s="141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5">
        <v>3.641</v>
      </c>
      <c r="CP28" s="239">
        <f t="shared" si="4"/>
        <v>1769.53</v>
      </c>
      <c r="CQ28" s="239">
        <f t="shared" si="5"/>
        <v>13713.86</v>
      </c>
      <c r="CR28" s="133" t="s">
        <v>116</v>
      </c>
      <c r="CS28" s="144"/>
    </row>
    <row r="29" s="155" customFormat="1" customHeight="1" spans="1:97">
      <c r="A29" s="126">
        <v>46100</v>
      </c>
      <c r="B29" s="127" t="s">
        <v>33</v>
      </c>
      <c r="C29" s="127" t="s">
        <v>117</v>
      </c>
      <c r="D29" s="128" t="s">
        <v>118</v>
      </c>
      <c r="E29" s="128" t="s">
        <v>119</v>
      </c>
      <c r="F29" s="127" t="s">
        <v>43</v>
      </c>
      <c r="G29" s="128">
        <v>13095</v>
      </c>
      <c r="H29" s="128">
        <v>1200</v>
      </c>
      <c r="I29" s="129">
        <v>46164</v>
      </c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>
        <f t="shared" si="6"/>
        <v>1200</v>
      </c>
      <c r="BY29" s="128"/>
      <c r="BZ29" s="128"/>
      <c r="CA29" s="128"/>
      <c r="CB29" s="128"/>
      <c r="CC29" s="128"/>
      <c r="CD29" s="128"/>
      <c r="CE29" s="128"/>
      <c r="CF29" s="128"/>
      <c r="CG29" s="128"/>
      <c r="CH29" s="128"/>
      <c r="CI29" s="128"/>
      <c r="CJ29" s="128"/>
      <c r="CK29" s="128"/>
      <c r="CL29" s="128"/>
      <c r="CM29" s="128"/>
      <c r="CN29" s="128"/>
      <c r="CO29" s="134">
        <v>3.641</v>
      </c>
      <c r="CP29" s="236">
        <f t="shared" si="4"/>
        <v>4369.2</v>
      </c>
      <c r="CQ29" s="236">
        <f t="shared" si="5"/>
        <v>33861.3</v>
      </c>
      <c r="CR29" s="133"/>
      <c r="CS29" s="133"/>
    </row>
    <row r="30" s="215" customFormat="1" customHeight="1" spans="1:97">
      <c r="A30" s="188">
        <v>46084</v>
      </c>
      <c r="B30" s="189"/>
      <c r="C30" s="240"/>
      <c r="D30" s="240" t="s">
        <v>30</v>
      </c>
      <c r="E30" s="189" t="s">
        <v>120</v>
      </c>
      <c r="F30" s="189" t="s">
        <v>43</v>
      </c>
      <c r="G30" s="191">
        <v>13095</v>
      </c>
      <c r="H30" s="15">
        <f>3000-(102+270+486+1200+48+105+90+63+72+564)</f>
        <v>0</v>
      </c>
      <c r="I30" s="192">
        <v>46093</v>
      </c>
      <c r="J30" s="191"/>
      <c r="K30" s="191"/>
      <c r="L30" s="191"/>
      <c r="M30" s="189"/>
      <c r="N30" s="194"/>
      <c r="O30" s="194"/>
      <c r="P30" s="195"/>
      <c r="Q30" s="196"/>
      <c r="R30" s="196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>
        <f t="shared" si="6"/>
        <v>0</v>
      </c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9">
        <v>0</v>
      </c>
      <c r="CP30" s="122">
        <f t="shared" si="4"/>
        <v>0</v>
      </c>
      <c r="CQ30" s="122">
        <f t="shared" si="5"/>
        <v>0</v>
      </c>
      <c r="CR30" s="133"/>
      <c r="CS30" s="196"/>
    </row>
    <row r="31" s="155" customFormat="1" customHeight="1" spans="1:97">
      <c r="A31" s="126">
        <v>46122</v>
      </c>
      <c r="B31" s="127" t="s">
        <v>45</v>
      </c>
      <c r="C31" s="133" t="s">
        <v>62</v>
      </c>
      <c r="D31" s="128" t="s">
        <v>121</v>
      </c>
      <c r="E31" s="128" t="s">
        <v>122</v>
      </c>
      <c r="F31" s="127" t="s">
        <v>43</v>
      </c>
      <c r="G31" s="128">
        <v>13095</v>
      </c>
      <c r="H31" s="128">
        <v>48</v>
      </c>
      <c r="I31" s="129">
        <v>46195</v>
      </c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>
        <f t="shared" si="6"/>
        <v>48</v>
      </c>
      <c r="BY31" s="128"/>
      <c r="BZ31" s="128"/>
      <c r="CA31" s="128"/>
      <c r="CB31" s="128"/>
      <c r="CC31" s="128"/>
      <c r="CD31" s="128"/>
      <c r="CE31" s="128"/>
      <c r="CF31" s="128"/>
      <c r="CG31" s="128"/>
      <c r="CH31" s="128"/>
      <c r="CI31" s="128"/>
      <c r="CJ31" s="128"/>
      <c r="CK31" s="128"/>
      <c r="CL31" s="128"/>
      <c r="CM31" s="128"/>
      <c r="CN31" s="128"/>
      <c r="CO31" s="134">
        <v>3.641</v>
      </c>
      <c r="CP31" s="236">
        <f t="shared" si="4"/>
        <v>174.77</v>
      </c>
      <c r="CQ31" s="236">
        <f t="shared" si="5"/>
        <v>1354.47</v>
      </c>
      <c r="CR31" s="133"/>
      <c r="CS31" s="133"/>
    </row>
    <row r="32" s="155" customFormat="1" customHeight="1" spans="1:97">
      <c r="A32" s="126">
        <v>46122</v>
      </c>
      <c r="B32" s="127" t="s">
        <v>45</v>
      </c>
      <c r="C32" s="127" t="s">
        <v>62</v>
      </c>
      <c r="D32" s="128" t="s">
        <v>123</v>
      </c>
      <c r="E32" s="128" t="s">
        <v>124</v>
      </c>
      <c r="F32" s="127" t="s">
        <v>43</v>
      </c>
      <c r="G32" s="128">
        <v>13095</v>
      </c>
      <c r="H32" s="128">
        <v>105</v>
      </c>
      <c r="I32" s="129">
        <v>46230</v>
      </c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>
        <f t="shared" si="6"/>
        <v>105</v>
      </c>
      <c r="BY32" s="128"/>
      <c r="BZ32" s="128"/>
      <c r="CA32" s="128"/>
      <c r="CB32" s="128"/>
      <c r="CC32" s="128"/>
      <c r="CD32" s="128"/>
      <c r="CE32" s="128"/>
      <c r="CF32" s="128"/>
      <c r="CG32" s="128"/>
      <c r="CH32" s="128"/>
      <c r="CI32" s="128"/>
      <c r="CJ32" s="128"/>
      <c r="CK32" s="128"/>
      <c r="CL32" s="128"/>
      <c r="CM32" s="128"/>
      <c r="CN32" s="128"/>
      <c r="CO32" s="134">
        <v>3.641</v>
      </c>
      <c r="CP32" s="236">
        <f t="shared" si="4"/>
        <v>382.31</v>
      </c>
      <c r="CQ32" s="236">
        <f t="shared" si="5"/>
        <v>2962.9</v>
      </c>
      <c r="CR32" s="133"/>
      <c r="CS32" s="133"/>
    </row>
    <row r="33" s="155" customFormat="1" customHeight="1" spans="1:97">
      <c r="A33" s="126">
        <v>46122</v>
      </c>
      <c r="B33" s="127" t="s">
        <v>45</v>
      </c>
      <c r="C33" s="127" t="s">
        <v>62</v>
      </c>
      <c r="D33" s="128" t="s">
        <v>125</v>
      </c>
      <c r="E33" s="128" t="s">
        <v>126</v>
      </c>
      <c r="F33" s="127" t="s">
        <v>43</v>
      </c>
      <c r="G33" s="128">
        <v>13095</v>
      </c>
      <c r="H33" s="128">
        <v>90</v>
      </c>
      <c r="I33" s="129">
        <v>46195</v>
      </c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>
        <f t="shared" si="6"/>
        <v>90</v>
      </c>
      <c r="BY33" s="128"/>
      <c r="BZ33" s="128"/>
      <c r="CA33" s="128"/>
      <c r="CB33" s="128"/>
      <c r="CC33" s="128"/>
      <c r="CD33" s="128"/>
      <c r="CE33" s="128"/>
      <c r="CF33" s="128"/>
      <c r="CG33" s="128"/>
      <c r="CH33" s="128"/>
      <c r="CI33" s="128"/>
      <c r="CJ33" s="128"/>
      <c r="CK33" s="128"/>
      <c r="CL33" s="128"/>
      <c r="CM33" s="128"/>
      <c r="CN33" s="128"/>
      <c r="CO33" s="134">
        <v>3.641</v>
      </c>
      <c r="CP33" s="236">
        <f t="shared" si="4"/>
        <v>327.69</v>
      </c>
      <c r="CQ33" s="236">
        <f t="shared" si="5"/>
        <v>2539.6</v>
      </c>
      <c r="CR33" s="133"/>
      <c r="CS33" s="133"/>
    </row>
    <row r="34" s="155" customFormat="1" customHeight="1" spans="1:97">
      <c r="A34" s="126">
        <v>46122</v>
      </c>
      <c r="B34" s="127" t="s">
        <v>45</v>
      </c>
      <c r="C34" s="127" t="s">
        <v>62</v>
      </c>
      <c r="D34" s="128" t="s">
        <v>127</v>
      </c>
      <c r="E34" s="128" t="s">
        <v>128</v>
      </c>
      <c r="F34" s="127" t="s">
        <v>43</v>
      </c>
      <c r="G34" s="128">
        <v>13095</v>
      </c>
      <c r="H34" s="128">
        <v>63</v>
      </c>
      <c r="I34" s="129">
        <v>46195</v>
      </c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>
        <f t="shared" si="6"/>
        <v>63</v>
      </c>
      <c r="BY34" s="128"/>
      <c r="BZ34" s="128"/>
      <c r="CA34" s="128"/>
      <c r="CB34" s="128"/>
      <c r="CC34" s="128"/>
      <c r="CD34" s="128"/>
      <c r="CE34" s="128"/>
      <c r="CF34" s="128"/>
      <c r="CG34" s="128"/>
      <c r="CH34" s="128"/>
      <c r="CI34" s="128"/>
      <c r="CJ34" s="128"/>
      <c r="CK34" s="128"/>
      <c r="CL34" s="128"/>
      <c r="CM34" s="128"/>
      <c r="CN34" s="128"/>
      <c r="CO34" s="134">
        <v>3.641</v>
      </c>
      <c r="CP34" s="236">
        <f t="shared" ref="CP34:CP45" si="7">H34*CO34</f>
        <v>229.38</v>
      </c>
      <c r="CQ34" s="236">
        <f t="shared" ref="CQ34:CQ45" si="8">CP34*7.75</f>
        <v>1777.7</v>
      </c>
      <c r="CR34" s="133"/>
      <c r="CS34" s="133"/>
    </row>
    <row r="35" s="155" customFormat="1" customHeight="1" spans="1:97">
      <c r="A35" s="126">
        <v>46122</v>
      </c>
      <c r="B35" s="127" t="s">
        <v>45</v>
      </c>
      <c r="C35" s="127" t="s">
        <v>62</v>
      </c>
      <c r="D35" s="128" t="s">
        <v>129</v>
      </c>
      <c r="E35" s="128" t="s">
        <v>130</v>
      </c>
      <c r="F35" s="127" t="s">
        <v>43</v>
      </c>
      <c r="G35" s="128">
        <v>13095</v>
      </c>
      <c r="H35" s="128">
        <v>72</v>
      </c>
      <c r="I35" s="129">
        <v>46195</v>
      </c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>
        <f t="shared" si="6"/>
        <v>72</v>
      </c>
      <c r="BY35" s="128"/>
      <c r="BZ35" s="128"/>
      <c r="CA35" s="128"/>
      <c r="CB35" s="128"/>
      <c r="CC35" s="128"/>
      <c r="CD35" s="128"/>
      <c r="CE35" s="128"/>
      <c r="CF35" s="128"/>
      <c r="CG35" s="128"/>
      <c r="CH35" s="128"/>
      <c r="CI35" s="128"/>
      <c r="CJ35" s="128"/>
      <c r="CK35" s="128"/>
      <c r="CL35" s="128"/>
      <c r="CM35" s="128"/>
      <c r="CN35" s="128"/>
      <c r="CO35" s="134">
        <v>3.641</v>
      </c>
      <c r="CP35" s="236">
        <f t="shared" si="7"/>
        <v>262.15</v>
      </c>
      <c r="CQ35" s="236">
        <f t="shared" si="8"/>
        <v>2031.66</v>
      </c>
      <c r="CR35" s="133"/>
      <c r="CS35" s="133"/>
    </row>
    <row r="36" s="215" customFormat="1" customHeight="1" spans="1:97">
      <c r="A36" s="188">
        <v>46150</v>
      </c>
      <c r="B36" s="189"/>
      <c r="C36" s="189"/>
      <c r="D36" s="240" t="s">
        <v>30</v>
      </c>
      <c r="E36" s="191" t="s">
        <v>131</v>
      </c>
      <c r="F36" s="189" t="s">
        <v>43</v>
      </c>
      <c r="G36" s="191">
        <v>13095</v>
      </c>
      <c r="H36" s="97">
        <f>3000-(1203+162)</f>
        <v>1635</v>
      </c>
      <c r="I36" s="192">
        <v>46209</v>
      </c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/>
      <c r="BM36" s="191"/>
      <c r="BN36" s="191"/>
      <c r="BO36" s="191"/>
      <c r="BP36" s="191"/>
      <c r="BQ36" s="191"/>
      <c r="BR36" s="191"/>
      <c r="BS36" s="191"/>
      <c r="BT36" s="191"/>
      <c r="BU36" s="191"/>
      <c r="BV36" s="191"/>
      <c r="BW36" s="191"/>
      <c r="BX36" s="191">
        <f t="shared" si="6"/>
        <v>1635</v>
      </c>
      <c r="BY36" s="191"/>
      <c r="BZ36" s="191"/>
      <c r="CA36" s="191"/>
      <c r="CB36" s="191"/>
      <c r="CC36" s="191"/>
      <c r="CD36" s="191"/>
      <c r="CE36" s="191"/>
      <c r="CF36" s="191"/>
      <c r="CG36" s="191"/>
      <c r="CH36" s="191"/>
      <c r="CI36" s="191"/>
      <c r="CJ36" s="191"/>
      <c r="CK36" s="191"/>
      <c r="CL36" s="191"/>
      <c r="CM36" s="191"/>
      <c r="CN36" s="191"/>
      <c r="CO36" s="199">
        <v>0</v>
      </c>
      <c r="CP36" s="122">
        <f t="shared" si="7"/>
        <v>0</v>
      </c>
      <c r="CQ36" s="122">
        <f t="shared" si="8"/>
        <v>0</v>
      </c>
      <c r="CR36" s="133"/>
      <c r="CS36" s="196"/>
    </row>
    <row r="37" s="155" customFormat="1" customHeight="1" spans="1:97">
      <c r="A37" s="126">
        <v>46150</v>
      </c>
      <c r="B37" s="127" t="s">
        <v>132</v>
      </c>
      <c r="C37" s="127" t="s">
        <v>133</v>
      </c>
      <c r="D37" s="128" t="s">
        <v>134</v>
      </c>
      <c r="E37" s="128" t="s">
        <v>135</v>
      </c>
      <c r="F37" s="127" t="s">
        <v>37</v>
      </c>
      <c r="G37" s="128">
        <v>13095</v>
      </c>
      <c r="H37" s="128">
        <v>1203</v>
      </c>
      <c r="I37" s="129">
        <v>46219</v>
      </c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91"/>
      <c r="BN37" s="191"/>
      <c r="BO37" s="191"/>
      <c r="BP37" s="191"/>
      <c r="BQ37" s="191"/>
      <c r="BR37" s="191"/>
      <c r="BS37" s="191"/>
      <c r="BT37" s="191"/>
      <c r="BU37" s="191"/>
      <c r="BV37" s="128"/>
      <c r="BW37" s="128"/>
      <c r="BX37" s="128">
        <f t="shared" si="6"/>
        <v>1203</v>
      </c>
      <c r="BY37" s="128"/>
      <c r="BZ37" s="128"/>
      <c r="CA37" s="128"/>
      <c r="CB37" s="128"/>
      <c r="CC37" s="128"/>
      <c r="CD37" s="128"/>
      <c r="CE37" s="128"/>
      <c r="CF37" s="128"/>
      <c r="CG37" s="128"/>
      <c r="CH37" s="128"/>
      <c r="CI37" s="128"/>
      <c r="CJ37" s="128"/>
      <c r="CK37" s="128"/>
      <c r="CL37" s="128"/>
      <c r="CM37" s="128"/>
      <c r="CN37" s="128"/>
      <c r="CO37" s="134">
        <v>3.671</v>
      </c>
      <c r="CP37" s="236">
        <f t="shared" si="7"/>
        <v>4416.21</v>
      </c>
      <c r="CQ37" s="236">
        <f t="shared" si="8"/>
        <v>34225.63</v>
      </c>
      <c r="CR37" s="133"/>
      <c r="CS37" s="133"/>
    </row>
    <row r="38" s="155" customFormat="1" customHeight="1" spans="1:97">
      <c r="A38" s="126">
        <v>46150</v>
      </c>
      <c r="B38" s="127" t="s">
        <v>132</v>
      </c>
      <c r="C38" s="127" t="s">
        <v>133</v>
      </c>
      <c r="D38" s="128" t="s">
        <v>136</v>
      </c>
      <c r="E38" s="128" t="s">
        <v>137</v>
      </c>
      <c r="F38" s="127" t="s">
        <v>37</v>
      </c>
      <c r="G38" s="128">
        <v>13095</v>
      </c>
      <c r="H38" s="128">
        <v>162</v>
      </c>
      <c r="I38" s="129">
        <v>46219</v>
      </c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1"/>
      <c r="BN38" s="191"/>
      <c r="BO38" s="191"/>
      <c r="BP38" s="191"/>
      <c r="BQ38" s="191"/>
      <c r="BR38" s="191"/>
      <c r="BS38" s="191"/>
      <c r="BT38" s="191"/>
      <c r="BU38" s="191"/>
      <c r="BV38" s="128"/>
      <c r="BW38" s="128"/>
      <c r="BX38" s="128">
        <f t="shared" si="6"/>
        <v>162</v>
      </c>
      <c r="BY38" s="128"/>
      <c r="BZ38" s="128"/>
      <c r="CA38" s="128"/>
      <c r="CB38" s="128"/>
      <c r="CC38" s="128"/>
      <c r="CD38" s="128"/>
      <c r="CE38" s="128"/>
      <c r="CF38" s="128"/>
      <c r="CG38" s="128"/>
      <c r="CH38" s="128"/>
      <c r="CI38" s="128"/>
      <c r="CJ38" s="128"/>
      <c r="CK38" s="128"/>
      <c r="CL38" s="128"/>
      <c r="CM38" s="128"/>
      <c r="CN38" s="128"/>
      <c r="CO38" s="134">
        <v>3.671</v>
      </c>
      <c r="CP38" s="236">
        <f t="shared" si="7"/>
        <v>594.7</v>
      </c>
      <c r="CQ38" s="236">
        <f t="shared" si="8"/>
        <v>4608.93</v>
      </c>
      <c r="CR38" s="133"/>
      <c r="CS38" s="133"/>
    </row>
    <row r="39" s="215" customFormat="1" customHeight="1" spans="1:97">
      <c r="A39" s="188">
        <v>46196</v>
      </c>
      <c r="B39" s="197" t="s">
        <v>61</v>
      </c>
      <c r="C39" s="189" t="s">
        <v>62</v>
      </c>
      <c r="D39" s="190" t="s">
        <v>138</v>
      </c>
      <c r="E39" s="191" t="s">
        <v>139</v>
      </c>
      <c r="F39" s="189" t="s">
        <v>65</v>
      </c>
      <c r="G39" s="191">
        <v>18060</v>
      </c>
      <c r="H39" s="191">
        <v>6000</v>
      </c>
      <c r="I39" s="192">
        <v>46290</v>
      </c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  <c r="BK39" s="191"/>
      <c r="BL39" s="191"/>
      <c r="BM39" s="191"/>
      <c r="BN39" s="191"/>
      <c r="BO39" s="191"/>
      <c r="BP39" s="191"/>
      <c r="BQ39" s="191"/>
      <c r="BR39" s="191"/>
      <c r="BS39" s="191"/>
      <c r="BT39" s="191"/>
      <c r="BU39" s="191"/>
      <c r="BV39" s="191"/>
      <c r="BW39" s="191"/>
      <c r="BX39" s="191"/>
      <c r="BY39" s="191"/>
      <c r="BZ39" s="191"/>
      <c r="CA39" s="191"/>
      <c r="CB39" s="191"/>
      <c r="CC39" s="191"/>
      <c r="CD39" s="191"/>
      <c r="CE39" s="191"/>
      <c r="CF39" s="191"/>
      <c r="CG39" s="191"/>
      <c r="CH39" s="191"/>
      <c r="CI39" s="191"/>
      <c r="CJ39" s="191"/>
      <c r="CK39" s="191"/>
      <c r="CL39" s="191"/>
      <c r="CM39" s="191"/>
      <c r="CN39" s="191">
        <f>H39</f>
        <v>6000</v>
      </c>
      <c r="CO39" s="199">
        <v>3.842</v>
      </c>
      <c r="CP39" s="122">
        <f t="shared" si="7"/>
        <v>23052</v>
      </c>
      <c r="CQ39" s="122">
        <f t="shared" si="8"/>
        <v>178653</v>
      </c>
      <c r="CR39" s="133"/>
      <c r="CS39" s="196"/>
    </row>
    <row r="40" s="215" customFormat="1" customHeight="1" spans="1:97">
      <c r="A40" s="188">
        <v>46196</v>
      </c>
      <c r="B40" s="189" t="s">
        <v>61</v>
      </c>
      <c r="C40" s="189" t="s">
        <v>62</v>
      </c>
      <c r="D40" s="190" t="s">
        <v>140</v>
      </c>
      <c r="E40" s="190" t="s">
        <v>141</v>
      </c>
      <c r="F40" s="189" t="s">
        <v>65</v>
      </c>
      <c r="G40" s="191">
        <v>18060</v>
      </c>
      <c r="H40" s="191">
        <v>2000</v>
      </c>
      <c r="I40" s="192" t="s">
        <v>142</v>
      </c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>
        <f>H40</f>
        <v>2000</v>
      </c>
      <c r="CO40" s="199">
        <v>3.842</v>
      </c>
      <c r="CP40" s="122">
        <f t="shared" si="7"/>
        <v>7684</v>
      </c>
      <c r="CQ40" s="122">
        <f t="shared" si="8"/>
        <v>59551</v>
      </c>
      <c r="CR40" s="133"/>
      <c r="CS40" s="196"/>
    </row>
    <row r="41" s="215" customFormat="1" customHeight="1" spans="1:97">
      <c r="A41" s="188">
        <v>46196</v>
      </c>
      <c r="B41" s="189" t="s">
        <v>61</v>
      </c>
      <c r="C41" s="189" t="s">
        <v>62</v>
      </c>
      <c r="D41" s="190" t="s">
        <v>143</v>
      </c>
      <c r="E41" s="190" t="s">
        <v>144</v>
      </c>
      <c r="F41" s="189" t="s">
        <v>65</v>
      </c>
      <c r="G41" s="191">
        <v>18060</v>
      </c>
      <c r="H41" s="191">
        <v>5800</v>
      </c>
      <c r="I41" s="192">
        <v>46252</v>
      </c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1"/>
      <c r="BQ41" s="191"/>
      <c r="BR41" s="191"/>
      <c r="BS41" s="191"/>
      <c r="BT41" s="191"/>
      <c r="BU41" s="191"/>
      <c r="BV41" s="191"/>
      <c r="BW41" s="191"/>
      <c r="BX41" s="191"/>
      <c r="BY41" s="191"/>
      <c r="BZ41" s="191"/>
      <c r="CA41" s="191"/>
      <c r="CB41" s="191"/>
      <c r="CC41" s="191"/>
      <c r="CD41" s="191"/>
      <c r="CE41" s="191"/>
      <c r="CF41" s="191"/>
      <c r="CG41" s="191"/>
      <c r="CH41" s="191"/>
      <c r="CI41" s="241"/>
      <c r="CJ41" s="191"/>
      <c r="CK41" s="191"/>
      <c r="CL41" s="191"/>
      <c r="CM41" s="191"/>
      <c r="CN41" s="191">
        <f>H41</f>
        <v>5800</v>
      </c>
      <c r="CO41" s="199">
        <v>3.842</v>
      </c>
      <c r="CP41" s="122">
        <f t="shared" si="7"/>
        <v>22283.6</v>
      </c>
      <c r="CQ41" s="122">
        <f t="shared" si="8"/>
        <v>172697.9</v>
      </c>
      <c r="CR41" s="133"/>
      <c r="CS41" s="196"/>
    </row>
    <row r="42" s="215" customFormat="1" customHeight="1" spans="1:97">
      <c r="A42" s="188">
        <v>46199</v>
      </c>
      <c r="B42" s="197" t="s">
        <v>57</v>
      </c>
      <c r="C42" s="197" t="s">
        <v>68</v>
      </c>
      <c r="D42" s="190"/>
      <c r="E42" s="190" t="s">
        <v>145</v>
      </c>
      <c r="F42" s="190" t="s">
        <v>43</v>
      </c>
      <c r="G42" s="191">
        <v>13095</v>
      </c>
      <c r="H42" s="191">
        <v>4002</v>
      </c>
      <c r="I42" s="192">
        <v>46275</v>
      </c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  <c r="BX42" s="191">
        <f>H42</f>
        <v>4002</v>
      </c>
      <c r="BY42" s="191"/>
      <c r="BZ42" s="191"/>
      <c r="CA42" s="191"/>
      <c r="CB42" s="191"/>
      <c r="CC42" s="191"/>
      <c r="CD42" s="191"/>
      <c r="CE42" s="191"/>
      <c r="CF42" s="191"/>
      <c r="CG42" s="191"/>
      <c r="CH42" s="242"/>
      <c r="CI42" s="243"/>
      <c r="CJ42" s="244"/>
      <c r="CK42" s="191"/>
      <c r="CL42" s="191"/>
      <c r="CM42" s="191"/>
      <c r="CN42" s="191"/>
      <c r="CO42" s="199">
        <v>3.641</v>
      </c>
      <c r="CP42" s="122">
        <f t="shared" si="7"/>
        <v>14571.28</v>
      </c>
      <c r="CQ42" s="122">
        <f t="shared" si="8"/>
        <v>112927.42</v>
      </c>
      <c r="CR42" s="133"/>
      <c r="CS42" s="196"/>
    </row>
    <row r="43" s="215" customFormat="1" customHeight="1" spans="1:97">
      <c r="A43" s="188">
        <v>46225</v>
      </c>
      <c r="B43" s="197" t="s">
        <v>146</v>
      </c>
      <c r="C43" s="189" t="s">
        <v>62</v>
      </c>
      <c r="D43" s="190">
        <v>60308546</v>
      </c>
      <c r="E43" s="190" t="s">
        <v>147</v>
      </c>
      <c r="F43" s="197" t="s">
        <v>65</v>
      </c>
      <c r="G43" s="191">
        <v>18060</v>
      </c>
      <c r="H43" s="191">
        <v>5400</v>
      </c>
      <c r="I43" s="245">
        <v>46324</v>
      </c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242"/>
      <c r="CI43" s="246"/>
      <c r="CJ43" s="244"/>
      <c r="CK43" s="191"/>
      <c r="CL43" s="191"/>
      <c r="CM43" s="191"/>
      <c r="CN43" s="191">
        <f>H43</f>
        <v>5400</v>
      </c>
      <c r="CO43" s="199">
        <v>3.842</v>
      </c>
      <c r="CP43" s="122">
        <f t="shared" si="7"/>
        <v>20746.8</v>
      </c>
      <c r="CQ43" s="122">
        <f t="shared" si="8"/>
        <v>160787.7</v>
      </c>
      <c r="CR43" s="133"/>
      <c r="CS43" s="196"/>
    </row>
    <row r="44" s="215" customFormat="1" customHeight="1" spans="1:97">
      <c r="A44" s="188"/>
      <c r="B44" s="210"/>
      <c r="C44" s="189"/>
      <c r="D44" s="191"/>
      <c r="E44" s="191"/>
      <c r="F44" s="189"/>
      <c r="G44" s="191"/>
      <c r="H44" s="191"/>
      <c r="I44" s="192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1"/>
      <c r="BQ44" s="191"/>
      <c r="BR44" s="191"/>
      <c r="BS44" s="191"/>
      <c r="BT44" s="191"/>
      <c r="BU44" s="191"/>
      <c r="BV44" s="191"/>
      <c r="BW44" s="191"/>
      <c r="BX44" s="191"/>
      <c r="BY44" s="191"/>
      <c r="BZ44" s="191"/>
      <c r="CA44" s="191"/>
      <c r="CB44" s="191"/>
      <c r="CC44" s="191"/>
      <c r="CD44" s="191"/>
      <c r="CE44" s="191"/>
      <c r="CF44" s="191"/>
      <c r="CG44" s="191"/>
      <c r="CH44" s="191"/>
      <c r="CI44" s="247"/>
      <c r="CJ44" s="191"/>
      <c r="CK44" s="191"/>
      <c r="CL44" s="191"/>
      <c r="CM44" s="191"/>
      <c r="CN44" s="191"/>
      <c r="CO44" s="199"/>
      <c r="CP44" s="122">
        <f t="shared" si="7"/>
        <v>0</v>
      </c>
      <c r="CQ44" s="122">
        <f t="shared" si="8"/>
        <v>0</v>
      </c>
      <c r="CR44" s="133"/>
      <c r="CS44" s="196"/>
    </row>
    <row r="45" s="215" customFormat="1" customHeight="1" spans="1:97">
      <c r="A45" s="188"/>
      <c r="B45" s="210"/>
      <c r="C45" s="189"/>
      <c r="D45" s="191"/>
      <c r="E45" s="191"/>
      <c r="F45" s="189"/>
      <c r="G45" s="191"/>
      <c r="H45" s="191"/>
      <c r="I45" s="192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1"/>
      <c r="CA45" s="191"/>
      <c r="CB45" s="191"/>
      <c r="CC45" s="191"/>
      <c r="CD45" s="191"/>
      <c r="CE45" s="191"/>
      <c r="CF45" s="191"/>
      <c r="CG45" s="191"/>
      <c r="CH45" s="191"/>
      <c r="CI45" s="247"/>
      <c r="CJ45" s="191"/>
      <c r="CK45" s="191"/>
      <c r="CL45" s="191"/>
      <c r="CM45" s="191"/>
      <c r="CN45" s="191"/>
      <c r="CO45" s="199"/>
      <c r="CP45" s="122"/>
      <c r="CQ45" s="122"/>
      <c r="CR45" s="133"/>
      <c r="CS45" s="196"/>
    </row>
    <row r="46" s="215" customFormat="1" customHeight="1" spans="1:97">
      <c r="A46" s="188"/>
      <c r="B46" s="210"/>
      <c r="C46" s="189"/>
      <c r="D46" s="191"/>
      <c r="E46" s="191"/>
      <c r="F46" s="189"/>
      <c r="G46" s="191"/>
      <c r="H46" s="191"/>
      <c r="I46" s="192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1"/>
      <c r="BQ46" s="191"/>
      <c r="BR46" s="191"/>
      <c r="BS46" s="191"/>
      <c r="BT46" s="191"/>
      <c r="BU46" s="191"/>
      <c r="BV46" s="191"/>
      <c r="BW46" s="191"/>
      <c r="BX46" s="191"/>
      <c r="BY46" s="191"/>
      <c r="BZ46" s="191"/>
      <c r="CA46" s="191"/>
      <c r="CB46" s="191"/>
      <c r="CC46" s="191"/>
      <c r="CD46" s="191"/>
      <c r="CE46" s="191"/>
      <c r="CF46" s="191"/>
      <c r="CG46" s="191"/>
      <c r="CH46" s="191"/>
      <c r="CI46" s="247"/>
      <c r="CJ46" s="191"/>
      <c r="CK46" s="191"/>
      <c r="CL46" s="191"/>
      <c r="CM46" s="191"/>
      <c r="CN46" s="191"/>
      <c r="CO46" s="199"/>
      <c r="CP46" s="122"/>
      <c r="CQ46" s="122"/>
      <c r="CR46" s="133"/>
      <c r="CS46" s="196"/>
    </row>
    <row r="47" s="215" customFormat="1" customHeight="1" spans="1:97">
      <c r="A47" s="188"/>
      <c r="B47" s="210"/>
      <c r="C47" s="189"/>
      <c r="D47" s="191"/>
      <c r="E47" s="191"/>
      <c r="F47" s="189"/>
      <c r="G47" s="191"/>
      <c r="H47" s="191"/>
      <c r="I47" s="192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1"/>
      <c r="BQ47" s="191"/>
      <c r="BR47" s="191"/>
      <c r="BS47" s="191"/>
      <c r="BT47" s="191"/>
      <c r="BU47" s="191"/>
      <c r="BV47" s="191"/>
      <c r="BW47" s="191"/>
      <c r="BX47" s="191"/>
      <c r="BY47" s="191"/>
      <c r="BZ47" s="191"/>
      <c r="CA47" s="191"/>
      <c r="CB47" s="191"/>
      <c r="CC47" s="191"/>
      <c r="CD47" s="191"/>
      <c r="CE47" s="191"/>
      <c r="CF47" s="191"/>
      <c r="CG47" s="191"/>
      <c r="CH47" s="191"/>
      <c r="CI47" s="247"/>
      <c r="CJ47" s="191"/>
      <c r="CK47" s="191"/>
      <c r="CL47" s="191"/>
      <c r="CM47" s="191"/>
      <c r="CN47" s="191"/>
      <c r="CO47" s="199"/>
      <c r="CP47" s="122"/>
      <c r="CQ47" s="122"/>
      <c r="CR47" s="133"/>
      <c r="CS47" s="196"/>
    </row>
    <row r="48" s="215" customFormat="1" customHeight="1" spans="1:97">
      <c r="A48" s="188"/>
      <c r="B48" s="210"/>
      <c r="C48" s="189"/>
      <c r="D48" s="191"/>
      <c r="E48" s="191"/>
      <c r="F48" s="189"/>
      <c r="G48" s="191"/>
      <c r="H48" s="191"/>
      <c r="I48" s="192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1"/>
      <c r="BQ48" s="191"/>
      <c r="BR48" s="191"/>
      <c r="BS48" s="191"/>
      <c r="BT48" s="191"/>
      <c r="BU48" s="191"/>
      <c r="BV48" s="191"/>
      <c r="BW48" s="191"/>
      <c r="BX48" s="191"/>
      <c r="BY48" s="191"/>
      <c r="BZ48" s="191"/>
      <c r="CA48" s="191"/>
      <c r="CB48" s="191"/>
      <c r="CC48" s="191"/>
      <c r="CD48" s="191"/>
      <c r="CE48" s="191"/>
      <c r="CF48" s="191"/>
      <c r="CG48" s="191"/>
      <c r="CH48" s="191"/>
      <c r="CI48" s="247"/>
      <c r="CJ48" s="191"/>
      <c r="CK48" s="191"/>
      <c r="CL48" s="191"/>
      <c r="CM48" s="191"/>
      <c r="CN48" s="191"/>
      <c r="CO48" s="199"/>
      <c r="CP48" s="122"/>
      <c r="CQ48" s="122"/>
      <c r="CR48" s="133"/>
      <c r="CS48" s="196"/>
    </row>
    <row r="49" s="215" customFormat="1" customHeight="1" spans="1:97">
      <c r="A49" s="188"/>
      <c r="B49" s="188"/>
      <c r="C49" s="188"/>
      <c r="D49" s="191"/>
      <c r="E49" s="191"/>
      <c r="F49" s="189"/>
      <c r="G49" s="228"/>
      <c r="H49" s="191"/>
      <c r="I49" s="193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248"/>
      <c r="CP49" s="122">
        <f>H49*CO49</f>
        <v>0</v>
      </c>
      <c r="CQ49" s="122">
        <f>CP49*7.75</f>
        <v>0</v>
      </c>
      <c r="CR49" s="196"/>
      <c r="CS49" s="196"/>
    </row>
    <row r="50" s="217" customFormat="1" customHeight="1" spans="1:97">
      <c r="A50" s="240"/>
      <c r="B50" s="249"/>
      <c r="C50" s="240"/>
      <c r="D50" s="228"/>
      <c r="E50" s="240"/>
      <c r="F50" s="240"/>
      <c r="G50" s="228" t="s">
        <v>148</v>
      </c>
      <c r="H50" s="250">
        <f>SUM(H3:H49)</f>
        <v>52755</v>
      </c>
      <c r="I50" s="250">
        <f>排期!I10+已走货!I37+MA!G10</f>
        <v>52755</v>
      </c>
      <c r="J50" s="228">
        <f t="shared" ref="J50:BU50" si="9">SUM(J3:J49)</f>
        <v>0</v>
      </c>
      <c r="K50" s="228">
        <f t="shared" si="9"/>
        <v>0</v>
      </c>
      <c r="L50" s="228">
        <f t="shared" si="9"/>
        <v>0</v>
      </c>
      <c r="M50" s="228">
        <f t="shared" si="9"/>
        <v>0</v>
      </c>
      <c r="N50" s="228">
        <f t="shared" si="9"/>
        <v>0</v>
      </c>
      <c r="O50" s="228">
        <f t="shared" si="9"/>
        <v>0</v>
      </c>
      <c r="P50" s="228">
        <f t="shared" si="9"/>
        <v>0</v>
      </c>
      <c r="Q50" s="228">
        <f t="shared" si="9"/>
        <v>0</v>
      </c>
      <c r="R50" s="228">
        <f t="shared" si="9"/>
        <v>0</v>
      </c>
      <c r="S50" s="228">
        <f t="shared" si="9"/>
        <v>0</v>
      </c>
      <c r="T50" s="228">
        <f t="shared" si="9"/>
        <v>0</v>
      </c>
      <c r="U50" s="228">
        <f t="shared" si="9"/>
        <v>0</v>
      </c>
      <c r="V50" s="228">
        <f t="shared" si="9"/>
        <v>0</v>
      </c>
      <c r="W50" s="228">
        <f t="shared" si="9"/>
        <v>0</v>
      </c>
      <c r="X50" s="228">
        <f t="shared" si="9"/>
        <v>0</v>
      </c>
      <c r="Y50" s="228">
        <f t="shared" si="9"/>
        <v>0</v>
      </c>
      <c r="Z50" s="228">
        <f t="shared" si="9"/>
        <v>0</v>
      </c>
      <c r="AA50" s="228">
        <f t="shared" si="9"/>
        <v>0</v>
      </c>
      <c r="AB50" s="228">
        <f t="shared" si="9"/>
        <v>0</v>
      </c>
      <c r="AC50" s="228">
        <f t="shared" si="9"/>
        <v>0</v>
      </c>
      <c r="AD50" s="228">
        <f t="shared" si="9"/>
        <v>0</v>
      </c>
      <c r="AE50" s="228">
        <f t="shared" si="9"/>
        <v>0</v>
      </c>
      <c r="AF50" s="228">
        <f t="shared" si="9"/>
        <v>0</v>
      </c>
      <c r="AG50" s="228">
        <f t="shared" si="9"/>
        <v>0</v>
      </c>
      <c r="AH50" s="228">
        <f t="shared" si="9"/>
        <v>0</v>
      </c>
      <c r="AI50" s="228">
        <f t="shared" si="9"/>
        <v>0</v>
      </c>
      <c r="AJ50" s="228">
        <f t="shared" si="9"/>
        <v>0</v>
      </c>
      <c r="AK50" s="228">
        <f t="shared" si="9"/>
        <v>0</v>
      </c>
      <c r="AL50" s="228">
        <f t="shared" si="9"/>
        <v>0</v>
      </c>
      <c r="AM50" s="228">
        <f t="shared" si="9"/>
        <v>0</v>
      </c>
      <c r="AN50" s="228">
        <f t="shared" si="9"/>
        <v>0</v>
      </c>
      <c r="AO50" s="228">
        <f t="shared" si="9"/>
        <v>0</v>
      </c>
      <c r="AP50" s="228">
        <f t="shared" si="9"/>
        <v>0</v>
      </c>
      <c r="AQ50" s="228">
        <f t="shared" si="9"/>
        <v>0</v>
      </c>
      <c r="AR50" s="228">
        <f t="shared" si="9"/>
        <v>0</v>
      </c>
      <c r="AS50" s="228">
        <f t="shared" si="9"/>
        <v>0</v>
      </c>
      <c r="AT50" s="228">
        <f t="shared" si="9"/>
        <v>0</v>
      </c>
      <c r="AU50" s="228">
        <f t="shared" si="9"/>
        <v>0</v>
      </c>
      <c r="AV50" s="228">
        <f t="shared" si="9"/>
        <v>0</v>
      </c>
      <c r="AW50" s="228">
        <f t="shared" si="9"/>
        <v>0</v>
      </c>
      <c r="AX50" s="228">
        <f t="shared" si="9"/>
        <v>0</v>
      </c>
      <c r="AY50" s="228">
        <f t="shared" si="9"/>
        <v>0</v>
      </c>
      <c r="AZ50" s="228">
        <f t="shared" si="9"/>
        <v>0</v>
      </c>
      <c r="BA50" s="228">
        <f t="shared" si="9"/>
        <v>0</v>
      </c>
      <c r="BB50" s="228">
        <f t="shared" si="9"/>
        <v>0</v>
      </c>
      <c r="BC50" s="228">
        <f t="shared" si="9"/>
        <v>0</v>
      </c>
      <c r="BD50" s="228">
        <f t="shared" si="9"/>
        <v>0</v>
      </c>
      <c r="BE50" s="228">
        <f t="shared" si="9"/>
        <v>0</v>
      </c>
      <c r="BF50" s="228">
        <f t="shared" si="9"/>
        <v>0</v>
      </c>
      <c r="BG50" s="228">
        <f t="shared" si="9"/>
        <v>0</v>
      </c>
      <c r="BH50" s="228">
        <f t="shared" si="9"/>
        <v>0</v>
      </c>
      <c r="BI50" s="228">
        <f t="shared" si="9"/>
        <v>0</v>
      </c>
      <c r="BJ50" s="228">
        <f t="shared" si="9"/>
        <v>0</v>
      </c>
      <c r="BK50" s="228">
        <f t="shared" si="9"/>
        <v>0</v>
      </c>
      <c r="BL50" s="228">
        <f t="shared" si="9"/>
        <v>0</v>
      </c>
      <c r="BM50" s="228">
        <f t="shared" si="9"/>
        <v>0</v>
      </c>
      <c r="BN50" s="228">
        <f t="shared" si="9"/>
        <v>0</v>
      </c>
      <c r="BO50" s="228">
        <f t="shared" si="9"/>
        <v>0</v>
      </c>
      <c r="BP50" s="228">
        <f t="shared" si="9"/>
        <v>0</v>
      </c>
      <c r="BQ50" s="228">
        <f t="shared" si="9"/>
        <v>0</v>
      </c>
      <c r="BR50" s="228">
        <f t="shared" si="9"/>
        <v>0</v>
      </c>
      <c r="BS50" s="228">
        <f t="shared" si="9"/>
        <v>0</v>
      </c>
      <c r="BT50" s="228">
        <f t="shared" si="9"/>
        <v>0</v>
      </c>
      <c r="BU50" s="228">
        <f t="shared" si="9"/>
        <v>0</v>
      </c>
      <c r="BV50" s="228">
        <f t="shared" ref="BV50:CN50" si="10">SUM(BV3:BV49)</f>
        <v>1878</v>
      </c>
      <c r="BW50" s="228">
        <f t="shared" si="10"/>
        <v>0</v>
      </c>
      <c r="BX50" s="228">
        <f t="shared" si="10"/>
        <v>19449</v>
      </c>
      <c r="BY50" s="228">
        <f t="shared" si="10"/>
        <v>0</v>
      </c>
      <c r="BZ50" s="228">
        <f t="shared" si="10"/>
        <v>1278</v>
      </c>
      <c r="CA50" s="228">
        <f t="shared" si="10"/>
        <v>0</v>
      </c>
      <c r="CB50" s="228">
        <f t="shared" si="10"/>
        <v>0</v>
      </c>
      <c r="CC50" s="228">
        <f t="shared" si="10"/>
        <v>0</v>
      </c>
      <c r="CD50" s="228">
        <f t="shared" si="10"/>
        <v>0</v>
      </c>
      <c r="CE50" s="228">
        <f t="shared" si="10"/>
        <v>0</v>
      </c>
      <c r="CF50" s="228">
        <f t="shared" si="10"/>
        <v>0</v>
      </c>
      <c r="CG50" s="228">
        <f t="shared" si="10"/>
        <v>0</v>
      </c>
      <c r="CH50" s="228">
        <f t="shared" si="10"/>
        <v>0</v>
      </c>
      <c r="CI50" s="228">
        <f t="shared" si="10"/>
        <v>0</v>
      </c>
      <c r="CJ50" s="228">
        <f t="shared" si="10"/>
        <v>0</v>
      </c>
      <c r="CK50" s="228">
        <f t="shared" si="10"/>
        <v>5000</v>
      </c>
      <c r="CL50" s="228">
        <f t="shared" si="10"/>
        <v>0</v>
      </c>
      <c r="CM50" s="228">
        <f t="shared" si="10"/>
        <v>0</v>
      </c>
      <c r="CN50" s="228">
        <f t="shared" si="10"/>
        <v>25150</v>
      </c>
      <c r="CO50" s="251">
        <f>SUM(J50:CN50)</f>
        <v>52755</v>
      </c>
      <c r="CP50" s="252">
        <f>SUM(CP3:CP49)</f>
        <v>238177.39</v>
      </c>
      <c r="CQ50" s="252">
        <f>SUM(CQ3:CQ49)</f>
        <v>1845874.83</v>
      </c>
      <c r="CR50" s="253"/>
      <c r="CS50" s="253"/>
    </row>
    <row r="51" s="217" customFormat="1" customHeight="1" spans="1:97">
      <c r="A51" s="10"/>
      <c r="B51" s="218"/>
      <c r="C51" s="10"/>
      <c r="D51" s="82"/>
      <c r="E51" s="10"/>
      <c r="F51" s="10"/>
      <c r="G51" s="254"/>
      <c r="H51" s="255" t="b">
        <f>H50=CO50</f>
        <v>1</v>
      </c>
      <c r="I51" s="256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220"/>
      <c r="CP51" s="176"/>
      <c r="CQ51" s="176"/>
      <c r="CR51" s="257"/>
      <c r="CS51" s="257"/>
    </row>
    <row r="52" customHeight="1" spans="1:97">
      <c r="A52" s="217"/>
      <c r="B52" s="258"/>
      <c r="C52" s="217"/>
      <c r="D52" s="254"/>
      <c r="E52" s="217"/>
      <c r="F52" s="217"/>
      <c r="G52" s="254"/>
      <c r="H52" s="254"/>
      <c r="I52" s="259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254"/>
      <c r="AO52" s="254"/>
      <c r="AP52" s="254"/>
      <c r="AQ52" s="254"/>
      <c r="AR52" s="254"/>
      <c r="AS52" s="254"/>
      <c r="AT52" s="254"/>
      <c r="AU52" s="254"/>
      <c r="AV52" s="254"/>
      <c r="AW52" s="254"/>
      <c r="AX52" s="254"/>
      <c r="AY52" s="254"/>
      <c r="AZ52" s="254"/>
      <c r="BA52" s="254"/>
      <c r="BB52" s="254"/>
      <c r="BC52" s="254"/>
      <c r="BD52" s="254"/>
      <c r="BE52" s="254"/>
      <c r="BF52" s="254"/>
      <c r="BG52" s="254"/>
      <c r="BH52" s="254"/>
      <c r="BI52" s="254"/>
      <c r="BJ52" s="254"/>
      <c r="BK52" s="254"/>
      <c r="BL52" s="254"/>
      <c r="BM52" s="254"/>
      <c r="BN52" s="254"/>
      <c r="BO52" s="254"/>
      <c r="BP52" s="254"/>
      <c r="BQ52" s="254"/>
      <c r="BR52" s="254"/>
      <c r="BS52" s="254"/>
      <c r="BT52" s="254"/>
      <c r="BU52" s="254"/>
      <c r="BV52" s="254"/>
      <c r="BW52" s="254"/>
      <c r="BX52" s="254"/>
      <c r="BY52" s="254"/>
      <c r="BZ52" s="254"/>
      <c r="CA52" s="254"/>
      <c r="CB52" s="254"/>
      <c r="CC52" s="254"/>
      <c r="CD52" s="254"/>
      <c r="CE52" s="254"/>
      <c r="CF52" s="254"/>
      <c r="CG52" s="254"/>
      <c r="CH52" s="254"/>
      <c r="CI52" s="254"/>
      <c r="CJ52" s="254"/>
      <c r="CK52" s="254"/>
      <c r="CL52" s="254"/>
      <c r="CM52" s="254"/>
      <c r="CN52" s="254"/>
      <c r="CO52" s="260"/>
      <c r="CP52" s="261"/>
      <c r="CQ52" s="261"/>
      <c r="CR52" s="217"/>
      <c r="CS52" s="217"/>
    </row>
    <row r="53" customHeight="1" spans="1:97">
      <c r="A53" s="217"/>
      <c r="B53" s="258"/>
      <c r="C53" s="217"/>
      <c r="D53" s="254"/>
      <c r="E53" s="217"/>
      <c r="F53" s="217"/>
      <c r="G53" s="254"/>
      <c r="H53" s="254"/>
      <c r="I53" s="259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4"/>
      <c r="AW53" s="254"/>
      <c r="AX53" s="254"/>
      <c r="AY53" s="254"/>
      <c r="AZ53" s="254"/>
      <c r="BA53" s="254"/>
      <c r="BB53" s="254"/>
      <c r="BC53" s="254"/>
      <c r="BD53" s="254"/>
      <c r="BE53" s="254"/>
      <c r="BF53" s="254"/>
      <c r="BG53" s="254"/>
      <c r="BH53" s="254"/>
      <c r="BI53" s="254"/>
      <c r="BJ53" s="254"/>
      <c r="BK53" s="254"/>
      <c r="BL53" s="254"/>
      <c r="BM53" s="254"/>
      <c r="BN53" s="254"/>
      <c r="BO53" s="254"/>
      <c r="BP53" s="254"/>
      <c r="BQ53" s="254"/>
      <c r="BR53" s="254"/>
      <c r="BS53" s="254"/>
      <c r="BT53" s="254"/>
      <c r="BU53" s="254"/>
      <c r="BV53" s="254"/>
      <c r="BW53" s="254"/>
      <c r="BX53" s="254"/>
      <c r="BY53" s="254"/>
      <c r="BZ53" s="254"/>
      <c r="CA53" s="254"/>
      <c r="CB53" s="254"/>
      <c r="CC53" s="254"/>
      <c r="CD53" s="254"/>
      <c r="CE53" s="254"/>
      <c r="CF53" s="254"/>
      <c r="CG53" s="254"/>
      <c r="CH53" s="254"/>
      <c r="CI53" s="254"/>
      <c r="CJ53" s="254"/>
      <c r="CK53" s="254"/>
      <c r="CL53" s="254"/>
      <c r="CM53" s="254"/>
      <c r="CN53" s="254"/>
      <c r="CO53" s="260"/>
      <c r="CP53" s="261"/>
      <c r="CQ53" s="261"/>
      <c r="CR53" s="217"/>
      <c r="CS53" s="217"/>
    </row>
    <row r="54" customHeight="1" spans="1:97">
      <c r="A54" s="108" t="s">
        <v>149</v>
      </c>
      <c r="B54" s="255">
        <v>388042.68</v>
      </c>
      <c r="C54" s="217"/>
      <c r="D54" s="217"/>
      <c r="G54" s="254"/>
      <c r="H54" s="254"/>
      <c r="I54" s="259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254"/>
      <c r="AO54" s="254"/>
      <c r="AP54" s="254"/>
      <c r="AQ54" s="254"/>
      <c r="AR54" s="254"/>
      <c r="AS54" s="254"/>
      <c r="AT54" s="254"/>
      <c r="AU54" s="254"/>
      <c r="AV54" s="254"/>
      <c r="AW54" s="254"/>
      <c r="AX54" s="254"/>
      <c r="AY54" s="254"/>
      <c r="AZ54" s="254"/>
      <c r="BA54" s="254"/>
      <c r="BB54" s="254"/>
      <c r="BC54" s="254"/>
      <c r="BD54" s="254"/>
      <c r="BE54" s="254"/>
      <c r="BF54" s="254"/>
      <c r="BG54" s="254"/>
      <c r="BH54" s="254"/>
      <c r="BI54" s="254"/>
      <c r="BJ54" s="254"/>
      <c r="BK54" s="254"/>
      <c r="BL54" s="254"/>
      <c r="BM54" s="254"/>
      <c r="BN54" s="254"/>
      <c r="BO54" s="254"/>
      <c r="BP54" s="254"/>
      <c r="BQ54" s="254"/>
      <c r="BR54" s="254"/>
      <c r="BS54" s="254"/>
      <c r="BT54" s="254"/>
      <c r="BU54" s="254"/>
      <c r="BV54" s="254"/>
      <c r="BW54" s="254"/>
      <c r="BX54" s="254"/>
      <c r="BY54" s="254"/>
      <c r="BZ54" s="254"/>
      <c r="CA54" s="254"/>
      <c r="CB54" s="254"/>
      <c r="CC54" s="254"/>
      <c r="CD54" s="254"/>
      <c r="CE54" s="254"/>
      <c r="CF54" s="254"/>
      <c r="CG54" s="254"/>
      <c r="CH54" s="254"/>
      <c r="CI54" s="254"/>
      <c r="CJ54" s="254"/>
      <c r="CK54" s="254"/>
      <c r="CL54" s="254"/>
      <c r="CM54" s="254"/>
      <c r="CN54" s="254"/>
      <c r="CO54" s="260"/>
      <c r="CP54" s="261"/>
      <c r="CQ54" s="261"/>
      <c r="CR54" s="217"/>
      <c r="CS54" s="217"/>
    </row>
    <row r="55" customHeight="1" spans="1:97">
      <c r="A55" s="217"/>
      <c r="B55" s="255"/>
      <c r="C55" s="217"/>
      <c r="D55" s="217"/>
      <c r="G55" s="254"/>
      <c r="H55" s="254"/>
      <c r="I55" s="259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254"/>
      <c r="BF55" s="254"/>
      <c r="BG55" s="254"/>
      <c r="BH55" s="254"/>
      <c r="BI55" s="254"/>
      <c r="BJ55" s="254"/>
      <c r="BK55" s="254"/>
      <c r="BL55" s="254"/>
      <c r="BM55" s="254"/>
      <c r="BN55" s="254"/>
      <c r="BO55" s="254"/>
      <c r="BP55" s="254"/>
      <c r="BQ55" s="254"/>
      <c r="BR55" s="254"/>
      <c r="BS55" s="254"/>
      <c r="BT55" s="254"/>
      <c r="BU55" s="254"/>
      <c r="BV55" s="254"/>
      <c r="BW55" s="254"/>
      <c r="BX55" s="254"/>
      <c r="BY55" s="254"/>
      <c r="BZ55" s="254"/>
      <c r="CA55" s="254"/>
      <c r="CB55" s="254"/>
      <c r="CC55" s="254"/>
      <c r="CD55" s="254"/>
      <c r="CE55" s="254"/>
      <c r="CF55" s="254"/>
      <c r="CG55" s="254"/>
      <c r="CH55" s="254"/>
      <c r="CI55" s="254"/>
      <c r="CJ55" s="254"/>
      <c r="CK55" s="254"/>
      <c r="CL55" s="254"/>
      <c r="CM55" s="254"/>
      <c r="CN55" s="254"/>
      <c r="CO55" s="260"/>
      <c r="CP55" s="261"/>
      <c r="CQ55" s="261"/>
      <c r="CR55" s="217"/>
      <c r="CS55" s="217"/>
    </row>
    <row r="56" customHeight="1" spans="1:97">
      <c r="A56" s="108" t="s">
        <v>150</v>
      </c>
      <c r="B56" s="255">
        <f>CQ50</f>
        <v>1845874.83</v>
      </c>
      <c r="C56" s="262">
        <f>B56-B57-B58</f>
        <v>0</v>
      </c>
      <c r="D56" s="263"/>
      <c r="G56" s="255"/>
      <c r="H56" s="264"/>
      <c r="I56" s="259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254"/>
      <c r="AN56" s="254"/>
      <c r="AO56" s="254"/>
      <c r="AP56" s="254"/>
      <c r="AQ56" s="254"/>
      <c r="AR56" s="254"/>
      <c r="AS56" s="254"/>
      <c r="AT56" s="254"/>
      <c r="AU56" s="254"/>
      <c r="AV56" s="254"/>
      <c r="AW56" s="254"/>
      <c r="AX56" s="254"/>
      <c r="AY56" s="254"/>
      <c r="AZ56" s="254"/>
      <c r="BA56" s="254"/>
      <c r="BB56" s="254"/>
      <c r="BC56" s="254"/>
      <c r="BD56" s="254"/>
      <c r="BE56" s="254"/>
      <c r="BF56" s="254"/>
      <c r="BG56" s="254"/>
      <c r="BH56" s="254"/>
      <c r="BI56" s="254"/>
      <c r="BJ56" s="254"/>
      <c r="BK56" s="254"/>
      <c r="BL56" s="254"/>
      <c r="BM56" s="254"/>
      <c r="BN56" s="254"/>
      <c r="BO56" s="254"/>
      <c r="BP56" s="254"/>
      <c r="BQ56" s="254"/>
      <c r="BR56" s="254"/>
      <c r="BS56" s="254"/>
      <c r="BT56" s="254"/>
      <c r="BU56" s="254"/>
      <c r="BV56" s="254"/>
      <c r="BW56" s="254"/>
      <c r="BX56" s="254"/>
      <c r="BY56" s="254"/>
      <c r="BZ56" s="254"/>
      <c r="CA56" s="254"/>
      <c r="CB56" s="254"/>
      <c r="CC56" s="254"/>
      <c r="CD56" s="254"/>
      <c r="CE56" s="254"/>
      <c r="CF56" s="254"/>
      <c r="CG56" s="254"/>
      <c r="CH56" s="254"/>
      <c r="CI56" s="254"/>
      <c r="CJ56" s="254"/>
      <c r="CK56" s="254"/>
      <c r="CL56" s="254"/>
      <c r="CM56" s="254"/>
      <c r="CN56" s="254"/>
      <c r="CO56" s="260"/>
      <c r="CP56" s="261"/>
      <c r="CQ56" s="261"/>
      <c r="CR56" s="217"/>
      <c r="CS56" s="217"/>
    </row>
    <row r="57" customHeight="1" spans="1:97">
      <c r="A57" s="109" t="s">
        <v>151</v>
      </c>
      <c r="B57" s="255">
        <f>排期!AA11+已走货!AA37</f>
        <v>1845874.83</v>
      </c>
      <c r="C57" s="262"/>
      <c r="D57" s="263"/>
      <c r="G57" s="255"/>
      <c r="H57" s="264"/>
      <c r="I57" s="259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/>
      <c r="AL57" s="254"/>
      <c r="AM57" s="254"/>
      <c r="AN57" s="254"/>
      <c r="AO57" s="254"/>
      <c r="AP57" s="254"/>
      <c r="AQ57" s="254"/>
      <c r="AR57" s="254"/>
      <c r="AS57" s="254"/>
      <c r="AT57" s="254"/>
      <c r="AU57" s="254"/>
      <c r="AV57" s="254"/>
      <c r="AW57" s="254"/>
      <c r="AX57" s="254"/>
      <c r="AY57" s="254"/>
      <c r="AZ57" s="254"/>
      <c r="BA57" s="254"/>
      <c r="BB57" s="254"/>
      <c r="BC57" s="254"/>
      <c r="BD57" s="254"/>
      <c r="BE57" s="254"/>
      <c r="BF57" s="254"/>
      <c r="BG57" s="254"/>
      <c r="BH57" s="254"/>
      <c r="BI57" s="254"/>
      <c r="BJ57" s="254"/>
      <c r="BK57" s="254"/>
      <c r="BL57" s="254"/>
      <c r="BM57" s="254"/>
      <c r="BN57" s="254"/>
      <c r="BO57" s="254"/>
      <c r="BP57" s="254"/>
      <c r="BQ57" s="254"/>
      <c r="BR57" s="254"/>
      <c r="BS57" s="254"/>
      <c r="BT57" s="254"/>
      <c r="BU57" s="254"/>
      <c r="BV57" s="254"/>
      <c r="BW57" s="254"/>
      <c r="BX57" s="254"/>
      <c r="BY57" s="254"/>
      <c r="BZ57" s="254"/>
      <c r="CA57" s="254"/>
      <c r="CB57" s="254"/>
      <c r="CC57" s="254"/>
      <c r="CD57" s="254"/>
      <c r="CE57" s="254"/>
      <c r="CF57" s="254"/>
      <c r="CG57" s="254"/>
      <c r="CH57" s="254"/>
      <c r="CI57" s="254"/>
      <c r="CJ57" s="254"/>
      <c r="CK57" s="254"/>
      <c r="CL57" s="254"/>
      <c r="CM57" s="254"/>
      <c r="CN57" s="254"/>
      <c r="CO57" s="260"/>
      <c r="CP57" s="261"/>
      <c r="CQ57" s="261"/>
      <c r="CR57" s="217"/>
      <c r="CS57" s="217"/>
    </row>
    <row r="58" customHeight="1" spans="1:97">
      <c r="A58" s="109" t="s">
        <v>152</v>
      </c>
      <c r="B58" s="255">
        <f>排期!AA12+已走货!AA41</f>
        <v>0</v>
      </c>
      <c r="C58" s="262"/>
      <c r="D58" s="263"/>
      <c r="G58" s="255"/>
      <c r="H58" s="264"/>
      <c r="I58" s="259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4"/>
      <c r="AS58" s="254"/>
      <c r="AT58" s="254"/>
      <c r="AU58" s="254"/>
      <c r="AV58" s="254"/>
      <c r="AW58" s="254"/>
      <c r="AX58" s="254"/>
      <c r="AY58" s="254"/>
      <c r="AZ58" s="254"/>
      <c r="BA58" s="254"/>
      <c r="BB58" s="254"/>
      <c r="BC58" s="254"/>
      <c r="BD58" s="254"/>
      <c r="BE58" s="254"/>
      <c r="BF58" s="254"/>
      <c r="BG58" s="254"/>
      <c r="BH58" s="254"/>
      <c r="BI58" s="254"/>
      <c r="BJ58" s="254"/>
      <c r="BK58" s="254"/>
      <c r="BL58" s="254"/>
      <c r="BM58" s="254"/>
      <c r="BN58" s="254"/>
      <c r="BO58" s="254"/>
      <c r="BP58" s="254"/>
      <c r="BQ58" s="254"/>
      <c r="BR58" s="254"/>
      <c r="BS58" s="254"/>
      <c r="BT58" s="254"/>
      <c r="BU58" s="254"/>
      <c r="BV58" s="254"/>
      <c r="BW58" s="254"/>
      <c r="BX58" s="254"/>
      <c r="BY58" s="254"/>
      <c r="BZ58" s="254"/>
      <c r="CA58" s="254"/>
      <c r="CB58" s="254"/>
      <c r="CC58" s="254"/>
      <c r="CD58" s="254"/>
      <c r="CE58" s="254"/>
      <c r="CF58" s="254"/>
      <c r="CG58" s="254"/>
      <c r="CH58" s="254"/>
      <c r="CI58" s="254"/>
      <c r="CJ58" s="254"/>
      <c r="CK58" s="254"/>
      <c r="CL58" s="254"/>
      <c r="CM58" s="254"/>
      <c r="CN58" s="254"/>
      <c r="CO58" s="260"/>
      <c r="CP58" s="261"/>
      <c r="CQ58" s="261"/>
      <c r="CR58" s="217"/>
      <c r="CS58" s="217"/>
    </row>
    <row r="59" customHeight="1" spans="1:97">
      <c r="A59" s="108" t="s">
        <v>153</v>
      </c>
      <c r="B59" s="255">
        <f>排期!AA10</f>
        <v>684617.02</v>
      </c>
      <c r="C59" s="263"/>
      <c r="D59" s="263"/>
      <c r="G59" s="255"/>
      <c r="H59" s="264"/>
      <c r="I59" s="259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4"/>
      <c r="AM59" s="254"/>
      <c r="AN59" s="254"/>
      <c r="AO59" s="254"/>
      <c r="AP59" s="254"/>
      <c r="AQ59" s="254"/>
      <c r="AR59" s="254"/>
      <c r="AS59" s="254"/>
      <c r="AT59" s="254"/>
      <c r="AU59" s="254"/>
      <c r="AV59" s="254"/>
      <c r="AW59" s="254"/>
      <c r="AX59" s="254"/>
      <c r="AY59" s="254"/>
      <c r="AZ59" s="254"/>
      <c r="BA59" s="254"/>
      <c r="BB59" s="254"/>
      <c r="BC59" s="254"/>
      <c r="BD59" s="254"/>
      <c r="BE59" s="254"/>
      <c r="BF59" s="254"/>
      <c r="BG59" s="254"/>
      <c r="BH59" s="254"/>
      <c r="BI59" s="254"/>
      <c r="BJ59" s="254"/>
      <c r="BK59" s="254"/>
      <c r="BL59" s="254"/>
      <c r="BM59" s="254"/>
      <c r="BN59" s="254"/>
      <c r="BO59" s="254"/>
      <c r="BP59" s="254"/>
      <c r="BQ59" s="254"/>
      <c r="BR59" s="254"/>
      <c r="BS59" s="254"/>
      <c r="BT59" s="254"/>
      <c r="BU59" s="254"/>
      <c r="BV59" s="254"/>
      <c r="BW59" s="254"/>
      <c r="BX59" s="254"/>
      <c r="BY59" s="254"/>
      <c r="BZ59" s="254"/>
      <c r="CA59" s="254"/>
      <c r="CB59" s="254"/>
      <c r="CC59" s="254"/>
      <c r="CD59" s="254"/>
      <c r="CE59" s="254"/>
      <c r="CF59" s="254"/>
      <c r="CG59" s="254"/>
      <c r="CH59" s="254"/>
      <c r="CI59" s="254"/>
      <c r="CJ59" s="254"/>
      <c r="CK59" s="254"/>
      <c r="CL59" s="254"/>
      <c r="CM59" s="254"/>
      <c r="CN59" s="254"/>
      <c r="CO59" s="260"/>
      <c r="CP59" s="261"/>
      <c r="CQ59" s="261"/>
      <c r="CR59" s="217"/>
      <c r="CS59" s="217"/>
    </row>
    <row r="60" customHeight="1" spans="1:97">
      <c r="A60" s="108" t="s">
        <v>154</v>
      </c>
      <c r="B60" s="255">
        <f>已走货!AA37</f>
        <v>1161257.81</v>
      </c>
      <c r="C60" s="263"/>
      <c r="D60" s="263"/>
      <c r="G60" s="255"/>
      <c r="H60" s="264"/>
      <c r="I60" s="259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/>
      <c r="AT60" s="254"/>
      <c r="AU60" s="254"/>
      <c r="AV60" s="254"/>
      <c r="AW60" s="254"/>
      <c r="AX60" s="254"/>
      <c r="AY60" s="254"/>
      <c r="AZ60" s="254"/>
      <c r="BA60" s="254"/>
      <c r="BB60" s="254"/>
      <c r="BC60" s="254"/>
      <c r="BD60" s="254"/>
      <c r="BE60" s="254"/>
      <c r="BF60" s="254"/>
      <c r="BG60" s="254"/>
      <c r="BH60" s="254"/>
      <c r="BI60" s="254"/>
      <c r="BJ60" s="254"/>
      <c r="BK60" s="254"/>
      <c r="BL60" s="254"/>
      <c r="BM60" s="254"/>
      <c r="BN60" s="254"/>
      <c r="BO60" s="254"/>
      <c r="BP60" s="254"/>
      <c r="BQ60" s="254"/>
      <c r="BR60" s="254"/>
      <c r="BS60" s="254"/>
      <c r="BT60" s="254"/>
      <c r="BU60" s="254"/>
      <c r="BV60" s="254"/>
      <c r="BW60" s="254"/>
      <c r="BX60" s="254"/>
      <c r="BY60" s="254"/>
      <c r="BZ60" s="254"/>
      <c r="CA60" s="254"/>
      <c r="CB60" s="254"/>
      <c r="CC60" s="254"/>
      <c r="CD60" s="254"/>
      <c r="CE60" s="254"/>
      <c r="CF60" s="254"/>
      <c r="CG60" s="254"/>
      <c r="CH60" s="254"/>
      <c r="CI60" s="254"/>
      <c r="CJ60" s="254"/>
      <c r="CK60" s="254"/>
      <c r="CL60" s="254"/>
      <c r="CM60" s="254"/>
      <c r="CN60" s="254"/>
      <c r="CO60" s="260"/>
      <c r="CP60" s="261"/>
      <c r="CQ60" s="261"/>
      <c r="CR60" s="217"/>
      <c r="CS60" s="217"/>
    </row>
    <row r="61" s="217" customFormat="1" customHeight="1" spans="1:97">
      <c r="A61" s="109"/>
      <c r="B61" s="255"/>
      <c r="C61" s="262"/>
      <c r="D61" s="263"/>
      <c r="G61" s="265"/>
      <c r="H61" s="254"/>
      <c r="I61" s="259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254"/>
      <c r="AO61" s="254"/>
      <c r="AP61" s="254"/>
      <c r="AQ61" s="254"/>
      <c r="AR61" s="254"/>
      <c r="AS61" s="254"/>
      <c r="AT61" s="254"/>
      <c r="AU61" s="254"/>
      <c r="AV61" s="254"/>
      <c r="AW61" s="254"/>
      <c r="AX61" s="254"/>
      <c r="AY61" s="254"/>
      <c r="AZ61" s="254"/>
      <c r="BA61" s="254"/>
      <c r="BB61" s="254"/>
      <c r="BC61" s="254"/>
      <c r="BD61" s="254"/>
      <c r="BE61" s="254"/>
      <c r="BF61" s="254"/>
      <c r="BG61" s="254"/>
      <c r="BH61" s="254"/>
      <c r="BI61" s="254"/>
      <c r="BJ61" s="254"/>
      <c r="BK61" s="254"/>
      <c r="BL61" s="254"/>
      <c r="BM61" s="254"/>
      <c r="BN61" s="254"/>
      <c r="BO61" s="254"/>
      <c r="BP61" s="254"/>
      <c r="BQ61" s="254"/>
      <c r="BR61" s="254"/>
      <c r="BS61" s="254"/>
      <c r="BT61" s="254"/>
      <c r="BU61" s="254"/>
      <c r="BV61" s="254"/>
      <c r="BW61" s="254"/>
      <c r="BX61" s="254"/>
      <c r="BY61" s="254"/>
      <c r="BZ61" s="254"/>
      <c r="CA61" s="254"/>
      <c r="CB61" s="254"/>
      <c r="CC61" s="254"/>
      <c r="CD61" s="254"/>
      <c r="CE61" s="254"/>
      <c r="CF61" s="254"/>
      <c r="CG61" s="254"/>
      <c r="CH61" s="254"/>
      <c r="CI61" s="254"/>
      <c r="CJ61" s="254"/>
      <c r="CK61" s="254"/>
      <c r="CL61" s="254"/>
      <c r="CM61" s="254"/>
      <c r="CN61" s="254"/>
      <c r="CO61" s="260"/>
      <c r="CP61" s="261"/>
      <c r="CQ61" s="261"/>
    </row>
    <row r="62" s="217" customFormat="1" customHeight="1" spans="1:97">
      <c r="A62" s="109" t="s">
        <v>155</v>
      </c>
      <c r="B62" s="264" t="s">
        <v>156</v>
      </c>
      <c r="C62" s="109" t="s">
        <v>157</v>
      </c>
      <c r="D62" s="263"/>
      <c r="G62" s="255"/>
      <c r="H62" s="254"/>
      <c r="I62" s="259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4"/>
      <c r="AS62" s="254"/>
      <c r="AT62" s="254"/>
      <c r="AU62" s="254"/>
      <c r="AV62" s="254"/>
      <c r="AW62" s="254"/>
      <c r="AX62" s="254"/>
      <c r="AY62" s="254"/>
      <c r="AZ62" s="254"/>
      <c r="BA62" s="254"/>
      <c r="BB62" s="254"/>
      <c r="BC62" s="254"/>
      <c r="BD62" s="254"/>
      <c r="BE62" s="254"/>
      <c r="BF62" s="254"/>
      <c r="BG62" s="254"/>
      <c r="BH62" s="254"/>
      <c r="BI62" s="254"/>
      <c r="BJ62" s="254"/>
      <c r="BK62" s="254"/>
      <c r="BL62" s="254"/>
      <c r="BM62" s="254"/>
      <c r="BN62" s="254"/>
      <c r="BO62" s="254"/>
      <c r="BP62" s="254"/>
      <c r="BQ62" s="254"/>
      <c r="BR62" s="254"/>
      <c r="BS62" s="254"/>
      <c r="BT62" s="254"/>
      <c r="BU62" s="254"/>
      <c r="BV62" s="254"/>
      <c r="BW62" s="254"/>
      <c r="BX62" s="254"/>
      <c r="BY62" s="254"/>
      <c r="BZ62" s="254"/>
      <c r="CA62" s="254"/>
      <c r="CB62" s="254"/>
      <c r="CC62" s="254"/>
      <c r="CD62" s="254"/>
      <c r="CE62" s="254"/>
      <c r="CF62" s="254"/>
      <c r="CG62" s="254"/>
      <c r="CH62" s="254"/>
      <c r="CI62" s="254"/>
      <c r="CJ62" s="254"/>
      <c r="CK62" s="254"/>
      <c r="CL62" s="254"/>
      <c r="CM62" s="254"/>
      <c r="CN62" s="254"/>
      <c r="CO62" s="260"/>
      <c r="CP62" s="261"/>
      <c r="CQ62" s="261"/>
    </row>
    <row r="63" s="217" customFormat="1" customHeight="1" spans="1:97">
      <c r="A63" s="255">
        <f>惠州浩华!L10</f>
        <v>98332</v>
      </c>
      <c r="B63" s="255">
        <f>惠州浩华!L10</f>
        <v>98332</v>
      </c>
      <c r="C63" s="255">
        <f>惠州浩华!L10</f>
        <v>98332</v>
      </c>
      <c r="D63" s="108"/>
      <c r="G63" s="254"/>
      <c r="H63" s="254"/>
      <c r="I63" s="259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54"/>
      <c r="AT63" s="254"/>
      <c r="AU63" s="254"/>
      <c r="AV63" s="254"/>
      <c r="AW63" s="254"/>
      <c r="AX63" s="254"/>
      <c r="AY63" s="254"/>
      <c r="AZ63" s="254"/>
      <c r="BA63" s="254"/>
      <c r="BB63" s="254"/>
      <c r="BC63" s="254"/>
      <c r="BD63" s="254"/>
      <c r="BE63" s="254"/>
      <c r="BF63" s="254"/>
      <c r="BG63" s="254"/>
      <c r="BH63" s="254"/>
      <c r="BI63" s="254"/>
      <c r="BJ63" s="254"/>
      <c r="BK63" s="254"/>
      <c r="BL63" s="254"/>
      <c r="BM63" s="254"/>
      <c r="BN63" s="254"/>
      <c r="BO63" s="254"/>
      <c r="BP63" s="254"/>
      <c r="BQ63" s="254"/>
      <c r="BR63" s="254"/>
      <c r="BS63" s="254"/>
      <c r="BT63" s="254"/>
      <c r="BU63" s="254"/>
      <c r="BV63" s="254"/>
      <c r="BW63" s="254"/>
      <c r="BX63" s="254"/>
      <c r="BY63" s="254"/>
      <c r="BZ63" s="254"/>
      <c r="CA63" s="254"/>
      <c r="CB63" s="254"/>
      <c r="CC63" s="254"/>
      <c r="CD63" s="254"/>
      <c r="CE63" s="254"/>
      <c r="CF63" s="254"/>
      <c r="CG63" s="254"/>
      <c r="CH63" s="254"/>
      <c r="CI63" s="254"/>
      <c r="CJ63" s="254"/>
      <c r="CK63" s="254"/>
      <c r="CL63" s="254"/>
      <c r="CM63" s="254"/>
      <c r="CN63" s="254"/>
      <c r="CO63" s="260"/>
      <c r="CP63" s="261"/>
      <c r="CQ63" s="261"/>
    </row>
    <row r="64" s="217" customFormat="1" customHeight="1" spans="1:97">
      <c r="A64" s="255"/>
      <c r="B64" s="266"/>
      <c r="C64" s="255"/>
      <c r="D64" s="255"/>
      <c r="E64" s="264"/>
      <c r="F64" s="108"/>
      <c r="G64" s="254"/>
      <c r="H64" s="254"/>
      <c r="I64" s="259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54"/>
      <c r="AT64" s="254"/>
      <c r="AU64" s="254"/>
      <c r="AV64" s="254"/>
      <c r="AW64" s="254"/>
      <c r="AX64" s="254"/>
      <c r="AY64" s="254"/>
      <c r="AZ64" s="254"/>
      <c r="BA64" s="254"/>
      <c r="BB64" s="254"/>
      <c r="BC64" s="254"/>
      <c r="BD64" s="254"/>
      <c r="BE64" s="254"/>
      <c r="BF64" s="254"/>
      <c r="BG64" s="254"/>
      <c r="BH64" s="254"/>
      <c r="BI64" s="254"/>
      <c r="BJ64" s="254"/>
      <c r="BK64" s="254"/>
      <c r="BL64" s="254"/>
      <c r="BM64" s="254"/>
      <c r="BN64" s="254"/>
      <c r="BO64" s="254"/>
      <c r="BP64" s="254"/>
      <c r="BQ64" s="254"/>
      <c r="BR64" s="254"/>
      <c r="BS64" s="254"/>
      <c r="BT64" s="254"/>
      <c r="BU64" s="254"/>
      <c r="BV64" s="254"/>
      <c r="BW64" s="254"/>
      <c r="BX64" s="254"/>
      <c r="BY64" s="254"/>
      <c r="BZ64" s="254"/>
      <c r="CA64" s="254"/>
      <c r="CB64" s="254"/>
      <c r="CC64" s="254"/>
      <c r="CD64" s="254"/>
      <c r="CE64" s="254"/>
      <c r="CF64" s="254"/>
      <c r="CG64" s="254"/>
      <c r="CH64" s="254"/>
      <c r="CI64" s="254"/>
      <c r="CJ64" s="254"/>
      <c r="CK64" s="254"/>
      <c r="CL64" s="254"/>
      <c r="CM64" s="254"/>
      <c r="CN64" s="254"/>
      <c r="CO64" s="260"/>
      <c r="CP64" s="261"/>
      <c r="CQ64" s="261"/>
    </row>
    <row r="65" customHeight="1" spans="1:97">
      <c r="A65" s="267"/>
      <c r="B65" s="266"/>
      <c r="C65" s="255"/>
      <c r="E65" s="109"/>
      <c r="F65" s="108"/>
      <c r="G65" s="254"/>
      <c r="H65" s="254"/>
      <c r="I65" s="259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4"/>
      <c r="AO65" s="254"/>
      <c r="AP65" s="254"/>
      <c r="AQ65" s="254"/>
      <c r="AR65" s="254"/>
      <c r="AS65" s="254"/>
      <c r="AT65" s="254"/>
      <c r="AU65" s="254"/>
      <c r="AV65" s="254"/>
      <c r="AW65" s="254"/>
      <c r="AX65" s="254"/>
      <c r="AY65" s="254"/>
      <c r="AZ65" s="254"/>
      <c r="BA65" s="254"/>
      <c r="BB65" s="254"/>
      <c r="BC65" s="254"/>
      <c r="BD65" s="254"/>
      <c r="BE65" s="254"/>
      <c r="BF65" s="254"/>
      <c r="BG65" s="254"/>
      <c r="BH65" s="254"/>
      <c r="BI65" s="254"/>
      <c r="BJ65" s="254"/>
      <c r="BK65" s="254"/>
      <c r="BL65" s="254"/>
      <c r="BM65" s="254"/>
      <c r="BN65" s="254"/>
      <c r="BO65" s="254"/>
      <c r="BP65" s="254"/>
      <c r="BQ65" s="254"/>
      <c r="BR65" s="254"/>
      <c r="BS65" s="254"/>
      <c r="BT65" s="254"/>
      <c r="BU65" s="254"/>
      <c r="BV65" s="254"/>
      <c r="BW65" s="254"/>
      <c r="BX65" s="254"/>
      <c r="BY65" s="254"/>
      <c r="BZ65" s="254"/>
      <c r="CA65" s="254"/>
      <c r="CB65" s="254"/>
      <c r="CC65" s="254"/>
      <c r="CD65" s="254"/>
      <c r="CE65" s="254"/>
      <c r="CF65" s="254"/>
      <c r="CG65" s="254"/>
      <c r="CH65" s="254"/>
      <c r="CI65" s="254"/>
      <c r="CJ65" s="254"/>
      <c r="CK65" s="254"/>
      <c r="CL65" s="254"/>
      <c r="CM65" s="254"/>
      <c r="CN65" s="254"/>
      <c r="CO65" s="260"/>
      <c r="CP65" s="261"/>
      <c r="CQ65" s="261"/>
      <c r="CR65" s="217"/>
      <c r="CS65" s="217"/>
    </row>
    <row r="66" customHeight="1" spans="1:97">
      <c r="A66" s="268" t="s">
        <v>158</v>
      </c>
      <c r="B66" s="269"/>
      <c r="C66" s="268"/>
      <c r="E66" s="109"/>
      <c r="F66" s="108"/>
      <c r="G66" s="254"/>
      <c r="H66" s="254"/>
      <c r="I66" s="259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254"/>
      <c r="AO66" s="254"/>
      <c r="AP66" s="254"/>
      <c r="AQ66" s="254"/>
      <c r="AR66" s="254"/>
      <c r="AS66" s="254"/>
      <c r="AT66" s="254"/>
      <c r="AU66" s="254"/>
      <c r="AV66" s="254"/>
      <c r="AW66" s="254"/>
      <c r="AX66" s="254"/>
      <c r="AY66" s="254"/>
      <c r="AZ66" s="254"/>
      <c r="BA66" s="254"/>
      <c r="BB66" s="254"/>
      <c r="BC66" s="254"/>
      <c r="BD66" s="254"/>
      <c r="BE66" s="254"/>
      <c r="BF66" s="254"/>
      <c r="BG66" s="254"/>
      <c r="BH66" s="254"/>
      <c r="BI66" s="254"/>
      <c r="BJ66" s="254"/>
      <c r="BK66" s="254"/>
      <c r="BL66" s="254"/>
      <c r="BM66" s="254"/>
      <c r="BN66" s="254"/>
      <c r="BO66" s="254"/>
      <c r="BP66" s="254"/>
      <c r="BQ66" s="254"/>
      <c r="BR66" s="254"/>
      <c r="BS66" s="254"/>
      <c r="BT66" s="254"/>
      <c r="BU66" s="254"/>
      <c r="BV66" s="254"/>
      <c r="BW66" s="254"/>
      <c r="BX66" s="254"/>
      <c r="BY66" s="254"/>
      <c r="BZ66" s="254"/>
      <c r="CA66" s="254"/>
      <c r="CB66" s="254"/>
      <c r="CC66" s="254"/>
      <c r="CD66" s="254"/>
      <c r="CE66" s="254"/>
      <c r="CF66" s="254"/>
      <c r="CG66" s="254"/>
      <c r="CH66" s="254"/>
      <c r="CI66" s="254"/>
      <c r="CJ66" s="254"/>
      <c r="CK66" s="254"/>
      <c r="CL66" s="254"/>
      <c r="CM66" s="254"/>
      <c r="CN66" s="254"/>
      <c r="CO66" s="260"/>
      <c r="CP66" s="261"/>
      <c r="CQ66" s="261"/>
      <c r="CR66" s="217"/>
      <c r="CS66" s="217"/>
    </row>
    <row r="67" customHeight="1" spans="1:97">
      <c r="A67" s="240" t="s">
        <v>159</v>
      </c>
      <c r="B67" s="228" t="s">
        <v>160</v>
      </c>
      <c r="C67" s="268"/>
      <c r="E67" s="109"/>
      <c r="F67" s="108"/>
      <c r="G67" s="254"/>
      <c r="H67" s="254"/>
      <c r="I67" s="259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254"/>
      <c r="AO67" s="254"/>
      <c r="AP67" s="254"/>
      <c r="AQ67" s="254"/>
      <c r="AR67" s="254"/>
      <c r="AS67" s="254"/>
      <c r="AT67" s="254"/>
      <c r="AU67" s="254"/>
      <c r="AV67" s="254"/>
      <c r="AW67" s="254"/>
      <c r="AX67" s="254"/>
      <c r="AY67" s="254"/>
      <c r="AZ67" s="254"/>
      <c r="BA67" s="254"/>
      <c r="BB67" s="254"/>
      <c r="BC67" s="254"/>
      <c r="BD67" s="254"/>
      <c r="BE67" s="254"/>
      <c r="BF67" s="254"/>
      <c r="BG67" s="254"/>
      <c r="BH67" s="254"/>
      <c r="BI67" s="254"/>
      <c r="BJ67" s="254"/>
      <c r="BK67" s="254"/>
      <c r="BL67" s="254"/>
      <c r="BM67" s="254"/>
      <c r="BN67" s="254"/>
      <c r="BO67" s="254"/>
      <c r="BP67" s="254"/>
      <c r="BQ67" s="254"/>
      <c r="BR67" s="254"/>
      <c r="BS67" s="254"/>
      <c r="BT67" s="254"/>
      <c r="BU67" s="254"/>
      <c r="BV67" s="254"/>
      <c r="BW67" s="254"/>
      <c r="BX67" s="254"/>
      <c r="BY67" s="254"/>
      <c r="BZ67" s="254"/>
      <c r="CA67" s="254"/>
      <c r="CB67" s="254"/>
      <c r="CC67" s="254"/>
      <c r="CD67" s="254"/>
      <c r="CE67" s="254"/>
      <c r="CF67" s="254"/>
      <c r="CG67" s="254"/>
      <c r="CH67" s="254"/>
      <c r="CI67" s="254"/>
      <c r="CJ67" s="254"/>
      <c r="CK67" s="254"/>
      <c r="CL67" s="254"/>
      <c r="CM67" s="254"/>
      <c r="CN67" s="254"/>
      <c r="CO67" s="260"/>
      <c r="CP67" s="261"/>
      <c r="CQ67" s="261"/>
      <c r="CR67" s="217"/>
      <c r="CS67" s="217"/>
    </row>
    <row r="68" customHeight="1" spans="1:97">
      <c r="A68" s="240" t="s">
        <v>161</v>
      </c>
      <c r="B68" s="228" t="s">
        <v>162</v>
      </c>
      <c r="C68" s="268"/>
      <c r="E68" s="109"/>
      <c r="F68" s="108"/>
      <c r="G68" s="254"/>
      <c r="H68" s="254"/>
      <c r="I68" s="259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254"/>
      <c r="AO68" s="254"/>
      <c r="AP68" s="254"/>
      <c r="AQ68" s="254"/>
      <c r="AR68" s="254"/>
      <c r="AS68" s="254"/>
      <c r="AT68" s="254"/>
      <c r="AU68" s="254"/>
      <c r="AV68" s="254"/>
      <c r="AW68" s="254"/>
      <c r="AX68" s="254"/>
      <c r="AY68" s="254"/>
      <c r="AZ68" s="254"/>
      <c r="BA68" s="254"/>
      <c r="BB68" s="254"/>
      <c r="BC68" s="254"/>
      <c r="BD68" s="254"/>
      <c r="BE68" s="254"/>
      <c r="BF68" s="254"/>
      <c r="BG68" s="254"/>
      <c r="BH68" s="254"/>
      <c r="BI68" s="254"/>
      <c r="BJ68" s="254"/>
      <c r="BK68" s="254"/>
      <c r="BL68" s="254"/>
      <c r="BM68" s="254"/>
      <c r="BN68" s="254"/>
      <c r="BO68" s="254"/>
      <c r="BP68" s="254"/>
      <c r="BQ68" s="254"/>
      <c r="BR68" s="254"/>
      <c r="BS68" s="254"/>
      <c r="BT68" s="254"/>
      <c r="BU68" s="254"/>
      <c r="BV68" s="254"/>
      <c r="BW68" s="254"/>
      <c r="BX68" s="254"/>
      <c r="BY68" s="254"/>
      <c r="BZ68" s="254"/>
      <c r="CA68" s="254"/>
      <c r="CB68" s="254"/>
      <c r="CC68" s="254"/>
      <c r="CD68" s="254"/>
      <c r="CE68" s="254"/>
      <c r="CF68" s="254"/>
      <c r="CG68" s="254"/>
      <c r="CH68" s="254"/>
      <c r="CI68" s="254"/>
      <c r="CJ68" s="254"/>
      <c r="CK68" s="254"/>
      <c r="CL68" s="254"/>
      <c r="CM68" s="254"/>
      <c r="CN68" s="254"/>
      <c r="CO68" s="260"/>
      <c r="CP68" s="261"/>
      <c r="CQ68" s="261"/>
      <c r="CR68" s="217"/>
      <c r="CS68" s="217"/>
    </row>
    <row r="69" customHeight="1" spans="1:97">
      <c r="A69" s="240" t="s">
        <v>163</v>
      </c>
      <c r="B69" s="228" t="s">
        <v>164</v>
      </c>
      <c r="C69" s="268"/>
      <c r="E69" s="109"/>
      <c r="F69" s="108"/>
      <c r="G69" s="254"/>
      <c r="H69" s="254"/>
      <c r="I69" s="259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4"/>
      <c r="AI69" s="254"/>
      <c r="AJ69" s="254"/>
      <c r="AK69" s="254"/>
      <c r="AL69" s="254"/>
      <c r="AM69" s="254"/>
      <c r="AN69" s="254"/>
      <c r="AO69" s="254"/>
      <c r="AP69" s="254"/>
      <c r="AQ69" s="254"/>
      <c r="AR69" s="254"/>
      <c r="AS69" s="254"/>
      <c r="AT69" s="254"/>
      <c r="AU69" s="254"/>
      <c r="AV69" s="254"/>
      <c r="AW69" s="254"/>
      <c r="AX69" s="254"/>
      <c r="AY69" s="254"/>
      <c r="AZ69" s="254"/>
      <c r="BA69" s="254"/>
      <c r="BB69" s="254"/>
      <c r="BC69" s="254"/>
      <c r="BD69" s="254"/>
      <c r="BE69" s="254"/>
      <c r="BF69" s="254"/>
      <c r="BG69" s="254"/>
      <c r="BH69" s="254"/>
      <c r="BI69" s="254"/>
      <c r="BJ69" s="254"/>
      <c r="BK69" s="254"/>
      <c r="BL69" s="254"/>
      <c r="BM69" s="254"/>
      <c r="BN69" s="254"/>
      <c r="BO69" s="254"/>
      <c r="BP69" s="254"/>
      <c r="BQ69" s="254"/>
      <c r="BR69" s="254"/>
      <c r="BS69" s="254"/>
      <c r="BT69" s="254"/>
      <c r="BU69" s="254"/>
      <c r="BV69" s="254"/>
      <c r="BW69" s="254"/>
      <c r="BX69" s="254"/>
      <c r="BY69" s="254"/>
      <c r="BZ69" s="254"/>
      <c r="CA69" s="254"/>
      <c r="CB69" s="254"/>
      <c r="CC69" s="254"/>
      <c r="CD69" s="254"/>
      <c r="CE69" s="254"/>
      <c r="CF69" s="254"/>
      <c r="CG69" s="254"/>
      <c r="CH69" s="254"/>
      <c r="CI69" s="254"/>
      <c r="CJ69" s="254"/>
      <c r="CK69" s="254"/>
      <c r="CL69" s="254"/>
      <c r="CM69" s="254"/>
      <c r="CN69" s="254"/>
      <c r="CO69" s="260"/>
      <c r="CP69" s="261"/>
      <c r="CQ69" s="261"/>
      <c r="CR69" s="217"/>
      <c r="CS69" s="217"/>
    </row>
    <row r="70" customHeight="1" spans="1:97">
      <c r="A70" s="270" t="s">
        <v>165</v>
      </c>
      <c r="B70" s="271" t="s">
        <v>166</v>
      </c>
      <c r="C70" s="268"/>
      <c r="E70" s="109"/>
      <c r="F70" s="108"/>
      <c r="G70" s="254"/>
      <c r="H70" s="254"/>
      <c r="I70" s="259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254"/>
      <c r="AO70" s="254"/>
      <c r="AP70" s="254"/>
      <c r="AQ70" s="254"/>
      <c r="AR70" s="254"/>
      <c r="AS70" s="254"/>
      <c r="AT70" s="254"/>
      <c r="AU70" s="254"/>
      <c r="AV70" s="254"/>
      <c r="AW70" s="254"/>
      <c r="AX70" s="254"/>
      <c r="AY70" s="254"/>
      <c r="AZ70" s="254"/>
      <c r="BA70" s="254"/>
      <c r="BB70" s="254"/>
      <c r="BC70" s="254"/>
      <c r="BD70" s="254"/>
      <c r="BE70" s="254"/>
      <c r="BF70" s="254"/>
      <c r="BG70" s="254"/>
      <c r="BH70" s="254"/>
      <c r="BI70" s="254"/>
      <c r="BJ70" s="254"/>
      <c r="BK70" s="254"/>
      <c r="BL70" s="254"/>
      <c r="BM70" s="254"/>
      <c r="BN70" s="254"/>
      <c r="BO70" s="254"/>
      <c r="BP70" s="254"/>
      <c r="BQ70" s="254"/>
      <c r="BR70" s="254"/>
      <c r="BS70" s="254"/>
      <c r="BT70" s="254"/>
      <c r="BU70" s="254"/>
      <c r="BV70" s="254"/>
      <c r="BW70" s="254"/>
      <c r="BX70" s="254"/>
      <c r="BY70" s="254"/>
      <c r="BZ70" s="254"/>
      <c r="CA70" s="254"/>
      <c r="CB70" s="254"/>
      <c r="CC70" s="254"/>
      <c r="CD70" s="254"/>
      <c r="CE70" s="254"/>
      <c r="CF70" s="254"/>
      <c r="CG70" s="254"/>
      <c r="CH70" s="254"/>
      <c r="CI70" s="254"/>
      <c r="CJ70" s="254"/>
      <c r="CK70" s="254"/>
      <c r="CL70" s="254"/>
      <c r="CM70" s="254"/>
      <c r="CN70" s="254"/>
      <c r="CO70" s="260"/>
      <c r="CP70" s="261"/>
      <c r="CQ70" s="261"/>
      <c r="CR70" s="217"/>
      <c r="CS70" s="217"/>
    </row>
    <row r="71" customHeight="1" spans="1:97">
      <c r="A71" s="272" t="s">
        <v>167</v>
      </c>
      <c r="B71" s="273" t="s">
        <v>168</v>
      </c>
      <c r="C71" s="268"/>
      <c r="E71" s="109"/>
      <c r="F71" s="108"/>
    </row>
    <row r="72" customHeight="1" spans="1:97">
      <c r="A72" s="274" t="s">
        <v>169</v>
      </c>
      <c r="B72" s="250" t="s">
        <v>170</v>
      </c>
      <c r="C72" s="268"/>
      <c r="E72" s="109"/>
      <c r="F72" s="108"/>
      <c r="G72" s="254"/>
      <c r="H72" s="254"/>
      <c r="I72" s="259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254"/>
      <c r="AO72" s="254"/>
      <c r="AP72" s="254"/>
      <c r="AQ72" s="254"/>
      <c r="AR72" s="254"/>
      <c r="AS72" s="254"/>
      <c r="AT72" s="254"/>
      <c r="AU72" s="254"/>
      <c r="AV72" s="254"/>
      <c r="AW72" s="254"/>
      <c r="AX72" s="254"/>
      <c r="AY72" s="254"/>
      <c r="AZ72" s="254"/>
      <c r="BA72" s="254"/>
      <c r="BB72" s="254"/>
      <c r="BC72" s="254"/>
      <c r="BD72" s="254"/>
      <c r="BE72" s="254"/>
      <c r="BF72" s="254"/>
      <c r="BG72" s="254"/>
      <c r="BH72" s="254"/>
      <c r="BI72" s="254"/>
      <c r="BJ72" s="254"/>
      <c r="BK72" s="254"/>
      <c r="BL72" s="254"/>
      <c r="BM72" s="254"/>
      <c r="BN72" s="254"/>
      <c r="BO72" s="254"/>
      <c r="BP72" s="254"/>
      <c r="BQ72" s="254"/>
      <c r="BR72" s="254"/>
      <c r="BS72" s="254"/>
      <c r="BT72" s="254"/>
      <c r="BU72" s="254"/>
      <c r="BV72" s="254"/>
      <c r="BW72" s="254"/>
      <c r="BX72" s="254"/>
      <c r="BY72" s="254"/>
      <c r="BZ72" s="254"/>
      <c r="CA72" s="254"/>
      <c r="CB72" s="254"/>
      <c r="CC72" s="254"/>
      <c r="CD72" s="254"/>
      <c r="CE72" s="254"/>
      <c r="CF72" s="254"/>
      <c r="CG72" s="254"/>
      <c r="CH72" s="254"/>
      <c r="CI72" s="254"/>
      <c r="CJ72" s="254"/>
      <c r="CK72" s="254"/>
      <c r="CL72" s="254"/>
      <c r="CM72" s="254"/>
      <c r="CN72" s="254"/>
      <c r="CO72" s="260"/>
      <c r="CP72" s="261"/>
      <c r="CQ72" s="261"/>
      <c r="CR72" s="217"/>
      <c r="CS72" s="217"/>
    </row>
    <row r="73" ht="19.95" customHeight="1" spans="1:97">
      <c r="A73" s="275" t="s">
        <v>171</v>
      </c>
      <c r="B73" s="276"/>
      <c r="C73" s="275"/>
      <c r="D73" s="254"/>
      <c r="E73" s="217"/>
      <c r="F73" s="217"/>
      <c r="G73" s="254"/>
      <c r="H73" s="254"/>
      <c r="I73" s="259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254"/>
      <c r="AO73" s="254"/>
      <c r="AP73" s="254"/>
      <c r="AQ73" s="254"/>
      <c r="AR73" s="254"/>
      <c r="AS73" s="254"/>
      <c r="AT73" s="254"/>
      <c r="AU73" s="254"/>
      <c r="AV73" s="254"/>
      <c r="AW73" s="254"/>
      <c r="AX73" s="254"/>
      <c r="AY73" s="254"/>
      <c r="AZ73" s="254"/>
      <c r="BA73" s="254"/>
      <c r="BB73" s="254"/>
      <c r="BC73" s="254"/>
      <c r="BD73" s="254"/>
      <c r="BE73" s="254"/>
      <c r="BF73" s="254"/>
      <c r="BG73" s="254"/>
      <c r="BH73" s="254"/>
      <c r="BI73" s="254"/>
      <c r="BJ73" s="254"/>
      <c r="BK73" s="254"/>
      <c r="BL73" s="254"/>
      <c r="BM73" s="254"/>
      <c r="BN73" s="254"/>
      <c r="BO73" s="254"/>
      <c r="BP73" s="254"/>
      <c r="BQ73" s="254"/>
      <c r="BR73" s="254"/>
      <c r="BS73" s="254"/>
      <c r="BT73" s="254"/>
      <c r="BU73" s="254"/>
      <c r="BV73" s="254"/>
      <c r="BW73" s="254"/>
      <c r="BX73" s="254"/>
      <c r="BY73" s="254"/>
      <c r="BZ73" s="254"/>
      <c r="CA73" s="254"/>
      <c r="CB73" s="254"/>
      <c r="CC73" s="254"/>
      <c r="CD73" s="254"/>
      <c r="CE73" s="254"/>
      <c r="CF73" s="254"/>
      <c r="CG73" s="254"/>
      <c r="CH73" s="254"/>
      <c r="CI73" s="254"/>
      <c r="CJ73" s="254"/>
      <c r="CK73" s="254"/>
      <c r="CL73" s="254"/>
      <c r="CM73" s="254"/>
      <c r="CN73" s="254"/>
      <c r="CO73" s="260"/>
      <c r="CP73" s="261"/>
      <c r="CQ73" s="261"/>
      <c r="CR73" s="217"/>
      <c r="CS73" s="217"/>
    </row>
    <row r="74" ht="19.95" customHeight="1" spans="1:97">
      <c r="A74" s="275" t="s">
        <v>172</v>
      </c>
      <c r="B74" s="276"/>
      <c r="C74" s="275"/>
      <c r="D74" s="277"/>
      <c r="E74" s="221"/>
      <c r="F74" s="221"/>
      <c r="G74" s="277"/>
      <c r="H74" s="277"/>
      <c r="I74" s="278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77"/>
      <c r="AB74" s="277"/>
      <c r="AC74" s="277"/>
      <c r="AD74" s="277"/>
      <c r="AE74" s="277"/>
      <c r="AF74" s="277"/>
      <c r="AG74" s="277"/>
      <c r="AH74" s="277"/>
      <c r="AI74" s="277"/>
      <c r="AJ74" s="277"/>
      <c r="AK74" s="277"/>
      <c r="AL74" s="277"/>
      <c r="AM74" s="277"/>
      <c r="AN74" s="277"/>
      <c r="AO74" s="277"/>
      <c r="AP74" s="277"/>
      <c r="AQ74" s="277"/>
      <c r="AR74" s="277"/>
      <c r="AS74" s="277"/>
      <c r="AT74" s="277"/>
      <c r="AU74" s="277"/>
      <c r="AV74" s="277"/>
      <c r="AW74" s="277"/>
      <c r="AX74" s="277"/>
      <c r="AY74" s="277"/>
      <c r="AZ74" s="277"/>
      <c r="BA74" s="277"/>
      <c r="BB74" s="277"/>
      <c r="BC74" s="277"/>
      <c r="BD74" s="277"/>
      <c r="BE74" s="277"/>
      <c r="BF74" s="277"/>
      <c r="BG74" s="277"/>
      <c r="BH74" s="277"/>
      <c r="BI74" s="277"/>
      <c r="BJ74" s="277"/>
      <c r="BK74" s="277"/>
      <c r="BL74" s="277"/>
      <c r="BM74" s="277"/>
      <c r="BN74" s="277"/>
      <c r="BO74" s="277"/>
      <c r="BP74" s="277"/>
      <c r="BQ74" s="277"/>
      <c r="BR74" s="277"/>
      <c r="BS74" s="277"/>
      <c r="BT74" s="277"/>
      <c r="BU74" s="277"/>
      <c r="BV74" s="277"/>
      <c r="BW74" s="277"/>
      <c r="BX74" s="277"/>
      <c r="BY74" s="277"/>
      <c r="BZ74" s="277"/>
      <c r="CA74" s="277"/>
      <c r="CB74" s="277"/>
      <c r="CC74" s="277"/>
      <c r="CD74" s="277"/>
      <c r="CE74" s="277"/>
      <c r="CF74" s="277"/>
      <c r="CG74" s="277"/>
      <c r="CH74" s="277"/>
      <c r="CI74" s="277"/>
      <c r="CJ74" s="277"/>
      <c r="CK74" s="277"/>
      <c r="CL74" s="277"/>
      <c r="CM74" s="277"/>
      <c r="CN74" s="277"/>
      <c r="CO74" s="279"/>
      <c r="CP74" s="280"/>
      <c r="CQ74" s="280"/>
      <c r="CR74" s="221"/>
      <c r="CS74" s="221"/>
    </row>
    <row r="75" ht="19.95" customHeight="1" spans="1:97">
      <c r="A75" s="275" t="s">
        <v>173</v>
      </c>
      <c r="B75" s="276"/>
      <c r="C75" s="275"/>
      <c r="D75" s="277"/>
      <c r="E75" s="221"/>
      <c r="F75" s="221"/>
      <c r="G75" s="277"/>
      <c r="H75" s="277"/>
      <c r="I75" s="278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  <c r="AG75" s="277"/>
      <c r="AH75" s="277"/>
      <c r="AI75" s="277"/>
      <c r="AJ75" s="277"/>
      <c r="AK75" s="277"/>
      <c r="AL75" s="277"/>
      <c r="AM75" s="277"/>
      <c r="AN75" s="277"/>
      <c r="AO75" s="277"/>
      <c r="AP75" s="277"/>
      <c r="AQ75" s="277"/>
      <c r="AR75" s="277"/>
      <c r="AS75" s="277"/>
      <c r="AT75" s="277"/>
      <c r="AU75" s="277"/>
      <c r="AV75" s="277"/>
      <c r="AW75" s="277"/>
      <c r="AX75" s="277"/>
      <c r="AY75" s="277"/>
      <c r="AZ75" s="277"/>
      <c r="BA75" s="277"/>
      <c r="BB75" s="277"/>
      <c r="BC75" s="277"/>
      <c r="BD75" s="277"/>
      <c r="BE75" s="277"/>
      <c r="BF75" s="277"/>
      <c r="BG75" s="277"/>
      <c r="BH75" s="277"/>
      <c r="BI75" s="277"/>
      <c r="BJ75" s="277"/>
      <c r="BK75" s="277"/>
      <c r="BL75" s="277"/>
      <c r="BM75" s="277"/>
      <c r="BN75" s="277"/>
      <c r="BO75" s="277"/>
      <c r="BP75" s="277"/>
      <c r="BQ75" s="277"/>
      <c r="BR75" s="277"/>
      <c r="BS75" s="277"/>
      <c r="BT75" s="277"/>
      <c r="BU75" s="277"/>
      <c r="BV75" s="277"/>
      <c r="BW75" s="277"/>
      <c r="BX75" s="277"/>
      <c r="BY75" s="277"/>
      <c r="BZ75" s="277"/>
      <c r="CA75" s="277"/>
      <c r="CB75" s="277"/>
      <c r="CC75" s="277"/>
      <c r="CD75" s="277"/>
      <c r="CE75" s="277"/>
      <c r="CF75" s="277"/>
      <c r="CG75" s="277"/>
      <c r="CH75" s="277"/>
      <c r="CI75" s="277"/>
      <c r="CJ75" s="277"/>
      <c r="CK75" s="277"/>
      <c r="CL75" s="277"/>
      <c r="CM75" s="277"/>
      <c r="CN75" s="277"/>
      <c r="CO75" s="279"/>
      <c r="CP75" s="280"/>
      <c r="CQ75" s="280"/>
      <c r="CR75" s="221"/>
      <c r="CS75" s="221"/>
    </row>
    <row r="76" customHeight="1" spans="1:97">
      <c r="A76" s="109"/>
      <c r="B76" s="281"/>
      <c r="C76" s="109"/>
      <c r="CO76" s="282"/>
    </row>
    <row r="77" customHeight="1" spans="1:97">
      <c r="A77" s="109"/>
      <c r="B77" s="281"/>
      <c r="C77" s="109"/>
      <c r="CO77" s="282"/>
    </row>
    <row r="78" customHeight="1" spans="1:97">
      <c r="CO78" s="279"/>
    </row>
  </sheetData>
  <sheetProtection formatCells="0" autoFilter="0"/>
  <autoFilter xmlns:etc="http://www.wps.cn/officeDocument/2017/etCustomData" ref="A2:CS75" etc:filterBottomFollowUsedRange="0">
    <extLst/>
  </autoFilter>
  <mergeCells count="23">
    <mergeCell ref="A1:H1"/>
    <mergeCell ref="J1:L1"/>
    <mergeCell ref="M1:N1"/>
    <mergeCell ref="O1:Q1"/>
    <mergeCell ref="R1:U1"/>
    <mergeCell ref="V1:W1"/>
    <mergeCell ref="X1:Z1"/>
    <mergeCell ref="AB1:AC1"/>
    <mergeCell ref="AD1:AE1"/>
    <mergeCell ref="AF1:AG1"/>
    <mergeCell ref="AH1:AR1"/>
    <mergeCell ref="AS1:AW1"/>
    <mergeCell ref="AX1:BB1"/>
    <mergeCell ref="BC1:BG1"/>
    <mergeCell ref="BP1:BS1"/>
    <mergeCell ref="CC1:CG1"/>
    <mergeCell ref="C56:C58"/>
    <mergeCell ref="I1:I2"/>
    <mergeCell ref="CO1:CO2"/>
    <mergeCell ref="CP1:CP2"/>
    <mergeCell ref="CQ1:CQ2"/>
    <mergeCell ref="CR1:CR2"/>
    <mergeCell ref="CS1:CS2"/>
  </mergeCells>
  <pageMargins left="0.75" right="0.75" top="1" bottom="1" header="0.5" footer="0.5"/>
  <pageSetup paperSize="9" orientation="portrait"/>
  <headerFooter/>
  <ignoredErrors>
    <ignoredError sqref="CO50" formula="1" unlockedFormula="1"/>
    <ignoredError sqref="I50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0"/>
  <sheetViews>
    <sheetView tabSelected="1" zoomScale="85" zoomScaleNormal="85" topLeftCell="A3" workbookViewId="0">
      <pane xSplit="13" topLeftCell="O1" activePane="topRight" state="frozen"/>
      <selection/>
      <selection pane="topRight" activeCell="O5" sqref="O5:O9"/>
    </sheetView>
  </sheetViews>
  <sheetFormatPr defaultColWidth="9" defaultRowHeight="18" customHeight="1"/>
  <cols>
    <col min="1" max="1" width="12.6" style="5" customWidth="1"/>
    <col min="2" max="2" width="18.475" style="93" customWidth="1"/>
    <col min="3" max="3" width="10.8333333333333" style="5" customWidth="1"/>
    <col min="4" max="4" width="13.8916666666667" style="15" customWidth="1"/>
    <col min="5" max="6" width="15.6" style="5" customWidth="1"/>
    <col min="7" max="7" width="9.25" style="15" customWidth="1"/>
    <col min="8" max="8" width="10.6" style="5" customWidth="1"/>
    <col min="9" max="9" width="9.25" style="15" customWidth="1"/>
    <col min="10" max="11" width="7" style="15" customWidth="1"/>
    <col min="12" max="12" width="13.7083333333333" style="5" customWidth="1"/>
    <col min="13" max="13" width="12.625" style="5" customWidth="1"/>
    <col min="14" max="14" width="5.6" style="5" customWidth="1"/>
    <col min="15" max="16" width="11.8833333333333" style="51" customWidth="1"/>
    <col min="17" max="17" width="5.6" style="52" customWidth="1"/>
    <col min="18" max="20" width="5.6" style="25" customWidth="1"/>
    <col min="21" max="22" width="8.6" style="5" customWidth="1"/>
    <col min="23" max="23" width="9.6" style="5" customWidth="1"/>
    <col min="24" max="24" width="25.2" style="25" customWidth="1"/>
    <col min="25" max="25" width="8.6" style="26" customWidth="1"/>
    <col min="26" max="28" width="12.6" style="5" customWidth="1"/>
    <col min="29" max="29" width="8.6" style="25" customWidth="1"/>
    <col min="30" max="30" width="5.6" style="5" customWidth="1"/>
    <col min="31" max="31" width="10.2916666666667" style="8" customWidth="1"/>
    <col min="32" max="32" width="8.6" style="53" customWidth="1"/>
    <col min="33" max="33" width="8.6" style="8" customWidth="1"/>
    <col min="34" max="34" width="12.2" style="8" customWidth="1"/>
    <col min="35" max="36" width="8.6" style="8" customWidth="1"/>
    <col min="37" max="16384" width="9" style="8"/>
  </cols>
  <sheetData>
    <row r="1" s="53" customFormat="1" ht="30" customHeight="1" spans="1:36">
      <c r="A1" s="178" t="s">
        <v>18</v>
      </c>
      <c r="B1" s="178" t="s">
        <v>174</v>
      </c>
      <c r="C1" s="178" t="s">
        <v>20</v>
      </c>
      <c r="D1" s="179" t="s">
        <v>21</v>
      </c>
      <c r="E1" s="178" t="s">
        <v>22</v>
      </c>
      <c r="F1" s="178" t="s">
        <v>23</v>
      </c>
      <c r="G1" s="179" t="s">
        <v>24</v>
      </c>
      <c r="H1" s="180" t="s">
        <v>175</v>
      </c>
      <c r="I1" s="179" t="s">
        <v>25</v>
      </c>
      <c r="J1" s="179" t="s">
        <v>176</v>
      </c>
      <c r="K1" s="179" t="s">
        <v>177</v>
      </c>
      <c r="L1" s="178" t="s">
        <v>178</v>
      </c>
      <c r="M1" s="178" t="s">
        <v>179</v>
      </c>
      <c r="N1" s="178" t="s">
        <v>180</v>
      </c>
      <c r="O1" s="181" t="s">
        <v>181</v>
      </c>
      <c r="P1" s="181" t="s">
        <v>182</v>
      </c>
      <c r="Q1" s="182" t="s">
        <v>183</v>
      </c>
      <c r="R1" s="183" t="s">
        <v>184</v>
      </c>
      <c r="S1" s="183" t="s">
        <v>185</v>
      </c>
      <c r="T1" s="183" t="s">
        <v>186</v>
      </c>
      <c r="U1" s="178" t="s">
        <v>187</v>
      </c>
      <c r="V1" s="178" t="s">
        <v>188</v>
      </c>
      <c r="W1" s="178" t="s">
        <v>189</v>
      </c>
      <c r="X1" s="183" t="s">
        <v>17</v>
      </c>
      <c r="Y1" s="184" t="s">
        <v>190</v>
      </c>
      <c r="Z1" s="185" t="s">
        <v>14</v>
      </c>
      <c r="AA1" s="185" t="s">
        <v>191</v>
      </c>
      <c r="AB1" s="185" t="s">
        <v>16</v>
      </c>
      <c r="AC1" s="183" t="s">
        <v>192</v>
      </c>
      <c r="AD1" s="178" t="s">
        <v>193</v>
      </c>
      <c r="AE1" s="183" t="s">
        <v>194</v>
      </c>
      <c r="AF1" s="183" t="s">
        <v>195</v>
      </c>
      <c r="AG1" s="183" t="s">
        <v>196</v>
      </c>
      <c r="AH1" s="183" t="s">
        <v>197</v>
      </c>
      <c r="AI1" s="186" t="s">
        <v>198</v>
      </c>
      <c r="AJ1" s="187" t="s">
        <v>199</v>
      </c>
    </row>
    <row r="2" s="8" customFormat="1" customHeight="1" spans="1:36">
      <c r="A2" s="188">
        <v>46196</v>
      </c>
      <c r="B2" s="189" t="s">
        <v>61</v>
      </c>
      <c r="C2" s="189" t="s">
        <v>62</v>
      </c>
      <c r="D2" s="190">
        <v>60308543</v>
      </c>
      <c r="E2" s="191" t="s">
        <v>139</v>
      </c>
      <c r="F2" s="189" t="s">
        <v>65</v>
      </c>
      <c r="G2" s="191">
        <v>18060</v>
      </c>
      <c r="H2" s="189" t="s">
        <v>200</v>
      </c>
      <c r="I2" s="191">
        <v>6000</v>
      </c>
      <c r="J2" s="191">
        <v>2</v>
      </c>
      <c r="K2" s="191">
        <f>I2/J2</f>
        <v>3000</v>
      </c>
      <c r="L2" s="192">
        <v>46290</v>
      </c>
      <c r="M2" s="193">
        <f>L2-7</f>
        <v>46283</v>
      </c>
      <c r="N2" s="189" t="s">
        <v>201</v>
      </c>
      <c r="O2" s="194">
        <v>46283</v>
      </c>
      <c r="P2" s="194"/>
      <c r="Q2" s="195"/>
      <c r="R2" s="196" t="s">
        <v>202</v>
      </c>
      <c r="S2" s="196"/>
      <c r="T2" s="196" t="s">
        <v>203</v>
      </c>
      <c r="U2" s="189" t="s">
        <v>204</v>
      </c>
      <c r="V2" s="197" t="s">
        <v>205</v>
      </c>
      <c r="W2" s="189"/>
      <c r="X2" s="198" t="s">
        <v>206</v>
      </c>
      <c r="Y2" s="199">
        <v>3.842</v>
      </c>
      <c r="Z2" s="200">
        <f>I2*Y2</f>
        <v>23052</v>
      </c>
      <c r="AA2" s="200">
        <f>Z2*7.75</f>
        <v>178653</v>
      </c>
      <c r="AB2" s="200"/>
      <c r="AC2" s="196" t="s">
        <v>207</v>
      </c>
      <c r="AD2" s="189" t="s">
        <v>151</v>
      </c>
      <c r="AE2" s="197" t="s">
        <v>208</v>
      </c>
      <c r="AF2" s="196"/>
      <c r="AG2" s="196"/>
      <c r="AH2" s="196"/>
      <c r="AI2" s="196"/>
      <c r="AJ2" s="196"/>
    </row>
    <row r="3" s="8" customFormat="1" customHeight="1" spans="1:36">
      <c r="A3" s="188">
        <v>46196</v>
      </c>
      <c r="B3" s="189" t="s">
        <v>61</v>
      </c>
      <c r="C3" s="189" t="s">
        <v>62</v>
      </c>
      <c r="D3" s="190">
        <v>60308546</v>
      </c>
      <c r="E3" s="190" t="s">
        <v>141</v>
      </c>
      <c r="F3" s="189" t="s">
        <v>65</v>
      </c>
      <c r="G3" s="191">
        <v>18060</v>
      </c>
      <c r="H3" s="189" t="s">
        <v>200</v>
      </c>
      <c r="I3" s="191">
        <v>2000</v>
      </c>
      <c r="J3" s="191">
        <v>2</v>
      </c>
      <c r="K3" s="191">
        <f>I3/J3</f>
        <v>1000</v>
      </c>
      <c r="L3" s="192">
        <v>46324</v>
      </c>
      <c r="M3" s="193">
        <f>L3-7</f>
        <v>46317</v>
      </c>
      <c r="N3" s="189" t="s">
        <v>201</v>
      </c>
      <c r="O3" s="194">
        <v>46317</v>
      </c>
      <c r="P3" s="194"/>
      <c r="Q3" s="195"/>
      <c r="R3" s="196" t="s">
        <v>202</v>
      </c>
      <c r="S3" s="196"/>
      <c r="T3" s="196" t="s">
        <v>203</v>
      </c>
      <c r="U3" s="189" t="s">
        <v>204</v>
      </c>
      <c r="V3" s="197" t="s">
        <v>209</v>
      </c>
      <c r="W3" s="189"/>
      <c r="X3" s="198" t="s">
        <v>210</v>
      </c>
      <c r="Y3" s="199">
        <v>3.842</v>
      </c>
      <c r="Z3" s="200">
        <f>I3*Y3</f>
        <v>7684</v>
      </c>
      <c r="AA3" s="200">
        <f>Z3*7.75</f>
        <v>59551</v>
      </c>
      <c r="AB3" s="200"/>
      <c r="AC3" s="196" t="s">
        <v>207</v>
      </c>
      <c r="AD3" s="189" t="s">
        <v>151</v>
      </c>
      <c r="AE3" s="197" t="s">
        <v>208</v>
      </c>
      <c r="AF3" s="196"/>
      <c r="AG3" s="196"/>
      <c r="AH3" s="196"/>
      <c r="AI3" s="196"/>
      <c r="AJ3" s="196"/>
    </row>
    <row r="4" s="53" customFormat="1" customHeight="1" spans="1:36">
      <c r="A4" s="178">
        <v>46196</v>
      </c>
      <c r="B4" s="201" t="s">
        <v>61</v>
      </c>
      <c r="C4" s="201" t="s">
        <v>62</v>
      </c>
      <c r="D4" s="202">
        <v>60308547</v>
      </c>
      <c r="E4" s="202" t="s">
        <v>144</v>
      </c>
      <c r="F4" s="201" t="s">
        <v>65</v>
      </c>
      <c r="G4" s="202">
        <v>18060</v>
      </c>
      <c r="H4" s="201" t="s">
        <v>200</v>
      </c>
      <c r="I4" s="202">
        <v>5800</v>
      </c>
      <c r="J4" s="202">
        <v>2</v>
      </c>
      <c r="K4" s="202">
        <f>I4/J4</f>
        <v>2900</v>
      </c>
      <c r="L4" s="203">
        <v>46252</v>
      </c>
      <c r="M4" s="180">
        <f>L4-7</f>
        <v>46245</v>
      </c>
      <c r="N4" s="201" t="s">
        <v>201</v>
      </c>
      <c r="O4" s="204">
        <v>46245</v>
      </c>
      <c r="P4" s="204"/>
      <c r="Q4" s="205" t="s">
        <v>211</v>
      </c>
      <c r="R4" s="186" t="s">
        <v>202</v>
      </c>
      <c r="S4" s="186"/>
      <c r="T4" s="186" t="s">
        <v>203</v>
      </c>
      <c r="U4" s="201" t="s">
        <v>204</v>
      </c>
      <c r="V4" s="201" t="s">
        <v>212</v>
      </c>
      <c r="W4" s="201"/>
      <c r="X4" s="206" t="s">
        <v>213</v>
      </c>
      <c r="Y4" s="207">
        <v>3.842</v>
      </c>
      <c r="Z4" s="185">
        <f>I4*Y4</f>
        <v>22283.6</v>
      </c>
      <c r="AA4" s="185">
        <f>Z4*7.75</f>
        <v>172697.9</v>
      </c>
      <c r="AB4" s="185"/>
      <c r="AC4" s="186" t="s">
        <v>207</v>
      </c>
      <c r="AD4" s="201" t="s">
        <v>151</v>
      </c>
      <c r="AE4" s="201" t="s">
        <v>208</v>
      </c>
      <c r="AF4" s="186"/>
      <c r="AG4" s="186"/>
      <c r="AH4" s="186"/>
      <c r="AI4" s="186"/>
      <c r="AJ4" s="186"/>
    </row>
    <row r="5" s="8" customFormat="1" customHeight="1" spans="1:36">
      <c r="A5" s="188">
        <v>46199</v>
      </c>
      <c r="B5" s="197" t="s">
        <v>57</v>
      </c>
      <c r="C5" s="197" t="s">
        <v>58</v>
      </c>
      <c r="D5" s="191"/>
      <c r="E5" s="190" t="s">
        <v>145</v>
      </c>
      <c r="F5" s="190" t="s">
        <v>43</v>
      </c>
      <c r="G5" s="191">
        <v>13095</v>
      </c>
      <c r="H5" s="189" t="s">
        <v>214</v>
      </c>
      <c r="I5" s="191">
        <v>4002</v>
      </c>
      <c r="J5" s="191">
        <v>3</v>
      </c>
      <c r="K5" s="191">
        <f>I5/J5</f>
        <v>1334</v>
      </c>
      <c r="L5" s="192">
        <v>46275</v>
      </c>
      <c r="M5" s="193">
        <f>L5-7</f>
        <v>46268</v>
      </c>
      <c r="N5" s="189" t="s">
        <v>201</v>
      </c>
      <c r="O5" s="194">
        <v>46268</v>
      </c>
      <c r="P5" s="194"/>
      <c r="Q5" s="195"/>
      <c r="R5" s="196" t="s">
        <v>202</v>
      </c>
      <c r="S5" s="196"/>
      <c r="T5" s="196" t="s">
        <v>203</v>
      </c>
      <c r="U5" s="189" t="s">
        <v>204</v>
      </c>
      <c r="V5" s="189" t="s">
        <v>215</v>
      </c>
      <c r="W5" s="197" t="s">
        <v>216</v>
      </c>
      <c r="X5" s="208" t="s">
        <v>217</v>
      </c>
      <c r="Y5" s="199">
        <v>3.641</v>
      </c>
      <c r="Z5" s="200">
        <f>I5*Y5</f>
        <v>14571.28</v>
      </c>
      <c r="AA5" s="200">
        <f>Z5*7.75</f>
        <v>112927.42</v>
      </c>
      <c r="AB5" s="200"/>
      <c r="AC5" s="196" t="s">
        <v>207</v>
      </c>
      <c r="AD5" s="189" t="s">
        <v>151</v>
      </c>
      <c r="AE5" s="209"/>
      <c r="AF5" s="196"/>
      <c r="AG5" s="196"/>
      <c r="AH5" s="196"/>
      <c r="AI5" s="196"/>
      <c r="AJ5" s="196"/>
    </row>
    <row r="6" s="8" customFormat="1" customHeight="1" spans="1:36">
      <c r="A6" s="188">
        <v>46225</v>
      </c>
      <c r="B6" s="197" t="s">
        <v>146</v>
      </c>
      <c r="C6" s="189" t="s">
        <v>62</v>
      </c>
      <c r="D6" s="190">
        <v>60308546</v>
      </c>
      <c r="E6" s="190" t="s">
        <v>147</v>
      </c>
      <c r="F6" s="197" t="s">
        <v>65</v>
      </c>
      <c r="G6" s="191">
        <v>18060</v>
      </c>
      <c r="H6" s="189" t="s">
        <v>200</v>
      </c>
      <c r="I6" s="191">
        <v>5400</v>
      </c>
      <c r="J6" s="191">
        <v>2</v>
      </c>
      <c r="K6" s="191">
        <f>I6/J6</f>
        <v>2700</v>
      </c>
      <c r="L6" s="192">
        <v>46324</v>
      </c>
      <c r="M6" s="193">
        <f>L6-7</f>
        <v>46317</v>
      </c>
      <c r="N6" s="189" t="s">
        <v>201</v>
      </c>
      <c r="O6" s="194">
        <v>46317</v>
      </c>
      <c r="P6" s="194"/>
      <c r="Q6" s="195"/>
      <c r="R6" s="196" t="s">
        <v>202</v>
      </c>
      <c r="S6" s="196"/>
      <c r="T6" s="196" t="s">
        <v>203</v>
      </c>
      <c r="U6" s="189" t="s">
        <v>204</v>
      </c>
      <c r="V6" s="189" t="s">
        <v>209</v>
      </c>
      <c r="W6" s="189"/>
      <c r="X6" s="198" t="s">
        <v>218</v>
      </c>
      <c r="Y6" s="199">
        <v>3.842</v>
      </c>
      <c r="Z6" s="200">
        <f>I6*Y6</f>
        <v>20746.8</v>
      </c>
      <c r="AA6" s="200">
        <f>Z6*7.75</f>
        <v>160787.7</v>
      </c>
      <c r="AB6" s="200"/>
      <c r="AC6" s="208" t="s">
        <v>219</v>
      </c>
      <c r="AD6" s="189" t="s">
        <v>151</v>
      </c>
      <c r="AE6" s="197" t="s">
        <v>208</v>
      </c>
      <c r="AF6" s="196"/>
      <c r="AG6" s="196"/>
      <c r="AH6" s="196"/>
      <c r="AI6" s="196"/>
      <c r="AJ6" s="196"/>
    </row>
    <row r="7" s="8" customFormat="1" customHeight="1" spans="1:36">
      <c r="A7" s="188"/>
      <c r="B7" s="189"/>
      <c r="C7" s="189"/>
      <c r="D7" s="191"/>
      <c r="E7" s="191"/>
      <c r="F7" s="189"/>
      <c r="G7" s="191"/>
      <c r="H7" s="189"/>
      <c r="I7" s="191"/>
      <c r="J7" s="191"/>
      <c r="K7" s="191"/>
      <c r="L7" s="192"/>
      <c r="M7" s="193"/>
      <c r="N7" s="189"/>
      <c r="O7" s="194"/>
      <c r="P7" s="194"/>
      <c r="Q7" s="195"/>
      <c r="R7" s="196"/>
      <c r="S7" s="196"/>
      <c r="T7" s="196"/>
      <c r="U7" s="189"/>
      <c r="V7" s="189"/>
      <c r="W7" s="189"/>
      <c r="X7" s="196"/>
      <c r="Y7" s="199"/>
      <c r="Z7" s="200"/>
      <c r="AA7" s="200"/>
      <c r="AB7" s="200"/>
      <c r="AC7" s="196"/>
      <c r="AD7" s="189"/>
      <c r="AE7" s="209"/>
      <c r="AF7" s="196"/>
      <c r="AG7" s="196"/>
      <c r="AH7" s="196"/>
      <c r="AI7" s="196"/>
      <c r="AJ7" s="196"/>
    </row>
    <row r="8" s="8" customFormat="1" customHeight="1" spans="1:36">
      <c r="A8" s="188"/>
      <c r="B8" s="189"/>
      <c r="C8" s="189"/>
      <c r="D8" s="191"/>
      <c r="E8" s="191"/>
      <c r="F8" s="189"/>
      <c r="G8" s="191"/>
      <c r="H8" s="189"/>
      <c r="I8" s="191"/>
      <c r="J8" s="191"/>
      <c r="K8" s="191"/>
      <c r="L8" s="192"/>
      <c r="M8" s="193"/>
      <c r="N8" s="189"/>
      <c r="O8" s="194"/>
      <c r="P8" s="194"/>
      <c r="Q8" s="195"/>
      <c r="R8" s="196"/>
      <c r="S8" s="196"/>
      <c r="T8" s="196"/>
      <c r="U8" s="189"/>
      <c r="V8" s="189"/>
      <c r="W8" s="189"/>
      <c r="X8" s="196"/>
      <c r="Y8" s="199"/>
      <c r="Z8" s="200"/>
      <c r="AA8" s="200"/>
      <c r="AB8" s="200"/>
      <c r="AC8" s="196"/>
      <c r="AD8" s="189"/>
      <c r="AE8" s="209"/>
      <c r="AF8" s="196"/>
      <c r="AG8" s="196"/>
      <c r="AH8" s="196"/>
      <c r="AI8" s="196"/>
      <c r="AJ8" s="196"/>
    </row>
    <row r="9" s="8" customFormat="1" customHeight="1" spans="1:36">
      <c r="A9" s="188"/>
      <c r="B9" s="210"/>
      <c r="C9" s="189"/>
      <c r="D9" s="191"/>
      <c r="E9" s="189"/>
      <c r="F9" s="189"/>
      <c r="G9" s="191"/>
      <c r="H9" s="211"/>
      <c r="I9" s="191"/>
      <c r="J9" s="191"/>
      <c r="K9" s="191"/>
      <c r="L9" s="192"/>
      <c r="M9" s="193"/>
      <c r="N9" s="189"/>
      <c r="O9" s="194"/>
      <c r="P9" s="194"/>
      <c r="Q9" s="195"/>
      <c r="R9" s="196"/>
      <c r="S9" s="196"/>
      <c r="T9" s="196"/>
      <c r="U9" s="189"/>
      <c r="V9" s="189"/>
      <c r="W9" s="189"/>
      <c r="X9" s="196"/>
      <c r="Y9" s="199"/>
      <c r="Z9" s="200"/>
      <c r="AA9" s="200"/>
      <c r="AB9" s="200"/>
      <c r="AC9" s="196"/>
      <c r="AD9" s="189"/>
      <c r="AE9" s="209"/>
      <c r="AF9" s="196"/>
      <c r="AG9" s="196"/>
      <c r="AH9" s="196"/>
      <c r="AI9" s="196"/>
      <c r="AJ9" s="196"/>
    </row>
    <row r="10" s="50" customFormat="1" customHeight="1" spans="1:36">
      <c r="A10" s="188"/>
      <c r="B10" s="210"/>
      <c r="C10" s="189"/>
      <c r="D10" s="61"/>
      <c r="E10" s="60"/>
      <c r="F10" s="60"/>
      <c r="G10" s="61"/>
      <c r="H10" s="189"/>
      <c r="I10" s="61">
        <f>SUM(I1:I9)</f>
        <v>23202</v>
      </c>
      <c r="J10" s="61"/>
      <c r="K10" s="61"/>
      <c r="L10" s="60"/>
      <c r="M10" s="60"/>
      <c r="N10" s="60"/>
      <c r="O10" s="64"/>
      <c r="P10" s="64"/>
      <c r="Q10" s="65"/>
      <c r="R10" s="66"/>
      <c r="S10" s="66"/>
      <c r="T10" s="66"/>
      <c r="U10" s="189"/>
      <c r="V10" s="189"/>
      <c r="W10" s="60"/>
      <c r="X10" s="66"/>
      <c r="Y10" s="212" t="b">
        <f>AA10=AA11+AA12</f>
        <v>1</v>
      </c>
      <c r="Z10" s="213">
        <f>SUM(Z1:Z8)</f>
        <v>88337.68</v>
      </c>
      <c r="AA10" s="213">
        <f>SUM(AA1:AA8)</f>
        <v>684617.02</v>
      </c>
      <c r="AB10" s="213"/>
      <c r="AC10" s="196"/>
      <c r="AD10" s="189"/>
      <c r="AE10" s="209"/>
      <c r="AF10" s="196"/>
      <c r="AG10" s="66"/>
      <c r="AH10" s="66"/>
      <c r="AI10" s="66"/>
      <c r="AJ10" s="66"/>
    </row>
    <row r="11" customHeight="1" spans="1:36">
      <c r="A11" s="13"/>
      <c r="Z11" s="48" t="s">
        <v>151</v>
      </c>
      <c r="AA11" s="81">
        <f>SUMIF(AD1:AD9,Z11,AA1:AA9)</f>
        <v>684617.02</v>
      </c>
      <c r="AB11" s="81"/>
      <c r="AE11" s="43"/>
      <c r="AF11" s="25"/>
    </row>
    <row r="12" customHeight="1" spans="1:36">
      <c r="A12" s="13"/>
      <c r="Z12" s="48" t="s">
        <v>152</v>
      </c>
      <c r="AA12" s="81">
        <f>SUMIF(AD1:AD9,Z12,AA1:AA9)</f>
        <v>0</v>
      </c>
      <c r="AB12" s="81"/>
      <c r="AE12" s="43"/>
      <c r="AF12" s="25"/>
    </row>
    <row r="13" customHeight="1" spans="1:36">
      <c r="A13" s="13"/>
      <c r="Z13" s="48"/>
      <c r="AA13" s="81"/>
      <c r="AB13" s="81"/>
      <c r="AE13" s="43"/>
      <c r="AF13" s="25"/>
    </row>
    <row r="14" customHeight="1" spans="1:36">
      <c r="G14" s="5"/>
      <c r="Z14" s="48"/>
      <c r="AA14" s="81"/>
      <c r="AB14" s="81"/>
      <c r="AE14" s="43"/>
      <c r="AF14" s="25"/>
    </row>
    <row r="15" customHeight="1" spans="1:36">
      <c r="G15" s="5"/>
      <c r="M15" s="54"/>
      <c r="Z15" s="48"/>
      <c r="AA15" s="49"/>
      <c r="AB15" s="49"/>
      <c r="AE15" s="43"/>
      <c r="AF15" s="25"/>
    </row>
    <row r="16" customHeight="1" spans="1:36">
      <c r="A16" s="13"/>
      <c r="G16" s="5"/>
      <c r="Z16" s="48"/>
      <c r="AA16" s="49"/>
      <c r="AB16" s="49"/>
      <c r="AE16" s="43"/>
      <c r="AF16" s="25"/>
    </row>
    <row r="17" customHeight="1" spans="26:28">
      <c r="Z17" s="48"/>
      <c r="AA17" s="49"/>
      <c r="AB17" s="49"/>
    </row>
    <row r="18" customHeight="1" spans="26:28">
      <c r="Z18" s="48"/>
      <c r="AA18" s="49"/>
      <c r="AB18" s="49"/>
    </row>
    <row r="19" customHeight="1" spans="26:28">
      <c r="Z19" s="48"/>
      <c r="AA19" s="49"/>
      <c r="AB19" s="49"/>
    </row>
    <row r="20" customHeight="1" spans="26:28">
      <c r="Z20" s="48"/>
      <c r="AA20" s="49"/>
      <c r="AB20" s="49"/>
    </row>
  </sheetData>
  <sheetProtection formatCells="0" autoFilter="0"/>
  <autoFilter xmlns:etc="http://www.wps.cn/officeDocument/2017/etCustomData" ref="A1:AJ14" etc:filterBottomFollowUsedRange="0">
    <extLst/>
  </autoFilter>
  <sortState ref="A2:AK134">
    <sortCondition ref="M2:M134"/>
  </sortState>
  <pageMargins left="0.751388888888889" right="0.751388888888889" top="1" bottom="1" header="0.5" footer="0.5"/>
  <pageSetup paperSize="9" orientation="landscape"/>
  <headerFooter/>
  <ignoredErrors>
    <ignoredError sqref="AC1:AD1 G1 K1 R1:V1 X1:AA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7"/>
  <sheetViews>
    <sheetView zoomScale="115" zoomScaleNormal="115" workbookViewId="0">
      <pane xSplit="9" ySplit="1" topLeftCell="J8" activePane="bottomRight" state="frozen"/>
      <selection/>
      <selection pane="topRight"/>
      <selection pane="bottomLeft"/>
      <selection pane="bottomRight" activeCell="I27" sqref="I27"/>
    </sheetView>
  </sheetViews>
  <sheetFormatPr defaultColWidth="9" defaultRowHeight="18" customHeight="1"/>
  <cols>
    <col min="1" max="1" width="12.6" style="10" customWidth="1"/>
    <col min="2" max="2" width="31.6" style="10" customWidth="1"/>
    <col min="3" max="3" width="10.6" style="10" customWidth="1"/>
    <col min="4" max="4" width="10.6" style="82" customWidth="1"/>
    <col min="5" max="5" width="16.6" style="10" customWidth="1"/>
    <col min="6" max="6" width="14.6" style="10" customWidth="1"/>
    <col min="7" max="7" width="9.25" style="82" customWidth="1"/>
    <col min="8" max="8" width="11.9" style="82" customWidth="1"/>
    <col min="9" max="9" width="9.25" style="82" customWidth="1"/>
    <col min="10" max="11" width="5.6" style="82" customWidth="1"/>
    <col min="12" max="13" width="13.4" style="10" customWidth="1"/>
    <col min="14" max="14" width="6.6" style="10" customWidth="1"/>
    <col min="15" max="15" width="13.8833333333333" style="10" customWidth="1"/>
    <col min="16" max="16" width="7.8" style="10" customWidth="1"/>
    <col min="17" max="17" width="8.4" style="10" customWidth="1"/>
    <col min="18" max="18" width="5.6" style="10" customWidth="1"/>
    <col min="19" max="19" width="14.8166666666667" style="10" customWidth="1"/>
    <col min="20" max="20" width="6.6" style="10" customWidth="1"/>
    <col min="21" max="23" width="8.6" style="10" customWidth="1"/>
    <col min="24" max="24" width="20.6" style="10" customWidth="1"/>
    <col min="25" max="25" width="8.6" style="83" customWidth="1"/>
    <col min="26" max="26" width="12.6" style="10" customWidth="1"/>
    <col min="27" max="27" width="12.6" style="113" customWidth="1"/>
    <col min="28" max="28" width="10.6" style="114" customWidth="1"/>
    <col min="29" max="29" width="8.6" style="10" customWidth="1"/>
    <col min="30" max="30" width="5.6" style="10" customWidth="1"/>
    <col min="31" max="31" width="10.6" style="11" customWidth="1"/>
    <col min="32" max="36" width="9" style="11" customWidth="1"/>
    <col min="37" max="38" width="10.9" style="10" customWidth="1"/>
    <col min="39" max="16384" width="9" style="11"/>
  </cols>
  <sheetData>
    <row r="1" s="7" customFormat="1" customHeight="1" spans="1:38">
      <c r="A1" s="115" t="s">
        <v>18</v>
      </c>
      <c r="B1" s="115" t="s">
        <v>174</v>
      </c>
      <c r="C1" s="115"/>
      <c r="D1" s="116" t="s">
        <v>21</v>
      </c>
      <c r="E1" s="115" t="s">
        <v>22</v>
      </c>
      <c r="F1" s="115" t="s">
        <v>23</v>
      </c>
      <c r="G1" s="116" t="s">
        <v>24</v>
      </c>
      <c r="H1" s="116" t="s">
        <v>175</v>
      </c>
      <c r="I1" s="116" t="s">
        <v>25</v>
      </c>
      <c r="J1" s="116" t="s">
        <v>176</v>
      </c>
      <c r="K1" s="116" t="s">
        <v>177</v>
      </c>
      <c r="L1" s="115" t="s">
        <v>178</v>
      </c>
      <c r="M1" s="115" t="s">
        <v>179</v>
      </c>
      <c r="N1" s="117" t="s">
        <v>180</v>
      </c>
      <c r="O1" s="118" t="s">
        <v>181</v>
      </c>
      <c r="P1" s="118" t="s">
        <v>182</v>
      </c>
      <c r="Q1" s="119" t="s">
        <v>183</v>
      </c>
      <c r="R1" s="117" t="s">
        <v>184</v>
      </c>
      <c r="S1" s="117" t="s">
        <v>185</v>
      </c>
      <c r="T1" s="117" t="s">
        <v>186</v>
      </c>
      <c r="U1" s="115" t="s">
        <v>187</v>
      </c>
      <c r="V1" s="115" t="s">
        <v>188</v>
      </c>
      <c r="W1" s="115" t="s">
        <v>189</v>
      </c>
      <c r="X1" s="117" t="s">
        <v>17</v>
      </c>
      <c r="Y1" s="120" t="s">
        <v>190</v>
      </c>
      <c r="Z1" s="121" t="s">
        <v>14</v>
      </c>
      <c r="AA1" s="122" t="s">
        <v>191</v>
      </c>
      <c r="AB1" s="123" t="s">
        <v>16</v>
      </c>
      <c r="AC1" s="115" t="s">
        <v>192</v>
      </c>
      <c r="AD1" s="115" t="s">
        <v>193</v>
      </c>
      <c r="AE1" s="117" t="s">
        <v>194</v>
      </c>
      <c r="AF1" s="117" t="s">
        <v>195</v>
      </c>
      <c r="AG1" s="117" t="s">
        <v>196</v>
      </c>
      <c r="AH1" s="117" t="s">
        <v>197</v>
      </c>
      <c r="AI1" s="124" t="s">
        <v>198</v>
      </c>
      <c r="AJ1" s="125" t="s">
        <v>199</v>
      </c>
      <c r="AK1" s="117" t="s">
        <v>220</v>
      </c>
      <c r="AL1" s="117" t="s">
        <v>221</v>
      </c>
    </row>
    <row r="2" s="111" customFormat="1" customHeight="1" spans="1:38">
      <c r="A2" s="126">
        <v>45962</v>
      </c>
      <c r="B2" s="127" t="s">
        <v>45</v>
      </c>
      <c r="C2" s="127" t="s">
        <v>46</v>
      </c>
      <c r="D2" s="128" t="s">
        <v>47</v>
      </c>
      <c r="E2" s="128" t="s">
        <v>48</v>
      </c>
      <c r="F2" s="127" t="s">
        <v>49</v>
      </c>
      <c r="G2" s="128">
        <v>17563</v>
      </c>
      <c r="H2" s="127" t="s">
        <v>222</v>
      </c>
      <c r="I2" s="128">
        <v>330</v>
      </c>
      <c r="J2" s="128">
        <v>2</v>
      </c>
      <c r="K2" s="128">
        <f t="shared" ref="K2:K34" si="0">I2/J2</f>
        <v>165</v>
      </c>
      <c r="L2" s="129">
        <v>46033</v>
      </c>
      <c r="M2" s="130">
        <f t="shared" ref="M2:M34" si="1">L2-7</f>
        <v>46026</v>
      </c>
      <c r="N2" s="127" t="s">
        <v>201</v>
      </c>
      <c r="O2" s="131"/>
      <c r="P2" s="131"/>
      <c r="Q2" s="132" t="s">
        <v>223</v>
      </c>
      <c r="R2" s="133" t="s">
        <v>202</v>
      </c>
      <c r="S2" s="133" t="s">
        <v>224</v>
      </c>
      <c r="T2" s="133" t="s">
        <v>203</v>
      </c>
      <c r="U2" s="127" t="s">
        <v>204</v>
      </c>
      <c r="V2" s="127" t="s">
        <v>215</v>
      </c>
      <c r="W2" s="127"/>
      <c r="X2" s="133"/>
      <c r="Y2" s="134">
        <v>5.942</v>
      </c>
      <c r="Z2" s="135">
        <f t="shared" ref="Z2:Z34" si="2">I2*Y2</f>
        <v>1960.86</v>
      </c>
      <c r="AA2" s="135">
        <f t="shared" ref="AA2:AA34" si="3">Z2*7.75</f>
        <v>15196.67</v>
      </c>
      <c r="AB2" s="61" t="s">
        <v>50</v>
      </c>
      <c r="AC2" s="133" t="s">
        <v>207</v>
      </c>
      <c r="AD2" s="127" t="str">
        <f>VLOOKUP(G2,☆!B:C,2,0)</f>
        <v>A</v>
      </c>
      <c r="AE2" s="136"/>
      <c r="AF2" s="133"/>
      <c r="AG2" s="133"/>
      <c r="AH2" s="133"/>
      <c r="AI2" s="133"/>
      <c r="AJ2" s="133"/>
      <c r="AK2" s="137"/>
      <c r="AL2" s="137"/>
    </row>
    <row r="3" s="111" customFormat="1" customHeight="1" spans="1:38">
      <c r="A3" s="126">
        <v>45962</v>
      </c>
      <c r="B3" s="127" t="s">
        <v>45</v>
      </c>
      <c r="C3" s="127" t="s">
        <v>46</v>
      </c>
      <c r="D3" s="128" t="s">
        <v>51</v>
      </c>
      <c r="E3" s="128" t="s">
        <v>52</v>
      </c>
      <c r="F3" s="127" t="s">
        <v>49</v>
      </c>
      <c r="G3" s="128">
        <v>17563</v>
      </c>
      <c r="H3" s="127" t="s">
        <v>222</v>
      </c>
      <c r="I3" s="128">
        <v>378</v>
      </c>
      <c r="J3" s="128">
        <v>2</v>
      </c>
      <c r="K3" s="128">
        <f t="shared" si="0"/>
        <v>189</v>
      </c>
      <c r="L3" s="129">
        <v>46033</v>
      </c>
      <c r="M3" s="130">
        <f t="shared" si="1"/>
        <v>46026</v>
      </c>
      <c r="N3" s="127" t="s">
        <v>201</v>
      </c>
      <c r="O3" s="131"/>
      <c r="P3" s="131"/>
      <c r="Q3" s="132" t="s">
        <v>223</v>
      </c>
      <c r="R3" s="133" t="s">
        <v>202</v>
      </c>
      <c r="S3" s="133" t="s">
        <v>224</v>
      </c>
      <c r="T3" s="133" t="s">
        <v>203</v>
      </c>
      <c r="U3" s="127" t="s">
        <v>204</v>
      </c>
      <c r="V3" s="127" t="s">
        <v>215</v>
      </c>
      <c r="W3" s="127"/>
      <c r="X3" s="133"/>
      <c r="Y3" s="134">
        <v>5.942</v>
      </c>
      <c r="Z3" s="135">
        <f t="shared" si="2"/>
        <v>2246.08</v>
      </c>
      <c r="AA3" s="135">
        <f t="shared" si="3"/>
        <v>17407.12</v>
      </c>
      <c r="AB3" s="61" t="s">
        <v>53</v>
      </c>
      <c r="AC3" s="133" t="s">
        <v>207</v>
      </c>
      <c r="AD3" s="127" t="str">
        <f>VLOOKUP(G3,☆!B:C,2,0)</f>
        <v>A</v>
      </c>
      <c r="AE3" s="136"/>
      <c r="AF3" s="133"/>
      <c r="AG3" s="133"/>
      <c r="AH3" s="133"/>
      <c r="AI3" s="133"/>
      <c r="AJ3" s="133"/>
      <c r="AK3" s="137"/>
      <c r="AL3" s="137"/>
    </row>
    <row r="4" s="111" customFormat="1" customHeight="1" spans="1:38">
      <c r="A4" s="126">
        <v>45962</v>
      </c>
      <c r="B4" s="127" t="s">
        <v>45</v>
      </c>
      <c r="C4" s="127" t="s">
        <v>46</v>
      </c>
      <c r="D4" s="128" t="s">
        <v>54</v>
      </c>
      <c r="E4" s="128" t="s">
        <v>55</v>
      </c>
      <c r="F4" s="127" t="s">
        <v>49</v>
      </c>
      <c r="G4" s="128">
        <v>17563</v>
      </c>
      <c r="H4" s="127" t="s">
        <v>222</v>
      </c>
      <c r="I4" s="128">
        <v>1170</v>
      </c>
      <c r="J4" s="128">
        <v>2</v>
      </c>
      <c r="K4" s="128">
        <f t="shared" si="0"/>
        <v>585</v>
      </c>
      <c r="L4" s="129">
        <v>46033</v>
      </c>
      <c r="M4" s="130">
        <f t="shared" si="1"/>
        <v>46026</v>
      </c>
      <c r="N4" s="127" t="s">
        <v>201</v>
      </c>
      <c r="O4" s="131"/>
      <c r="P4" s="131"/>
      <c r="Q4" s="132" t="s">
        <v>223</v>
      </c>
      <c r="R4" s="133" t="s">
        <v>202</v>
      </c>
      <c r="S4" s="133" t="s">
        <v>224</v>
      </c>
      <c r="T4" s="133" t="s">
        <v>203</v>
      </c>
      <c r="U4" s="127" t="s">
        <v>204</v>
      </c>
      <c r="V4" s="127" t="s">
        <v>215</v>
      </c>
      <c r="W4" s="127"/>
      <c r="X4" s="133"/>
      <c r="Y4" s="134">
        <v>5.942</v>
      </c>
      <c r="Z4" s="135">
        <f t="shared" si="2"/>
        <v>6952.14</v>
      </c>
      <c r="AA4" s="135">
        <f t="shared" si="3"/>
        <v>53879.09</v>
      </c>
      <c r="AB4" s="61" t="s">
        <v>56</v>
      </c>
      <c r="AC4" s="133" t="s">
        <v>207</v>
      </c>
      <c r="AD4" s="127" t="str">
        <f>VLOOKUP(G4,☆!B:C,2,0)</f>
        <v>A</v>
      </c>
      <c r="AE4" s="136"/>
      <c r="AF4" s="133"/>
      <c r="AG4" s="133"/>
      <c r="AH4" s="133"/>
      <c r="AI4" s="133"/>
      <c r="AJ4" s="133"/>
      <c r="AK4" s="137"/>
      <c r="AL4" s="137"/>
    </row>
    <row r="5" s="111" customFormat="1" customHeight="1" spans="1:38">
      <c r="A5" s="126">
        <v>45959</v>
      </c>
      <c r="B5" s="127" t="s">
        <v>39</v>
      </c>
      <c r="C5" s="127" t="s">
        <v>40</v>
      </c>
      <c r="D5" s="128" t="s">
        <v>41</v>
      </c>
      <c r="E5" s="128" t="s">
        <v>42</v>
      </c>
      <c r="F5" s="127" t="s">
        <v>43</v>
      </c>
      <c r="G5" s="128" t="str">
        <f t="shared" ref="G5:G7" si="4">TEXT(MID(F5,1,5),"00000")</f>
        <v>13095</v>
      </c>
      <c r="H5" s="127" t="str">
        <f>VLOOKUP(G5,☆!B:D,3,0)</f>
        <v>医药箱</v>
      </c>
      <c r="I5" s="128">
        <v>501</v>
      </c>
      <c r="J5" s="128">
        <v>3</v>
      </c>
      <c r="K5" s="128">
        <f t="shared" si="0"/>
        <v>167</v>
      </c>
      <c r="L5" s="129">
        <v>46038</v>
      </c>
      <c r="M5" s="130">
        <f t="shared" si="1"/>
        <v>46031</v>
      </c>
      <c r="N5" s="127" t="s">
        <v>201</v>
      </c>
      <c r="O5" s="131"/>
      <c r="P5" s="131"/>
      <c r="Q5" s="132" t="s">
        <v>223</v>
      </c>
      <c r="R5" s="133" t="s">
        <v>202</v>
      </c>
      <c r="S5" s="133"/>
      <c r="T5" s="133" t="s">
        <v>203</v>
      </c>
      <c r="U5" s="127" t="s">
        <v>204</v>
      </c>
      <c r="V5" s="127" t="s">
        <v>215</v>
      </c>
      <c r="W5" s="127"/>
      <c r="X5" s="133"/>
      <c r="Y5" s="134">
        <v>3.641</v>
      </c>
      <c r="Z5" s="135">
        <f t="shared" si="2"/>
        <v>1824.14</v>
      </c>
      <c r="AA5" s="135">
        <f t="shared" si="3"/>
        <v>14137.09</v>
      </c>
      <c r="AB5" s="61" t="s">
        <v>44</v>
      </c>
      <c r="AC5" s="133" t="s">
        <v>207</v>
      </c>
      <c r="AD5" s="127" t="s">
        <v>151</v>
      </c>
      <c r="AE5" s="136"/>
      <c r="AF5" s="133"/>
      <c r="AG5" s="133"/>
      <c r="AH5" s="133"/>
      <c r="AI5" s="133"/>
      <c r="AJ5" s="133"/>
      <c r="AK5" s="137"/>
      <c r="AL5" s="137"/>
    </row>
    <row r="6" s="111" customFormat="1" customHeight="1" spans="1:38">
      <c r="A6" s="126">
        <v>45993</v>
      </c>
      <c r="B6" s="127" t="s">
        <v>57</v>
      </c>
      <c r="C6" s="127" t="s">
        <v>58</v>
      </c>
      <c r="D6" s="128">
        <v>500633</v>
      </c>
      <c r="E6" s="128" t="s">
        <v>59</v>
      </c>
      <c r="F6" s="127" t="s">
        <v>43</v>
      </c>
      <c r="G6" s="128" t="str">
        <f t="shared" si="4"/>
        <v>13095</v>
      </c>
      <c r="H6" s="127" t="str">
        <f>VLOOKUP(G6,☆!B:D,3,0)</f>
        <v>医药箱</v>
      </c>
      <c r="I6" s="128">
        <v>3000</v>
      </c>
      <c r="J6" s="128">
        <v>3</v>
      </c>
      <c r="K6" s="128">
        <f t="shared" si="0"/>
        <v>1000</v>
      </c>
      <c r="L6" s="129">
        <v>46042</v>
      </c>
      <c r="M6" s="130">
        <f t="shared" si="1"/>
        <v>46035</v>
      </c>
      <c r="N6" s="127" t="s">
        <v>201</v>
      </c>
      <c r="O6" s="131"/>
      <c r="P6" s="131"/>
      <c r="Q6" s="132" t="s">
        <v>223</v>
      </c>
      <c r="R6" s="133" t="s">
        <v>202</v>
      </c>
      <c r="S6" s="133"/>
      <c r="T6" s="133" t="s">
        <v>201</v>
      </c>
      <c r="U6" s="127" t="s">
        <v>204</v>
      </c>
      <c r="V6" s="127" t="s">
        <v>215</v>
      </c>
      <c r="W6" s="127"/>
      <c r="X6" s="133"/>
      <c r="Y6" s="134">
        <v>3.641</v>
      </c>
      <c r="Z6" s="135">
        <f t="shared" si="2"/>
        <v>10923</v>
      </c>
      <c r="AA6" s="135">
        <f t="shared" si="3"/>
        <v>84653.25</v>
      </c>
      <c r="AB6" s="61" t="s">
        <v>60</v>
      </c>
      <c r="AC6" s="133" t="s">
        <v>207</v>
      </c>
      <c r="AD6" s="127" t="s">
        <v>151</v>
      </c>
      <c r="AE6" s="136"/>
      <c r="AF6" s="133"/>
      <c r="AG6" s="133"/>
      <c r="AH6" s="133"/>
      <c r="AI6" s="133"/>
      <c r="AJ6" s="133"/>
      <c r="AK6" s="137"/>
      <c r="AL6" s="137"/>
    </row>
    <row r="7" s="111" customFormat="1" customHeight="1" spans="1:38">
      <c r="A7" s="126">
        <v>45953</v>
      </c>
      <c r="B7" s="127" t="s">
        <v>33</v>
      </c>
      <c r="C7" s="127" t="s">
        <v>34</v>
      </c>
      <c r="D7" s="128" t="s">
        <v>35</v>
      </c>
      <c r="E7" s="128" t="s">
        <v>36</v>
      </c>
      <c r="F7" s="127" t="s">
        <v>37</v>
      </c>
      <c r="G7" s="128" t="str">
        <f t="shared" si="4"/>
        <v>13095</v>
      </c>
      <c r="H7" s="127" t="str">
        <f>VLOOKUP(G7,☆!B:D,3,0)</f>
        <v>医药箱</v>
      </c>
      <c r="I7" s="128">
        <v>900</v>
      </c>
      <c r="J7" s="128">
        <v>3</v>
      </c>
      <c r="K7" s="128">
        <f t="shared" si="0"/>
        <v>300</v>
      </c>
      <c r="L7" s="129">
        <v>46045</v>
      </c>
      <c r="M7" s="130">
        <f t="shared" si="1"/>
        <v>46038</v>
      </c>
      <c r="N7" s="127" t="s">
        <v>201</v>
      </c>
      <c r="O7" s="131"/>
      <c r="P7" s="131"/>
      <c r="Q7" s="132" t="s">
        <v>223</v>
      </c>
      <c r="R7" s="133" t="s">
        <v>202</v>
      </c>
      <c r="S7" s="133"/>
      <c r="T7" s="133" t="s">
        <v>203</v>
      </c>
      <c r="U7" s="127" t="s">
        <v>225</v>
      </c>
      <c r="V7" s="127" t="s">
        <v>215</v>
      </c>
      <c r="W7" s="127"/>
      <c r="X7" s="133"/>
      <c r="Y7" s="134">
        <v>3.671</v>
      </c>
      <c r="Z7" s="135">
        <f t="shared" si="2"/>
        <v>3303.9</v>
      </c>
      <c r="AA7" s="135">
        <f t="shared" si="3"/>
        <v>25605.23</v>
      </c>
      <c r="AB7" s="61" t="s">
        <v>38</v>
      </c>
      <c r="AC7" s="133" t="s">
        <v>207</v>
      </c>
      <c r="AD7" s="127" t="s">
        <v>151</v>
      </c>
      <c r="AE7" s="136"/>
      <c r="AF7" s="133"/>
      <c r="AG7" s="133"/>
      <c r="AH7" s="133"/>
      <c r="AI7" s="133"/>
      <c r="AJ7" s="133"/>
      <c r="AK7" s="137"/>
      <c r="AL7" s="137"/>
    </row>
    <row r="8" s="111" customFormat="1" customHeight="1" spans="1:38">
      <c r="A8" s="126">
        <v>45993</v>
      </c>
      <c r="B8" s="127" t="s">
        <v>61</v>
      </c>
      <c r="C8" s="127" t="s">
        <v>62</v>
      </c>
      <c r="D8" s="128" t="s">
        <v>63</v>
      </c>
      <c r="E8" s="128" t="s">
        <v>64</v>
      </c>
      <c r="F8" s="127" t="s">
        <v>65</v>
      </c>
      <c r="G8" s="128">
        <v>18060</v>
      </c>
      <c r="H8" s="127" t="s">
        <v>200</v>
      </c>
      <c r="I8" s="128">
        <v>1600</v>
      </c>
      <c r="J8" s="128">
        <v>2</v>
      </c>
      <c r="K8" s="128">
        <f t="shared" si="0"/>
        <v>800</v>
      </c>
      <c r="L8" s="129">
        <v>46048</v>
      </c>
      <c r="M8" s="130">
        <f t="shared" si="1"/>
        <v>46041</v>
      </c>
      <c r="N8" s="127" t="s">
        <v>201</v>
      </c>
      <c r="O8" s="131"/>
      <c r="P8" s="131" t="s">
        <v>226</v>
      </c>
      <c r="Q8" s="132" t="s">
        <v>223</v>
      </c>
      <c r="R8" s="133" t="s">
        <v>202</v>
      </c>
      <c r="S8" s="133"/>
      <c r="T8" s="133" t="s">
        <v>203</v>
      </c>
      <c r="U8" s="127" t="s">
        <v>204</v>
      </c>
      <c r="V8" s="127" t="s">
        <v>215</v>
      </c>
      <c r="W8" s="127"/>
      <c r="X8" s="133"/>
      <c r="Y8" s="134">
        <v>3.842</v>
      </c>
      <c r="Z8" s="135">
        <f t="shared" si="2"/>
        <v>6147.2</v>
      </c>
      <c r="AA8" s="135">
        <f t="shared" si="3"/>
        <v>47640.8</v>
      </c>
      <c r="AB8" s="61" t="s">
        <v>66</v>
      </c>
      <c r="AC8" s="133" t="s">
        <v>207</v>
      </c>
      <c r="AD8" s="127" t="s">
        <v>151</v>
      </c>
      <c r="AE8" s="136" t="s">
        <v>208</v>
      </c>
      <c r="AF8" s="133"/>
      <c r="AG8" s="133"/>
      <c r="AH8" s="133"/>
      <c r="AI8" s="133"/>
      <c r="AJ8" s="133"/>
      <c r="AK8" s="137"/>
      <c r="AL8" s="137"/>
    </row>
    <row r="9" s="111" customFormat="1" customHeight="1" spans="1:38">
      <c r="A9" s="126">
        <v>45993</v>
      </c>
      <c r="B9" s="127" t="s">
        <v>61</v>
      </c>
      <c r="C9" s="127" t="s">
        <v>62</v>
      </c>
      <c r="D9" s="128" t="s">
        <v>63</v>
      </c>
      <c r="E9" s="128" t="s">
        <v>64</v>
      </c>
      <c r="F9" s="127" t="s">
        <v>65</v>
      </c>
      <c r="G9" s="128">
        <v>18060</v>
      </c>
      <c r="H9" s="127" t="s">
        <v>200</v>
      </c>
      <c r="I9" s="128">
        <v>1200</v>
      </c>
      <c r="J9" s="128">
        <v>2</v>
      </c>
      <c r="K9" s="128">
        <f t="shared" si="0"/>
        <v>600</v>
      </c>
      <c r="L9" s="129">
        <v>46048</v>
      </c>
      <c r="M9" s="130">
        <f t="shared" si="1"/>
        <v>46041</v>
      </c>
      <c r="N9" s="127" t="s">
        <v>201</v>
      </c>
      <c r="O9" s="131"/>
      <c r="P9" s="131" t="s">
        <v>226</v>
      </c>
      <c r="Q9" s="132" t="s">
        <v>223</v>
      </c>
      <c r="R9" s="133" t="s">
        <v>202</v>
      </c>
      <c r="S9" s="133"/>
      <c r="T9" s="133" t="s">
        <v>203</v>
      </c>
      <c r="U9" s="127" t="s">
        <v>204</v>
      </c>
      <c r="V9" s="127" t="s">
        <v>215</v>
      </c>
      <c r="W9" s="127"/>
      <c r="X9" s="133"/>
      <c r="Y9" s="134">
        <v>3.842</v>
      </c>
      <c r="Z9" s="135">
        <f t="shared" si="2"/>
        <v>4610.4</v>
      </c>
      <c r="AA9" s="135">
        <f t="shared" si="3"/>
        <v>35730.6</v>
      </c>
      <c r="AB9" s="61" t="s">
        <v>66</v>
      </c>
      <c r="AC9" s="133" t="s">
        <v>207</v>
      </c>
      <c r="AD9" s="127" t="s">
        <v>151</v>
      </c>
      <c r="AE9" s="136" t="s">
        <v>208</v>
      </c>
      <c r="AF9" s="133"/>
      <c r="AG9" s="133"/>
      <c r="AH9" s="133"/>
      <c r="AI9" s="133"/>
      <c r="AJ9" s="133"/>
      <c r="AK9" s="137"/>
      <c r="AL9" s="137"/>
    </row>
    <row r="10" s="111" customFormat="1" customHeight="1" spans="1:38">
      <c r="A10" s="126">
        <v>45993</v>
      </c>
      <c r="B10" s="127" t="s">
        <v>61</v>
      </c>
      <c r="C10" s="127" t="s">
        <v>62</v>
      </c>
      <c r="D10" s="128" t="s">
        <v>63</v>
      </c>
      <c r="E10" s="128" t="s">
        <v>64</v>
      </c>
      <c r="F10" s="127" t="s">
        <v>65</v>
      </c>
      <c r="G10" s="128">
        <v>18060</v>
      </c>
      <c r="H10" s="127" t="s">
        <v>200</v>
      </c>
      <c r="I10" s="128">
        <v>1600</v>
      </c>
      <c r="J10" s="128">
        <v>2</v>
      </c>
      <c r="K10" s="128">
        <f t="shared" si="0"/>
        <v>800</v>
      </c>
      <c r="L10" s="129">
        <v>46048</v>
      </c>
      <c r="M10" s="130">
        <f t="shared" si="1"/>
        <v>46041</v>
      </c>
      <c r="N10" s="127" t="s">
        <v>201</v>
      </c>
      <c r="O10" s="131"/>
      <c r="P10" s="131" t="s">
        <v>226</v>
      </c>
      <c r="Q10" s="132" t="s">
        <v>223</v>
      </c>
      <c r="R10" s="133" t="s">
        <v>202</v>
      </c>
      <c r="S10" s="133"/>
      <c r="T10" s="133" t="s">
        <v>203</v>
      </c>
      <c r="U10" s="127" t="s">
        <v>204</v>
      </c>
      <c r="V10" s="127" t="s">
        <v>215</v>
      </c>
      <c r="W10" s="127"/>
      <c r="X10" s="133"/>
      <c r="Y10" s="134">
        <v>3.842</v>
      </c>
      <c r="Z10" s="135">
        <f t="shared" si="2"/>
        <v>6147.2</v>
      </c>
      <c r="AA10" s="135">
        <f t="shared" si="3"/>
        <v>47640.8</v>
      </c>
      <c r="AB10" s="61" t="s">
        <v>66</v>
      </c>
      <c r="AC10" s="133" t="s">
        <v>207</v>
      </c>
      <c r="AD10" s="127" t="s">
        <v>151</v>
      </c>
      <c r="AE10" s="136" t="s">
        <v>208</v>
      </c>
      <c r="AF10" s="133"/>
      <c r="AG10" s="133"/>
      <c r="AH10" s="133"/>
      <c r="AI10" s="133"/>
      <c r="AJ10" s="133"/>
      <c r="AK10" s="137"/>
      <c r="AL10" s="137"/>
    </row>
    <row r="11" s="111" customFormat="1" ht="14.25" spans="1:38">
      <c r="A11" s="126">
        <v>45993</v>
      </c>
      <c r="B11" s="127" t="s">
        <v>61</v>
      </c>
      <c r="C11" s="127" t="s">
        <v>62</v>
      </c>
      <c r="D11" s="128" t="s">
        <v>63</v>
      </c>
      <c r="E11" s="128" t="s">
        <v>64</v>
      </c>
      <c r="F11" s="127" t="s">
        <v>65</v>
      </c>
      <c r="G11" s="128">
        <v>18060</v>
      </c>
      <c r="H11" s="127" t="s">
        <v>200</v>
      </c>
      <c r="I11" s="128">
        <v>1550</v>
      </c>
      <c r="J11" s="128">
        <v>2</v>
      </c>
      <c r="K11" s="128">
        <f t="shared" si="0"/>
        <v>775</v>
      </c>
      <c r="L11" s="129">
        <v>46048</v>
      </c>
      <c r="M11" s="130">
        <f t="shared" si="1"/>
        <v>46041</v>
      </c>
      <c r="N11" s="127" t="s">
        <v>201</v>
      </c>
      <c r="O11" s="138"/>
      <c r="P11" s="131" t="s">
        <v>226</v>
      </c>
      <c r="Q11" s="132" t="s">
        <v>223</v>
      </c>
      <c r="R11" s="133" t="s">
        <v>202</v>
      </c>
      <c r="S11" s="133"/>
      <c r="T11" s="133" t="s">
        <v>203</v>
      </c>
      <c r="U11" s="127" t="s">
        <v>204</v>
      </c>
      <c r="V11" s="127" t="s">
        <v>215</v>
      </c>
      <c r="W11" s="127"/>
      <c r="X11" s="133"/>
      <c r="Y11" s="134">
        <v>3.842</v>
      </c>
      <c r="Z11" s="135">
        <f t="shared" si="2"/>
        <v>5955.1</v>
      </c>
      <c r="AA11" s="135">
        <f t="shared" si="3"/>
        <v>46152.03</v>
      </c>
      <c r="AB11" s="61" t="s">
        <v>66</v>
      </c>
      <c r="AC11" s="133" t="s">
        <v>207</v>
      </c>
      <c r="AD11" s="127" t="s">
        <v>151</v>
      </c>
      <c r="AE11" s="136" t="s">
        <v>208</v>
      </c>
      <c r="AF11" s="133"/>
      <c r="AG11" s="133"/>
      <c r="AH11" s="133"/>
      <c r="AI11" s="133"/>
      <c r="AJ11" s="133"/>
      <c r="AK11" s="137"/>
      <c r="AL11" s="137"/>
    </row>
    <row r="12" s="111" customFormat="1" ht="14.25" spans="1:38">
      <c r="A12" s="126">
        <v>46029</v>
      </c>
      <c r="B12" s="127" t="s">
        <v>67</v>
      </c>
      <c r="C12" s="127" t="s">
        <v>68</v>
      </c>
      <c r="D12" s="128" t="s">
        <v>69</v>
      </c>
      <c r="E12" s="128" t="s">
        <v>70</v>
      </c>
      <c r="F12" s="127" t="s">
        <v>71</v>
      </c>
      <c r="G12" s="128">
        <v>17552</v>
      </c>
      <c r="H12" s="127" t="s">
        <v>227</v>
      </c>
      <c r="I12" s="128">
        <v>600</v>
      </c>
      <c r="J12" s="128">
        <v>2</v>
      </c>
      <c r="K12" s="128">
        <f t="shared" si="0"/>
        <v>300</v>
      </c>
      <c r="L12" s="129">
        <v>46108</v>
      </c>
      <c r="M12" s="130">
        <f t="shared" si="1"/>
        <v>46101</v>
      </c>
      <c r="N12" s="127" t="s">
        <v>201</v>
      </c>
      <c r="O12" s="138">
        <v>46108</v>
      </c>
      <c r="P12" s="131"/>
      <c r="Q12" s="132" t="s">
        <v>223</v>
      </c>
      <c r="R12" s="133" t="s">
        <v>202</v>
      </c>
      <c r="S12" s="133"/>
      <c r="T12" s="133" t="s">
        <v>203</v>
      </c>
      <c r="U12" s="127" t="s">
        <v>225</v>
      </c>
      <c r="V12" s="127" t="s">
        <v>215</v>
      </c>
      <c r="W12" s="127"/>
      <c r="X12" s="133"/>
      <c r="Y12" s="134">
        <v>13.059</v>
      </c>
      <c r="Z12" s="135">
        <f t="shared" si="2"/>
        <v>7835.4</v>
      </c>
      <c r="AA12" s="135">
        <f t="shared" si="3"/>
        <v>60724.35</v>
      </c>
      <c r="AB12" s="61" t="s">
        <v>72</v>
      </c>
      <c r="AC12" s="133" t="s">
        <v>207</v>
      </c>
      <c r="AD12" s="127" t="s">
        <v>151</v>
      </c>
      <c r="AE12" s="136" t="s">
        <v>228</v>
      </c>
      <c r="AF12" s="133"/>
      <c r="AG12" s="133"/>
      <c r="AH12" s="133"/>
      <c r="AI12" s="133"/>
      <c r="AJ12" s="133"/>
      <c r="AK12" s="137"/>
      <c r="AL12" s="137"/>
    </row>
    <row r="13" s="111" customFormat="1" ht="14.25" spans="1:38">
      <c r="A13" s="126">
        <v>46057</v>
      </c>
      <c r="B13" s="127" t="s">
        <v>76</v>
      </c>
      <c r="C13" s="127" t="s">
        <v>77</v>
      </c>
      <c r="D13" s="128" t="s">
        <v>105</v>
      </c>
      <c r="E13" s="128" t="s">
        <v>106</v>
      </c>
      <c r="F13" s="127" t="s">
        <v>37</v>
      </c>
      <c r="G13" s="128">
        <v>13095</v>
      </c>
      <c r="H13" s="127" t="s">
        <v>214</v>
      </c>
      <c r="I13" s="128">
        <v>801</v>
      </c>
      <c r="J13" s="128">
        <v>3</v>
      </c>
      <c r="K13" s="128">
        <f t="shared" si="0"/>
        <v>267</v>
      </c>
      <c r="L13" s="129">
        <v>46113</v>
      </c>
      <c r="M13" s="130">
        <f t="shared" si="1"/>
        <v>46106</v>
      </c>
      <c r="N13" s="127" t="s">
        <v>201</v>
      </c>
      <c r="O13" s="138">
        <v>46108</v>
      </c>
      <c r="P13" s="131"/>
      <c r="Q13" s="132" t="s">
        <v>223</v>
      </c>
      <c r="R13" s="133" t="s">
        <v>202</v>
      </c>
      <c r="S13" s="133"/>
      <c r="T13" s="133" t="s">
        <v>203</v>
      </c>
      <c r="U13" s="127" t="s">
        <v>225</v>
      </c>
      <c r="V13" s="127" t="s">
        <v>215</v>
      </c>
      <c r="W13" s="127"/>
      <c r="X13" s="133"/>
      <c r="Y13" s="134">
        <v>3.671</v>
      </c>
      <c r="Z13" s="135">
        <f t="shared" si="2"/>
        <v>2940.47</v>
      </c>
      <c r="AA13" s="135">
        <f t="shared" si="3"/>
        <v>22788.64</v>
      </c>
      <c r="AB13" s="61" t="s">
        <v>107</v>
      </c>
      <c r="AC13" s="133" t="s">
        <v>207</v>
      </c>
      <c r="AD13" s="127" t="s">
        <v>151</v>
      </c>
      <c r="AE13" s="136"/>
      <c r="AF13" s="133"/>
      <c r="AG13" s="133"/>
      <c r="AH13" s="133"/>
      <c r="AI13" s="133"/>
      <c r="AJ13" s="133"/>
      <c r="AK13" s="137"/>
      <c r="AL13" s="137"/>
    </row>
    <row r="14" s="111" customFormat="1" ht="14.25" spans="1:38">
      <c r="A14" s="126">
        <v>46057</v>
      </c>
      <c r="B14" s="127" t="s">
        <v>76</v>
      </c>
      <c r="C14" s="127" t="s">
        <v>77</v>
      </c>
      <c r="D14" s="128" t="s">
        <v>96</v>
      </c>
      <c r="E14" s="128" t="s">
        <v>97</v>
      </c>
      <c r="F14" s="127" t="s">
        <v>37</v>
      </c>
      <c r="G14" s="128">
        <v>13095</v>
      </c>
      <c r="H14" s="127" t="s">
        <v>214</v>
      </c>
      <c r="I14" s="128">
        <v>402</v>
      </c>
      <c r="J14" s="128">
        <v>3</v>
      </c>
      <c r="K14" s="128">
        <f t="shared" si="0"/>
        <v>134</v>
      </c>
      <c r="L14" s="129">
        <v>46113</v>
      </c>
      <c r="M14" s="130">
        <f t="shared" si="1"/>
        <v>46106</v>
      </c>
      <c r="N14" s="127" t="s">
        <v>201</v>
      </c>
      <c r="O14" s="138">
        <v>46108</v>
      </c>
      <c r="P14" s="131"/>
      <c r="Q14" s="132" t="s">
        <v>223</v>
      </c>
      <c r="R14" s="133" t="s">
        <v>202</v>
      </c>
      <c r="S14" s="133"/>
      <c r="T14" s="133" t="s">
        <v>203</v>
      </c>
      <c r="U14" s="127" t="s">
        <v>225</v>
      </c>
      <c r="V14" s="127" t="s">
        <v>215</v>
      </c>
      <c r="W14" s="127"/>
      <c r="X14" s="133"/>
      <c r="Y14" s="134">
        <v>3.671</v>
      </c>
      <c r="Z14" s="135">
        <f t="shared" si="2"/>
        <v>1475.74</v>
      </c>
      <c r="AA14" s="135">
        <f t="shared" si="3"/>
        <v>11436.99</v>
      </c>
      <c r="AB14" s="61" t="s">
        <v>98</v>
      </c>
      <c r="AC14" s="133" t="s">
        <v>207</v>
      </c>
      <c r="AD14" s="127" t="s">
        <v>151</v>
      </c>
      <c r="AE14" s="136"/>
      <c r="AF14" s="133"/>
      <c r="AG14" s="133"/>
      <c r="AH14" s="133"/>
      <c r="AI14" s="133"/>
      <c r="AJ14" s="133"/>
      <c r="AK14" s="137"/>
      <c r="AL14" s="137"/>
    </row>
    <row r="15" s="111" customFormat="1" ht="14.25" spans="1:38">
      <c r="A15" s="126">
        <v>46057</v>
      </c>
      <c r="B15" s="127" t="s">
        <v>76</v>
      </c>
      <c r="C15" s="127" t="s">
        <v>77</v>
      </c>
      <c r="D15" s="128" t="s">
        <v>102</v>
      </c>
      <c r="E15" s="128" t="s">
        <v>103</v>
      </c>
      <c r="F15" s="127" t="s">
        <v>37</v>
      </c>
      <c r="G15" s="128">
        <v>13095</v>
      </c>
      <c r="H15" s="127" t="s">
        <v>214</v>
      </c>
      <c r="I15" s="128">
        <v>600</v>
      </c>
      <c r="J15" s="128">
        <v>3</v>
      </c>
      <c r="K15" s="128">
        <f t="shared" si="0"/>
        <v>200</v>
      </c>
      <c r="L15" s="129">
        <v>46113</v>
      </c>
      <c r="M15" s="130">
        <f t="shared" si="1"/>
        <v>46106</v>
      </c>
      <c r="N15" s="127" t="s">
        <v>201</v>
      </c>
      <c r="O15" s="138">
        <v>46108</v>
      </c>
      <c r="P15" s="131"/>
      <c r="Q15" s="132" t="s">
        <v>223</v>
      </c>
      <c r="R15" s="133" t="s">
        <v>202</v>
      </c>
      <c r="S15" s="133"/>
      <c r="T15" s="133" t="s">
        <v>203</v>
      </c>
      <c r="U15" s="127" t="s">
        <v>225</v>
      </c>
      <c r="V15" s="127" t="s">
        <v>215</v>
      </c>
      <c r="W15" s="127"/>
      <c r="X15" s="133"/>
      <c r="Y15" s="134">
        <v>3.671</v>
      </c>
      <c r="Z15" s="135">
        <f t="shared" si="2"/>
        <v>2202.6</v>
      </c>
      <c r="AA15" s="135">
        <f t="shared" si="3"/>
        <v>17070.15</v>
      </c>
      <c r="AB15" s="61" t="s">
        <v>104</v>
      </c>
      <c r="AC15" s="133" t="s">
        <v>207</v>
      </c>
      <c r="AD15" s="127" t="s">
        <v>151</v>
      </c>
      <c r="AE15" s="136"/>
      <c r="AF15" s="133"/>
      <c r="AG15" s="133"/>
      <c r="AH15" s="133"/>
      <c r="AI15" s="133"/>
      <c r="AJ15" s="133"/>
      <c r="AK15" s="137"/>
      <c r="AL15" s="137"/>
    </row>
    <row r="16" s="111" customFormat="1" ht="14.25" spans="1:38">
      <c r="A16" s="126">
        <v>46057</v>
      </c>
      <c r="B16" s="127" t="s">
        <v>76</v>
      </c>
      <c r="C16" s="127" t="s">
        <v>77</v>
      </c>
      <c r="D16" s="128" t="s">
        <v>93</v>
      </c>
      <c r="E16" s="128" t="s">
        <v>94</v>
      </c>
      <c r="F16" s="127" t="s">
        <v>37</v>
      </c>
      <c r="G16" s="128">
        <v>13095</v>
      </c>
      <c r="H16" s="127" t="s">
        <v>214</v>
      </c>
      <c r="I16" s="128">
        <v>402</v>
      </c>
      <c r="J16" s="128">
        <v>3</v>
      </c>
      <c r="K16" s="128">
        <f t="shared" si="0"/>
        <v>134</v>
      </c>
      <c r="L16" s="129">
        <v>46113</v>
      </c>
      <c r="M16" s="130">
        <f t="shared" si="1"/>
        <v>46106</v>
      </c>
      <c r="N16" s="127" t="s">
        <v>201</v>
      </c>
      <c r="O16" s="138">
        <v>46108</v>
      </c>
      <c r="P16" s="131"/>
      <c r="Q16" s="132" t="s">
        <v>223</v>
      </c>
      <c r="R16" s="133" t="s">
        <v>202</v>
      </c>
      <c r="S16" s="133"/>
      <c r="T16" s="133" t="s">
        <v>203</v>
      </c>
      <c r="U16" s="127" t="s">
        <v>225</v>
      </c>
      <c r="V16" s="127" t="s">
        <v>215</v>
      </c>
      <c r="W16" s="127"/>
      <c r="X16" s="133"/>
      <c r="Y16" s="134">
        <v>3.671</v>
      </c>
      <c r="Z16" s="135">
        <f t="shared" si="2"/>
        <v>1475.74</v>
      </c>
      <c r="AA16" s="135">
        <f t="shared" si="3"/>
        <v>11436.99</v>
      </c>
      <c r="AB16" s="61" t="s">
        <v>95</v>
      </c>
      <c r="AC16" s="133" t="s">
        <v>207</v>
      </c>
      <c r="AD16" s="127" t="s">
        <v>151</v>
      </c>
      <c r="AE16" s="136"/>
      <c r="AF16" s="133"/>
      <c r="AG16" s="133"/>
      <c r="AH16" s="133"/>
      <c r="AI16" s="133"/>
      <c r="AJ16" s="133"/>
      <c r="AK16" s="137"/>
      <c r="AL16" s="137"/>
    </row>
    <row r="17" s="111" customFormat="1" ht="14.25" spans="1:38">
      <c r="A17" s="126">
        <v>46057</v>
      </c>
      <c r="B17" s="127" t="s">
        <v>76</v>
      </c>
      <c r="C17" s="127" t="s">
        <v>77</v>
      </c>
      <c r="D17" s="128" t="s">
        <v>90</v>
      </c>
      <c r="E17" s="128" t="s">
        <v>91</v>
      </c>
      <c r="F17" s="127" t="s">
        <v>37</v>
      </c>
      <c r="G17" s="128">
        <v>13095</v>
      </c>
      <c r="H17" s="127" t="s">
        <v>214</v>
      </c>
      <c r="I17" s="128">
        <v>600</v>
      </c>
      <c r="J17" s="128">
        <v>3</v>
      </c>
      <c r="K17" s="128">
        <f t="shared" si="0"/>
        <v>200</v>
      </c>
      <c r="L17" s="129">
        <v>46113</v>
      </c>
      <c r="M17" s="130">
        <f t="shared" si="1"/>
        <v>46106</v>
      </c>
      <c r="N17" s="127" t="s">
        <v>201</v>
      </c>
      <c r="O17" s="138">
        <v>46108</v>
      </c>
      <c r="P17" s="131"/>
      <c r="Q17" s="132" t="s">
        <v>223</v>
      </c>
      <c r="R17" s="133" t="s">
        <v>202</v>
      </c>
      <c r="S17" s="133"/>
      <c r="T17" s="133" t="s">
        <v>203</v>
      </c>
      <c r="U17" s="127" t="s">
        <v>225</v>
      </c>
      <c r="V17" s="127" t="s">
        <v>215</v>
      </c>
      <c r="W17" s="127"/>
      <c r="X17" s="133"/>
      <c r="Y17" s="134">
        <v>3.671</v>
      </c>
      <c r="Z17" s="135">
        <f t="shared" si="2"/>
        <v>2202.6</v>
      </c>
      <c r="AA17" s="135">
        <f t="shared" si="3"/>
        <v>17070.15</v>
      </c>
      <c r="AB17" s="61" t="s">
        <v>92</v>
      </c>
      <c r="AC17" s="133" t="s">
        <v>207</v>
      </c>
      <c r="AD17" s="127" t="s">
        <v>151</v>
      </c>
      <c r="AE17" s="136"/>
      <c r="AF17" s="133"/>
      <c r="AG17" s="133"/>
      <c r="AH17" s="133"/>
      <c r="AI17" s="133"/>
      <c r="AJ17" s="133"/>
      <c r="AK17" s="137"/>
      <c r="AL17" s="137"/>
    </row>
    <row r="18" s="111" customFormat="1" ht="14.25" spans="1:38">
      <c r="A18" s="126">
        <v>46057</v>
      </c>
      <c r="B18" s="127" t="s">
        <v>76</v>
      </c>
      <c r="C18" s="127" t="s">
        <v>77</v>
      </c>
      <c r="D18" s="128" t="s">
        <v>87</v>
      </c>
      <c r="E18" s="128" t="s">
        <v>88</v>
      </c>
      <c r="F18" s="127" t="s">
        <v>37</v>
      </c>
      <c r="G18" s="128">
        <v>13095</v>
      </c>
      <c r="H18" s="127" t="s">
        <v>214</v>
      </c>
      <c r="I18" s="128">
        <v>801</v>
      </c>
      <c r="J18" s="128">
        <v>3</v>
      </c>
      <c r="K18" s="128">
        <f t="shared" si="0"/>
        <v>267</v>
      </c>
      <c r="L18" s="129">
        <v>46113</v>
      </c>
      <c r="M18" s="130">
        <f t="shared" si="1"/>
        <v>46106</v>
      </c>
      <c r="N18" s="127" t="s">
        <v>201</v>
      </c>
      <c r="O18" s="138">
        <v>46108</v>
      </c>
      <c r="P18" s="131"/>
      <c r="Q18" s="132" t="s">
        <v>223</v>
      </c>
      <c r="R18" s="133" t="s">
        <v>202</v>
      </c>
      <c r="S18" s="133"/>
      <c r="T18" s="133" t="s">
        <v>203</v>
      </c>
      <c r="U18" s="127" t="s">
        <v>225</v>
      </c>
      <c r="V18" s="127" t="s">
        <v>215</v>
      </c>
      <c r="W18" s="127"/>
      <c r="X18" s="133"/>
      <c r="Y18" s="134">
        <v>3.671</v>
      </c>
      <c r="Z18" s="135">
        <f t="shared" si="2"/>
        <v>2940.47</v>
      </c>
      <c r="AA18" s="135">
        <f t="shared" si="3"/>
        <v>22788.64</v>
      </c>
      <c r="AB18" s="61" t="s">
        <v>89</v>
      </c>
      <c r="AC18" s="133" t="s">
        <v>207</v>
      </c>
      <c r="AD18" s="127" t="s">
        <v>151</v>
      </c>
      <c r="AE18" s="136"/>
      <c r="AF18" s="133"/>
      <c r="AG18" s="133"/>
      <c r="AH18" s="133"/>
      <c r="AI18" s="133"/>
      <c r="AJ18" s="133"/>
      <c r="AK18" s="137"/>
      <c r="AL18" s="137"/>
    </row>
    <row r="19" s="111" customFormat="1" ht="14.25" spans="1:38">
      <c r="A19" s="126">
        <v>46057</v>
      </c>
      <c r="B19" s="127" t="s">
        <v>76</v>
      </c>
      <c r="C19" s="127" t="s">
        <v>77</v>
      </c>
      <c r="D19" s="128" t="s">
        <v>84</v>
      </c>
      <c r="E19" s="128" t="s">
        <v>85</v>
      </c>
      <c r="F19" s="127" t="s">
        <v>37</v>
      </c>
      <c r="G19" s="128">
        <v>13095</v>
      </c>
      <c r="H19" s="127" t="s">
        <v>214</v>
      </c>
      <c r="I19" s="128">
        <v>402</v>
      </c>
      <c r="J19" s="128">
        <v>3</v>
      </c>
      <c r="K19" s="128">
        <f t="shared" si="0"/>
        <v>134</v>
      </c>
      <c r="L19" s="129">
        <v>46113</v>
      </c>
      <c r="M19" s="130">
        <f t="shared" si="1"/>
        <v>46106</v>
      </c>
      <c r="N19" s="127" t="s">
        <v>201</v>
      </c>
      <c r="O19" s="138">
        <v>46108</v>
      </c>
      <c r="P19" s="131"/>
      <c r="Q19" s="132" t="s">
        <v>223</v>
      </c>
      <c r="R19" s="133" t="s">
        <v>202</v>
      </c>
      <c r="S19" s="133"/>
      <c r="T19" s="133" t="s">
        <v>203</v>
      </c>
      <c r="U19" s="127" t="s">
        <v>225</v>
      </c>
      <c r="V19" s="127" t="s">
        <v>215</v>
      </c>
      <c r="W19" s="127"/>
      <c r="X19" s="133"/>
      <c r="Y19" s="134">
        <v>3.671</v>
      </c>
      <c r="Z19" s="135">
        <f t="shared" si="2"/>
        <v>1475.74</v>
      </c>
      <c r="AA19" s="135">
        <f t="shared" si="3"/>
        <v>11436.99</v>
      </c>
      <c r="AB19" s="61" t="s">
        <v>86</v>
      </c>
      <c r="AC19" s="133" t="s">
        <v>207</v>
      </c>
      <c r="AD19" s="127" t="s">
        <v>151</v>
      </c>
      <c r="AE19" s="136"/>
      <c r="AF19" s="133"/>
      <c r="AG19" s="133"/>
      <c r="AH19" s="133"/>
      <c r="AI19" s="133"/>
      <c r="AJ19" s="133"/>
      <c r="AK19" s="137"/>
      <c r="AL19" s="137"/>
    </row>
    <row r="20" s="111" customFormat="1" ht="14.25" spans="1:38">
      <c r="A20" s="126">
        <v>46057</v>
      </c>
      <c r="B20" s="127" t="s">
        <v>76</v>
      </c>
      <c r="C20" s="127" t="s">
        <v>77</v>
      </c>
      <c r="D20" s="128" t="s">
        <v>81</v>
      </c>
      <c r="E20" s="128" t="s">
        <v>82</v>
      </c>
      <c r="F20" s="127" t="s">
        <v>37</v>
      </c>
      <c r="G20" s="128">
        <v>13095</v>
      </c>
      <c r="H20" s="127" t="s">
        <v>214</v>
      </c>
      <c r="I20" s="128">
        <v>600</v>
      </c>
      <c r="J20" s="128">
        <v>3</v>
      </c>
      <c r="K20" s="128">
        <f t="shared" si="0"/>
        <v>200</v>
      </c>
      <c r="L20" s="129">
        <v>46113</v>
      </c>
      <c r="M20" s="130">
        <f t="shared" si="1"/>
        <v>46106</v>
      </c>
      <c r="N20" s="127" t="s">
        <v>201</v>
      </c>
      <c r="O20" s="138">
        <v>46108</v>
      </c>
      <c r="P20" s="131"/>
      <c r="Q20" s="132" t="s">
        <v>223</v>
      </c>
      <c r="R20" s="133" t="s">
        <v>202</v>
      </c>
      <c r="S20" s="133"/>
      <c r="T20" s="133" t="s">
        <v>203</v>
      </c>
      <c r="U20" s="127" t="s">
        <v>225</v>
      </c>
      <c r="V20" s="127" t="s">
        <v>215</v>
      </c>
      <c r="W20" s="127"/>
      <c r="X20" s="133"/>
      <c r="Y20" s="134">
        <v>3.671</v>
      </c>
      <c r="Z20" s="135">
        <f t="shared" si="2"/>
        <v>2202.6</v>
      </c>
      <c r="AA20" s="135">
        <f t="shared" si="3"/>
        <v>17070.15</v>
      </c>
      <c r="AB20" s="61" t="s">
        <v>83</v>
      </c>
      <c r="AC20" s="133" t="s">
        <v>207</v>
      </c>
      <c r="AD20" s="127" t="s">
        <v>151</v>
      </c>
      <c r="AE20" s="136"/>
      <c r="AF20" s="133"/>
      <c r="AG20" s="133"/>
      <c r="AH20" s="133"/>
      <c r="AI20" s="133"/>
      <c r="AJ20" s="133"/>
      <c r="AK20" s="137"/>
      <c r="AL20" s="137"/>
    </row>
    <row r="21" s="111" customFormat="1" ht="14.25" spans="1:38">
      <c r="A21" s="126">
        <v>46057</v>
      </c>
      <c r="B21" s="127" t="s">
        <v>76</v>
      </c>
      <c r="C21" s="127" t="s">
        <v>77</v>
      </c>
      <c r="D21" s="128" t="s">
        <v>78</v>
      </c>
      <c r="E21" s="128" t="s">
        <v>79</v>
      </c>
      <c r="F21" s="127" t="s">
        <v>37</v>
      </c>
      <c r="G21" s="128">
        <v>13095</v>
      </c>
      <c r="H21" s="127" t="s">
        <v>214</v>
      </c>
      <c r="I21" s="128">
        <v>402</v>
      </c>
      <c r="J21" s="128">
        <v>3</v>
      </c>
      <c r="K21" s="128">
        <f t="shared" si="0"/>
        <v>134</v>
      </c>
      <c r="L21" s="129">
        <v>46113</v>
      </c>
      <c r="M21" s="130">
        <f t="shared" si="1"/>
        <v>46106</v>
      </c>
      <c r="N21" s="127" t="s">
        <v>201</v>
      </c>
      <c r="O21" s="138">
        <v>46108</v>
      </c>
      <c r="P21" s="131"/>
      <c r="Q21" s="132" t="s">
        <v>223</v>
      </c>
      <c r="R21" s="133" t="s">
        <v>202</v>
      </c>
      <c r="S21" s="133"/>
      <c r="T21" s="133" t="s">
        <v>203</v>
      </c>
      <c r="U21" s="127" t="s">
        <v>225</v>
      </c>
      <c r="V21" s="127" t="s">
        <v>215</v>
      </c>
      <c r="W21" s="127"/>
      <c r="X21" s="133"/>
      <c r="Y21" s="134">
        <v>3.671</v>
      </c>
      <c r="Z21" s="135">
        <f t="shared" si="2"/>
        <v>1475.74</v>
      </c>
      <c r="AA21" s="135">
        <f t="shared" si="3"/>
        <v>11436.99</v>
      </c>
      <c r="AB21" s="61" t="s">
        <v>80</v>
      </c>
      <c r="AC21" s="133" t="s">
        <v>207</v>
      </c>
      <c r="AD21" s="127" t="s">
        <v>151</v>
      </c>
      <c r="AE21" s="136"/>
      <c r="AF21" s="133"/>
      <c r="AG21" s="133"/>
      <c r="AH21" s="133"/>
      <c r="AI21" s="133"/>
      <c r="AJ21" s="133"/>
      <c r="AK21" s="137"/>
      <c r="AL21" s="137"/>
    </row>
    <row r="22" s="111" customFormat="1" ht="14.25" spans="1:38">
      <c r="A22" s="126">
        <v>46057</v>
      </c>
      <c r="B22" s="127" t="s">
        <v>76</v>
      </c>
      <c r="C22" s="127" t="s">
        <v>77</v>
      </c>
      <c r="D22" s="128" t="s">
        <v>99</v>
      </c>
      <c r="E22" s="128" t="s">
        <v>100</v>
      </c>
      <c r="F22" s="127" t="s">
        <v>37</v>
      </c>
      <c r="G22" s="128">
        <v>13095</v>
      </c>
      <c r="H22" s="127" t="s">
        <v>214</v>
      </c>
      <c r="I22" s="128">
        <v>600</v>
      </c>
      <c r="J22" s="128">
        <v>3</v>
      </c>
      <c r="K22" s="128">
        <f t="shared" si="0"/>
        <v>200</v>
      </c>
      <c r="L22" s="129">
        <v>46113</v>
      </c>
      <c r="M22" s="130">
        <f t="shared" si="1"/>
        <v>46106</v>
      </c>
      <c r="N22" s="127" t="s">
        <v>201</v>
      </c>
      <c r="O22" s="138">
        <v>46108</v>
      </c>
      <c r="P22" s="131"/>
      <c r="Q22" s="132" t="s">
        <v>223</v>
      </c>
      <c r="R22" s="133" t="s">
        <v>202</v>
      </c>
      <c r="S22" s="133"/>
      <c r="T22" s="133" t="s">
        <v>203</v>
      </c>
      <c r="U22" s="127" t="s">
        <v>225</v>
      </c>
      <c r="V22" s="127" t="s">
        <v>215</v>
      </c>
      <c r="W22" s="127"/>
      <c r="X22" s="133"/>
      <c r="Y22" s="134">
        <v>3.671</v>
      </c>
      <c r="Z22" s="135">
        <f t="shared" si="2"/>
        <v>2202.6</v>
      </c>
      <c r="AA22" s="135">
        <f t="shared" si="3"/>
        <v>17070.15</v>
      </c>
      <c r="AB22" s="61" t="s">
        <v>101</v>
      </c>
      <c r="AC22" s="133" t="s">
        <v>207</v>
      </c>
      <c r="AD22" s="127" t="s">
        <v>151</v>
      </c>
      <c r="AE22" s="136"/>
      <c r="AF22" s="133"/>
      <c r="AG22" s="133"/>
      <c r="AH22" s="133"/>
      <c r="AI22" s="133"/>
      <c r="AJ22" s="133"/>
      <c r="AK22" s="137"/>
      <c r="AL22" s="137"/>
    </row>
    <row r="23" s="111" customFormat="1" ht="14.25" spans="1:38">
      <c r="A23" s="126">
        <v>46029</v>
      </c>
      <c r="B23" s="127" t="s">
        <v>67</v>
      </c>
      <c r="C23" s="127" t="s">
        <v>68</v>
      </c>
      <c r="D23" s="128" t="s">
        <v>73</v>
      </c>
      <c r="E23" s="128" t="s">
        <v>74</v>
      </c>
      <c r="F23" s="127" t="s">
        <v>71</v>
      </c>
      <c r="G23" s="128">
        <v>17552</v>
      </c>
      <c r="H23" s="127" t="s">
        <v>227</v>
      </c>
      <c r="I23" s="128">
        <v>4400</v>
      </c>
      <c r="J23" s="128">
        <v>2</v>
      </c>
      <c r="K23" s="128">
        <f t="shared" si="0"/>
        <v>2200</v>
      </c>
      <c r="L23" s="129">
        <v>46122</v>
      </c>
      <c r="M23" s="130">
        <f t="shared" si="1"/>
        <v>46115</v>
      </c>
      <c r="N23" s="127" t="s">
        <v>201</v>
      </c>
      <c r="O23" s="138">
        <v>46119</v>
      </c>
      <c r="P23" s="131"/>
      <c r="Q23" s="132" t="s">
        <v>223</v>
      </c>
      <c r="R23" s="133" t="s">
        <v>202</v>
      </c>
      <c r="S23" s="133"/>
      <c r="T23" s="133" t="s">
        <v>203</v>
      </c>
      <c r="U23" s="127" t="s">
        <v>225</v>
      </c>
      <c r="V23" s="127" t="s">
        <v>215</v>
      </c>
      <c r="W23" s="127"/>
      <c r="X23" s="133"/>
      <c r="Y23" s="134">
        <v>13.059</v>
      </c>
      <c r="Z23" s="135">
        <f t="shared" si="2"/>
        <v>57459.6</v>
      </c>
      <c r="AA23" s="135">
        <f t="shared" si="3"/>
        <v>445311.9</v>
      </c>
      <c r="AB23" s="61" t="s">
        <v>75</v>
      </c>
      <c r="AC23" s="133" t="s">
        <v>207</v>
      </c>
      <c r="AD23" s="127" t="s">
        <v>151</v>
      </c>
      <c r="AE23" s="136" t="s">
        <v>228</v>
      </c>
      <c r="AF23" s="133"/>
      <c r="AG23" s="133"/>
      <c r="AH23" s="133"/>
      <c r="AI23" s="133"/>
      <c r="AJ23" s="133"/>
      <c r="AK23" s="137"/>
      <c r="AL23" s="137"/>
    </row>
    <row r="24" s="112" customFormat="1" ht="14.25" spans="1:38">
      <c r="A24" s="139">
        <v>46092</v>
      </c>
      <c r="B24" s="140" t="s">
        <v>45</v>
      </c>
      <c r="C24" s="140" t="s">
        <v>46</v>
      </c>
      <c r="D24" s="141" t="s">
        <v>108</v>
      </c>
      <c r="E24" s="141" t="s">
        <v>109</v>
      </c>
      <c r="F24" s="140" t="s">
        <v>43</v>
      </c>
      <c r="G24" s="141">
        <v>13095</v>
      </c>
      <c r="H24" s="140" t="s">
        <v>214</v>
      </c>
      <c r="I24" s="141">
        <v>102</v>
      </c>
      <c r="J24" s="141">
        <v>3</v>
      </c>
      <c r="K24" s="141">
        <f t="shared" si="0"/>
        <v>34</v>
      </c>
      <c r="L24" s="138">
        <v>46154</v>
      </c>
      <c r="M24" s="142">
        <f t="shared" si="1"/>
        <v>46147</v>
      </c>
      <c r="N24" s="140" t="s">
        <v>201</v>
      </c>
      <c r="O24" s="138">
        <v>46150</v>
      </c>
      <c r="P24" s="143"/>
      <c r="Q24" s="132" t="s">
        <v>223</v>
      </c>
      <c r="R24" s="133" t="s">
        <v>202</v>
      </c>
      <c r="S24" s="144"/>
      <c r="T24" s="144" t="s">
        <v>203</v>
      </c>
      <c r="U24" s="140" t="s">
        <v>204</v>
      </c>
      <c r="V24" s="140" t="s">
        <v>215</v>
      </c>
      <c r="W24" s="140" t="s">
        <v>120</v>
      </c>
      <c r="X24" s="144" t="s">
        <v>229</v>
      </c>
      <c r="Y24" s="145">
        <v>3.641</v>
      </c>
      <c r="Z24" s="146">
        <f t="shared" si="2"/>
        <v>371.38</v>
      </c>
      <c r="AA24" s="146">
        <f t="shared" si="3"/>
        <v>2878.2</v>
      </c>
      <c r="AB24" s="61" t="s">
        <v>110</v>
      </c>
      <c r="AC24" s="144" t="s">
        <v>207</v>
      </c>
      <c r="AD24" s="140" t="s">
        <v>151</v>
      </c>
      <c r="AE24" s="147"/>
      <c r="AF24" s="144"/>
      <c r="AG24" s="144"/>
      <c r="AH24" s="144"/>
      <c r="AI24" s="144"/>
      <c r="AJ24" s="144"/>
      <c r="AK24" s="148"/>
      <c r="AL24" s="148"/>
    </row>
    <row r="25" s="112" customFormat="1" ht="14.25" spans="1:38">
      <c r="A25" s="139">
        <v>46092</v>
      </c>
      <c r="B25" s="140" t="s">
        <v>45</v>
      </c>
      <c r="C25" s="140" t="s">
        <v>46</v>
      </c>
      <c r="D25" s="141" t="s">
        <v>111</v>
      </c>
      <c r="E25" s="141" t="s">
        <v>112</v>
      </c>
      <c r="F25" s="140" t="s">
        <v>43</v>
      </c>
      <c r="G25" s="141">
        <v>13095</v>
      </c>
      <c r="H25" s="140" t="s">
        <v>214</v>
      </c>
      <c r="I25" s="141">
        <v>270</v>
      </c>
      <c r="J25" s="141">
        <v>3</v>
      </c>
      <c r="K25" s="141">
        <f t="shared" si="0"/>
        <v>90</v>
      </c>
      <c r="L25" s="138">
        <v>46154</v>
      </c>
      <c r="M25" s="142">
        <f t="shared" si="1"/>
        <v>46147</v>
      </c>
      <c r="N25" s="140" t="s">
        <v>201</v>
      </c>
      <c r="O25" s="138">
        <v>46150</v>
      </c>
      <c r="P25" s="143"/>
      <c r="Q25" s="132" t="s">
        <v>223</v>
      </c>
      <c r="R25" s="144" t="s">
        <v>202</v>
      </c>
      <c r="S25" s="144"/>
      <c r="T25" s="144" t="s">
        <v>203</v>
      </c>
      <c r="U25" s="140" t="s">
        <v>204</v>
      </c>
      <c r="V25" s="140" t="s">
        <v>215</v>
      </c>
      <c r="W25" s="140" t="s">
        <v>120</v>
      </c>
      <c r="X25" s="144" t="s">
        <v>229</v>
      </c>
      <c r="Y25" s="145">
        <v>3.641</v>
      </c>
      <c r="Z25" s="146">
        <f t="shared" si="2"/>
        <v>983.07</v>
      </c>
      <c r="AA25" s="146">
        <f t="shared" si="3"/>
        <v>7618.79</v>
      </c>
      <c r="AB25" s="61" t="s">
        <v>113</v>
      </c>
      <c r="AC25" s="144" t="s">
        <v>207</v>
      </c>
      <c r="AD25" s="140" t="s">
        <v>151</v>
      </c>
      <c r="AE25" s="147"/>
      <c r="AF25" s="144"/>
      <c r="AG25" s="144"/>
      <c r="AH25" s="144"/>
      <c r="AI25" s="144"/>
      <c r="AJ25" s="144"/>
      <c r="AK25" s="148"/>
      <c r="AL25" s="148"/>
    </row>
    <row r="26" s="112" customFormat="1" ht="14.25" spans="1:38">
      <c r="A26" s="139">
        <v>46092</v>
      </c>
      <c r="B26" s="140" t="s">
        <v>45</v>
      </c>
      <c r="C26" s="140" t="s">
        <v>46</v>
      </c>
      <c r="D26" s="141" t="s">
        <v>114</v>
      </c>
      <c r="E26" s="141" t="s">
        <v>115</v>
      </c>
      <c r="F26" s="140" t="s">
        <v>43</v>
      </c>
      <c r="G26" s="141">
        <v>13095</v>
      </c>
      <c r="H26" s="140" t="s">
        <v>214</v>
      </c>
      <c r="I26" s="141">
        <v>486</v>
      </c>
      <c r="J26" s="141">
        <v>3</v>
      </c>
      <c r="K26" s="141">
        <f t="shared" si="0"/>
        <v>162</v>
      </c>
      <c r="L26" s="138">
        <v>46154</v>
      </c>
      <c r="M26" s="142">
        <f t="shared" si="1"/>
        <v>46147</v>
      </c>
      <c r="N26" s="140" t="s">
        <v>201</v>
      </c>
      <c r="O26" s="138">
        <v>46150</v>
      </c>
      <c r="P26" s="143"/>
      <c r="Q26" s="132" t="s">
        <v>223</v>
      </c>
      <c r="R26" s="144" t="s">
        <v>202</v>
      </c>
      <c r="S26" s="144"/>
      <c r="T26" s="144" t="s">
        <v>203</v>
      </c>
      <c r="U26" s="140" t="s">
        <v>204</v>
      </c>
      <c r="V26" s="140" t="s">
        <v>215</v>
      </c>
      <c r="W26" s="140" t="s">
        <v>120</v>
      </c>
      <c r="X26" s="144" t="s">
        <v>229</v>
      </c>
      <c r="Y26" s="145">
        <v>3.641</v>
      </c>
      <c r="Z26" s="146">
        <f t="shared" si="2"/>
        <v>1769.53</v>
      </c>
      <c r="AA26" s="146">
        <f t="shared" si="3"/>
        <v>13713.86</v>
      </c>
      <c r="AB26" s="61" t="s">
        <v>116</v>
      </c>
      <c r="AC26" s="144" t="s">
        <v>207</v>
      </c>
      <c r="AD26" s="140" t="s">
        <v>151</v>
      </c>
      <c r="AE26" s="147"/>
      <c r="AF26" s="144"/>
      <c r="AG26" s="144"/>
      <c r="AH26" s="144"/>
      <c r="AI26" s="144"/>
      <c r="AJ26" s="144"/>
      <c r="AK26" s="148"/>
      <c r="AL26" s="148"/>
    </row>
    <row r="27" s="111" customFormat="1" customHeight="1" spans="1:38">
      <c r="A27" s="126">
        <v>46100</v>
      </c>
      <c r="B27" s="127" t="s">
        <v>33</v>
      </c>
      <c r="C27" s="127" t="s">
        <v>117</v>
      </c>
      <c r="D27" s="128" t="s">
        <v>118</v>
      </c>
      <c r="E27" s="128" t="s">
        <v>119</v>
      </c>
      <c r="F27" s="127" t="s">
        <v>43</v>
      </c>
      <c r="G27" s="128">
        <v>13095</v>
      </c>
      <c r="H27" s="127" t="s">
        <v>214</v>
      </c>
      <c r="I27" s="128">
        <v>1200</v>
      </c>
      <c r="J27" s="128">
        <v>3</v>
      </c>
      <c r="K27" s="128">
        <f t="shared" si="0"/>
        <v>400</v>
      </c>
      <c r="L27" s="129">
        <v>46164</v>
      </c>
      <c r="M27" s="130">
        <f t="shared" si="1"/>
        <v>46157</v>
      </c>
      <c r="N27" s="127" t="s">
        <v>201</v>
      </c>
      <c r="O27" s="129">
        <v>46157</v>
      </c>
      <c r="P27" s="131"/>
      <c r="Q27" s="132"/>
      <c r="R27" s="133" t="s">
        <v>202</v>
      </c>
      <c r="S27" s="133"/>
      <c r="T27" s="133" t="s">
        <v>203</v>
      </c>
      <c r="U27" s="127" t="s">
        <v>204</v>
      </c>
      <c r="V27" s="127" t="s">
        <v>215</v>
      </c>
      <c r="W27" s="127" t="s">
        <v>120</v>
      </c>
      <c r="X27" s="133" t="s">
        <v>230</v>
      </c>
      <c r="Y27" s="134">
        <v>3.641</v>
      </c>
      <c r="Z27" s="135">
        <f t="shared" si="2"/>
        <v>4369.2</v>
      </c>
      <c r="AA27" s="135">
        <f t="shared" si="3"/>
        <v>33861.3</v>
      </c>
      <c r="AB27" s="61" t="s">
        <v>231</v>
      </c>
      <c r="AC27" s="133" t="s">
        <v>207</v>
      </c>
      <c r="AD27" s="127" t="s">
        <v>151</v>
      </c>
      <c r="AE27" s="136"/>
      <c r="AF27" s="133"/>
      <c r="AG27" s="133"/>
      <c r="AH27" s="133"/>
      <c r="AI27" s="133"/>
      <c r="AJ27" s="133"/>
    </row>
    <row r="28" s="111" customFormat="1" customHeight="1" spans="1:38">
      <c r="A28" s="126">
        <v>46122</v>
      </c>
      <c r="B28" s="127" t="s">
        <v>45</v>
      </c>
      <c r="C28" s="127" t="s">
        <v>62</v>
      </c>
      <c r="D28" s="128" t="s">
        <v>121</v>
      </c>
      <c r="E28" s="128" t="s">
        <v>122</v>
      </c>
      <c r="F28" s="128" t="s">
        <v>43</v>
      </c>
      <c r="G28" s="128">
        <v>13095</v>
      </c>
      <c r="H28" s="127" t="s">
        <v>214</v>
      </c>
      <c r="I28" s="128">
        <v>48</v>
      </c>
      <c r="J28" s="128">
        <v>3</v>
      </c>
      <c r="K28" s="128">
        <f t="shared" si="0"/>
        <v>16</v>
      </c>
      <c r="L28" s="129">
        <v>46195</v>
      </c>
      <c r="M28" s="130">
        <f t="shared" si="1"/>
        <v>46188</v>
      </c>
      <c r="N28" s="127" t="s">
        <v>201</v>
      </c>
      <c r="O28" s="130">
        <v>46189</v>
      </c>
      <c r="P28" s="131"/>
      <c r="Q28" s="132" t="s">
        <v>232</v>
      </c>
      <c r="R28" s="133" t="s">
        <v>202</v>
      </c>
      <c r="S28" s="133"/>
      <c r="T28" s="133" t="s">
        <v>203</v>
      </c>
      <c r="U28" s="127" t="s">
        <v>204</v>
      </c>
      <c r="V28" s="127" t="s">
        <v>215</v>
      </c>
      <c r="W28" s="127" t="s">
        <v>120</v>
      </c>
      <c r="X28" s="133" t="s">
        <v>233</v>
      </c>
      <c r="Y28" s="134">
        <v>3.641</v>
      </c>
      <c r="Z28" s="135">
        <f t="shared" si="2"/>
        <v>174.77</v>
      </c>
      <c r="AA28" s="135">
        <f t="shared" si="3"/>
        <v>1354.47</v>
      </c>
      <c r="AB28" s="61" t="s">
        <v>234</v>
      </c>
      <c r="AC28" s="133" t="s">
        <v>207</v>
      </c>
      <c r="AD28" s="127" t="s">
        <v>151</v>
      </c>
      <c r="AE28" s="136"/>
      <c r="AF28" s="133"/>
      <c r="AG28" s="133"/>
      <c r="AH28" s="133"/>
      <c r="AI28" s="133"/>
      <c r="AJ28" s="133"/>
    </row>
    <row r="29" s="111" customFormat="1" customHeight="1" spans="1:38">
      <c r="A29" s="126">
        <v>46122</v>
      </c>
      <c r="B29" s="127" t="s">
        <v>45</v>
      </c>
      <c r="C29" s="127" t="s">
        <v>62</v>
      </c>
      <c r="D29" s="128" t="s">
        <v>125</v>
      </c>
      <c r="E29" s="128" t="s">
        <v>126</v>
      </c>
      <c r="F29" s="128" t="s">
        <v>43</v>
      </c>
      <c r="G29" s="128">
        <v>13095</v>
      </c>
      <c r="H29" s="127" t="s">
        <v>214</v>
      </c>
      <c r="I29" s="128">
        <v>90</v>
      </c>
      <c r="J29" s="128">
        <v>3</v>
      </c>
      <c r="K29" s="128">
        <f t="shared" si="0"/>
        <v>30</v>
      </c>
      <c r="L29" s="129">
        <v>46195</v>
      </c>
      <c r="M29" s="130">
        <f t="shared" si="1"/>
        <v>46188</v>
      </c>
      <c r="N29" s="127" t="s">
        <v>201</v>
      </c>
      <c r="O29" s="130">
        <v>46189</v>
      </c>
      <c r="P29" s="131"/>
      <c r="Q29" s="132" t="s">
        <v>232</v>
      </c>
      <c r="R29" s="133" t="s">
        <v>202</v>
      </c>
      <c r="S29" s="133"/>
      <c r="T29" s="133" t="s">
        <v>203</v>
      </c>
      <c r="U29" s="127" t="s">
        <v>204</v>
      </c>
      <c r="V29" s="127" t="s">
        <v>215</v>
      </c>
      <c r="W29" s="127" t="s">
        <v>120</v>
      </c>
      <c r="X29" s="133" t="s">
        <v>233</v>
      </c>
      <c r="Y29" s="134">
        <v>3.641</v>
      </c>
      <c r="Z29" s="135">
        <f t="shared" si="2"/>
        <v>327.69</v>
      </c>
      <c r="AA29" s="135">
        <f t="shared" si="3"/>
        <v>2539.6</v>
      </c>
      <c r="AB29" s="61" t="s">
        <v>235</v>
      </c>
      <c r="AC29" s="133" t="s">
        <v>207</v>
      </c>
      <c r="AD29" s="127" t="s">
        <v>151</v>
      </c>
      <c r="AE29" s="136"/>
      <c r="AF29" s="133"/>
      <c r="AG29" s="133"/>
      <c r="AH29" s="133"/>
      <c r="AI29" s="133"/>
      <c r="AJ29" s="133"/>
    </row>
    <row r="30" s="111" customFormat="1" customHeight="1" spans="1:38">
      <c r="A30" s="126">
        <v>46122</v>
      </c>
      <c r="B30" s="127" t="s">
        <v>45</v>
      </c>
      <c r="C30" s="127" t="s">
        <v>62</v>
      </c>
      <c r="D30" s="128" t="s">
        <v>127</v>
      </c>
      <c r="E30" s="128" t="s">
        <v>128</v>
      </c>
      <c r="F30" s="128" t="s">
        <v>43</v>
      </c>
      <c r="G30" s="128">
        <v>13095</v>
      </c>
      <c r="H30" s="127" t="s">
        <v>214</v>
      </c>
      <c r="I30" s="128">
        <v>63</v>
      </c>
      <c r="J30" s="128">
        <v>3</v>
      </c>
      <c r="K30" s="128">
        <f t="shared" si="0"/>
        <v>21</v>
      </c>
      <c r="L30" s="129">
        <v>46195</v>
      </c>
      <c r="M30" s="130">
        <f t="shared" si="1"/>
        <v>46188</v>
      </c>
      <c r="N30" s="127" t="s">
        <v>201</v>
      </c>
      <c r="O30" s="130">
        <v>46189</v>
      </c>
      <c r="P30" s="131"/>
      <c r="Q30" s="132" t="s">
        <v>232</v>
      </c>
      <c r="R30" s="133" t="s">
        <v>202</v>
      </c>
      <c r="S30" s="133"/>
      <c r="T30" s="133" t="s">
        <v>203</v>
      </c>
      <c r="U30" s="127" t="s">
        <v>204</v>
      </c>
      <c r="V30" s="127" t="s">
        <v>215</v>
      </c>
      <c r="W30" s="127" t="s">
        <v>120</v>
      </c>
      <c r="X30" s="133" t="s">
        <v>233</v>
      </c>
      <c r="Y30" s="134">
        <v>3.641</v>
      </c>
      <c r="Z30" s="135">
        <f t="shared" si="2"/>
        <v>229.38</v>
      </c>
      <c r="AA30" s="135">
        <f t="shared" si="3"/>
        <v>1777.7</v>
      </c>
      <c r="AB30" s="61" t="s">
        <v>236</v>
      </c>
      <c r="AC30" s="133" t="s">
        <v>207</v>
      </c>
      <c r="AD30" s="127" t="s">
        <v>151</v>
      </c>
      <c r="AE30" s="136"/>
      <c r="AF30" s="133"/>
      <c r="AG30" s="133"/>
      <c r="AH30" s="133"/>
      <c r="AI30" s="133"/>
      <c r="AJ30" s="133"/>
    </row>
    <row r="31" s="111" customFormat="1" customHeight="1" spans="1:38">
      <c r="A31" s="126">
        <v>46122</v>
      </c>
      <c r="B31" s="127" t="s">
        <v>45</v>
      </c>
      <c r="C31" s="127" t="s">
        <v>62</v>
      </c>
      <c r="D31" s="128" t="s">
        <v>129</v>
      </c>
      <c r="E31" s="128" t="s">
        <v>130</v>
      </c>
      <c r="F31" s="128" t="s">
        <v>43</v>
      </c>
      <c r="G31" s="128">
        <v>13095</v>
      </c>
      <c r="H31" s="127" t="s">
        <v>214</v>
      </c>
      <c r="I31" s="128">
        <v>72</v>
      </c>
      <c r="J31" s="128">
        <v>3</v>
      </c>
      <c r="K31" s="128">
        <f t="shared" si="0"/>
        <v>24</v>
      </c>
      <c r="L31" s="129">
        <v>46195</v>
      </c>
      <c r="M31" s="130">
        <f t="shared" si="1"/>
        <v>46188</v>
      </c>
      <c r="N31" s="127" t="s">
        <v>201</v>
      </c>
      <c r="O31" s="130">
        <v>46189</v>
      </c>
      <c r="P31" s="131"/>
      <c r="Q31" s="132" t="s">
        <v>232</v>
      </c>
      <c r="R31" s="133" t="s">
        <v>202</v>
      </c>
      <c r="S31" s="133"/>
      <c r="T31" s="133" t="s">
        <v>203</v>
      </c>
      <c r="U31" s="127" t="s">
        <v>204</v>
      </c>
      <c r="V31" s="127" t="s">
        <v>215</v>
      </c>
      <c r="W31" s="127" t="s">
        <v>120</v>
      </c>
      <c r="X31" s="133" t="s">
        <v>233</v>
      </c>
      <c r="Y31" s="134">
        <v>3.641</v>
      </c>
      <c r="Z31" s="135">
        <f t="shared" si="2"/>
        <v>262.15</v>
      </c>
      <c r="AA31" s="135">
        <f t="shared" si="3"/>
        <v>2031.66</v>
      </c>
      <c r="AB31" s="61" t="s">
        <v>237</v>
      </c>
      <c r="AC31" s="133" t="s">
        <v>207</v>
      </c>
      <c r="AD31" s="127" t="s">
        <v>151</v>
      </c>
      <c r="AE31" s="136"/>
      <c r="AF31" s="133"/>
      <c r="AG31" s="133"/>
      <c r="AH31" s="133"/>
      <c r="AI31" s="133"/>
      <c r="AJ31" s="133"/>
    </row>
    <row r="32" s="111" customFormat="1" customHeight="1" spans="1:38">
      <c r="A32" s="126">
        <v>46122</v>
      </c>
      <c r="B32" s="127" t="s">
        <v>45</v>
      </c>
      <c r="C32" s="127" t="s">
        <v>62</v>
      </c>
      <c r="D32" s="128" t="s">
        <v>123</v>
      </c>
      <c r="E32" s="128" t="s">
        <v>124</v>
      </c>
      <c r="F32" s="128" t="s">
        <v>43</v>
      </c>
      <c r="G32" s="128">
        <v>13095</v>
      </c>
      <c r="H32" s="127" t="s">
        <v>214</v>
      </c>
      <c r="I32" s="128">
        <v>105</v>
      </c>
      <c r="J32" s="128">
        <v>3</v>
      </c>
      <c r="K32" s="128">
        <f t="shared" si="0"/>
        <v>35</v>
      </c>
      <c r="L32" s="129">
        <v>46230</v>
      </c>
      <c r="M32" s="130">
        <f t="shared" si="1"/>
        <v>46223</v>
      </c>
      <c r="N32" s="127" t="s">
        <v>201</v>
      </c>
      <c r="O32" s="129">
        <v>46227</v>
      </c>
      <c r="P32" s="131"/>
      <c r="Q32" s="132" t="s">
        <v>223</v>
      </c>
      <c r="R32" s="133" t="s">
        <v>202</v>
      </c>
      <c r="S32" s="133"/>
      <c r="T32" s="133" t="s">
        <v>203</v>
      </c>
      <c r="U32" s="127" t="s">
        <v>204</v>
      </c>
      <c r="V32" s="127" t="s">
        <v>215</v>
      </c>
      <c r="W32" s="127" t="s">
        <v>120</v>
      </c>
      <c r="X32" s="133" t="s">
        <v>238</v>
      </c>
      <c r="Y32" s="134">
        <v>3.641</v>
      </c>
      <c r="Z32" s="135">
        <f t="shared" si="2"/>
        <v>382.31</v>
      </c>
      <c r="AA32" s="135">
        <f t="shared" si="3"/>
        <v>2962.9</v>
      </c>
      <c r="AB32" s="61" t="s">
        <v>239</v>
      </c>
      <c r="AC32" s="133" t="s">
        <v>207</v>
      </c>
      <c r="AD32" s="127" t="s">
        <v>151</v>
      </c>
      <c r="AE32" s="136"/>
      <c r="AF32" s="133"/>
      <c r="AG32" s="133"/>
      <c r="AH32" s="133"/>
      <c r="AI32" s="133"/>
      <c r="AJ32" s="133"/>
    </row>
    <row r="33" s="111" customFormat="1" customHeight="1" spans="1:38">
      <c r="A33" s="126">
        <v>46150</v>
      </c>
      <c r="B33" s="127" t="s">
        <v>132</v>
      </c>
      <c r="C33" s="127" t="s">
        <v>133</v>
      </c>
      <c r="D33" s="128" t="s">
        <v>134</v>
      </c>
      <c r="E33" s="128" t="s">
        <v>135</v>
      </c>
      <c r="F33" s="127" t="s">
        <v>37</v>
      </c>
      <c r="G33" s="128">
        <v>13095</v>
      </c>
      <c r="H33" s="127" t="s">
        <v>214</v>
      </c>
      <c r="I33" s="128">
        <v>1203</v>
      </c>
      <c r="J33" s="128">
        <v>3</v>
      </c>
      <c r="K33" s="128">
        <f t="shared" si="0"/>
        <v>401</v>
      </c>
      <c r="L33" s="129">
        <v>46219</v>
      </c>
      <c r="M33" s="130">
        <f t="shared" si="1"/>
        <v>46212</v>
      </c>
      <c r="N33" s="127" t="s">
        <v>201</v>
      </c>
      <c r="O33" s="129">
        <v>46213</v>
      </c>
      <c r="P33" s="131"/>
      <c r="Q33" s="132" t="s">
        <v>223</v>
      </c>
      <c r="R33" s="133" t="s">
        <v>202</v>
      </c>
      <c r="S33" s="133"/>
      <c r="T33" s="133" t="s">
        <v>203</v>
      </c>
      <c r="U33" s="127" t="s">
        <v>225</v>
      </c>
      <c r="V33" s="127" t="s">
        <v>215</v>
      </c>
      <c r="W33" s="127" t="s">
        <v>131</v>
      </c>
      <c r="X33" s="133" t="s">
        <v>240</v>
      </c>
      <c r="Y33" s="134">
        <v>3.671</v>
      </c>
      <c r="Z33" s="135">
        <f t="shared" si="2"/>
        <v>4416.21</v>
      </c>
      <c r="AA33" s="135">
        <f t="shared" si="3"/>
        <v>34225.63</v>
      </c>
      <c r="AB33" s="61" t="s">
        <v>241</v>
      </c>
      <c r="AC33" s="133" t="s">
        <v>207</v>
      </c>
      <c r="AD33" s="127" t="s">
        <v>151</v>
      </c>
      <c r="AE33" s="136"/>
      <c r="AF33" s="133"/>
      <c r="AG33" s="133"/>
      <c r="AH33" s="133"/>
      <c r="AI33" s="133"/>
      <c r="AJ33" s="133"/>
    </row>
    <row r="34" s="111" customFormat="1" customHeight="1" spans="1:38">
      <c r="A34" s="126">
        <v>46150</v>
      </c>
      <c r="B34" s="127" t="s">
        <v>132</v>
      </c>
      <c r="C34" s="127" t="s">
        <v>133</v>
      </c>
      <c r="D34" s="128" t="s">
        <v>136</v>
      </c>
      <c r="E34" s="128" t="s">
        <v>137</v>
      </c>
      <c r="F34" s="127" t="s">
        <v>37</v>
      </c>
      <c r="G34" s="128">
        <v>13095</v>
      </c>
      <c r="H34" s="127" t="s">
        <v>214</v>
      </c>
      <c r="I34" s="128">
        <v>162</v>
      </c>
      <c r="J34" s="128">
        <v>3</v>
      </c>
      <c r="K34" s="128">
        <f t="shared" si="0"/>
        <v>54</v>
      </c>
      <c r="L34" s="129">
        <v>46219</v>
      </c>
      <c r="M34" s="130">
        <f t="shared" si="1"/>
        <v>46212</v>
      </c>
      <c r="N34" s="127" t="s">
        <v>201</v>
      </c>
      <c r="O34" s="129">
        <v>46213</v>
      </c>
      <c r="P34" s="131"/>
      <c r="Q34" s="132" t="s">
        <v>223</v>
      </c>
      <c r="R34" s="133" t="s">
        <v>202</v>
      </c>
      <c r="S34" s="133"/>
      <c r="T34" s="133" t="s">
        <v>203</v>
      </c>
      <c r="U34" s="127" t="s">
        <v>225</v>
      </c>
      <c r="V34" s="127" t="s">
        <v>215</v>
      </c>
      <c r="W34" s="127" t="s">
        <v>131</v>
      </c>
      <c r="X34" s="133" t="s">
        <v>240</v>
      </c>
      <c r="Y34" s="134">
        <v>3.671</v>
      </c>
      <c r="Z34" s="135">
        <f t="shared" si="2"/>
        <v>594.7</v>
      </c>
      <c r="AA34" s="135">
        <f t="shared" si="3"/>
        <v>4608.93</v>
      </c>
      <c r="AB34" s="61" t="s">
        <v>242</v>
      </c>
      <c r="AC34" s="133" t="s">
        <v>207</v>
      </c>
      <c r="AD34" s="127" t="s">
        <v>151</v>
      </c>
      <c r="AE34" s="136"/>
      <c r="AF34" s="133"/>
      <c r="AG34" s="133"/>
      <c r="AH34" s="133"/>
      <c r="AI34" s="133"/>
      <c r="AJ34" s="133"/>
    </row>
    <row r="35" s="111" customFormat="1" customHeight="1" spans="1:38">
      <c r="A35" s="126"/>
      <c r="B35" s="127"/>
      <c r="C35" s="127"/>
      <c r="D35" s="128"/>
      <c r="E35" s="128"/>
      <c r="F35" s="128"/>
      <c r="G35" s="128"/>
      <c r="H35" s="127"/>
      <c r="I35" s="128"/>
      <c r="J35" s="128"/>
      <c r="K35" s="128"/>
      <c r="L35" s="129"/>
      <c r="M35" s="130"/>
      <c r="N35" s="127"/>
      <c r="O35" s="130"/>
      <c r="P35" s="131"/>
      <c r="Q35" s="132"/>
      <c r="R35" s="133"/>
      <c r="S35" s="133"/>
      <c r="T35" s="133"/>
      <c r="U35" s="127"/>
      <c r="V35" s="127"/>
      <c r="W35" s="127"/>
      <c r="X35" s="133"/>
      <c r="Y35" s="134"/>
      <c r="Z35" s="135"/>
      <c r="AA35" s="135"/>
      <c r="AB35" s="135"/>
      <c r="AC35" s="133"/>
      <c r="AD35" s="127"/>
      <c r="AE35" s="136"/>
      <c r="AF35" s="133"/>
      <c r="AG35" s="133"/>
      <c r="AH35" s="133"/>
      <c r="AI35" s="133"/>
      <c r="AJ35" s="133"/>
    </row>
    <row r="36" s="111" customFormat="1" ht="22" customHeight="1" spans="1:38">
      <c r="A36" s="126"/>
      <c r="B36" s="127"/>
      <c r="C36" s="127"/>
      <c r="D36" s="128"/>
      <c r="E36" s="127"/>
      <c r="F36" s="127"/>
      <c r="G36" s="128"/>
      <c r="H36" s="127"/>
      <c r="I36" s="128"/>
      <c r="J36" s="128"/>
      <c r="K36" s="128"/>
      <c r="L36" s="130"/>
      <c r="M36" s="130"/>
      <c r="N36" s="127"/>
      <c r="O36" s="131"/>
      <c r="P36" s="131"/>
      <c r="Q36" s="132"/>
      <c r="R36" s="133"/>
      <c r="S36" s="133"/>
      <c r="T36" s="133"/>
      <c r="U36" s="127"/>
      <c r="V36" s="127"/>
      <c r="W36" s="127"/>
      <c r="X36" s="149"/>
      <c r="Y36" s="150"/>
      <c r="Z36" s="135"/>
      <c r="AA36" s="135"/>
      <c r="AB36" s="151"/>
      <c r="AC36" s="133"/>
      <c r="AD36" s="127"/>
      <c r="AE36" s="133"/>
      <c r="AF36" s="133"/>
      <c r="AG36" s="133"/>
      <c r="AH36" s="133"/>
      <c r="AI36" s="133"/>
      <c r="AJ36" s="133"/>
      <c r="AK36" s="137"/>
      <c r="AL36" s="137"/>
    </row>
    <row r="37" s="111" customFormat="1" customHeight="1" spans="1:38">
      <c r="A37" s="126"/>
      <c r="B37" s="133"/>
      <c r="C37" s="133"/>
      <c r="D37" s="128"/>
      <c r="E37" s="127"/>
      <c r="F37" s="127"/>
      <c r="G37" s="128"/>
      <c r="H37" s="128"/>
      <c r="I37" s="128">
        <f>SUM(I2:I36)</f>
        <v>26640</v>
      </c>
      <c r="J37" s="128"/>
      <c r="K37" s="128"/>
      <c r="L37" s="130"/>
      <c r="M37" s="130"/>
      <c r="N37" s="133"/>
      <c r="O37" s="131"/>
      <c r="P37" s="131"/>
      <c r="Q37" s="132"/>
      <c r="R37" s="133"/>
      <c r="S37" s="133"/>
      <c r="T37" s="133"/>
      <c r="U37" s="127"/>
      <c r="V37" s="127"/>
      <c r="W37" s="127"/>
      <c r="X37" s="149"/>
      <c r="Y37" s="150"/>
      <c r="Z37" s="135">
        <f>SUM(Z2:Z36)</f>
        <v>149839.71</v>
      </c>
      <c r="AA37" s="135">
        <f>SUM(AA2:AA36)</f>
        <v>1161257.81</v>
      </c>
      <c r="AB37" s="152"/>
      <c r="AC37" s="133"/>
      <c r="AD37" s="127"/>
      <c r="AE37" s="133"/>
      <c r="AF37" s="133"/>
      <c r="AG37" s="133"/>
      <c r="AH37" s="133"/>
      <c r="AI37" s="133"/>
      <c r="AJ37" s="133"/>
      <c r="AK37" s="149"/>
      <c r="AL37" s="149"/>
    </row>
    <row r="38" s="111" customFormat="1" customHeight="1" spans="1:38">
      <c r="A38" s="153"/>
      <c r="B38" s="154"/>
      <c r="C38" s="155"/>
      <c r="D38" s="156"/>
      <c r="E38" s="157"/>
      <c r="F38" s="157"/>
      <c r="G38" s="158"/>
      <c r="H38" s="158"/>
      <c r="I38" s="158"/>
      <c r="J38" s="158"/>
      <c r="K38" s="158"/>
      <c r="L38" s="159"/>
      <c r="M38" s="159" t="s">
        <v>243</v>
      </c>
      <c r="N38" s="154"/>
      <c r="O38" s="160"/>
      <c r="P38" s="160"/>
      <c r="Q38" s="161"/>
      <c r="R38" s="154"/>
      <c r="S38" s="154"/>
      <c r="T38" s="154"/>
      <c r="U38" s="162"/>
      <c r="V38" s="162"/>
      <c r="W38" s="162"/>
      <c r="X38" s="163"/>
      <c r="Y38" s="164"/>
      <c r="Z38" s="165"/>
      <c r="AA38" s="166"/>
      <c r="AB38" s="167"/>
      <c r="AC38" s="155"/>
      <c r="AD38" s="157"/>
      <c r="AE38" s="155"/>
      <c r="AF38" s="155"/>
      <c r="AG38" s="155"/>
      <c r="AH38" s="155"/>
      <c r="AI38" s="155"/>
      <c r="AJ38" s="155"/>
      <c r="AK38" s="163"/>
      <c r="AL38" s="163"/>
    </row>
    <row r="39" customHeight="1" spans="1:38">
      <c r="X39" s="168"/>
      <c r="Z39" s="165"/>
      <c r="AA39" s="166"/>
      <c r="AB39" s="167"/>
      <c r="AC39" s="169"/>
      <c r="AD39" s="169"/>
      <c r="AE39" s="170"/>
      <c r="AK39" s="168"/>
      <c r="AL39" s="168"/>
    </row>
    <row r="40" customHeight="1" spans="1:38">
      <c r="X40" s="168"/>
      <c r="Z40" s="165"/>
      <c r="AA40" s="166"/>
      <c r="AC40" s="169"/>
      <c r="AD40" s="169"/>
      <c r="AE40" s="170"/>
      <c r="AK40" s="168"/>
      <c r="AL40" s="168"/>
    </row>
    <row r="41" customHeight="1" spans="1:38">
      <c r="Z41" s="165"/>
      <c r="AA41" s="166"/>
      <c r="AC41" s="108"/>
      <c r="AD41" s="108"/>
      <c r="AE41" s="170"/>
    </row>
    <row r="42" customHeight="1" spans="1:38">
      <c r="Z42" s="171"/>
      <c r="AA42" s="172"/>
      <c r="AB42" s="173"/>
      <c r="AC42" s="174"/>
      <c r="AD42" s="175"/>
      <c r="AE42" s="170"/>
    </row>
    <row r="43" customHeight="1" spans="1:38">
      <c r="Z43" s="171"/>
      <c r="AA43" s="172"/>
      <c r="AB43" s="173"/>
      <c r="AC43" s="174"/>
      <c r="AD43" s="175"/>
      <c r="AE43" s="170"/>
    </row>
    <row r="44" customHeight="1" spans="1:38">
      <c r="AA44" s="176"/>
    </row>
    <row r="45" customHeight="1" spans="1:38">
      <c r="Z45" s="171"/>
      <c r="AA45" s="177"/>
    </row>
    <row r="46" customHeight="1" spans="1:38">
      <c r="Z46" s="171"/>
      <c r="AA46" s="177"/>
    </row>
    <row r="47" customHeight="1" spans="1:38">
      <c r="Z47" s="171"/>
      <c r="AA47" s="176"/>
    </row>
  </sheetData>
  <sheetProtection autoFilter="0"/>
  <autoFilter xmlns:etc="http://www.wps.cn/officeDocument/2017/etCustomData" ref="A1:AL34" etc:filterBottomFollowUsedRange="0">
    <sortState ref="A1:AL34">
      <sortCondition ref="AB1"/>
    </sortState>
    <extLst/>
  </autoFilter>
  <pageMargins left="0.751388888888889" right="0.751388888888889" top="1" bottom="1" header="0.5" footer="0.5"/>
  <pageSetup paperSize="9" orientation="portrait"/>
  <headerFooter/>
  <ignoredErrors>
    <ignoredError sqref="AF1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"/>
  <sheetViews>
    <sheetView zoomScale="115" zoomScaleNormal="115" workbookViewId="0">
      <pane xSplit="7" ySplit="1" topLeftCell="H2" activePane="bottomRight" state="frozen"/>
      <selection/>
      <selection pane="topRight"/>
      <selection pane="bottomLeft"/>
      <selection pane="bottomRight" activeCell="G5" sqref="G5"/>
    </sheetView>
  </sheetViews>
  <sheetFormatPr defaultColWidth="9" defaultRowHeight="18" customHeight="1"/>
  <cols>
    <col min="1" max="1" width="12.6" style="10" customWidth="1"/>
    <col min="2" max="2" width="10.6" style="10" customWidth="1"/>
    <col min="3" max="3" width="12.6" style="10" customWidth="1"/>
    <col min="4" max="5" width="15.6" style="10" customWidth="1"/>
    <col min="6" max="6" width="8.6" style="10" customWidth="1"/>
    <col min="7" max="7" width="6.6" style="82" customWidth="1"/>
    <col min="8" max="9" width="5.6" style="82" customWidth="1"/>
    <col min="10" max="11" width="12.6" style="82" customWidth="1"/>
    <col min="12" max="14" width="6.6" style="10" customWidth="1"/>
    <col min="15" max="17" width="5.6" style="10" customWidth="1"/>
    <col min="18" max="18" width="6.6" style="10" customWidth="1"/>
    <col min="19" max="21" width="8.6" style="10" customWidth="1"/>
    <col min="22" max="22" width="20.6" style="10" customWidth="1"/>
    <col min="23" max="23" width="8.6" style="83" customWidth="1"/>
    <col min="24" max="25" width="12.6" style="10" customWidth="1"/>
    <col min="26" max="26" width="10.6" style="10" hidden="1" customWidth="1"/>
    <col min="27" max="27" width="8.6" style="10" customWidth="1"/>
    <col min="28" max="28" width="5.6" style="10" customWidth="1"/>
    <col min="29" max="37" width="9" style="11" customWidth="1"/>
    <col min="38" max="16384" width="9" style="11"/>
  </cols>
  <sheetData>
    <row r="1" s="7" customFormat="1" ht="30" customHeight="1" spans="1:36">
      <c r="A1" s="12" t="s">
        <v>18</v>
      </c>
      <c r="B1" s="12" t="s">
        <v>174</v>
      </c>
      <c r="C1" s="12" t="s">
        <v>21</v>
      </c>
      <c r="D1" s="12" t="s">
        <v>22</v>
      </c>
      <c r="E1" s="12" t="s">
        <v>23</v>
      </c>
      <c r="F1" s="12" t="s">
        <v>24</v>
      </c>
      <c r="G1" s="84" t="s">
        <v>25</v>
      </c>
      <c r="H1" s="84" t="s">
        <v>176</v>
      </c>
      <c r="I1" s="84" t="s">
        <v>177</v>
      </c>
      <c r="J1" s="84" t="s">
        <v>178</v>
      </c>
      <c r="K1" s="84" t="s">
        <v>179</v>
      </c>
      <c r="L1" s="85" t="s">
        <v>180</v>
      </c>
      <c r="M1" s="86" t="s">
        <v>181</v>
      </c>
      <c r="N1" s="86" t="s">
        <v>182</v>
      </c>
      <c r="O1" s="87" t="s">
        <v>183</v>
      </c>
      <c r="P1" s="85" t="s">
        <v>184</v>
      </c>
      <c r="Q1" s="85" t="s">
        <v>185</v>
      </c>
      <c r="R1" s="85" t="s">
        <v>186</v>
      </c>
      <c r="S1" s="12" t="s">
        <v>187</v>
      </c>
      <c r="T1" s="12" t="s">
        <v>188</v>
      </c>
      <c r="U1" s="12" t="s">
        <v>189</v>
      </c>
      <c r="V1" s="85" t="s">
        <v>17</v>
      </c>
      <c r="W1" s="83" t="s">
        <v>190</v>
      </c>
      <c r="X1" s="88" t="s">
        <v>14</v>
      </c>
      <c r="Y1" s="88" t="s">
        <v>191</v>
      </c>
      <c r="Z1" s="89" t="s">
        <v>16</v>
      </c>
      <c r="AA1" s="12" t="s">
        <v>192</v>
      </c>
      <c r="AB1" s="12" t="s">
        <v>193</v>
      </c>
      <c r="AC1" s="85" t="s">
        <v>194</v>
      </c>
      <c r="AD1" s="85" t="s">
        <v>195</v>
      </c>
      <c r="AE1" s="85" t="s">
        <v>196</v>
      </c>
      <c r="AF1" s="85" t="s">
        <v>197</v>
      </c>
      <c r="AG1" s="90" t="s">
        <v>198</v>
      </c>
      <c r="AH1" s="91" t="s">
        <v>199</v>
      </c>
    </row>
    <row r="2" s="8" customFormat="1" customHeight="1" spans="1:36">
      <c r="A2" s="13">
        <v>45287</v>
      </c>
      <c r="B2" s="5"/>
      <c r="C2" s="10" t="s">
        <v>30</v>
      </c>
      <c r="D2" s="14" t="s">
        <v>31</v>
      </c>
      <c r="E2" s="14" t="s">
        <v>32</v>
      </c>
      <c r="F2" s="5" t="str">
        <f>TEXT(MID(E2,1,5),"00000")</f>
        <v>17389</v>
      </c>
      <c r="G2" s="15">
        <v>1278</v>
      </c>
      <c r="H2" s="15">
        <v>2</v>
      </c>
      <c r="I2" s="15">
        <f>G2/H2</f>
        <v>639</v>
      </c>
      <c r="J2" s="92">
        <v>45402</v>
      </c>
      <c r="K2" s="92">
        <f>J2-7</f>
        <v>45395</v>
      </c>
      <c r="L2" s="54"/>
      <c r="M2" s="5"/>
      <c r="N2" s="51"/>
      <c r="O2" s="51"/>
      <c r="P2" s="52"/>
      <c r="Q2" s="25"/>
      <c r="R2" s="25"/>
      <c r="S2" s="5" t="s">
        <v>204</v>
      </c>
      <c r="T2" s="5" t="s">
        <v>215</v>
      </c>
      <c r="U2" s="5"/>
      <c r="V2" s="93" t="s">
        <v>244</v>
      </c>
      <c r="W2" s="26">
        <v>0</v>
      </c>
      <c r="X2" s="26">
        <v>0</v>
      </c>
      <c r="Y2" s="30">
        <f>X2*7.75</f>
        <v>0</v>
      </c>
      <c r="Z2" s="30">
        <f>Y2*7.75</f>
        <v>0</v>
      </c>
      <c r="AA2" s="27"/>
      <c r="AB2" s="5" t="str">
        <f>VLOOKUP(F2,☆!B:C,2,0)</f>
        <v>B</v>
      </c>
      <c r="AD2" s="25"/>
      <c r="AE2" s="25"/>
      <c r="AF2" s="25"/>
      <c r="AG2" s="25"/>
      <c r="AH2" s="25"/>
      <c r="AI2" s="25"/>
    </row>
    <row r="3" s="8" customFormat="1" customHeight="1" spans="1:36">
      <c r="A3" s="13">
        <v>46023</v>
      </c>
      <c r="B3" s="5"/>
      <c r="C3" s="10" t="s">
        <v>30</v>
      </c>
      <c r="D3" s="94" t="s">
        <v>245</v>
      </c>
      <c r="E3" s="14" t="s">
        <v>43</v>
      </c>
      <c r="F3" s="15">
        <v>13095</v>
      </c>
      <c r="G3" s="15">
        <v>0</v>
      </c>
      <c r="H3" s="15">
        <v>3</v>
      </c>
      <c r="I3" s="15">
        <f>G3/H3</f>
        <v>0</v>
      </c>
      <c r="J3" s="92">
        <v>46065</v>
      </c>
      <c r="K3" s="92">
        <f>J3-7</f>
        <v>46058</v>
      </c>
      <c r="L3" s="54"/>
      <c r="M3" s="5"/>
      <c r="N3" s="51"/>
      <c r="O3" s="51"/>
      <c r="P3" s="52"/>
      <c r="Q3" s="25"/>
      <c r="R3" s="25"/>
      <c r="S3" s="5" t="s">
        <v>204</v>
      </c>
      <c r="T3" s="5" t="s">
        <v>215</v>
      </c>
      <c r="U3" s="5"/>
      <c r="V3" s="93"/>
      <c r="W3" s="26">
        <v>0</v>
      </c>
      <c r="X3" s="26">
        <v>0</v>
      </c>
      <c r="Y3" s="30">
        <f>X3*7.75</f>
        <v>0</v>
      </c>
      <c r="Z3" s="30"/>
      <c r="AA3" s="27"/>
      <c r="AB3" s="5"/>
      <c r="AD3" s="25"/>
      <c r="AE3" s="25"/>
      <c r="AF3" s="25"/>
      <c r="AG3" s="25"/>
      <c r="AH3" s="25"/>
      <c r="AI3" s="25"/>
    </row>
    <row r="4" s="8" customFormat="1" customHeight="1" spans="1:36">
      <c r="A4" s="13">
        <v>46084</v>
      </c>
      <c r="B4" s="5"/>
      <c r="C4" s="10" t="s">
        <v>30</v>
      </c>
      <c r="D4" s="14" t="s">
        <v>120</v>
      </c>
      <c r="E4" s="14" t="s">
        <v>43</v>
      </c>
      <c r="F4" s="15">
        <v>13095</v>
      </c>
      <c r="G4" s="15">
        <f>3000-(102+270+486+1200+48+105+90+63+72+564)</f>
        <v>0</v>
      </c>
      <c r="H4" s="15">
        <v>3</v>
      </c>
      <c r="I4" s="15">
        <f>G4/H4</f>
        <v>0</v>
      </c>
      <c r="J4" s="92">
        <v>46093</v>
      </c>
      <c r="K4" s="92">
        <f>J4-7</f>
        <v>46086</v>
      </c>
      <c r="L4" s="54"/>
      <c r="M4" s="5"/>
      <c r="N4" s="51"/>
      <c r="O4" s="51"/>
      <c r="P4" s="52"/>
      <c r="Q4" s="25"/>
      <c r="R4" s="25"/>
      <c r="S4" s="5" t="s">
        <v>204</v>
      </c>
      <c r="T4" s="5" t="s">
        <v>215</v>
      </c>
      <c r="U4" s="5"/>
      <c r="V4" s="95" t="s">
        <v>246</v>
      </c>
      <c r="W4" s="26">
        <v>0</v>
      </c>
      <c r="X4" s="26">
        <f>W4*G4</f>
        <v>0</v>
      </c>
      <c r="Y4" s="30">
        <f>X4*7.75</f>
        <v>0</v>
      </c>
      <c r="Z4" s="30"/>
      <c r="AA4" s="27"/>
      <c r="AB4" s="5" t="s">
        <v>151</v>
      </c>
      <c r="AD4" s="25"/>
      <c r="AE4" s="25"/>
      <c r="AF4" s="25"/>
      <c r="AG4" s="25"/>
      <c r="AH4" s="25"/>
      <c r="AI4" s="25"/>
    </row>
    <row r="5" customHeight="1" spans="1:36">
      <c r="A5" s="18">
        <v>46150</v>
      </c>
      <c r="B5" s="96"/>
      <c r="C5" s="10" t="s">
        <v>30</v>
      </c>
      <c r="D5" s="96" t="s">
        <v>131</v>
      </c>
      <c r="E5" s="14" t="s">
        <v>37</v>
      </c>
      <c r="F5" s="15">
        <v>13095</v>
      </c>
      <c r="G5" s="97">
        <f>3000-(1203+162)</f>
        <v>1635</v>
      </c>
      <c r="H5" s="97">
        <v>3</v>
      </c>
      <c r="I5" s="15">
        <f>G5/H5</f>
        <v>545</v>
      </c>
      <c r="J5" s="92">
        <v>46209</v>
      </c>
      <c r="K5" s="92">
        <f>J5-7</f>
        <v>46202</v>
      </c>
      <c r="L5" s="96"/>
      <c r="M5" s="96"/>
      <c r="N5" s="96"/>
      <c r="O5" s="96"/>
      <c r="P5" s="96"/>
      <c r="Q5" s="96"/>
      <c r="R5" s="96"/>
      <c r="S5" s="5" t="s">
        <v>204</v>
      </c>
      <c r="T5" s="5" t="s">
        <v>215</v>
      </c>
      <c r="U5" s="96"/>
      <c r="V5" s="98" t="s">
        <v>247</v>
      </c>
      <c r="W5" s="26">
        <v>0</v>
      </c>
      <c r="X5" s="26">
        <v>0</v>
      </c>
      <c r="Y5" s="30">
        <f>X5*7.75</f>
        <v>0</v>
      </c>
      <c r="Z5" s="96"/>
      <c r="AA5" s="96"/>
      <c r="AB5" s="5" t="s">
        <v>151</v>
      </c>
      <c r="AC5" s="10"/>
      <c r="AD5" s="10"/>
      <c r="AE5" s="10"/>
      <c r="AF5" s="10"/>
      <c r="AG5" s="10"/>
      <c r="AH5" s="10"/>
      <c r="AI5" s="10"/>
      <c r="AJ5" s="19"/>
    </row>
    <row r="6" customHeight="1" spans="1:36">
      <c r="A6" s="18"/>
      <c r="B6" s="96"/>
      <c r="D6" s="96"/>
      <c r="E6" s="96"/>
      <c r="G6" s="97"/>
      <c r="H6" s="97"/>
      <c r="J6" s="99"/>
      <c r="K6" s="99"/>
      <c r="L6" s="96"/>
      <c r="M6" s="96"/>
      <c r="N6" s="96"/>
      <c r="O6" s="96"/>
      <c r="P6" s="96"/>
      <c r="Q6" s="96"/>
      <c r="R6" s="96"/>
      <c r="S6" s="100"/>
      <c r="T6" s="100"/>
      <c r="U6" s="96"/>
      <c r="V6" s="98"/>
      <c r="X6" s="88"/>
      <c r="Y6" s="88"/>
      <c r="Z6" s="96"/>
      <c r="AA6" s="96"/>
      <c r="AB6" s="11"/>
      <c r="AC6" s="10"/>
      <c r="AD6" s="10"/>
      <c r="AE6" s="10"/>
      <c r="AF6" s="10"/>
      <c r="AG6" s="10"/>
      <c r="AH6" s="10"/>
      <c r="AI6" s="10"/>
      <c r="AJ6" s="19"/>
    </row>
    <row r="7" customHeight="1" spans="1:36">
      <c r="A7" s="18"/>
      <c r="B7" s="96"/>
      <c r="D7" s="96"/>
      <c r="E7" s="96"/>
      <c r="G7" s="97"/>
      <c r="H7" s="97"/>
      <c r="J7" s="99"/>
      <c r="K7" s="99"/>
      <c r="L7" s="96"/>
      <c r="M7" s="96"/>
      <c r="N7" s="96"/>
      <c r="O7" s="96"/>
      <c r="P7" s="96"/>
      <c r="Q7" s="96"/>
      <c r="R7" s="96"/>
      <c r="S7" s="100"/>
      <c r="T7" s="100"/>
      <c r="U7" s="96"/>
      <c r="V7" s="98"/>
      <c r="X7" s="88"/>
      <c r="Y7" s="88"/>
      <c r="Z7" s="96"/>
      <c r="AA7" s="96"/>
      <c r="AB7" s="11"/>
      <c r="AC7" s="10"/>
      <c r="AD7" s="10"/>
      <c r="AE7" s="10"/>
      <c r="AF7" s="10"/>
      <c r="AG7" s="10"/>
      <c r="AH7" s="10"/>
      <c r="AI7" s="10"/>
      <c r="AJ7" s="19"/>
    </row>
    <row r="8" customHeight="1" spans="1:36">
      <c r="A8" s="18"/>
      <c r="B8" s="96"/>
      <c r="D8" s="96"/>
      <c r="E8" s="96"/>
      <c r="G8" s="97"/>
      <c r="H8" s="97"/>
      <c r="J8" s="99"/>
      <c r="K8" s="99"/>
      <c r="L8" s="96"/>
      <c r="M8" s="96"/>
      <c r="N8" s="96"/>
      <c r="O8" s="96"/>
      <c r="P8" s="96"/>
      <c r="Q8" s="96"/>
      <c r="R8" s="96"/>
      <c r="S8" s="100"/>
      <c r="T8" s="100"/>
      <c r="U8" s="96"/>
      <c r="V8" s="98"/>
      <c r="X8" s="88"/>
      <c r="Y8" s="88"/>
      <c r="Z8" s="96"/>
      <c r="AA8" s="96"/>
      <c r="AB8" s="11"/>
      <c r="AC8" s="10"/>
      <c r="AD8" s="10"/>
      <c r="AE8" s="10"/>
      <c r="AF8" s="10"/>
      <c r="AG8" s="10"/>
      <c r="AH8" s="10"/>
      <c r="AI8" s="10"/>
      <c r="AJ8" s="19"/>
    </row>
    <row r="9" customHeight="1" spans="1:36">
      <c r="A9" s="18"/>
      <c r="B9" s="96"/>
      <c r="D9" s="96"/>
      <c r="E9" s="96"/>
      <c r="G9" s="97"/>
      <c r="H9" s="97"/>
      <c r="J9" s="99"/>
      <c r="K9" s="99"/>
      <c r="L9" s="96"/>
      <c r="M9" s="96"/>
      <c r="N9" s="96"/>
      <c r="O9" s="96"/>
      <c r="P9" s="96"/>
      <c r="Q9" s="96"/>
      <c r="R9" s="96"/>
      <c r="S9" s="100"/>
      <c r="T9" s="100"/>
      <c r="U9" s="96"/>
      <c r="V9" s="98"/>
      <c r="X9" s="88"/>
      <c r="Y9" s="88"/>
      <c r="Z9" s="96"/>
      <c r="AA9" s="96"/>
      <c r="AB9" s="96"/>
      <c r="AC9" s="10"/>
      <c r="AD9" s="10"/>
      <c r="AE9" s="10"/>
      <c r="AF9" s="10"/>
      <c r="AG9" s="10"/>
      <c r="AH9" s="10"/>
      <c r="AI9" s="10"/>
      <c r="AJ9" s="19"/>
    </row>
    <row r="10" s="9" customFormat="1" customHeight="1" spans="1:36">
      <c r="A10" s="20"/>
      <c r="B10" s="101"/>
      <c r="C10" s="101"/>
      <c r="D10" s="101"/>
      <c r="E10" s="101"/>
      <c r="F10" s="102"/>
      <c r="G10" s="103">
        <f>SUM(G1:G9)</f>
        <v>2913</v>
      </c>
      <c r="H10" s="103"/>
      <c r="I10" s="103"/>
      <c r="J10" s="104"/>
      <c r="K10" s="104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5"/>
      <c r="W10" s="106"/>
      <c r="X10" s="107">
        <f>SUM(X2:X9)</f>
        <v>0</v>
      </c>
      <c r="Y10" s="107">
        <f>SUM(Y2:Y9)</f>
        <v>0</v>
      </c>
      <c r="Z10" s="108"/>
      <c r="AA10" s="101"/>
      <c r="AB10" s="109"/>
    </row>
    <row r="11" customHeight="1" spans="1:36">
      <c r="AB11" s="110"/>
    </row>
    <row r="12" customHeight="1" spans="1:36">
      <c r="AB12" s="110"/>
    </row>
    <row r="13" customHeight="1" spans="1:36">
      <c r="AB13" s="110"/>
    </row>
  </sheetData>
  <sheetProtection autoFilter="0"/>
  <autoFilter xmlns:etc="http://www.wps.cn/officeDocument/2017/etCustomData" ref="A1:AJ13" etc:filterBottomFollowUsedRange="0">
    <extLst/>
  </autoFilter>
  <pageMargins left="0.751388888888889" right="0.751388888888889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8"/>
  <sheetViews>
    <sheetView workbookViewId="0">
      <pane xSplit="9" ySplit="1" topLeftCell="AB2" activePane="bottomRight" state="frozen"/>
      <selection/>
      <selection pane="topRight"/>
      <selection pane="bottomLeft"/>
      <selection pane="bottomRight" activeCell="C17" sqref="C17"/>
    </sheetView>
  </sheetViews>
  <sheetFormatPr defaultColWidth="9" defaultRowHeight="18" customHeight="1"/>
  <cols>
    <col min="1" max="1" width="12.6" style="5" customWidth="1"/>
    <col min="2" max="2" width="33.75" style="5" customWidth="1"/>
    <col min="3" max="3" width="15.7166666666667" style="5" customWidth="1"/>
    <col min="4" max="4" width="18.875" style="15" customWidth="1"/>
    <col min="5" max="6" width="15.6" style="5" customWidth="1"/>
    <col min="7" max="7" width="9.25" style="15" customWidth="1"/>
    <col min="8" max="8" width="10.6" style="5" customWidth="1"/>
    <col min="9" max="9" width="9.25" style="15" customWidth="1"/>
    <col min="10" max="11" width="7" style="15" customWidth="1"/>
    <col min="12" max="12" width="13.875" style="5" customWidth="1"/>
    <col min="13" max="13" width="17.65" style="5" customWidth="1"/>
    <col min="14" max="14" width="5.6" style="5" customWidth="1"/>
    <col min="15" max="16" width="8.6" style="51" customWidth="1"/>
    <col min="17" max="17" width="5.6" style="52" customWidth="1"/>
    <col min="18" max="20" width="5.6" style="25" customWidth="1"/>
    <col min="21" max="22" width="8.6" style="5" customWidth="1"/>
    <col min="23" max="23" width="5.6" style="5" customWidth="1"/>
    <col min="24" max="24" width="25.2" style="25" customWidth="1"/>
    <col min="25" max="25" width="8.6" style="26" customWidth="1"/>
    <col min="26" max="28" width="12.6" style="5" customWidth="1"/>
    <col min="29" max="29" width="8.6" style="25" customWidth="1"/>
    <col min="30" max="30" width="5.6" style="5" customWidth="1"/>
    <col min="31" max="31" width="8.6" style="8" customWidth="1"/>
    <col min="32" max="32" width="8.6" style="53" customWidth="1"/>
    <col min="33" max="36" width="8.6" style="8" customWidth="1"/>
    <col min="37" max="16384" width="9" style="8"/>
  </cols>
  <sheetData>
    <row r="1" s="8" customFormat="1" ht="30" customHeight="1" spans="1:37">
      <c r="A1" s="13" t="s">
        <v>18</v>
      </c>
      <c r="B1" s="13" t="s">
        <v>174</v>
      </c>
      <c r="C1" s="13" t="s">
        <v>20</v>
      </c>
      <c r="D1" s="28" t="s">
        <v>21</v>
      </c>
      <c r="E1" s="13" t="s">
        <v>22</v>
      </c>
      <c r="F1" s="13" t="s">
        <v>23</v>
      </c>
      <c r="G1" s="28" t="s">
        <v>24</v>
      </c>
      <c r="H1" s="54" t="s">
        <v>175</v>
      </c>
      <c r="I1" s="28" t="s">
        <v>25</v>
      </c>
      <c r="J1" s="28" t="s">
        <v>176</v>
      </c>
      <c r="K1" s="28" t="s">
        <v>177</v>
      </c>
      <c r="L1" s="13" t="s">
        <v>178</v>
      </c>
      <c r="M1" s="13" t="s">
        <v>179</v>
      </c>
      <c r="N1" s="13" t="s">
        <v>180</v>
      </c>
      <c r="O1" s="55" t="s">
        <v>181</v>
      </c>
      <c r="P1" s="55" t="s">
        <v>182</v>
      </c>
      <c r="Q1" s="56" t="s">
        <v>183</v>
      </c>
      <c r="R1" s="29" t="s">
        <v>184</v>
      </c>
      <c r="S1" s="29" t="s">
        <v>185</v>
      </c>
      <c r="T1" s="29" t="s">
        <v>186</v>
      </c>
      <c r="U1" s="13" t="s">
        <v>187</v>
      </c>
      <c r="V1" s="13" t="s">
        <v>188</v>
      </c>
      <c r="W1" s="13" t="s">
        <v>189</v>
      </c>
      <c r="X1" s="29" t="s">
        <v>17</v>
      </c>
      <c r="Y1" s="26" t="s">
        <v>190</v>
      </c>
      <c r="Z1" s="30" t="s">
        <v>14</v>
      </c>
      <c r="AA1" s="30" t="s">
        <v>191</v>
      </c>
      <c r="AB1" s="30"/>
      <c r="AC1" s="29" t="s">
        <v>192</v>
      </c>
      <c r="AD1" s="13" t="s">
        <v>193</v>
      </c>
      <c r="AE1" s="29" t="s">
        <v>194</v>
      </c>
      <c r="AF1" s="57" t="s">
        <v>195</v>
      </c>
      <c r="AG1" s="29" t="s">
        <v>196</v>
      </c>
      <c r="AH1" s="29" t="s">
        <v>197</v>
      </c>
      <c r="AI1" s="25" t="s">
        <v>198</v>
      </c>
      <c r="AJ1" s="58" t="s">
        <v>199</v>
      </c>
      <c r="AK1" s="8" t="s">
        <v>17</v>
      </c>
    </row>
    <row r="2" s="50" customFormat="1" customHeight="1" spans="1:37">
      <c r="A2" s="59">
        <v>46177</v>
      </c>
      <c r="B2" s="60" t="s">
        <v>61</v>
      </c>
      <c r="C2" s="60" t="s">
        <v>62</v>
      </c>
      <c r="D2" s="61">
        <v>60308543</v>
      </c>
      <c r="E2" s="61" t="s">
        <v>248</v>
      </c>
      <c r="F2" s="60" t="s">
        <v>65</v>
      </c>
      <c r="G2" s="61">
        <v>18060</v>
      </c>
      <c r="H2" s="60" t="s">
        <v>200</v>
      </c>
      <c r="I2" s="61">
        <v>6000</v>
      </c>
      <c r="J2" s="61">
        <v>2</v>
      </c>
      <c r="K2" s="61">
        <f t="shared" ref="K2:K6" si="0">I2/J2</f>
        <v>3000</v>
      </c>
      <c r="L2" s="62">
        <v>46290</v>
      </c>
      <c r="M2" s="63">
        <f t="shared" ref="M2:M6" si="1">L2-7</f>
        <v>46283</v>
      </c>
      <c r="N2" s="60" t="s">
        <v>201</v>
      </c>
      <c r="O2" s="64"/>
      <c r="P2" s="64"/>
      <c r="Q2" s="65"/>
      <c r="R2" s="66" t="s">
        <v>202</v>
      </c>
      <c r="S2" s="66"/>
      <c r="T2" s="66" t="s">
        <v>203</v>
      </c>
      <c r="U2" s="60" t="s">
        <v>204</v>
      </c>
      <c r="V2" s="60" t="s">
        <v>205</v>
      </c>
      <c r="W2" s="60"/>
      <c r="X2" s="66" t="s">
        <v>217</v>
      </c>
      <c r="Y2" s="67">
        <v>3.842</v>
      </c>
      <c r="Z2" s="68">
        <f t="shared" ref="Z2:Z6" si="2">I2*Y2</f>
        <v>23052</v>
      </c>
      <c r="AA2" s="68">
        <f t="shared" ref="AA2:AA6" si="3">Z2*7.75</f>
        <v>178653</v>
      </c>
      <c r="AB2" s="68"/>
      <c r="AC2" s="66" t="s">
        <v>207</v>
      </c>
      <c r="AD2" s="60" t="s">
        <v>151</v>
      </c>
      <c r="AE2" s="69"/>
      <c r="AF2" s="66"/>
      <c r="AG2" s="66"/>
      <c r="AH2" s="66"/>
      <c r="AI2" s="66"/>
      <c r="AJ2" s="66"/>
    </row>
    <row r="3" s="50" customFormat="1" customHeight="1" spans="1:37">
      <c r="A3" s="59">
        <v>46177</v>
      </c>
      <c r="B3" s="60" t="s">
        <v>61</v>
      </c>
      <c r="C3" s="60" t="s">
        <v>62</v>
      </c>
      <c r="D3" s="61">
        <v>60299555</v>
      </c>
      <c r="E3" s="61" t="s">
        <v>249</v>
      </c>
      <c r="F3" s="60" t="s">
        <v>65</v>
      </c>
      <c r="G3" s="61">
        <v>18060</v>
      </c>
      <c r="H3" s="60" t="s">
        <v>200</v>
      </c>
      <c r="I3" s="61">
        <v>5400</v>
      </c>
      <c r="J3" s="61">
        <v>2</v>
      </c>
      <c r="K3" s="61">
        <f t="shared" si="0"/>
        <v>2700</v>
      </c>
      <c r="L3" s="62">
        <v>46324</v>
      </c>
      <c r="M3" s="63">
        <f t="shared" si="1"/>
        <v>46317</v>
      </c>
      <c r="N3" s="60" t="s">
        <v>201</v>
      </c>
      <c r="O3" s="64"/>
      <c r="P3" s="64"/>
      <c r="Q3" s="65"/>
      <c r="R3" s="66" t="s">
        <v>202</v>
      </c>
      <c r="S3" s="66"/>
      <c r="T3" s="66" t="s">
        <v>203</v>
      </c>
      <c r="U3" s="60" t="s">
        <v>204</v>
      </c>
      <c r="V3" s="60" t="s">
        <v>209</v>
      </c>
      <c r="W3" s="60"/>
      <c r="X3" s="66" t="s">
        <v>217</v>
      </c>
      <c r="Y3" s="67">
        <v>3.842</v>
      </c>
      <c r="Z3" s="68">
        <f t="shared" si="2"/>
        <v>20746.8</v>
      </c>
      <c r="AA3" s="68">
        <f t="shared" si="3"/>
        <v>160787.7</v>
      </c>
      <c r="AB3" s="68"/>
      <c r="AC3" s="66" t="s">
        <v>207</v>
      </c>
      <c r="AD3" s="60" t="s">
        <v>151</v>
      </c>
      <c r="AE3" s="69"/>
      <c r="AF3" s="66"/>
      <c r="AG3" s="66"/>
      <c r="AH3" s="66"/>
      <c r="AI3" s="66"/>
      <c r="AJ3" s="66"/>
    </row>
    <row r="4" s="50" customFormat="1" customHeight="1" spans="1:37">
      <c r="A4" s="59">
        <v>46177</v>
      </c>
      <c r="B4" s="60" t="s">
        <v>61</v>
      </c>
      <c r="C4" s="60" t="s">
        <v>62</v>
      </c>
      <c r="D4" s="61">
        <v>60299523</v>
      </c>
      <c r="E4" s="61" t="s">
        <v>250</v>
      </c>
      <c r="F4" s="60" t="s">
        <v>65</v>
      </c>
      <c r="G4" s="61">
        <v>18060</v>
      </c>
      <c r="H4" s="60" t="s">
        <v>200</v>
      </c>
      <c r="I4" s="61">
        <v>2000</v>
      </c>
      <c r="J4" s="61">
        <v>2</v>
      </c>
      <c r="K4" s="61">
        <f t="shared" si="0"/>
        <v>1000</v>
      </c>
      <c r="L4" s="62">
        <v>46324</v>
      </c>
      <c r="M4" s="63">
        <f t="shared" si="1"/>
        <v>46317</v>
      </c>
      <c r="N4" s="60" t="s">
        <v>201</v>
      </c>
      <c r="O4" s="64"/>
      <c r="P4" s="64"/>
      <c r="Q4" s="65"/>
      <c r="R4" s="66" t="s">
        <v>202</v>
      </c>
      <c r="S4" s="66"/>
      <c r="T4" s="66" t="s">
        <v>203</v>
      </c>
      <c r="U4" s="60" t="s">
        <v>204</v>
      </c>
      <c r="V4" s="60" t="s">
        <v>209</v>
      </c>
      <c r="W4" s="60"/>
      <c r="X4" s="66" t="s">
        <v>217</v>
      </c>
      <c r="Y4" s="67">
        <v>3.842</v>
      </c>
      <c r="Z4" s="68">
        <f t="shared" si="2"/>
        <v>7684</v>
      </c>
      <c r="AA4" s="68">
        <f t="shared" si="3"/>
        <v>59551</v>
      </c>
      <c r="AB4" s="68"/>
      <c r="AC4" s="66" t="s">
        <v>207</v>
      </c>
      <c r="AD4" s="60" t="s">
        <v>151</v>
      </c>
      <c r="AE4" s="69"/>
      <c r="AF4" s="66"/>
      <c r="AG4" s="66"/>
      <c r="AH4" s="66"/>
      <c r="AI4" s="66"/>
      <c r="AJ4" s="66"/>
    </row>
    <row r="5" s="50" customFormat="1" customHeight="1" spans="1:37">
      <c r="A5" s="59">
        <v>46177</v>
      </c>
      <c r="B5" s="60" t="s">
        <v>61</v>
      </c>
      <c r="C5" s="60" t="s">
        <v>62</v>
      </c>
      <c r="D5" s="61">
        <v>60299490</v>
      </c>
      <c r="E5" s="61" t="s">
        <v>251</v>
      </c>
      <c r="F5" s="60" t="s">
        <v>65</v>
      </c>
      <c r="G5" s="61">
        <v>18060</v>
      </c>
      <c r="H5" s="60" t="s">
        <v>200</v>
      </c>
      <c r="I5" s="61">
        <v>5800</v>
      </c>
      <c r="J5" s="61">
        <v>2</v>
      </c>
      <c r="K5" s="61">
        <f t="shared" si="0"/>
        <v>2900</v>
      </c>
      <c r="L5" s="62">
        <v>46248</v>
      </c>
      <c r="M5" s="63">
        <f t="shared" si="1"/>
        <v>46241</v>
      </c>
      <c r="N5" s="60" t="s">
        <v>201</v>
      </c>
      <c r="O5" s="64"/>
      <c r="P5" s="64"/>
      <c r="Q5" s="65"/>
      <c r="R5" s="66" t="s">
        <v>202</v>
      </c>
      <c r="S5" s="66"/>
      <c r="T5" s="66" t="s">
        <v>203</v>
      </c>
      <c r="U5" s="60" t="s">
        <v>204</v>
      </c>
      <c r="V5" s="60" t="s">
        <v>212</v>
      </c>
      <c r="W5" s="60"/>
      <c r="X5" s="66" t="s">
        <v>217</v>
      </c>
      <c r="Y5" s="67">
        <v>3.842</v>
      </c>
      <c r="Z5" s="68">
        <f t="shared" si="2"/>
        <v>22283.6</v>
      </c>
      <c r="AA5" s="68">
        <f t="shared" si="3"/>
        <v>172697.9</v>
      </c>
      <c r="AB5" s="68"/>
      <c r="AC5" s="66" t="s">
        <v>207</v>
      </c>
      <c r="AD5" s="60" t="s">
        <v>151</v>
      </c>
      <c r="AE5" s="69"/>
      <c r="AF5" s="66"/>
      <c r="AG5" s="66"/>
      <c r="AH5" s="66"/>
      <c r="AI5" s="66"/>
      <c r="AJ5" s="66"/>
    </row>
    <row r="6" s="50" customFormat="1" customHeight="1" spans="1:37">
      <c r="A6" s="59">
        <v>46196</v>
      </c>
      <c r="B6" s="60" t="s">
        <v>61</v>
      </c>
      <c r="C6" s="60" t="s">
        <v>62</v>
      </c>
      <c r="D6" s="61">
        <v>60308545</v>
      </c>
      <c r="E6" s="61" t="s">
        <v>252</v>
      </c>
      <c r="F6" s="60" t="s">
        <v>65</v>
      </c>
      <c r="G6" s="61">
        <v>18060</v>
      </c>
      <c r="H6" s="60" t="s">
        <v>200</v>
      </c>
      <c r="I6" s="61">
        <v>5400</v>
      </c>
      <c r="J6" s="61">
        <v>2</v>
      </c>
      <c r="K6" s="61">
        <f t="shared" si="0"/>
        <v>2700</v>
      </c>
      <c r="L6" s="62">
        <v>46318</v>
      </c>
      <c r="M6" s="63">
        <f t="shared" si="1"/>
        <v>46311</v>
      </c>
      <c r="N6" s="60" t="s">
        <v>201</v>
      </c>
      <c r="O6" s="64"/>
      <c r="P6" s="64"/>
      <c r="Q6" s="65"/>
      <c r="R6" s="66" t="s">
        <v>202</v>
      </c>
      <c r="S6" s="66"/>
      <c r="T6" s="66" t="s">
        <v>203</v>
      </c>
      <c r="U6" s="60" t="s">
        <v>204</v>
      </c>
      <c r="V6" s="60" t="s">
        <v>209</v>
      </c>
      <c r="W6" s="60"/>
      <c r="X6" s="70" t="s">
        <v>253</v>
      </c>
      <c r="Y6" s="67">
        <v>3.842</v>
      </c>
      <c r="Z6" s="68">
        <f t="shared" si="2"/>
        <v>20746.8</v>
      </c>
      <c r="AA6" s="68">
        <f t="shared" si="3"/>
        <v>160787.7</v>
      </c>
      <c r="AB6" s="68"/>
      <c r="AC6" s="66" t="s">
        <v>207</v>
      </c>
      <c r="AD6" s="60" t="s">
        <v>151</v>
      </c>
      <c r="AE6" s="60" t="s">
        <v>208</v>
      </c>
      <c r="AF6" s="66"/>
      <c r="AG6" s="66"/>
      <c r="AH6" s="66"/>
      <c r="AI6" s="66"/>
      <c r="AJ6" s="66"/>
    </row>
    <row r="7" s="8" customFormat="1" ht="22" customHeight="1" spans="1:37">
      <c r="A7" s="13"/>
      <c r="B7" s="5"/>
      <c r="C7" s="14"/>
      <c r="D7" s="71"/>
      <c r="E7" s="14"/>
      <c r="F7" s="14"/>
      <c r="G7" s="15"/>
      <c r="H7" s="5"/>
      <c r="I7" s="15"/>
      <c r="J7" s="15"/>
      <c r="K7" s="15"/>
      <c r="L7" s="54"/>
      <c r="M7" s="54"/>
      <c r="N7" s="5"/>
      <c r="O7" s="51"/>
      <c r="P7" s="51"/>
      <c r="Q7" s="52"/>
      <c r="R7" s="25"/>
      <c r="S7" s="25"/>
      <c r="T7" s="25"/>
      <c r="U7" s="5"/>
      <c r="V7" s="5"/>
      <c r="W7" s="5"/>
      <c r="X7" s="72"/>
      <c r="Y7" s="26"/>
      <c r="Z7" s="30"/>
      <c r="AA7" s="30"/>
      <c r="AB7" s="30"/>
      <c r="AC7" s="25"/>
      <c r="AD7" s="5"/>
      <c r="AE7" s="25"/>
      <c r="AF7" s="25"/>
      <c r="AG7" s="25"/>
      <c r="AH7" s="25"/>
      <c r="AI7" s="25"/>
      <c r="AJ7" s="25"/>
    </row>
    <row r="8" s="8" customFormat="1" ht="22" customHeight="1" spans="1:37">
      <c r="A8" s="13"/>
      <c r="B8" s="5"/>
      <c r="C8" s="14"/>
      <c r="D8" s="71"/>
      <c r="E8" s="14"/>
      <c r="F8" s="14"/>
      <c r="G8" s="15"/>
      <c r="H8" s="5"/>
      <c r="I8" s="15"/>
      <c r="J8" s="15"/>
      <c r="K8" s="15"/>
      <c r="L8" s="54"/>
      <c r="M8" s="54"/>
      <c r="N8" s="5"/>
      <c r="O8" s="51"/>
      <c r="P8" s="51"/>
      <c r="Q8" s="52"/>
      <c r="R8" s="25"/>
      <c r="S8" s="25"/>
      <c r="T8" s="25"/>
      <c r="U8" s="5"/>
      <c r="V8" s="5"/>
      <c r="W8" s="5"/>
      <c r="X8" s="72"/>
      <c r="Y8" s="26"/>
      <c r="Z8" s="30"/>
      <c r="AA8" s="30"/>
      <c r="AB8" s="30"/>
      <c r="AC8" s="25"/>
      <c r="AD8" s="5"/>
      <c r="AE8" s="25"/>
      <c r="AF8" s="25"/>
      <c r="AG8" s="25"/>
      <c r="AH8" s="25"/>
      <c r="AI8" s="25"/>
      <c r="AJ8" s="25"/>
    </row>
    <row r="9" s="8" customFormat="1" ht="22" customHeight="1" spans="1:37">
      <c r="A9" s="13"/>
      <c r="B9" s="5"/>
      <c r="C9" s="14"/>
      <c r="D9" s="71"/>
      <c r="E9" s="14"/>
      <c r="F9" s="14"/>
      <c r="G9" s="15"/>
      <c r="H9" s="5"/>
      <c r="I9" s="15"/>
      <c r="J9" s="15"/>
      <c r="K9" s="15"/>
      <c r="L9" s="54"/>
      <c r="M9" s="54"/>
      <c r="N9" s="5"/>
      <c r="O9" s="51"/>
      <c r="P9" s="51"/>
      <c r="Q9" s="52"/>
      <c r="R9" s="25"/>
      <c r="S9" s="25"/>
      <c r="T9" s="25"/>
      <c r="U9" s="5"/>
      <c r="V9" s="5"/>
      <c r="W9" s="5"/>
      <c r="X9" s="72"/>
      <c r="Y9" s="26"/>
      <c r="Z9" s="30"/>
      <c r="AA9" s="30"/>
      <c r="AB9" s="30"/>
      <c r="AC9" s="25"/>
      <c r="AD9" s="5"/>
      <c r="AE9" s="25"/>
      <c r="AF9" s="25"/>
      <c r="AG9" s="25"/>
      <c r="AH9" s="25"/>
      <c r="AI9" s="25"/>
      <c r="AJ9" s="25"/>
    </row>
    <row r="10" s="8" customFormat="1" ht="22" customHeight="1" spans="1:37">
      <c r="A10" s="13"/>
      <c r="B10" s="5"/>
      <c r="C10" s="14"/>
      <c r="D10" s="71"/>
      <c r="E10" s="14"/>
      <c r="F10" s="14"/>
      <c r="G10" s="15"/>
      <c r="H10" s="5"/>
      <c r="I10" s="15"/>
      <c r="J10" s="15"/>
      <c r="K10" s="15"/>
      <c r="L10" s="54"/>
      <c r="M10" s="54"/>
      <c r="N10" s="5"/>
      <c r="O10" s="51"/>
      <c r="P10" s="51"/>
      <c r="Q10" s="52"/>
      <c r="R10" s="25"/>
      <c r="S10" s="25"/>
      <c r="T10" s="25"/>
      <c r="U10" s="5"/>
      <c r="V10" s="5"/>
      <c r="W10" s="5"/>
      <c r="X10" s="72"/>
      <c r="Y10" s="26"/>
      <c r="Z10" s="30"/>
      <c r="AA10" s="30"/>
      <c r="AB10" s="30"/>
      <c r="AC10" s="25"/>
      <c r="AD10" s="5"/>
      <c r="AE10" s="25"/>
      <c r="AF10" s="25"/>
      <c r="AG10" s="25"/>
      <c r="AH10" s="25"/>
      <c r="AI10" s="25"/>
      <c r="AJ10" s="25"/>
    </row>
    <row r="11" s="8" customFormat="1" ht="22" customHeight="1" spans="1:37">
      <c r="A11" s="13"/>
      <c r="B11" s="5"/>
      <c r="C11" s="14"/>
      <c r="D11" s="71"/>
      <c r="E11" s="14"/>
      <c r="F11" s="14"/>
      <c r="G11" s="15"/>
      <c r="H11" s="5"/>
      <c r="I11" s="15"/>
      <c r="J11" s="15"/>
      <c r="K11" s="15"/>
      <c r="L11" s="54"/>
      <c r="M11" s="54"/>
      <c r="N11" s="5"/>
      <c r="O11" s="51"/>
      <c r="P11" s="51"/>
      <c r="Q11" s="52"/>
      <c r="R11" s="25"/>
      <c r="S11" s="25"/>
      <c r="T11" s="25"/>
      <c r="U11" s="5"/>
      <c r="V11" s="5"/>
      <c r="W11" s="5"/>
      <c r="X11" s="72"/>
      <c r="Y11" s="73"/>
      <c r="Z11" s="30"/>
      <c r="AA11" s="30"/>
      <c r="AB11" s="30"/>
      <c r="AC11" s="25"/>
      <c r="AD11" s="5"/>
      <c r="AE11" s="25"/>
      <c r="AF11" s="25"/>
      <c r="AG11" s="25"/>
      <c r="AH11" s="25"/>
      <c r="AI11" s="25"/>
      <c r="AJ11" s="25"/>
    </row>
    <row r="12" s="8" customFormat="1" ht="22" customHeight="1" spans="1:37">
      <c r="A12" s="13"/>
      <c r="B12" s="5"/>
      <c r="C12" s="14"/>
      <c r="D12" s="71"/>
      <c r="E12" s="14"/>
      <c r="F12" s="14"/>
      <c r="G12" s="15"/>
      <c r="H12" s="5"/>
      <c r="I12" s="15"/>
      <c r="J12" s="15"/>
      <c r="K12" s="15"/>
      <c r="L12" s="54"/>
      <c r="M12" s="54"/>
      <c r="N12" s="5"/>
      <c r="O12" s="51"/>
      <c r="P12" s="51"/>
      <c r="Q12" s="52"/>
      <c r="R12" s="25"/>
      <c r="S12" s="25"/>
      <c r="T12" s="25"/>
      <c r="U12" s="5"/>
      <c r="V12" s="5"/>
      <c r="W12" s="5"/>
      <c r="X12" s="72"/>
      <c r="Y12" s="73"/>
      <c r="Z12" s="30"/>
      <c r="AA12" s="30"/>
      <c r="AB12" s="30"/>
      <c r="AC12" s="25"/>
      <c r="AD12" s="5"/>
      <c r="AE12" s="25"/>
      <c r="AF12" s="25"/>
      <c r="AG12" s="25"/>
      <c r="AH12" s="25"/>
      <c r="AI12" s="25"/>
      <c r="AJ12" s="25"/>
    </row>
    <row r="13" s="8" customFormat="1" ht="22" customHeight="1" spans="1:37">
      <c r="A13" s="13"/>
      <c r="B13" s="5"/>
      <c r="C13" s="14"/>
      <c r="D13" s="71"/>
      <c r="E13" s="14"/>
      <c r="F13" s="14"/>
      <c r="G13" s="15"/>
      <c r="H13" s="5"/>
      <c r="I13" s="15"/>
      <c r="J13" s="15"/>
      <c r="K13" s="15"/>
      <c r="L13" s="54"/>
      <c r="M13" s="54"/>
      <c r="N13" s="5"/>
      <c r="O13" s="51"/>
      <c r="P13" s="51"/>
      <c r="Q13" s="52"/>
      <c r="R13" s="25"/>
      <c r="S13" s="25"/>
      <c r="T13" s="25"/>
      <c r="U13" s="5"/>
      <c r="V13" s="5"/>
      <c r="W13" s="5"/>
      <c r="X13" s="72"/>
      <c r="Y13" s="73"/>
      <c r="Z13" s="30"/>
      <c r="AA13" s="30"/>
      <c r="AB13" s="30"/>
      <c r="AC13" s="25"/>
      <c r="AD13" s="5"/>
      <c r="AE13" s="25"/>
      <c r="AF13" s="25"/>
      <c r="AG13" s="25"/>
      <c r="AH13" s="25"/>
      <c r="AI13" s="25"/>
      <c r="AJ13" s="25"/>
    </row>
    <row r="14" s="8" customFormat="1" ht="22" customHeight="1" spans="1:37">
      <c r="A14" s="13"/>
      <c r="B14" s="5"/>
      <c r="C14" s="14"/>
      <c r="D14" s="71"/>
      <c r="E14" s="14"/>
      <c r="F14" s="14"/>
      <c r="G14" s="15"/>
      <c r="H14" s="5"/>
      <c r="I14" s="15"/>
      <c r="J14" s="15"/>
      <c r="K14" s="15"/>
      <c r="L14" s="54"/>
      <c r="M14" s="54"/>
      <c r="N14" s="5"/>
      <c r="O14" s="51"/>
      <c r="P14" s="51"/>
      <c r="Q14" s="52"/>
      <c r="R14" s="25"/>
      <c r="S14" s="25"/>
      <c r="T14" s="25"/>
      <c r="U14" s="5"/>
      <c r="V14" s="5"/>
      <c r="W14" s="5"/>
      <c r="X14" s="72"/>
      <c r="Y14" s="26"/>
      <c r="Z14" s="30"/>
      <c r="AA14" s="30"/>
      <c r="AB14" s="30"/>
      <c r="AC14" s="25"/>
      <c r="AD14" s="5"/>
      <c r="AE14" s="25"/>
      <c r="AF14" s="25"/>
      <c r="AG14" s="25"/>
      <c r="AH14" s="25"/>
      <c r="AI14" s="25"/>
      <c r="AJ14" s="25"/>
    </row>
    <row r="15" s="8" customFormat="1" ht="22" customHeight="1" spans="1:37">
      <c r="A15" s="13"/>
      <c r="B15" s="5"/>
      <c r="C15" s="14"/>
      <c r="D15" s="71"/>
      <c r="E15" s="14"/>
      <c r="F15" s="14"/>
      <c r="G15" s="15"/>
      <c r="H15" s="5"/>
      <c r="I15" s="15"/>
      <c r="J15" s="15"/>
      <c r="K15" s="15"/>
      <c r="L15" s="54"/>
      <c r="M15" s="54"/>
      <c r="N15" s="5"/>
      <c r="O15" s="51"/>
      <c r="P15" s="51"/>
      <c r="Q15" s="52"/>
      <c r="R15" s="25"/>
      <c r="S15" s="25"/>
      <c r="T15" s="25"/>
      <c r="U15" s="5"/>
      <c r="V15" s="5"/>
      <c r="W15" s="5"/>
      <c r="X15" s="72"/>
      <c r="Y15" s="26"/>
      <c r="Z15" s="30"/>
      <c r="AA15" s="30"/>
      <c r="AB15" s="30"/>
      <c r="AC15" s="25"/>
      <c r="AD15" s="5"/>
      <c r="AE15" s="25"/>
      <c r="AF15" s="25"/>
      <c r="AG15" s="25"/>
      <c r="AH15" s="25"/>
      <c r="AI15" s="25"/>
      <c r="AJ15" s="25"/>
    </row>
    <row r="16" s="8" customFormat="1" customHeight="1" spans="1:37">
      <c r="A16" s="13"/>
      <c r="B16" s="5"/>
      <c r="C16" s="14"/>
      <c r="D16" s="71"/>
      <c r="E16" s="14"/>
      <c r="F16" s="14"/>
      <c r="G16" s="15"/>
      <c r="H16" s="5"/>
      <c r="I16" s="15"/>
      <c r="J16" s="15"/>
      <c r="K16" s="15"/>
      <c r="L16" s="41"/>
      <c r="M16" s="41"/>
      <c r="N16" s="5"/>
      <c r="O16" s="51"/>
      <c r="P16" s="51"/>
      <c r="Q16" s="52"/>
      <c r="R16" s="25"/>
      <c r="S16" s="25"/>
      <c r="T16" s="25"/>
      <c r="U16" s="5"/>
      <c r="V16" s="5"/>
      <c r="W16" s="5"/>
      <c r="X16" s="25"/>
      <c r="Y16" s="73"/>
      <c r="Z16" s="30"/>
      <c r="AA16" s="30"/>
      <c r="AB16" s="30"/>
      <c r="AC16" s="25"/>
      <c r="AD16" s="5"/>
      <c r="AE16" s="43"/>
      <c r="AF16" s="25"/>
      <c r="AG16" s="25"/>
      <c r="AH16" s="25"/>
      <c r="AI16" s="25"/>
      <c r="AJ16" s="25"/>
    </row>
    <row r="17" s="8" customFormat="1" customHeight="1" spans="1:36">
      <c r="A17" s="13"/>
      <c r="B17" s="5"/>
      <c r="C17" s="14"/>
      <c r="D17" s="71"/>
      <c r="E17" s="14"/>
      <c r="F17" s="14"/>
      <c r="G17" s="15"/>
      <c r="H17" s="74"/>
      <c r="I17" s="15"/>
      <c r="J17" s="15"/>
      <c r="K17" s="15"/>
      <c r="L17" s="41"/>
      <c r="M17" s="5"/>
      <c r="N17" s="5"/>
      <c r="O17" s="51"/>
      <c r="P17" s="51"/>
      <c r="Q17" s="52"/>
      <c r="R17" s="25"/>
      <c r="S17" s="25"/>
      <c r="T17" s="25"/>
      <c r="U17" s="5"/>
      <c r="V17" s="5"/>
      <c r="W17" s="5"/>
      <c r="X17" s="25"/>
      <c r="Y17" s="73"/>
      <c r="Z17" s="30"/>
      <c r="AA17" s="30"/>
      <c r="AB17" s="30"/>
      <c r="AC17" s="25"/>
      <c r="AD17" s="5"/>
      <c r="AE17" s="43"/>
      <c r="AF17" s="25"/>
      <c r="AG17" s="25"/>
      <c r="AH17" s="25"/>
      <c r="AI17" s="25"/>
      <c r="AJ17" s="25"/>
    </row>
    <row r="18" s="50" customFormat="1" customHeight="1" spans="1:36">
      <c r="A18" s="13"/>
      <c r="B18" s="5"/>
      <c r="C18" s="5"/>
      <c r="D18" s="45"/>
      <c r="E18" s="75"/>
      <c r="F18" s="75"/>
      <c r="G18" s="45"/>
      <c r="H18" s="5"/>
      <c r="I18" s="45"/>
      <c r="J18" s="45"/>
      <c r="K18" s="45"/>
      <c r="L18" s="75"/>
      <c r="M18" s="75"/>
      <c r="N18" s="75"/>
      <c r="O18" s="76"/>
      <c r="P18" s="76"/>
      <c r="Q18" s="77"/>
      <c r="R18" s="78"/>
      <c r="S18" s="78"/>
      <c r="T18" s="78"/>
      <c r="U18" s="5"/>
      <c r="V18" s="5"/>
      <c r="W18" s="75"/>
      <c r="X18" s="78"/>
      <c r="Y18" s="79"/>
      <c r="Z18" s="80"/>
      <c r="AA18" s="80"/>
      <c r="AB18" s="80"/>
      <c r="AC18" s="25"/>
      <c r="AD18" s="5"/>
      <c r="AE18" s="49"/>
      <c r="AF18" s="78"/>
      <c r="AG18" s="78"/>
      <c r="AH18" s="78"/>
      <c r="AI18" s="78"/>
      <c r="AJ18" s="78"/>
    </row>
    <row r="19" s="8" customFormat="1" customHeight="1" spans="1:36">
      <c r="A19" s="13"/>
      <c r="B19" s="5"/>
      <c r="C19" s="5"/>
      <c r="D19" s="15"/>
      <c r="E19" s="5"/>
      <c r="F19" s="5"/>
      <c r="G19" s="15"/>
      <c r="H19" s="5"/>
      <c r="I19" s="15"/>
      <c r="J19" s="15"/>
      <c r="K19" s="15"/>
      <c r="L19" s="5"/>
      <c r="M19" s="5"/>
      <c r="N19" s="5"/>
      <c r="O19" s="51"/>
      <c r="P19" s="51"/>
      <c r="Q19" s="52"/>
      <c r="R19" s="25"/>
      <c r="S19" s="25"/>
      <c r="T19" s="25"/>
      <c r="U19" s="5"/>
      <c r="V19" s="5"/>
      <c r="W19" s="5"/>
      <c r="X19" s="25"/>
      <c r="Y19" s="26"/>
      <c r="Z19" s="48"/>
      <c r="AA19" s="81"/>
      <c r="AB19" s="81"/>
      <c r="AC19" s="25"/>
      <c r="AD19" s="74"/>
      <c r="AE19" s="81"/>
    </row>
    <row r="20" s="8" customFormat="1" customHeight="1" spans="1:36">
      <c r="A20" s="13"/>
      <c r="B20" s="5"/>
      <c r="C20" s="5"/>
      <c r="D20" s="15"/>
      <c r="E20" s="5"/>
      <c r="F20" s="5"/>
      <c r="G20" s="15"/>
      <c r="H20" s="5"/>
      <c r="I20" s="15"/>
      <c r="J20" s="15"/>
      <c r="K20" s="15"/>
      <c r="L20" s="5"/>
      <c r="M20" s="5"/>
      <c r="N20" s="5"/>
      <c r="O20" s="51"/>
      <c r="P20" s="51"/>
      <c r="Q20" s="52"/>
      <c r="R20" s="25"/>
      <c r="S20" s="25"/>
      <c r="T20" s="25"/>
      <c r="U20" s="5"/>
      <c r="V20" s="5"/>
      <c r="W20" s="5"/>
      <c r="X20" s="25"/>
      <c r="Y20" s="26"/>
      <c r="Z20" s="48"/>
      <c r="AA20" s="81"/>
      <c r="AB20" s="81"/>
      <c r="AC20" s="25"/>
      <c r="AD20" s="74"/>
      <c r="AE20" s="81"/>
    </row>
    <row r="21" s="8" customFormat="1" customHeight="1" spans="1:36">
      <c r="A21" s="13"/>
      <c r="B21" s="5"/>
      <c r="C21" s="5"/>
      <c r="D21" s="15"/>
      <c r="E21" s="5"/>
      <c r="F21" s="5"/>
      <c r="G21" s="15"/>
      <c r="H21" s="5"/>
      <c r="I21" s="15"/>
      <c r="J21" s="15"/>
      <c r="K21" s="15"/>
      <c r="L21" s="5"/>
      <c r="M21" s="5"/>
      <c r="N21" s="5"/>
      <c r="O21" s="51"/>
      <c r="P21" s="51"/>
      <c r="Q21" s="52"/>
      <c r="R21" s="25"/>
      <c r="S21" s="25"/>
      <c r="T21" s="25"/>
      <c r="U21" s="5"/>
      <c r="V21" s="5"/>
      <c r="W21" s="5"/>
      <c r="X21" s="25"/>
      <c r="Y21" s="26"/>
      <c r="Z21" s="48"/>
      <c r="AA21" s="81"/>
      <c r="AB21" s="81"/>
      <c r="AC21" s="25"/>
      <c r="AD21" s="74"/>
      <c r="AE21" s="16"/>
    </row>
    <row r="22" s="8" customFormat="1" customHeight="1" spans="1:36">
      <c r="A22" s="5"/>
      <c r="B22" s="5"/>
      <c r="C22" s="5"/>
      <c r="D22" s="15"/>
      <c r="E22" s="5"/>
      <c r="F22" s="5"/>
      <c r="G22" s="5"/>
      <c r="H22" s="5"/>
      <c r="I22" s="15"/>
      <c r="J22" s="15"/>
      <c r="K22" s="15"/>
      <c r="L22" s="5"/>
      <c r="M22" s="5"/>
      <c r="N22" s="5"/>
      <c r="O22" s="51"/>
      <c r="P22" s="51"/>
      <c r="Q22" s="52"/>
      <c r="R22" s="25"/>
      <c r="S22" s="25"/>
      <c r="T22" s="25"/>
      <c r="U22" s="5"/>
      <c r="V22" s="5"/>
      <c r="W22" s="5"/>
      <c r="X22" s="25"/>
      <c r="Y22" s="26"/>
      <c r="Z22" s="48"/>
      <c r="AA22" s="81"/>
      <c r="AB22" s="81"/>
      <c r="AC22" s="25"/>
      <c r="AD22" s="74"/>
      <c r="AE22" s="16"/>
    </row>
    <row r="23" s="8" customFormat="1" customHeight="1" spans="1:36">
      <c r="A23" s="5"/>
      <c r="B23" s="5"/>
      <c r="C23" s="5"/>
      <c r="D23" s="15"/>
      <c r="E23" s="5"/>
      <c r="F23" s="5"/>
      <c r="G23" s="5"/>
      <c r="H23" s="5"/>
      <c r="I23" s="15"/>
      <c r="J23" s="15"/>
      <c r="K23" s="15"/>
      <c r="L23" s="5"/>
      <c r="M23" s="54"/>
      <c r="N23" s="5"/>
      <c r="O23" s="51"/>
      <c r="P23" s="51"/>
      <c r="Q23" s="52"/>
      <c r="R23" s="25"/>
      <c r="S23" s="25"/>
      <c r="T23" s="25"/>
      <c r="U23" s="5"/>
      <c r="V23" s="5"/>
      <c r="W23" s="5"/>
      <c r="X23" s="25"/>
      <c r="Y23" s="26"/>
      <c r="Z23" s="48"/>
      <c r="AA23" s="49"/>
      <c r="AB23" s="49"/>
      <c r="AC23" s="25"/>
      <c r="AD23" s="5"/>
    </row>
    <row r="24" s="8" customFormat="1" customHeight="1" spans="1:36">
      <c r="A24" s="13"/>
      <c r="B24" s="5"/>
      <c r="C24" s="5"/>
      <c r="D24" s="15"/>
      <c r="E24" s="5"/>
      <c r="F24" s="5"/>
      <c r="G24" s="5"/>
      <c r="H24" s="5"/>
      <c r="I24" s="15"/>
      <c r="J24" s="15"/>
      <c r="K24" s="15"/>
      <c r="L24" s="5"/>
      <c r="M24" s="5"/>
      <c r="N24" s="5"/>
      <c r="O24" s="51"/>
      <c r="P24" s="51"/>
      <c r="Q24" s="52"/>
      <c r="R24" s="25"/>
      <c r="S24" s="25"/>
      <c r="T24" s="25"/>
      <c r="U24" s="5"/>
      <c r="V24" s="5"/>
      <c r="W24" s="5"/>
      <c r="X24" s="25"/>
      <c r="Y24" s="26"/>
      <c r="Z24" s="48"/>
      <c r="AA24" s="49"/>
      <c r="AB24" s="49"/>
      <c r="AC24" s="25"/>
      <c r="AD24" s="5"/>
      <c r="AF24" s="53"/>
    </row>
    <row r="25" s="8" customFormat="1" customHeight="1" spans="1:36">
      <c r="A25" s="5"/>
      <c r="B25" s="5"/>
      <c r="C25" s="5"/>
      <c r="D25" s="15"/>
      <c r="E25" s="5"/>
      <c r="F25" s="5"/>
      <c r="G25" s="15"/>
      <c r="H25" s="5"/>
      <c r="I25" s="15"/>
      <c r="J25" s="15"/>
      <c r="K25" s="15"/>
      <c r="L25" s="5"/>
      <c r="M25" s="5"/>
      <c r="N25" s="5"/>
      <c r="O25" s="51"/>
      <c r="P25" s="51"/>
      <c r="Q25" s="52"/>
      <c r="R25" s="25"/>
      <c r="S25" s="25"/>
      <c r="T25" s="25"/>
      <c r="U25" s="5"/>
      <c r="V25" s="5"/>
      <c r="W25" s="5"/>
      <c r="X25" s="25"/>
      <c r="Y25" s="26"/>
      <c r="Z25" s="48"/>
      <c r="AA25" s="49"/>
      <c r="AB25" s="49"/>
      <c r="AC25" s="25"/>
      <c r="AD25" s="5"/>
      <c r="AF25" s="53"/>
    </row>
    <row r="26" s="8" customFormat="1" customHeight="1" spans="1:36">
      <c r="A26" s="5"/>
      <c r="B26" s="5"/>
      <c r="C26" s="5"/>
      <c r="D26" s="15"/>
      <c r="E26" s="5"/>
      <c r="F26" s="5"/>
      <c r="G26" s="15"/>
      <c r="H26" s="5"/>
      <c r="I26" s="15"/>
      <c r="J26" s="15"/>
      <c r="K26" s="15"/>
      <c r="L26" s="5"/>
      <c r="M26" s="5"/>
      <c r="N26" s="5"/>
      <c r="O26" s="51"/>
      <c r="P26" s="51"/>
      <c r="Q26" s="52"/>
      <c r="R26" s="25"/>
      <c r="S26" s="25"/>
      <c r="T26" s="25"/>
      <c r="U26" s="5"/>
      <c r="V26" s="5"/>
      <c r="W26" s="5"/>
      <c r="X26" s="25"/>
      <c r="Y26" s="26"/>
      <c r="Z26" s="48"/>
      <c r="AA26" s="49"/>
      <c r="AB26" s="49"/>
      <c r="AC26" s="25"/>
      <c r="AD26" s="5"/>
      <c r="AF26" s="53"/>
    </row>
    <row r="27" s="8" customFormat="1" customHeight="1" spans="1:36">
      <c r="A27" s="5"/>
      <c r="B27" s="5"/>
      <c r="C27" s="5"/>
      <c r="D27" s="15"/>
      <c r="E27" s="5"/>
      <c r="F27" s="5"/>
      <c r="G27" s="15"/>
      <c r="H27" s="5"/>
      <c r="I27" s="15"/>
      <c r="J27" s="15"/>
      <c r="K27" s="15"/>
      <c r="L27" s="5"/>
      <c r="M27" s="5"/>
      <c r="N27" s="5"/>
      <c r="O27" s="51"/>
      <c r="P27" s="51"/>
      <c r="Q27" s="52"/>
      <c r="R27" s="25"/>
      <c r="S27" s="25"/>
      <c r="T27" s="25"/>
      <c r="U27" s="5"/>
      <c r="V27" s="5"/>
      <c r="W27" s="5"/>
      <c r="X27" s="25"/>
      <c r="Y27" s="26"/>
      <c r="Z27" s="48"/>
      <c r="AA27" s="49"/>
      <c r="AB27" s="49"/>
      <c r="AC27" s="25"/>
      <c r="AD27" s="5"/>
      <c r="AF27" s="53"/>
    </row>
    <row r="28" s="8" customFormat="1" customHeight="1" spans="1:36">
      <c r="A28" s="5"/>
      <c r="B28" s="5"/>
      <c r="C28" s="5"/>
      <c r="D28" s="15"/>
      <c r="E28" s="5"/>
      <c r="F28" s="5"/>
      <c r="G28" s="15"/>
      <c r="H28" s="5"/>
      <c r="I28" s="15"/>
      <c r="J28" s="15"/>
      <c r="K28" s="15"/>
      <c r="L28" s="5"/>
      <c r="M28" s="5"/>
      <c r="N28" s="5"/>
      <c r="O28" s="51"/>
      <c r="P28" s="51"/>
      <c r="Q28" s="52"/>
      <c r="R28" s="25"/>
      <c r="S28" s="25"/>
      <c r="T28" s="25"/>
      <c r="U28" s="5"/>
      <c r="V28" s="5"/>
      <c r="W28" s="5"/>
      <c r="X28" s="25"/>
      <c r="Y28" s="26"/>
      <c r="Z28" s="48"/>
      <c r="AA28" s="49"/>
      <c r="AB28" s="49"/>
      <c r="AC28" s="25"/>
      <c r="AD28" s="5"/>
      <c r="AF28" s="53"/>
    </row>
  </sheetData>
  <sheetProtection formatCells="0" autoFilter="0"/>
  <protectedRanges>
    <protectedRange sqref="AI1:AM1" name="区域1"/>
  </protectedRanges>
  <autoFilter xmlns:etc="http://www.wps.cn/officeDocument/2017/etCustomData" ref="A1:AK6" etc:filterBottomFollowUsedRange="0">
    <extLst/>
  </autoFilter>
  <pageMargins left="0.751388888888889" right="0.751388888888889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F3FF"/>
  </sheetPr>
  <dimension ref="A1:O18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8" customHeight="1"/>
  <cols>
    <col min="1" max="1" width="12.6" style="5" customWidth="1"/>
    <col min="2" max="2" width="10.6" style="25" customWidth="1"/>
    <col min="3" max="3" width="12.6" style="5" customWidth="1"/>
    <col min="4" max="4" width="10.6" style="15" customWidth="1"/>
    <col min="5" max="5" width="12.6" style="5" customWidth="1"/>
    <col min="6" max="6" width="11.75" style="15" customWidth="1"/>
    <col min="7" max="7" width="16" style="5" customWidth="1"/>
    <col min="8" max="8" width="13.9916666666667" style="5" customWidth="1"/>
    <col min="9" max="9" width="20.6" style="25" customWidth="1"/>
    <col min="10" max="10" width="8.6" style="26" customWidth="1"/>
    <col min="11" max="12" width="12.6" style="5" customWidth="1"/>
    <col min="13" max="13" width="10.6" style="27" customWidth="1"/>
    <col min="14" max="14" width="10.6" style="25" customWidth="1"/>
    <col min="15" max="15" width="5.6" style="5" customWidth="1"/>
    <col min="16" max="16384" width="9" style="8"/>
  </cols>
  <sheetData>
    <row r="1" s="8" customFormat="1" ht="30" customHeight="1" spans="1:15">
      <c r="A1" s="13" t="s">
        <v>18</v>
      </c>
      <c r="B1" s="13" t="s">
        <v>174</v>
      </c>
      <c r="C1" s="13" t="s">
        <v>22</v>
      </c>
      <c r="D1" s="28" t="s">
        <v>23</v>
      </c>
      <c r="E1" s="13" t="s">
        <v>175</v>
      </c>
      <c r="F1" s="28" t="s">
        <v>25</v>
      </c>
      <c r="G1" s="13" t="s">
        <v>178</v>
      </c>
      <c r="H1" s="13" t="s">
        <v>179</v>
      </c>
      <c r="I1" s="29" t="s">
        <v>17</v>
      </c>
      <c r="J1" s="26" t="s">
        <v>190</v>
      </c>
      <c r="K1" s="30" t="s">
        <v>254</v>
      </c>
      <c r="L1" s="30" t="s">
        <v>191</v>
      </c>
      <c r="M1" s="31" t="s">
        <v>16</v>
      </c>
      <c r="N1" s="29" t="s">
        <v>255</v>
      </c>
      <c r="O1" s="13" t="s">
        <v>193</v>
      </c>
    </row>
    <row r="2" s="24" customFormat="1" customHeight="1" spans="1:15">
      <c r="A2" s="32">
        <v>46058</v>
      </c>
      <c r="B2" s="33" t="s">
        <v>256</v>
      </c>
      <c r="C2" s="34" t="s">
        <v>257</v>
      </c>
      <c r="D2" s="35">
        <v>91039</v>
      </c>
      <c r="E2" s="34" t="s">
        <v>258</v>
      </c>
      <c r="F2" s="35">
        <v>10000</v>
      </c>
      <c r="G2" s="36">
        <v>46113</v>
      </c>
      <c r="H2" s="36">
        <f>G2-7</f>
        <v>46106</v>
      </c>
      <c r="I2" s="33"/>
      <c r="J2" s="37">
        <v>5.04</v>
      </c>
      <c r="K2" s="38">
        <f>F2*J2</f>
        <v>50400</v>
      </c>
      <c r="L2" s="38">
        <f>K2*1.22</f>
        <v>61488</v>
      </c>
      <c r="M2" s="39"/>
      <c r="N2" s="33"/>
      <c r="O2" s="34"/>
    </row>
    <row r="3" s="24" customFormat="1" customHeight="1" spans="1:15">
      <c r="A3" s="32">
        <v>46140</v>
      </c>
      <c r="B3" s="33" t="s">
        <v>256</v>
      </c>
      <c r="C3" s="34" t="s">
        <v>259</v>
      </c>
      <c r="D3" s="35">
        <v>91039</v>
      </c>
      <c r="E3" s="34" t="s">
        <v>260</v>
      </c>
      <c r="F3" s="35">
        <v>12000</v>
      </c>
      <c r="G3" s="36">
        <v>46199</v>
      </c>
      <c r="H3" s="36">
        <f>G3-7</f>
        <v>46192</v>
      </c>
      <c r="I3" s="33"/>
      <c r="J3" s="37">
        <v>1.51</v>
      </c>
      <c r="K3" s="38">
        <f>F3*J3</f>
        <v>18120</v>
      </c>
      <c r="L3" s="38">
        <f>K3*1.22</f>
        <v>22106.4</v>
      </c>
      <c r="M3" s="39"/>
      <c r="N3" s="33"/>
      <c r="O3" s="34"/>
    </row>
    <row r="4" s="24" customFormat="1" customHeight="1" spans="1:15">
      <c r="A4" s="32">
        <v>46140</v>
      </c>
      <c r="B4" s="33" t="s">
        <v>256</v>
      </c>
      <c r="C4" s="34" t="s">
        <v>259</v>
      </c>
      <c r="D4" s="35">
        <v>91039</v>
      </c>
      <c r="E4" s="34" t="s">
        <v>261</v>
      </c>
      <c r="F4" s="35">
        <v>8000</v>
      </c>
      <c r="G4" s="36">
        <v>46199</v>
      </c>
      <c r="H4" s="36">
        <f>G4-7</f>
        <v>46192</v>
      </c>
      <c r="I4" s="33"/>
      <c r="J4" s="37">
        <v>1.51</v>
      </c>
      <c r="K4" s="38">
        <f>F4*J4</f>
        <v>12080</v>
      </c>
      <c r="L4" s="38">
        <f>K4*1.22</f>
        <v>14737.6</v>
      </c>
      <c r="M4" s="39"/>
      <c r="N4" s="33"/>
      <c r="O4" s="34"/>
    </row>
    <row r="5" s="24" customFormat="1" customHeight="1" spans="1:15">
      <c r="A5" s="32"/>
      <c r="B5" s="33"/>
      <c r="C5" s="34"/>
      <c r="D5" s="35"/>
      <c r="E5" s="34"/>
      <c r="F5" s="35"/>
      <c r="G5" s="36"/>
      <c r="H5" s="36"/>
      <c r="I5" s="33"/>
      <c r="J5" s="37"/>
      <c r="K5" s="40"/>
      <c r="L5" s="38"/>
      <c r="M5" s="39"/>
      <c r="N5" s="33"/>
      <c r="O5" s="34"/>
    </row>
    <row r="6" s="24" customFormat="1" customHeight="1" spans="1:15">
      <c r="A6" s="32"/>
      <c r="B6" s="33"/>
      <c r="C6" s="34"/>
      <c r="D6" s="35"/>
      <c r="E6" s="34"/>
      <c r="F6" s="35"/>
      <c r="G6" s="36"/>
      <c r="H6" s="36"/>
      <c r="I6" s="33"/>
      <c r="J6" s="37"/>
      <c r="K6" s="40"/>
      <c r="L6" s="38"/>
      <c r="M6" s="39"/>
      <c r="N6" s="33"/>
      <c r="O6" s="34"/>
    </row>
    <row r="7" s="24" customFormat="1" customHeight="1" spans="1:15">
      <c r="A7" s="32"/>
      <c r="B7" s="33"/>
      <c r="C7" s="34"/>
      <c r="D7" s="35"/>
      <c r="E7" s="34"/>
      <c r="F7" s="35"/>
      <c r="G7" s="36"/>
      <c r="H7" s="36"/>
      <c r="I7" s="33"/>
      <c r="J7" s="37"/>
      <c r="K7" s="40"/>
      <c r="L7" s="38"/>
      <c r="M7" s="39"/>
      <c r="N7" s="33"/>
      <c r="O7" s="34"/>
    </row>
    <row r="8" customHeight="1" spans="1:15">
      <c r="A8" s="13"/>
      <c r="G8" s="41"/>
      <c r="H8" s="41"/>
      <c r="K8" s="42"/>
      <c r="L8" s="43"/>
      <c r="M8" s="43"/>
    </row>
    <row r="9" customHeight="1" spans="1:15">
      <c r="A9" s="13"/>
      <c r="G9" s="41"/>
      <c r="H9" s="41"/>
      <c r="K9" s="44"/>
      <c r="L9" s="43"/>
      <c r="M9" s="43"/>
    </row>
    <row r="10" customHeight="1" spans="1:15">
      <c r="A10" s="13"/>
      <c r="F10" s="45">
        <f>SUM(F2:F9)</f>
        <v>30000</v>
      </c>
      <c r="K10" s="46">
        <f>SUM(K2:K9)</f>
        <v>80600</v>
      </c>
      <c r="L10" s="47">
        <f>SUM(L2:L9)</f>
        <v>98332</v>
      </c>
    </row>
    <row r="11" customHeight="1" spans="1:15">
      <c r="A11" s="13"/>
      <c r="K11" s="48"/>
      <c r="L11" s="49"/>
    </row>
    <row r="12" customHeight="1" spans="1:15">
      <c r="A12" s="13"/>
      <c r="K12" s="48"/>
      <c r="L12" s="49"/>
    </row>
    <row r="13" customHeight="1" spans="1:15">
      <c r="G13" s="25"/>
      <c r="H13" s="8"/>
      <c r="K13" s="48"/>
      <c r="L13" s="49"/>
    </row>
    <row r="14" customHeight="1" spans="1:15">
      <c r="K14" s="48"/>
      <c r="L14" s="49"/>
    </row>
    <row r="15" customHeight="1" spans="1:15">
      <c r="K15" s="48"/>
      <c r="L15" s="49"/>
    </row>
    <row r="16" customHeight="1" spans="1:15">
      <c r="K16" s="48"/>
      <c r="L16" s="49"/>
    </row>
    <row r="17" customHeight="1" spans="11:12">
      <c r="K17" s="48"/>
      <c r="L17" s="49"/>
    </row>
    <row r="18" customHeight="1" spans="11:12">
      <c r="K18" s="48"/>
      <c r="L18" s="49"/>
    </row>
  </sheetData>
  <sheetProtection formatCells="0" autoFilter="0"/>
  <autoFilter xmlns:etc="http://www.wps.cn/officeDocument/2017/etCustomData" ref="A1:O12" etc:filterBottomFollowUsedRange="0">
    <extLst/>
  </autoFilter>
  <pageMargins left="0.751388888888889" right="0.751388888888889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"/>
  <sheetViews>
    <sheetView workbookViewId="0">
      <selection activeCell="F35" sqref="F35"/>
    </sheetView>
  </sheetViews>
  <sheetFormatPr defaultColWidth="9" defaultRowHeight="14.25" outlineLevelRow="2"/>
  <cols>
    <col min="1" max="16384" width="9" style="21"/>
  </cols>
  <sheetData>
    <row r="1" ht="25.5" spans="2:16">
      <c r="B1" s="22" t="s">
        <v>262</v>
      </c>
      <c r="C1" s="22"/>
      <c r="D1" s="22"/>
      <c r="E1" s="22"/>
      <c r="F1" s="22"/>
      <c r="G1" s="22"/>
      <c r="H1" s="22"/>
      <c r="I1" s="23"/>
      <c r="J1" s="22" t="s">
        <v>263</v>
      </c>
      <c r="K1" s="22"/>
      <c r="L1" s="22"/>
      <c r="M1" s="22"/>
      <c r="N1" s="22"/>
      <c r="O1" s="22"/>
      <c r="P1" s="22"/>
    </row>
    <row r="2" ht="25.5" spans="2:16">
      <c r="B2" s="22"/>
      <c r="C2" s="22"/>
      <c r="D2" s="22"/>
      <c r="E2" s="22"/>
      <c r="F2" s="22"/>
      <c r="G2" s="22"/>
      <c r="H2" s="22"/>
      <c r="I2" s="23"/>
      <c r="J2" s="22"/>
      <c r="K2" s="22"/>
      <c r="L2" s="22"/>
      <c r="M2" s="22"/>
      <c r="N2" s="22"/>
      <c r="O2" s="22"/>
      <c r="P2" s="22"/>
    </row>
    <row r="3" ht="25.5" spans="2:16">
      <c r="B3" s="22"/>
      <c r="C3" s="22"/>
      <c r="D3" s="22"/>
      <c r="E3" s="22"/>
      <c r="F3" s="22"/>
      <c r="G3" s="22"/>
      <c r="H3" s="22"/>
      <c r="I3" s="23"/>
      <c r="J3" s="22"/>
      <c r="K3" s="22"/>
      <c r="L3" s="22"/>
      <c r="M3" s="22"/>
      <c r="N3" s="22"/>
      <c r="O3" s="22"/>
      <c r="P3" s="22"/>
    </row>
  </sheetData>
  <sheetProtection formatCells="0" formatColumns="0" formatRows="0" insertRows="0" insertColumns="0" insertHyperlinks="0" deleteColumns="0" deleteRows="0" sort="0" autoFilter="0" pivotTables="0"/>
  <mergeCells count="2">
    <mergeCell ref="B1:H3"/>
    <mergeCell ref="J1:P3"/>
  </mergeCells>
  <pageMargins left="0.75" right="0.75" top="1" bottom="1" header="0.5" footer="0.5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zoomScale="115" zoomScaleNormal="115" workbookViewId="0">
      <pane xSplit="1" ySplit="1" topLeftCell="B2" activePane="bottomRight" state="frozen"/>
      <selection/>
      <selection pane="topRight"/>
      <selection pane="bottomLeft"/>
      <selection pane="bottomRight" activeCell="F2" sqref="F2:F3"/>
    </sheetView>
  </sheetViews>
  <sheetFormatPr defaultColWidth="9" defaultRowHeight="18" customHeight="1" outlineLevelRow="7"/>
  <cols>
    <col min="1" max="1" width="12.6" style="10" customWidth="1"/>
    <col min="2" max="3" width="9" style="11" customWidth="1"/>
    <col min="4" max="5" width="9" style="11"/>
    <col min="6" max="7" width="10.6" style="11"/>
    <col min="8" max="8" width="15" style="11" customWidth="1"/>
    <col min="9" max="9" width="13.9" style="11" customWidth="1"/>
    <col min="10" max="16384" width="9" style="11"/>
  </cols>
  <sheetData>
    <row r="1" s="7" customFormat="1" ht="30" customHeight="1" spans="1:9">
      <c r="A1" s="12" t="s">
        <v>18</v>
      </c>
      <c r="B1" s="12" t="s">
        <v>22</v>
      </c>
      <c r="C1" s="12" t="s">
        <v>24</v>
      </c>
      <c r="D1" s="12" t="s">
        <v>175</v>
      </c>
      <c r="E1" s="12" t="s">
        <v>264</v>
      </c>
      <c r="F1" s="12" t="s">
        <v>265</v>
      </c>
      <c r="G1" s="12" t="s">
        <v>266</v>
      </c>
      <c r="H1" s="12" t="s">
        <v>178</v>
      </c>
      <c r="I1" s="12" t="s">
        <v>267</v>
      </c>
    </row>
    <row r="2" s="8" customFormat="1" customHeight="1" spans="1:9">
      <c r="A2" s="13">
        <v>46084</v>
      </c>
      <c r="B2" s="14" t="s">
        <v>120</v>
      </c>
      <c r="C2" s="15">
        <v>13095</v>
      </c>
      <c r="D2" s="8" t="s">
        <v>214</v>
      </c>
      <c r="E2" s="15">
        <v>3000</v>
      </c>
      <c r="F2" s="16">
        <f>102+270+486+1200+48+105+90+63+72+564</f>
        <v>3000</v>
      </c>
      <c r="G2" s="16">
        <f>E2-F2</f>
        <v>0</v>
      </c>
      <c r="H2" s="17">
        <v>46093</v>
      </c>
      <c r="I2" s="17">
        <v>46086</v>
      </c>
    </row>
    <row r="3" customHeight="1" spans="1:9">
      <c r="A3" s="18">
        <v>46150</v>
      </c>
      <c r="B3" s="19" t="s">
        <v>131</v>
      </c>
      <c r="C3" s="15">
        <v>13095</v>
      </c>
      <c r="D3" s="8" t="s">
        <v>214</v>
      </c>
      <c r="E3" s="15">
        <v>3000</v>
      </c>
      <c r="F3" s="16">
        <v>801</v>
      </c>
      <c r="G3" s="16">
        <f>E3-F3</f>
        <v>2199</v>
      </c>
      <c r="H3" s="17">
        <v>46179</v>
      </c>
      <c r="I3" s="17">
        <v>46179</v>
      </c>
    </row>
    <row r="4" customHeight="1" spans="1:9">
      <c r="A4" s="18"/>
      <c r="B4" s="19"/>
    </row>
    <row r="5" customHeight="1" spans="1:9">
      <c r="A5" s="18"/>
      <c r="B5" s="19"/>
    </row>
    <row r="6" customHeight="1" spans="1:9">
      <c r="A6" s="18"/>
      <c r="B6" s="19"/>
    </row>
    <row r="7" customHeight="1" spans="1:9">
      <c r="A7" s="18"/>
      <c r="B7" s="19"/>
    </row>
    <row r="8" s="9" customFormat="1" customHeight="1" spans="1:9">
      <c r="A8" s="20"/>
    </row>
  </sheetData>
  <sheetProtection autoFilter="0"/>
  <autoFilter xmlns:etc="http://www.wps.cn/officeDocument/2017/etCustomData" ref="A1:B11" etc:filterBottomFollowUsedRange="0">
    <extLst/>
  </autoFilter>
  <pageMargins left="0.751388888888889" right="0.751388888888889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pane ySplit="1" topLeftCell="A179" activePane="bottomLeft" state="frozen"/>
      <selection/>
      <selection pane="bottomLeft" activeCell="D69" sqref="D69"/>
    </sheetView>
  </sheetViews>
  <sheetFormatPr defaultColWidth="9" defaultRowHeight="15" customHeight="1" outlineLevelCol="3"/>
  <cols>
    <col min="1" max="1" width="18" style="3" customWidth="1"/>
    <col min="2" max="3" width="9" style="3" customWidth="1"/>
    <col min="4" max="4" width="12.6" style="3" customWidth="1"/>
    <col min="5" max="16384" width="9" style="3"/>
  </cols>
  <sheetData>
    <row r="1" s="2" customFormat="1" ht="19.95" customHeight="1" spans="1:4">
      <c r="A1" s="2" t="s">
        <v>23</v>
      </c>
      <c r="B1" s="2" t="s">
        <v>193</v>
      </c>
      <c r="C1" s="2" t="s">
        <v>193</v>
      </c>
      <c r="D1" s="2" t="s">
        <v>175</v>
      </c>
    </row>
    <row r="2" customHeight="1" spans="1:4">
      <c r="A2" s="3" t="s">
        <v>268</v>
      </c>
      <c r="B2" s="3">
        <v>13095</v>
      </c>
      <c r="C2" s="3" t="s">
        <v>269</v>
      </c>
      <c r="D2" s="3" t="s">
        <v>214</v>
      </c>
    </row>
    <row r="3" customHeight="1" spans="1:4">
      <c r="A3" s="3" t="s">
        <v>270</v>
      </c>
      <c r="B3" s="3">
        <v>14312</v>
      </c>
      <c r="C3" s="3" t="s">
        <v>152</v>
      </c>
      <c r="D3" s="3" t="s">
        <v>271</v>
      </c>
    </row>
    <row r="4" customHeight="1" spans="1:4">
      <c r="A4" s="3" t="s">
        <v>272</v>
      </c>
      <c r="B4" s="3">
        <v>14345</v>
      </c>
      <c r="C4" s="3" t="s">
        <v>152</v>
      </c>
      <c r="D4" s="3" t="s">
        <v>271</v>
      </c>
    </row>
    <row r="5" customHeight="1" spans="1:4">
      <c r="A5" s="3" t="s">
        <v>273</v>
      </c>
      <c r="B5" s="3">
        <v>17344</v>
      </c>
      <c r="C5" s="3" t="s">
        <v>151</v>
      </c>
      <c r="D5" s="3" t="s">
        <v>274</v>
      </c>
    </row>
    <row r="6" customHeight="1" spans="1:4">
      <c r="A6" s="3" t="s">
        <v>275</v>
      </c>
      <c r="B6" s="3">
        <v>17345</v>
      </c>
      <c r="C6" s="3" t="s">
        <v>151</v>
      </c>
      <c r="D6" s="3" t="s">
        <v>276</v>
      </c>
    </row>
    <row r="7" customHeight="1" spans="1:4">
      <c r="A7" s="3" t="s">
        <v>277</v>
      </c>
      <c r="B7" s="3">
        <v>17529</v>
      </c>
      <c r="C7" s="3" t="s">
        <v>269</v>
      </c>
      <c r="D7" s="3" t="s">
        <v>278</v>
      </c>
    </row>
    <row r="8" customHeight="1" spans="1:4">
      <c r="A8" s="3" t="s">
        <v>279</v>
      </c>
      <c r="B8" s="3">
        <v>17552</v>
      </c>
      <c r="C8" s="3" t="s">
        <v>280</v>
      </c>
      <c r="D8" s="3" t="s">
        <v>227</v>
      </c>
    </row>
    <row r="9" customHeight="1" spans="1:4">
      <c r="A9" s="3" t="s">
        <v>49</v>
      </c>
      <c r="B9" s="3">
        <v>17563</v>
      </c>
      <c r="C9" s="3" t="s">
        <v>151</v>
      </c>
      <c r="D9" s="3" t="s">
        <v>222</v>
      </c>
    </row>
    <row r="10" customHeight="1" spans="1:4">
      <c r="A10" s="4" t="s">
        <v>281</v>
      </c>
      <c r="B10" s="5">
        <v>17588</v>
      </c>
      <c r="C10" s="3" t="s">
        <v>269</v>
      </c>
      <c r="D10" s="3" t="s">
        <v>282</v>
      </c>
    </row>
    <row r="11" customHeight="1" spans="1:4">
      <c r="A11" s="3" t="s">
        <v>283</v>
      </c>
      <c r="B11" s="3">
        <v>17644</v>
      </c>
      <c r="C11" s="3" t="s">
        <v>280</v>
      </c>
      <c r="D11" s="5" t="s">
        <v>278</v>
      </c>
    </row>
    <row r="12" customHeight="1" spans="1:4">
      <c r="A12" s="3" t="s">
        <v>43</v>
      </c>
      <c r="B12" s="3" t="str">
        <f t="shared" ref="B12:B33" si="0">TEXT(MID(A12,1,5),"00000")</f>
        <v>13095</v>
      </c>
      <c r="C12" s="3" t="s">
        <v>269</v>
      </c>
      <c r="D12" s="3" t="s">
        <v>214</v>
      </c>
    </row>
    <row r="13" customHeight="1" spans="1:4">
      <c r="A13" s="3" t="s">
        <v>284</v>
      </c>
      <c r="B13" s="3" t="str">
        <f t="shared" si="0"/>
        <v>13095</v>
      </c>
      <c r="C13" s="3" t="s">
        <v>269</v>
      </c>
      <c r="D13" s="3" t="s">
        <v>214</v>
      </c>
    </row>
    <row r="14" customHeight="1" spans="1:4">
      <c r="A14" s="3" t="s">
        <v>285</v>
      </c>
      <c r="B14" s="3" t="str">
        <f t="shared" si="0"/>
        <v>13095</v>
      </c>
      <c r="C14" s="3" t="s">
        <v>269</v>
      </c>
      <c r="D14" s="3" t="s">
        <v>214</v>
      </c>
    </row>
    <row r="15" customHeight="1" spans="1:4">
      <c r="A15" s="3" t="s">
        <v>268</v>
      </c>
      <c r="B15" s="3" t="str">
        <f t="shared" si="0"/>
        <v>13095</v>
      </c>
      <c r="C15" s="3" t="s">
        <v>269</v>
      </c>
      <c r="D15" s="3" t="s">
        <v>214</v>
      </c>
    </row>
    <row r="16" customHeight="1" spans="1:4">
      <c r="A16" s="3" t="s">
        <v>286</v>
      </c>
      <c r="B16" s="3" t="str">
        <f t="shared" si="0"/>
        <v>14300</v>
      </c>
      <c r="C16" s="3" t="s">
        <v>152</v>
      </c>
      <c r="D16" s="3" t="s">
        <v>271</v>
      </c>
    </row>
    <row r="17" customHeight="1" spans="1:4">
      <c r="A17" s="3" t="s">
        <v>287</v>
      </c>
      <c r="B17" s="3" t="str">
        <f t="shared" si="0"/>
        <v>14303</v>
      </c>
      <c r="C17" s="3" t="s">
        <v>152</v>
      </c>
    </row>
    <row r="18" customHeight="1" spans="1:4">
      <c r="A18" s="3" t="s">
        <v>288</v>
      </c>
      <c r="B18" s="3" t="str">
        <f t="shared" si="0"/>
        <v>14305</v>
      </c>
      <c r="C18" s="3" t="s">
        <v>152</v>
      </c>
    </row>
    <row r="19" customHeight="1" spans="1:4">
      <c r="A19" s="3" t="s">
        <v>289</v>
      </c>
      <c r="B19" s="3" t="str">
        <f t="shared" si="0"/>
        <v>14311</v>
      </c>
      <c r="C19" s="3" t="s">
        <v>152</v>
      </c>
      <c r="D19" s="3" t="s">
        <v>271</v>
      </c>
    </row>
    <row r="20" customHeight="1" spans="1:4">
      <c r="A20" s="3" t="s">
        <v>290</v>
      </c>
      <c r="B20" s="3" t="str">
        <f t="shared" si="0"/>
        <v>14311</v>
      </c>
      <c r="C20" s="3" t="s">
        <v>152</v>
      </c>
      <c r="D20" s="3" t="s">
        <v>271</v>
      </c>
    </row>
    <row r="21" customHeight="1" spans="1:4">
      <c r="A21" s="3" t="s">
        <v>291</v>
      </c>
      <c r="B21" s="3" t="str">
        <f t="shared" si="0"/>
        <v>14312</v>
      </c>
      <c r="C21" s="3" t="s">
        <v>152</v>
      </c>
      <c r="D21" s="3" t="s">
        <v>271</v>
      </c>
    </row>
    <row r="22" customHeight="1" spans="1:4">
      <c r="A22" s="3" t="s">
        <v>292</v>
      </c>
      <c r="B22" s="3" t="str">
        <f t="shared" si="0"/>
        <v>14312</v>
      </c>
      <c r="C22" s="3" t="s">
        <v>152</v>
      </c>
      <c r="D22" s="3" t="s">
        <v>271</v>
      </c>
    </row>
    <row r="23" customHeight="1" spans="1:4">
      <c r="A23" s="3" t="s">
        <v>293</v>
      </c>
      <c r="B23" s="3" t="str">
        <f t="shared" si="0"/>
        <v>14312</v>
      </c>
      <c r="C23" s="3" t="s">
        <v>152</v>
      </c>
      <c r="D23" s="3" t="s">
        <v>271</v>
      </c>
    </row>
    <row r="24" customHeight="1" spans="1:4">
      <c r="A24" s="3" t="s">
        <v>270</v>
      </c>
      <c r="B24" s="3" t="str">
        <f t="shared" si="0"/>
        <v>14312</v>
      </c>
      <c r="C24" s="3" t="s">
        <v>152</v>
      </c>
      <c r="D24" s="3" t="s">
        <v>271</v>
      </c>
    </row>
    <row r="25" customHeight="1" spans="1:4">
      <c r="A25" s="3" t="s">
        <v>294</v>
      </c>
      <c r="B25" s="3" t="str">
        <f t="shared" si="0"/>
        <v>14317</v>
      </c>
      <c r="C25" s="3" t="s">
        <v>152</v>
      </c>
    </row>
    <row r="26" customHeight="1" spans="1:4">
      <c r="A26" s="3" t="s">
        <v>295</v>
      </c>
      <c r="B26" s="3" t="str">
        <f t="shared" si="0"/>
        <v>14344</v>
      </c>
      <c r="C26" s="3" t="s">
        <v>152</v>
      </c>
    </row>
    <row r="27" customHeight="1" spans="1:4">
      <c r="A27" s="3" t="s">
        <v>296</v>
      </c>
      <c r="B27" s="3" t="str">
        <f t="shared" si="0"/>
        <v>14345</v>
      </c>
      <c r="C27" s="3" t="s">
        <v>152</v>
      </c>
      <c r="D27" s="3" t="s">
        <v>271</v>
      </c>
    </row>
    <row r="28" customHeight="1" spans="1:4">
      <c r="A28" s="3" t="s">
        <v>272</v>
      </c>
      <c r="B28" s="3" t="str">
        <f t="shared" si="0"/>
        <v>14345</v>
      </c>
      <c r="C28" s="3" t="s">
        <v>152</v>
      </c>
      <c r="D28" s="3" t="s">
        <v>271</v>
      </c>
    </row>
    <row r="29" customHeight="1" spans="1:4">
      <c r="A29" s="3" t="s">
        <v>297</v>
      </c>
      <c r="B29" s="3" t="str">
        <f t="shared" si="0"/>
        <v>14347</v>
      </c>
      <c r="C29" s="3" t="s">
        <v>152</v>
      </c>
      <c r="D29" s="3" t="s">
        <v>271</v>
      </c>
    </row>
    <row r="30" customHeight="1" spans="1:4">
      <c r="A30" s="3" t="s">
        <v>298</v>
      </c>
      <c r="B30" s="3" t="str">
        <f t="shared" si="0"/>
        <v>14349</v>
      </c>
      <c r="C30" s="3" t="s">
        <v>152</v>
      </c>
    </row>
    <row r="31" customHeight="1" spans="1:4">
      <c r="A31" s="3" t="s">
        <v>299</v>
      </c>
      <c r="B31" s="3" t="str">
        <f t="shared" si="0"/>
        <v>14764</v>
      </c>
      <c r="C31" s="3" t="s">
        <v>152</v>
      </c>
      <c r="D31" s="3" t="s">
        <v>271</v>
      </c>
    </row>
    <row r="32" customHeight="1" spans="1:4">
      <c r="A32" s="3" t="s">
        <v>300</v>
      </c>
      <c r="B32" s="3" t="str">
        <f t="shared" si="0"/>
        <v>14765</v>
      </c>
      <c r="C32" s="3" t="s">
        <v>152</v>
      </c>
      <c r="D32" s="3" t="s">
        <v>271</v>
      </c>
    </row>
    <row r="33" customHeight="1" spans="1:4">
      <c r="A33" s="3" t="s">
        <v>301</v>
      </c>
      <c r="B33" s="3" t="str">
        <f t="shared" si="0"/>
        <v>14766</v>
      </c>
      <c r="C33" s="3" t="s">
        <v>152</v>
      </c>
      <c r="D33" s="3" t="s">
        <v>271</v>
      </c>
    </row>
    <row r="34" customHeight="1" spans="1:4">
      <c r="A34" s="3" t="s">
        <v>302</v>
      </c>
      <c r="B34" s="3" t="s">
        <v>303</v>
      </c>
      <c r="C34" s="3" t="s">
        <v>152</v>
      </c>
      <c r="D34" s="3" t="s">
        <v>271</v>
      </c>
    </row>
    <row r="35" customHeight="1" spans="1:4">
      <c r="A35" s="3" t="s">
        <v>304</v>
      </c>
      <c r="B35" s="3" t="s">
        <v>303</v>
      </c>
      <c r="C35" s="3" t="s">
        <v>152</v>
      </c>
      <c r="D35" s="3" t="s">
        <v>271</v>
      </c>
    </row>
    <row r="36" customHeight="1" spans="1:4">
      <c r="A36" s="3" t="s">
        <v>305</v>
      </c>
      <c r="B36" s="3" t="s">
        <v>306</v>
      </c>
      <c r="C36" s="3" t="s">
        <v>152</v>
      </c>
      <c r="D36" s="3" t="s">
        <v>271</v>
      </c>
    </row>
    <row r="37" customHeight="1" spans="1:4">
      <c r="A37" s="3" t="s">
        <v>307</v>
      </c>
      <c r="B37" s="3" t="s">
        <v>308</v>
      </c>
      <c r="C37" s="3" t="s">
        <v>152</v>
      </c>
      <c r="D37" s="3" t="s">
        <v>271</v>
      </c>
    </row>
    <row r="38" customHeight="1" spans="1:4">
      <c r="A38" s="3" t="s">
        <v>309</v>
      </c>
      <c r="B38" s="3" t="s">
        <v>310</v>
      </c>
      <c r="C38" s="3" t="s">
        <v>152</v>
      </c>
      <c r="D38" s="3" t="s">
        <v>271</v>
      </c>
    </row>
    <row r="39" customHeight="1" spans="1:4">
      <c r="A39" s="3" t="s">
        <v>311</v>
      </c>
      <c r="B39" s="3" t="str">
        <f t="shared" ref="B39:B75" si="1">TEXT(MID(A39,1,5),"00000")</f>
        <v>17337</v>
      </c>
      <c r="C39" s="3" t="s">
        <v>152</v>
      </c>
      <c r="D39" s="3" t="s">
        <v>312</v>
      </c>
    </row>
    <row r="40" customHeight="1" spans="1:4">
      <c r="A40" s="3" t="s">
        <v>313</v>
      </c>
      <c r="B40" s="3" t="str">
        <f t="shared" si="1"/>
        <v>17337</v>
      </c>
      <c r="C40" s="3" t="s">
        <v>152</v>
      </c>
      <c r="D40" s="3" t="s">
        <v>312</v>
      </c>
    </row>
    <row r="41" customHeight="1" spans="1:4">
      <c r="A41" s="3" t="s">
        <v>314</v>
      </c>
      <c r="B41" s="3" t="str">
        <f t="shared" si="1"/>
        <v>17337</v>
      </c>
      <c r="C41" s="3" t="s">
        <v>152</v>
      </c>
      <c r="D41" s="3" t="s">
        <v>312</v>
      </c>
    </row>
    <row r="42" customHeight="1" spans="1:4">
      <c r="A42" s="3" t="s">
        <v>315</v>
      </c>
      <c r="B42" s="3" t="str">
        <f t="shared" si="1"/>
        <v>17337</v>
      </c>
      <c r="C42" s="3" t="s">
        <v>152</v>
      </c>
      <c r="D42" s="3" t="s">
        <v>312</v>
      </c>
    </row>
    <row r="43" customHeight="1" spans="1:4">
      <c r="A43" s="3" t="s">
        <v>316</v>
      </c>
      <c r="B43" s="3" t="str">
        <f t="shared" si="1"/>
        <v>17341</v>
      </c>
      <c r="C43" s="3" t="s">
        <v>269</v>
      </c>
    </row>
    <row r="44" customHeight="1" spans="1:4">
      <c r="A44" s="3" t="s">
        <v>317</v>
      </c>
      <c r="B44" s="3" t="str">
        <f t="shared" si="1"/>
        <v>17341</v>
      </c>
      <c r="C44" s="3" t="s">
        <v>269</v>
      </c>
    </row>
    <row r="45" customHeight="1" spans="1:4">
      <c r="A45" s="3" t="s">
        <v>318</v>
      </c>
      <c r="B45" s="3" t="str">
        <f t="shared" si="1"/>
        <v>17341</v>
      </c>
      <c r="C45" s="3" t="s">
        <v>269</v>
      </c>
    </row>
    <row r="46" customHeight="1" spans="1:4">
      <c r="A46" s="3" t="s">
        <v>319</v>
      </c>
      <c r="B46" s="3" t="str">
        <f t="shared" si="1"/>
        <v>17341</v>
      </c>
      <c r="C46" s="3" t="s">
        <v>269</v>
      </c>
    </row>
    <row r="47" customHeight="1" spans="1:4">
      <c r="A47" s="3" t="s">
        <v>320</v>
      </c>
      <c r="B47" s="3" t="str">
        <f t="shared" si="1"/>
        <v>17342</v>
      </c>
      <c r="C47" s="3" t="s">
        <v>280</v>
      </c>
      <c r="D47" s="5" t="s">
        <v>321</v>
      </c>
    </row>
    <row r="48" customHeight="1" spans="1:4">
      <c r="A48" s="3" t="s">
        <v>322</v>
      </c>
      <c r="B48" s="3" t="str">
        <f t="shared" si="1"/>
        <v>17342</v>
      </c>
      <c r="C48" s="3" t="s">
        <v>280</v>
      </c>
      <c r="D48" s="5" t="s">
        <v>321</v>
      </c>
    </row>
    <row r="49" customHeight="1" spans="1:4">
      <c r="A49" s="3" t="s">
        <v>323</v>
      </c>
      <c r="B49" s="3" t="str">
        <f t="shared" si="1"/>
        <v>17342</v>
      </c>
      <c r="C49" s="3" t="s">
        <v>280</v>
      </c>
      <c r="D49" s="5" t="s">
        <v>321</v>
      </c>
    </row>
    <row r="50" customHeight="1" spans="1:4">
      <c r="A50" s="3" t="s">
        <v>324</v>
      </c>
      <c r="B50" s="3" t="str">
        <f t="shared" si="1"/>
        <v>17343</v>
      </c>
      <c r="C50" s="3" t="s">
        <v>280</v>
      </c>
      <c r="D50" s="5" t="s">
        <v>325</v>
      </c>
    </row>
    <row r="51" customHeight="1" spans="1:4">
      <c r="A51" s="3" t="s">
        <v>326</v>
      </c>
      <c r="B51" s="3" t="str">
        <f t="shared" si="1"/>
        <v>17343</v>
      </c>
      <c r="C51" s="3" t="s">
        <v>280</v>
      </c>
      <c r="D51" s="5" t="s">
        <v>325</v>
      </c>
    </row>
    <row r="52" customHeight="1" spans="1:4">
      <c r="A52" s="3" t="s">
        <v>327</v>
      </c>
      <c r="B52" s="3" t="str">
        <f t="shared" si="1"/>
        <v>17344</v>
      </c>
      <c r="C52" s="3" t="s">
        <v>151</v>
      </c>
      <c r="D52" s="3" t="s">
        <v>274</v>
      </c>
    </row>
    <row r="53" customHeight="1" spans="1:4">
      <c r="A53" s="3" t="s">
        <v>273</v>
      </c>
      <c r="B53" s="3" t="str">
        <f t="shared" si="1"/>
        <v>17344</v>
      </c>
      <c r="C53" s="3" t="s">
        <v>151</v>
      </c>
      <c r="D53" s="3" t="s">
        <v>274</v>
      </c>
    </row>
    <row r="54" customHeight="1" spans="1:4">
      <c r="A54" s="3" t="s">
        <v>328</v>
      </c>
      <c r="B54" s="3" t="str">
        <f t="shared" si="1"/>
        <v>17345</v>
      </c>
      <c r="C54" s="3" t="s">
        <v>151</v>
      </c>
      <c r="D54" s="3" t="s">
        <v>276</v>
      </c>
    </row>
    <row r="55" customHeight="1" spans="1:4">
      <c r="A55" s="3" t="s">
        <v>329</v>
      </c>
      <c r="B55" s="3" t="str">
        <f t="shared" si="1"/>
        <v>17345</v>
      </c>
      <c r="C55" s="3" t="s">
        <v>151</v>
      </c>
      <c r="D55" s="3" t="s">
        <v>276</v>
      </c>
    </row>
    <row r="56" customHeight="1" spans="1:4">
      <c r="A56" s="3" t="s">
        <v>330</v>
      </c>
      <c r="B56" s="3" t="str">
        <f t="shared" si="1"/>
        <v>17345</v>
      </c>
      <c r="C56" s="3" t="s">
        <v>151</v>
      </c>
      <c r="D56" s="3" t="s">
        <v>276</v>
      </c>
    </row>
    <row r="57" customHeight="1" spans="1:4">
      <c r="A57" s="3" t="s">
        <v>331</v>
      </c>
      <c r="B57" s="3" t="str">
        <f t="shared" si="1"/>
        <v>17345</v>
      </c>
      <c r="C57" s="3" t="s">
        <v>151</v>
      </c>
      <c r="D57" s="3" t="s">
        <v>276</v>
      </c>
    </row>
    <row r="58" customHeight="1" spans="1:4">
      <c r="A58" s="3" t="s">
        <v>32</v>
      </c>
      <c r="B58" s="3" t="str">
        <f t="shared" si="1"/>
        <v>17389</v>
      </c>
      <c r="C58" s="3" t="s">
        <v>152</v>
      </c>
      <c r="D58" s="3" t="s">
        <v>332</v>
      </c>
    </row>
    <row r="59" customHeight="1" spans="1:4">
      <c r="A59" s="3" t="s">
        <v>333</v>
      </c>
      <c r="B59" s="3" t="str">
        <f t="shared" si="1"/>
        <v>17392</v>
      </c>
      <c r="C59" s="3" t="s">
        <v>269</v>
      </c>
    </row>
    <row r="60" customHeight="1" spans="1:4">
      <c r="A60" s="3" t="s">
        <v>334</v>
      </c>
      <c r="B60" s="3" t="str">
        <f t="shared" si="1"/>
        <v>17513</v>
      </c>
      <c r="C60" s="3" t="s">
        <v>269</v>
      </c>
    </row>
    <row r="61" customHeight="1" spans="1:4">
      <c r="A61" s="3" t="s">
        <v>335</v>
      </c>
      <c r="B61" s="3" t="str">
        <f t="shared" si="1"/>
        <v>17513</v>
      </c>
      <c r="C61" s="3" t="s">
        <v>269</v>
      </c>
    </row>
    <row r="62" customHeight="1" spans="1:4">
      <c r="A62" s="3" t="s">
        <v>336</v>
      </c>
      <c r="B62" s="3" t="str">
        <f t="shared" si="1"/>
        <v>17527</v>
      </c>
      <c r="C62" s="3" t="s">
        <v>280</v>
      </c>
      <c r="D62" s="3" t="s">
        <v>337</v>
      </c>
    </row>
    <row r="63" customHeight="1" spans="1:4">
      <c r="A63" s="3" t="s">
        <v>338</v>
      </c>
      <c r="B63" s="3" t="str">
        <f t="shared" si="1"/>
        <v>17528</v>
      </c>
      <c r="C63" s="3" t="s">
        <v>269</v>
      </c>
      <c r="D63" s="3" t="s">
        <v>339</v>
      </c>
    </row>
    <row r="64" customHeight="1" spans="1:4">
      <c r="A64" s="3" t="s">
        <v>340</v>
      </c>
      <c r="B64" s="3" t="str">
        <f t="shared" si="1"/>
        <v>17529</v>
      </c>
      <c r="C64" s="3" t="s">
        <v>280</v>
      </c>
      <c r="D64" s="3" t="s">
        <v>278</v>
      </c>
    </row>
    <row r="65" customHeight="1" spans="1:4">
      <c r="A65" s="3" t="s">
        <v>341</v>
      </c>
      <c r="B65" s="3" t="str">
        <f t="shared" si="1"/>
        <v>17529</v>
      </c>
      <c r="C65" s="3" t="s">
        <v>280</v>
      </c>
      <c r="D65" s="3" t="s">
        <v>278</v>
      </c>
    </row>
    <row r="66" customHeight="1" spans="1:4">
      <c r="A66" s="3" t="s">
        <v>342</v>
      </c>
      <c r="B66" s="3" t="str">
        <f t="shared" si="1"/>
        <v>17529</v>
      </c>
      <c r="C66" s="3" t="s">
        <v>280</v>
      </c>
      <c r="D66" s="3" t="s">
        <v>278</v>
      </c>
    </row>
    <row r="67" customHeight="1" spans="1:4">
      <c r="A67" s="3" t="s">
        <v>343</v>
      </c>
      <c r="B67" s="3" t="str">
        <f t="shared" si="1"/>
        <v>17529</v>
      </c>
      <c r="C67" s="3" t="s">
        <v>280</v>
      </c>
      <c r="D67" s="3" t="s">
        <v>278</v>
      </c>
    </row>
    <row r="68" customHeight="1" spans="1:4">
      <c r="A68" s="3" t="s">
        <v>277</v>
      </c>
      <c r="B68" s="3" t="str">
        <f t="shared" si="1"/>
        <v>17529</v>
      </c>
      <c r="C68" s="3" t="s">
        <v>280</v>
      </c>
      <c r="D68" s="3" t="s">
        <v>278</v>
      </c>
    </row>
    <row r="69" customHeight="1" spans="1:4">
      <c r="A69" s="3" t="s">
        <v>344</v>
      </c>
      <c r="B69" s="3" t="str">
        <f t="shared" si="1"/>
        <v>17552</v>
      </c>
      <c r="C69" s="3" t="s">
        <v>280</v>
      </c>
      <c r="D69" s="3" t="s">
        <v>227</v>
      </c>
    </row>
    <row r="70" customHeight="1" spans="1:4">
      <c r="A70" s="3" t="s">
        <v>49</v>
      </c>
      <c r="B70" s="3" t="str">
        <f t="shared" si="1"/>
        <v>17563</v>
      </c>
      <c r="C70" s="3" t="s">
        <v>151</v>
      </c>
      <c r="D70" s="3" t="s">
        <v>222</v>
      </c>
    </row>
    <row r="71" customHeight="1" spans="1:4">
      <c r="A71" s="3" t="s">
        <v>345</v>
      </c>
      <c r="B71" s="3" t="str">
        <f t="shared" si="1"/>
        <v>17588</v>
      </c>
      <c r="C71" s="3" t="s">
        <v>280</v>
      </c>
      <c r="D71" s="3" t="s">
        <v>282</v>
      </c>
    </row>
    <row r="72" customHeight="1" spans="1:4">
      <c r="A72" s="3" t="s">
        <v>283</v>
      </c>
      <c r="B72" s="3" t="str">
        <f t="shared" si="1"/>
        <v>17644</v>
      </c>
      <c r="C72" s="3" t="s">
        <v>280</v>
      </c>
      <c r="D72" s="3" t="s">
        <v>278</v>
      </c>
    </row>
    <row r="73" customHeight="1" spans="1:4">
      <c r="A73" s="3" t="s">
        <v>65</v>
      </c>
      <c r="B73" s="3" t="str">
        <f t="shared" si="1"/>
        <v>18060</v>
      </c>
      <c r="C73" s="3" t="s">
        <v>151</v>
      </c>
      <c r="D73" s="3" t="s">
        <v>200</v>
      </c>
    </row>
    <row r="74" customHeight="1" spans="1:4">
      <c r="A74" s="3" t="s">
        <v>346</v>
      </c>
      <c r="B74" s="3" t="str">
        <f t="shared" si="1"/>
        <v>18947</v>
      </c>
      <c r="C74" s="3" t="s">
        <v>280</v>
      </c>
      <c r="D74" s="3" t="s">
        <v>347</v>
      </c>
    </row>
    <row r="75" customHeight="1" spans="1:4">
      <c r="A75" s="3" t="s">
        <v>348</v>
      </c>
      <c r="B75" s="3" t="str">
        <f t="shared" si="1"/>
        <v>50040</v>
      </c>
      <c r="C75" s="3" t="s">
        <v>151</v>
      </c>
      <c r="D75" s="3" t="s">
        <v>349</v>
      </c>
    </row>
    <row r="76" customHeight="1" spans="1:4">
      <c r="A76" s="3" t="s">
        <v>350</v>
      </c>
      <c r="B76" s="3" t="str">
        <f t="shared" ref="B75:B138" si="2">TEXT(MID(A76,1,5),"00000")</f>
        <v>50040</v>
      </c>
      <c r="C76" s="3" t="s">
        <v>151</v>
      </c>
      <c r="D76" s="3" t="s">
        <v>349</v>
      </c>
    </row>
    <row r="77" customHeight="1" spans="1:4">
      <c r="A77" s="3" t="s">
        <v>351</v>
      </c>
      <c r="B77" s="3" t="str">
        <f t="shared" si="2"/>
        <v>50040</v>
      </c>
      <c r="C77" s="3" t="s">
        <v>151</v>
      </c>
      <c r="D77" s="3" t="s">
        <v>349</v>
      </c>
    </row>
    <row r="78" customHeight="1" spans="1:4">
      <c r="A78" s="3" t="s">
        <v>352</v>
      </c>
      <c r="B78" s="3" t="str">
        <f t="shared" si="2"/>
        <v>50047</v>
      </c>
      <c r="C78" s="3" t="s">
        <v>151</v>
      </c>
    </row>
    <row r="79" customHeight="1" spans="1:4">
      <c r="A79" s="3" t="s">
        <v>353</v>
      </c>
      <c r="B79" s="3" t="str">
        <f t="shared" si="2"/>
        <v>50047</v>
      </c>
      <c r="C79" s="3" t="s">
        <v>152</v>
      </c>
    </row>
    <row r="80" customHeight="1" spans="1:4">
      <c r="A80" s="3" t="s">
        <v>354</v>
      </c>
      <c r="B80" s="3" t="str">
        <f t="shared" si="2"/>
        <v>50060</v>
      </c>
      <c r="C80" s="3" t="s">
        <v>152</v>
      </c>
    </row>
    <row r="81" customHeight="1" spans="1:4">
      <c r="A81" s="3" t="s">
        <v>355</v>
      </c>
      <c r="B81" s="3" t="str">
        <f t="shared" si="2"/>
        <v>50064</v>
      </c>
      <c r="C81" s="3" t="s">
        <v>152</v>
      </c>
    </row>
    <row r="82" customHeight="1" spans="1:4">
      <c r="A82" s="3" t="s">
        <v>356</v>
      </c>
      <c r="B82" s="3" t="str">
        <f t="shared" si="2"/>
        <v>50064</v>
      </c>
      <c r="C82" s="3" t="s">
        <v>152</v>
      </c>
    </row>
    <row r="83" customHeight="1" spans="1:4">
      <c r="A83" s="3" t="s">
        <v>357</v>
      </c>
      <c r="B83" s="3" t="str">
        <f t="shared" si="2"/>
        <v>50074</v>
      </c>
      <c r="C83" s="3" t="s">
        <v>151</v>
      </c>
      <c r="D83" s="3" t="s">
        <v>349</v>
      </c>
    </row>
    <row r="84" customHeight="1" spans="1:4">
      <c r="A84" s="3" t="s">
        <v>358</v>
      </c>
      <c r="B84" s="3" t="str">
        <f t="shared" si="2"/>
        <v>50074</v>
      </c>
      <c r="C84" s="3" t="s">
        <v>151</v>
      </c>
      <c r="D84" s="3" t="s">
        <v>349</v>
      </c>
    </row>
    <row r="85" customHeight="1" spans="1:4">
      <c r="A85" s="3" t="s">
        <v>359</v>
      </c>
      <c r="B85" s="3" t="str">
        <f t="shared" si="2"/>
        <v>50074</v>
      </c>
      <c r="C85" s="3" t="s">
        <v>151</v>
      </c>
      <c r="D85" s="3" t="s">
        <v>349</v>
      </c>
    </row>
    <row r="86" customHeight="1" spans="1:4">
      <c r="A86" s="3" t="s">
        <v>360</v>
      </c>
      <c r="B86" s="3" t="str">
        <f t="shared" si="2"/>
        <v>50110</v>
      </c>
      <c r="C86" s="3" t="s">
        <v>151</v>
      </c>
    </row>
    <row r="87" customHeight="1" spans="1:4">
      <c r="A87" s="3" t="s">
        <v>361</v>
      </c>
      <c r="B87" s="3" t="str">
        <f t="shared" si="2"/>
        <v>50111</v>
      </c>
      <c r="C87" s="3" t="s">
        <v>151</v>
      </c>
    </row>
    <row r="88" customHeight="1" spans="1:4">
      <c r="A88" s="3" t="s">
        <v>362</v>
      </c>
      <c r="B88" s="3" t="str">
        <f t="shared" si="2"/>
        <v>50111</v>
      </c>
      <c r="C88" s="3" t="s">
        <v>151</v>
      </c>
    </row>
    <row r="89" customHeight="1" spans="1:4">
      <c r="A89" s="3" t="s">
        <v>363</v>
      </c>
      <c r="B89" s="3" t="str">
        <f t="shared" si="2"/>
        <v>50112</v>
      </c>
      <c r="C89" s="3" t="s">
        <v>151</v>
      </c>
    </row>
    <row r="90" customHeight="1" spans="1:4">
      <c r="A90" s="3" t="s">
        <v>364</v>
      </c>
      <c r="B90" s="3" t="str">
        <f t="shared" si="2"/>
        <v>50112</v>
      </c>
      <c r="C90" s="3" t="s">
        <v>151</v>
      </c>
    </row>
    <row r="91" customHeight="1" spans="1:4">
      <c r="A91" s="3" t="s">
        <v>365</v>
      </c>
      <c r="B91" s="3" t="str">
        <f t="shared" si="2"/>
        <v>50113</v>
      </c>
      <c r="C91" s="3" t="s">
        <v>151</v>
      </c>
    </row>
    <row r="92" customHeight="1" spans="1:4">
      <c r="A92" s="3" t="s">
        <v>366</v>
      </c>
      <c r="B92" s="3" t="str">
        <f t="shared" si="2"/>
        <v>50113</v>
      </c>
      <c r="C92" s="3" t="s">
        <v>151</v>
      </c>
    </row>
    <row r="93" customHeight="1" spans="1:4">
      <c r="A93" s="3" t="s">
        <v>367</v>
      </c>
      <c r="B93" s="3" t="str">
        <f t="shared" si="2"/>
        <v>50116</v>
      </c>
      <c r="C93" s="3" t="s">
        <v>152</v>
      </c>
      <c r="D93" s="3" t="s">
        <v>349</v>
      </c>
    </row>
    <row r="94" customHeight="1" spans="1:4">
      <c r="A94" s="3" t="s">
        <v>368</v>
      </c>
      <c r="B94" s="3" t="str">
        <f t="shared" si="2"/>
        <v>50119</v>
      </c>
      <c r="C94" s="3" t="s">
        <v>152</v>
      </c>
    </row>
    <row r="95" customHeight="1" spans="1:4">
      <c r="A95" s="3" t="s">
        <v>369</v>
      </c>
      <c r="B95" s="3" t="str">
        <f t="shared" si="2"/>
        <v>50122</v>
      </c>
      <c r="C95" s="3" t="s">
        <v>152</v>
      </c>
    </row>
    <row r="96" customHeight="1" spans="1:4">
      <c r="A96" s="3" t="s">
        <v>370</v>
      </c>
      <c r="B96" s="3" t="str">
        <f t="shared" si="2"/>
        <v>50122</v>
      </c>
      <c r="C96" s="3" t="s">
        <v>152</v>
      </c>
    </row>
    <row r="97" customHeight="1" spans="1:4">
      <c r="A97" s="3" t="s">
        <v>371</v>
      </c>
      <c r="B97" s="3" t="str">
        <f t="shared" si="2"/>
        <v>50124</v>
      </c>
      <c r="C97" s="3" t="s">
        <v>151</v>
      </c>
    </row>
    <row r="98" customHeight="1" spans="1:4">
      <c r="A98" s="3" t="s">
        <v>372</v>
      </c>
      <c r="B98" s="3" t="str">
        <f t="shared" si="2"/>
        <v>50125</v>
      </c>
      <c r="C98" s="3" t="s">
        <v>151</v>
      </c>
      <c r="D98" s="3" t="s">
        <v>373</v>
      </c>
    </row>
    <row r="99" customHeight="1" spans="1:4">
      <c r="A99" s="3" t="s">
        <v>374</v>
      </c>
      <c r="B99" s="3" t="str">
        <f t="shared" si="2"/>
        <v>50125</v>
      </c>
      <c r="C99" s="3" t="s">
        <v>151</v>
      </c>
      <c r="D99" s="3" t="s">
        <v>373</v>
      </c>
    </row>
    <row r="100" customHeight="1" spans="1:4">
      <c r="A100" s="3" t="s">
        <v>375</v>
      </c>
      <c r="B100" s="3" t="str">
        <f t="shared" si="2"/>
        <v>50127</v>
      </c>
      <c r="C100" s="3" t="s">
        <v>151</v>
      </c>
      <c r="D100" s="3" t="s">
        <v>373</v>
      </c>
    </row>
    <row r="101" customHeight="1" spans="1:4">
      <c r="A101" s="3" t="s">
        <v>376</v>
      </c>
      <c r="B101" s="3" t="str">
        <f t="shared" si="2"/>
        <v>50127</v>
      </c>
      <c r="C101" s="3" t="s">
        <v>151</v>
      </c>
      <c r="D101" s="3" t="s">
        <v>373</v>
      </c>
    </row>
    <row r="102" customHeight="1" spans="1:4">
      <c r="A102" s="3" t="s">
        <v>377</v>
      </c>
      <c r="B102" s="3" t="str">
        <f t="shared" si="2"/>
        <v>50127</v>
      </c>
      <c r="C102" s="3" t="s">
        <v>151</v>
      </c>
      <c r="D102" s="3" t="s">
        <v>373</v>
      </c>
    </row>
    <row r="103" customHeight="1" spans="1:4">
      <c r="A103" s="3" t="s">
        <v>378</v>
      </c>
      <c r="B103" s="3" t="str">
        <f t="shared" si="2"/>
        <v>50128</v>
      </c>
      <c r="C103" s="3" t="s">
        <v>151</v>
      </c>
      <c r="D103" s="3" t="s">
        <v>373</v>
      </c>
    </row>
    <row r="104" customHeight="1" spans="1:4">
      <c r="A104" s="3" t="s">
        <v>379</v>
      </c>
      <c r="B104" s="3" t="str">
        <f t="shared" si="2"/>
        <v>50128</v>
      </c>
      <c r="C104" s="3" t="s">
        <v>151</v>
      </c>
      <c r="D104" s="3" t="s">
        <v>373</v>
      </c>
    </row>
    <row r="105" customHeight="1" spans="1:4">
      <c r="A105" s="3" t="s">
        <v>380</v>
      </c>
      <c r="B105" s="3" t="str">
        <f t="shared" si="2"/>
        <v>50128</v>
      </c>
      <c r="C105" s="3" t="s">
        <v>151</v>
      </c>
      <c r="D105" s="3" t="s">
        <v>373</v>
      </c>
    </row>
    <row r="106" customHeight="1" spans="1:4">
      <c r="A106" s="3" t="s">
        <v>381</v>
      </c>
      <c r="B106" s="3" t="str">
        <f t="shared" si="2"/>
        <v>50157</v>
      </c>
      <c r="C106" s="3" t="s">
        <v>152</v>
      </c>
    </row>
    <row r="107" customHeight="1" spans="1:4">
      <c r="A107" s="3" t="s">
        <v>382</v>
      </c>
      <c r="B107" s="3" t="str">
        <f t="shared" si="2"/>
        <v>50157</v>
      </c>
      <c r="C107" s="3" t="s">
        <v>152</v>
      </c>
    </row>
    <row r="108" customHeight="1" spans="1:4">
      <c r="A108" s="3" t="s">
        <v>383</v>
      </c>
      <c r="B108" s="3" t="str">
        <f t="shared" si="2"/>
        <v>50171</v>
      </c>
      <c r="C108" s="3" t="s">
        <v>151</v>
      </c>
      <c r="D108" s="3" t="s">
        <v>384</v>
      </c>
    </row>
    <row r="109" customHeight="1" spans="1:4">
      <c r="A109" s="3" t="s">
        <v>385</v>
      </c>
      <c r="B109" s="3" t="str">
        <f t="shared" si="2"/>
        <v>50171</v>
      </c>
      <c r="C109" s="3" t="s">
        <v>151</v>
      </c>
      <c r="D109" s="3" t="s">
        <v>384</v>
      </c>
    </row>
    <row r="110" customHeight="1" spans="1:4">
      <c r="A110" s="3" t="s">
        <v>386</v>
      </c>
      <c r="B110" s="3" t="str">
        <f t="shared" si="2"/>
        <v>50186</v>
      </c>
      <c r="C110" s="3" t="s">
        <v>151</v>
      </c>
      <c r="D110" s="3" t="s">
        <v>387</v>
      </c>
    </row>
    <row r="111" customHeight="1" spans="1:4">
      <c r="A111" s="3" t="s">
        <v>388</v>
      </c>
      <c r="B111" s="3" t="str">
        <f t="shared" si="2"/>
        <v>50186</v>
      </c>
      <c r="C111" s="3" t="s">
        <v>151</v>
      </c>
      <c r="D111" s="3" t="s">
        <v>387</v>
      </c>
    </row>
    <row r="112" customHeight="1" spans="1:4">
      <c r="A112" s="3" t="s">
        <v>389</v>
      </c>
      <c r="B112" s="3" t="str">
        <f t="shared" si="2"/>
        <v>50186</v>
      </c>
      <c r="C112" s="3" t="s">
        <v>151</v>
      </c>
      <c r="D112" s="3" t="s">
        <v>387</v>
      </c>
    </row>
    <row r="113" customHeight="1" spans="1:4">
      <c r="A113" s="3" t="s">
        <v>390</v>
      </c>
      <c r="B113" s="3" t="str">
        <f t="shared" si="2"/>
        <v>50187</v>
      </c>
      <c r="C113" s="3" t="s">
        <v>151</v>
      </c>
    </row>
    <row r="114" customHeight="1" spans="1:4">
      <c r="A114" s="3" t="s">
        <v>391</v>
      </c>
      <c r="B114" s="3" t="str">
        <f t="shared" si="2"/>
        <v>50187</v>
      </c>
      <c r="C114" s="3" t="s">
        <v>151</v>
      </c>
    </row>
    <row r="115" customHeight="1" spans="1:4">
      <c r="A115" s="3" t="s">
        <v>392</v>
      </c>
      <c r="B115" s="3" t="str">
        <f t="shared" si="2"/>
        <v>50187</v>
      </c>
      <c r="C115" s="3" t="s">
        <v>151</v>
      </c>
    </row>
    <row r="116" customHeight="1" spans="1:4">
      <c r="A116" s="3" t="s">
        <v>393</v>
      </c>
      <c r="B116" s="3" t="str">
        <f t="shared" si="2"/>
        <v>50188</v>
      </c>
      <c r="C116" s="3" t="s">
        <v>151</v>
      </c>
      <c r="D116" s="3" t="s">
        <v>394</v>
      </c>
    </row>
    <row r="117" customHeight="1" spans="1:4">
      <c r="A117" s="3" t="s">
        <v>395</v>
      </c>
      <c r="B117" s="3" t="str">
        <f t="shared" si="2"/>
        <v>50188</v>
      </c>
      <c r="C117" s="3" t="s">
        <v>151</v>
      </c>
      <c r="D117" s="3" t="s">
        <v>394</v>
      </c>
    </row>
    <row r="118" customHeight="1" spans="1:4">
      <c r="A118" s="3" t="s">
        <v>396</v>
      </c>
      <c r="B118" s="3" t="str">
        <f t="shared" si="2"/>
        <v>50188</v>
      </c>
      <c r="C118" s="3" t="s">
        <v>151</v>
      </c>
      <c r="D118" s="3" t="s">
        <v>394</v>
      </c>
    </row>
    <row r="119" customHeight="1" spans="1:4">
      <c r="A119" s="3" t="s">
        <v>397</v>
      </c>
      <c r="B119" s="3" t="str">
        <f t="shared" si="2"/>
        <v>50189</v>
      </c>
      <c r="C119" s="3" t="s">
        <v>152</v>
      </c>
      <c r="D119" s="3" t="s">
        <v>349</v>
      </c>
    </row>
    <row r="120" customHeight="1" spans="1:4">
      <c r="A120" s="3" t="s">
        <v>398</v>
      </c>
      <c r="B120" s="3" t="str">
        <f t="shared" si="2"/>
        <v>50189</v>
      </c>
      <c r="C120" s="3" t="s">
        <v>152</v>
      </c>
      <c r="D120" s="3" t="s">
        <v>349</v>
      </c>
    </row>
    <row r="121" customHeight="1" spans="1:4">
      <c r="A121" s="3" t="s">
        <v>399</v>
      </c>
      <c r="B121" s="3" t="str">
        <f t="shared" si="2"/>
        <v>50189</v>
      </c>
      <c r="C121" s="3" t="s">
        <v>152</v>
      </c>
      <c r="D121" s="3" t="s">
        <v>349</v>
      </c>
    </row>
    <row r="122" customHeight="1" spans="1:4">
      <c r="A122" s="3" t="s">
        <v>400</v>
      </c>
      <c r="B122" s="3" t="str">
        <f t="shared" si="2"/>
        <v>50190</v>
      </c>
      <c r="C122" s="3" t="s">
        <v>152</v>
      </c>
    </row>
    <row r="123" customHeight="1" spans="1:4">
      <c r="A123" s="3" t="s">
        <v>401</v>
      </c>
      <c r="B123" s="3" t="str">
        <f t="shared" si="2"/>
        <v>50190</v>
      </c>
      <c r="C123" s="3" t="s">
        <v>152</v>
      </c>
    </row>
    <row r="124" customHeight="1" spans="1:4">
      <c r="A124" s="3" t="s">
        <v>402</v>
      </c>
      <c r="B124" s="3" t="str">
        <f t="shared" si="2"/>
        <v>50190</v>
      </c>
      <c r="C124" s="3" t="s">
        <v>152</v>
      </c>
    </row>
    <row r="125" customHeight="1" spans="1:4">
      <c r="A125" s="3" t="s">
        <v>403</v>
      </c>
      <c r="B125" s="3" t="str">
        <f t="shared" si="2"/>
        <v>50191</v>
      </c>
      <c r="C125" s="3" t="s">
        <v>152</v>
      </c>
    </row>
    <row r="126" customHeight="1" spans="1:4">
      <c r="A126" s="3" t="s">
        <v>404</v>
      </c>
      <c r="B126" s="3" t="str">
        <f t="shared" si="2"/>
        <v>50191</v>
      </c>
      <c r="C126" s="3" t="s">
        <v>152</v>
      </c>
    </row>
    <row r="127" customHeight="1" spans="1:4">
      <c r="A127" s="3" t="s">
        <v>405</v>
      </c>
      <c r="B127" s="3" t="str">
        <f t="shared" si="2"/>
        <v>50191</v>
      </c>
      <c r="C127" s="3" t="s">
        <v>152</v>
      </c>
    </row>
    <row r="128" customHeight="1" spans="1:4">
      <c r="A128" s="3" t="s">
        <v>406</v>
      </c>
      <c r="B128" s="3" t="str">
        <f t="shared" si="2"/>
        <v>50212</v>
      </c>
      <c r="C128" s="3" t="s">
        <v>151</v>
      </c>
    </row>
    <row r="129" customHeight="1" spans="1:4">
      <c r="A129" s="3" t="s">
        <v>407</v>
      </c>
      <c r="B129" s="3" t="str">
        <f t="shared" si="2"/>
        <v>50221</v>
      </c>
      <c r="C129" s="3" t="s">
        <v>151</v>
      </c>
    </row>
    <row r="130" customHeight="1" spans="1:4">
      <c r="A130" s="3" t="s">
        <v>408</v>
      </c>
      <c r="B130" s="3" t="str">
        <f t="shared" si="2"/>
        <v>50224</v>
      </c>
      <c r="C130" s="3" t="s">
        <v>152</v>
      </c>
    </row>
    <row r="131" customHeight="1" spans="1:4">
      <c r="A131" s="3" t="s">
        <v>409</v>
      </c>
      <c r="B131" s="3" t="str">
        <f t="shared" si="2"/>
        <v>50238</v>
      </c>
      <c r="C131" s="3" t="s">
        <v>151</v>
      </c>
      <c r="D131" s="3" t="s">
        <v>387</v>
      </c>
    </row>
    <row r="132" customHeight="1" spans="1:4">
      <c r="A132" s="3" t="s">
        <v>410</v>
      </c>
      <c r="B132" s="3" t="str">
        <f t="shared" si="2"/>
        <v>50238</v>
      </c>
      <c r="C132" s="3" t="s">
        <v>151</v>
      </c>
      <c r="D132" s="3" t="s">
        <v>387</v>
      </c>
    </row>
    <row r="133" customHeight="1" spans="1:4">
      <c r="A133" s="3" t="s">
        <v>411</v>
      </c>
      <c r="B133" s="3" t="str">
        <f t="shared" si="2"/>
        <v>50239</v>
      </c>
      <c r="C133" s="3" t="s">
        <v>151</v>
      </c>
      <c r="D133" s="3" t="s">
        <v>387</v>
      </c>
    </row>
    <row r="134" customHeight="1" spans="1:4">
      <c r="A134" s="3" t="s">
        <v>412</v>
      </c>
      <c r="B134" s="3" t="str">
        <f t="shared" si="2"/>
        <v>50239</v>
      </c>
      <c r="C134" s="3" t="s">
        <v>151</v>
      </c>
      <c r="D134" s="3" t="s">
        <v>387</v>
      </c>
    </row>
    <row r="135" customHeight="1" spans="1:4">
      <c r="A135" s="3" t="s">
        <v>413</v>
      </c>
      <c r="B135" s="3" t="str">
        <f t="shared" si="2"/>
        <v>50239</v>
      </c>
      <c r="C135" s="3" t="s">
        <v>151</v>
      </c>
      <c r="D135" s="3" t="s">
        <v>387</v>
      </c>
    </row>
    <row r="136" customHeight="1" spans="1:4">
      <c r="A136" s="3" t="s">
        <v>414</v>
      </c>
      <c r="B136" s="3" t="str">
        <f t="shared" si="2"/>
        <v>50239</v>
      </c>
      <c r="C136" s="3" t="s">
        <v>151</v>
      </c>
      <c r="D136" s="3" t="s">
        <v>387</v>
      </c>
    </row>
    <row r="137" customHeight="1" spans="1:4">
      <c r="A137" s="3" t="s">
        <v>415</v>
      </c>
      <c r="B137" s="3" t="str">
        <f t="shared" si="2"/>
        <v>50240</v>
      </c>
      <c r="C137" s="3" t="s">
        <v>151</v>
      </c>
      <c r="D137" s="3" t="s">
        <v>387</v>
      </c>
    </row>
    <row r="138" customHeight="1" spans="1:4">
      <c r="A138" s="3" t="s">
        <v>416</v>
      </c>
      <c r="B138" s="3" t="str">
        <f t="shared" si="2"/>
        <v>50240</v>
      </c>
      <c r="C138" s="3" t="s">
        <v>151</v>
      </c>
      <c r="D138" s="3" t="s">
        <v>387</v>
      </c>
    </row>
    <row r="139" customHeight="1" spans="1:4">
      <c r="A139" s="3" t="s">
        <v>417</v>
      </c>
      <c r="B139" s="3" t="str">
        <f t="shared" ref="B139:B199" si="3">TEXT(MID(A139,1,5),"00000")</f>
        <v>50240</v>
      </c>
      <c r="C139" s="3" t="s">
        <v>151</v>
      </c>
      <c r="D139" s="3" t="s">
        <v>387</v>
      </c>
    </row>
    <row r="140" customHeight="1" spans="1:4">
      <c r="A140" s="3" t="s">
        <v>418</v>
      </c>
      <c r="B140" s="3" t="str">
        <f t="shared" si="3"/>
        <v>50240</v>
      </c>
      <c r="C140" s="3" t="s">
        <v>151</v>
      </c>
      <c r="D140" s="3" t="s">
        <v>387</v>
      </c>
    </row>
    <row r="141" customHeight="1" spans="1:4">
      <c r="A141" s="3" t="s">
        <v>419</v>
      </c>
      <c r="B141" s="3" t="str">
        <f t="shared" si="3"/>
        <v>50241</v>
      </c>
      <c r="C141" s="3" t="s">
        <v>151</v>
      </c>
      <c r="D141" s="3" t="s">
        <v>387</v>
      </c>
    </row>
    <row r="142" customHeight="1" spans="1:4">
      <c r="A142" s="3" t="s">
        <v>420</v>
      </c>
      <c r="B142" s="3" t="str">
        <f t="shared" si="3"/>
        <v>50241</v>
      </c>
      <c r="C142" s="3" t="s">
        <v>151</v>
      </c>
      <c r="D142" s="3" t="s">
        <v>387</v>
      </c>
    </row>
    <row r="143" customHeight="1" spans="1:4">
      <c r="A143" s="3" t="s">
        <v>421</v>
      </c>
      <c r="B143" s="3" t="str">
        <f t="shared" si="3"/>
        <v>50241</v>
      </c>
      <c r="C143" s="3" t="s">
        <v>151</v>
      </c>
      <c r="D143" s="3" t="s">
        <v>387</v>
      </c>
    </row>
    <row r="144" customHeight="1" spans="1:4">
      <c r="A144" s="3" t="s">
        <v>422</v>
      </c>
      <c r="B144" s="3" t="str">
        <f t="shared" si="3"/>
        <v>50241</v>
      </c>
      <c r="C144" s="3" t="s">
        <v>151</v>
      </c>
      <c r="D144" s="3" t="s">
        <v>387</v>
      </c>
    </row>
    <row r="145" customHeight="1" spans="1:4">
      <c r="A145" s="3" t="s">
        <v>423</v>
      </c>
      <c r="B145" s="3" t="str">
        <f t="shared" si="3"/>
        <v>50242</v>
      </c>
      <c r="C145" s="3" t="s">
        <v>152</v>
      </c>
      <c r="D145" s="3" t="s">
        <v>349</v>
      </c>
    </row>
    <row r="146" customHeight="1" spans="1:4">
      <c r="A146" s="3" t="s">
        <v>424</v>
      </c>
      <c r="B146" s="3" t="str">
        <f t="shared" si="3"/>
        <v>50242</v>
      </c>
      <c r="C146" s="3" t="s">
        <v>152</v>
      </c>
      <c r="D146" s="3" t="s">
        <v>349</v>
      </c>
    </row>
    <row r="147" customHeight="1" spans="1:4">
      <c r="A147" s="3" t="s">
        <v>425</v>
      </c>
      <c r="B147" s="3" t="str">
        <f t="shared" si="3"/>
        <v>50242</v>
      </c>
      <c r="C147" s="3" t="s">
        <v>152</v>
      </c>
      <c r="D147" s="3" t="s">
        <v>349</v>
      </c>
    </row>
    <row r="148" customHeight="1" spans="1:4">
      <c r="A148" s="3" t="s">
        <v>426</v>
      </c>
      <c r="B148" s="3" t="str">
        <f t="shared" si="3"/>
        <v>50243</v>
      </c>
      <c r="C148" s="3" t="s">
        <v>152</v>
      </c>
      <c r="D148" s="3" t="s">
        <v>349</v>
      </c>
    </row>
    <row r="149" customHeight="1" spans="1:4">
      <c r="A149" s="3" t="s">
        <v>427</v>
      </c>
      <c r="B149" s="3" t="str">
        <f t="shared" si="3"/>
        <v>50243</v>
      </c>
      <c r="C149" s="3" t="s">
        <v>152</v>
      </c>
      <c r="D149" s="3" t="s">
        <v>349</v>
      </c>
    </row>
    <row r="150" customHeight="1" spans="1:4">
      <c r="A150" s="3" t="s">
        <v>428</v>
      </c>
      <c r="B150" s="3" t="str">
        <f t="shared" si="3"/>
        <v>50243</v>
      </c>
      <c r="C150" s="3" t="s">
        <v>152</v>
      </c>
      <c r="D150" s="3" t="s">
        <v>349</v>
      </c>
    </row>
    <row r="151" customHeight="1" spans="1:4">
      <c r="A151" s="3" t="s">
        <v>429</v>
      </c>
      <c r="B151" s="3" t="str">
        <f t="shared" si="3"/>
        <v>50243</v>
      </c>
      <c r="C151" s="3" t="s">
        <v>152</v>
      </c>
      <c r="D151" s="3" t="s">
        <v>349</v>
      </c>
    </row>
    <row r="152" customHeight="1" spans="1:4">
      <c r="A152" s="3" t="s">
        <v>430</v>
      </c>
      <c r="B152" s="3" t="str">
        <f t="shared" si="3"/>
        <v>50244</v>
      </c>
      <c r="C152" s="3" t="s">
        <v>152</v>
      </c>
      <c r="D152" s="3" t="s">
        <v>349</v>
      </c>
    </row>
    <row r="153" customHeight="1" spans="1:4">
      <c r="A153" s="3" t="s">
        <v>431</v>
      </c>
      <c r="B153" s="3" t="str">
        <f t="shared" si="3"/>
        <v>50244</v>
      </c>
      <c r="C153" s="3" t="s">
        <v>152</v>
      </c>
      <c r="D153" s="3" t="s">
        <v>349</v>
      </c>
    </row>
    <row r="154" customHeight="1" spans="1:4">
      <c r="A154" s="3" t="s">
        <v>432</v>
      </c>
      <c r="B154" s="3" t="str">
        <f t="shared" si="3"/>
        <v>50244</v>
      </c>
      <c r="C154" s="3" t="s">
        <v>152</v>
      </c>
      <c r="D154" s="3" t="s">
        <v>349</v>
      </c>
    </row>
    <row r="155" customHeight="1" spans="1:4">
      <c r="A155" s="3" t="s">
        <v>433</v>
      </c>
      <c r="B155" s="3" t="str">
        <f t="shared" si="3"/>
        <v>50244</v>
      </c>
      <c r="C155" s="3" t="s">
        <v>152</v>
      </c>
      <c r="D155" s="3" t="s">
        <v>349</v>
      </c>
    </row>
    <row r="156" customHeight="1" spans="1:4">
      <c r="A156" s="3" t="s">
        <v>434</v>
      </c>
      <c r="B156" s="3" t="str">
        <f t="shared" si="3"/>
        <v>50245</v>
      </c>
      <c r="C156" s="3" t="s">
        <v>152</v>
      </c>
      <c r="D156" s="3" t="s">
        <v>349</v>
      </c>
    </row>
    <row r="157" customHeight="1" spans="1:4">
      <c r="A157" s="3" t="s">
        <v>435</v>
      </c>
      <c r="B157" s="3" t="str">
        <f t="shared" si="3"/>
        <v>50245</v>
      </c>
      <c r="C157" s="3" t="s">
        <v>152</v>
      </c>
      <c r="D157" s="3" t="s">
        <v>349</v>
      </c>
    </row>
    <row r="158" customHeight="1" spans="1:4">
      <c r="A158" s="3" t="s">
        <v>436</v>
      </c>
      <c r="B158" s="3" t="str">
        <f t="shared" si="3"/>
        <v>50245</v>
      </c>
      <c r="C158" s="3" t="s">
        <v>152</v>
      </c>
      <c r="D158" s="3" t="s">
        <v>349</v>
      </c>
    </row>
    <row r="159" customHeight="1" spans="1:4">
      <c r="A159" s="3" t="s">
        <v>437</v>
      </c>
      <c r="B159" s="3" t="str">
        <f t="shared" si="3"/>
        <v>50245</v>
      </c>
      <c r="C159" s="3" t="s">
        <v>152</v>
      </c>
      <c r="D159" s="3" t="s">
        <v>349</v>
      </c>
    </row>
    <row r="160" customHeight="1" spans="1:4">
      <c r="A160" s="3" t="s">
        <v>438</v>
      </c>
      <c r="B160" s="3" t="str">
        <f t="shared" si="3"/>
        <v>50246</v>
      </c>
      <c r="C160" s="3" t="s">
        <v>152</v>
      </c>
      <c r="D160" s="3" t="s">
        <v>349</v>
      </c>
    </row>
    <row r="161" customHeight="1" spans="1:4">
      <c r="A161" s="3" t="s">
        <v>439</v>
      </c>
      <c r="B161" s="3" t="str">
        <f t="shared" si="3"/>
        <v>50246</v>
      </c>
      <c r="C161" s="3" t="s">
        <v>152</v>
      </c>
      <c r="D161" s="3" t="s">
        <v>349</v>
      </c>
    </row>
    <row r="162" customHeight="1" spans="1:4">
      <c r="A162" s="3" t="s">
        <v>440</v>
      </c>
      <c r="B162" s="3" t="str">
        <f t="shared" si="3"/>
        <v>50246</v>
      </c>
      <c r="C162" s="3" t="s">
        <v>152</v>
      </c>
      <c r="D162" s="3" t="s">
        <v>349</v>
      </c>
    </row>
    <row r="163" customHeight="1" spans="1:4">
      <c r="A163" s="3" t="s">
        <v>441</v>
      </c>
      <c r="B163" s="3" t="str">
        <f t="shared" si="3"/>
        <v>50246</v>
      </c>
      <c r="C163" s="3" t="s">
        <v>152</v>
      </c>
      <c r="D163" s="3" t="s">
        <v>349</v>
      </c>
    </row>
    <row r="164" customHeight="1" spans="1:4">
      <c r="A164" s="3" t="s">
        <v>442</v>
      </c>
      <c r="B164" s="3" t="str">
        <f t="shared" si="3"/>
        <v>50247</v>
      </c>
      <c r="C164" s="3" t="s">
        <v>269</v>
      </c>
      <c r="D164" s="3" t="s">
        <v>443</v>
      </c>
    </row>
    <row r="165" customHeight="1" spans="1:4">
      <c r="A165" s="3" t="s">
        <v>444</v>
      </c>
      <c r="B165" s="3" t="str">
        <f t="shared" si="3"/>
        <v>50247</v>
      </c>
      <c r="C165" s="3" t="s">
        <v>269</v>
      </c>
      <c r="D165" s="3" t="s">
        <v>443</v>
      </c>
    </row>
    <row r="166" customHeight="1" spans="1:4">
      <c r="A166" s="3" t="s">
        <v>445</v>
      </c>
      <c r="B166" s="3" t="str">
        <f t="shared" si="3"/>
        <v>50247</v>
      </c>
      <c r="C166" s="3" t="s">
        <v>269</v>
      </c>
      <c r="D166" s="3" t="s">
        <v>443</v>
      </c>
    </row>
    <row r="167" customHeight="1" spans="1:4">
      <c r="A167" s="3" t="s">
        <v>446</v>
      </c>
      <c r="B167" s="3" t="str">
        <f t="shared" si="3"/>
        <v>50247</v>
      </c>
      <c r="C167" s="3" t="s">
        <v>269</v>
      </c>
      <c r="D167" s="3" t="s">
        <v>443</v>
      </c>
    </row>
    <row r="168" customHeight="1" spans="1:4">
      <c r="A168" s="3" t="s">
        <v>447</v>
      </c>
      <c r="B168" s="3" t="str">
        <f t="shared" si="3"/>
        <v>50247</v>
      </c>
      <c r="C168" s="3" t="s">
        <v>269</v>
      </c>
      <c r="D168" s="3" t="s">
        <v>443</v>
      </c>
    </row>
    <row r="169" customHeight="1" spans="1:4">
      <c r="A169" s="3" t="s">
        <v>448</v>
      </c>
      <c r="B169" s="3" t="str">
        <f t="shared" si="3"/>
        <v>50253</v>
      </c>
      <c r="C169" s="3" t="s">
        <v>152</v>
      </c>
    </row>
    <row r="170" customHeight="1" spans="1:4">
      <c r="A170" s="3" t="s">
        <v>449</v>
      </c>
      <c r="B170" s="3" t="str">
        <f t="shared" si="3"/>
        <v>50253</v>
      </c>
      <c r="C170" s="3" t="s">
        <v>152</v>
      </c>
    </row>
    <row r="171" customHeight="1" spans="1:4">
      <c r="A171" s="3" t="s">
        <v>450</v>
      </c>
      <c r="B171" s="3" t="str">
        <f t="shared" si="3"/>
        <v>50256</v>
      </c>
      <c r="C171" s="3" t="s">
        <v>152</v>
      </c>
      <c r="D171" s="3" t="s">
        <v>349</v>
      </c>
    </row>
    <row r="172" customHeight="1" spans="1:4">
      <c r="A172" s="3" t="s">
        <v>451</v>
      </c>
      <c r="B172" s="3" t="str">
        <f t="shared" si="3"/>
        <v>50256</v>
      </c>
      <c r="C172" s="3" t="s">
        <v>152</v>
      </c>
      <c r="D172" s="3" t="s">
        <v>349</v>
      </c>
    </row>
    <row r="173" customHeight="1" spans="1:4">
      <c r="A173" s="3" t="s">
        <v>451</v>
      </c>
      <c r="B173" s="3" t="str">
        <f t="shared" si="3"/>
        <v>50256</v>
      </c>
      <c r="C173" s="3" t="s">
        <v>152</v>
      </c>
      <c r="D173" s="3" t="s">
        <v>349</v>
      </c>
    </row>
    <row r="174" customHeight="1" spans="1:4">
      <c r="A174" s="3" t="s">
        <v>452</v>
      </c>
      <c r="B174" s="3" t="str">
        <f t="shared" si="3"/>
        <v>50263</v>
      </c>
      <c r="C174" s="3" t="s">
        <v>152</v>
      </c>
      <c r="D174" s="3" t="s">
        <v>349</v>
      </c>
    </row>
    <row r="175" customHeight="1" spans="1:4">
      <c r="A175" s="3" t="s">
        <v>453</v>
      </c>
      <c r="B175" s="3" t="str">
        <f t="shared" si="3"/>
        <v>50263</v>
      </c>
      <c r="C175" s="3" t="s">
        <v>152</v>
      </c>
      <c r="D175" s="3" t="s">
        <v>349</v>
      </c>
    </row>
    <row r="176" customHeight="1" spans="1:4">
      <c r="A176" s="3" t="s">
        <v>454</v>
      </c>
      <c r="B176" s="3" t="str">
        <f t="shared" si="3"/>
        <v>50267</v>
      </c>
      <c r="C176" s="3" t="s">
        <v>151</v>
      </c>
    </row>
    <row r="177" customHeight="1" spans="1:4">
      <c r="A177" s="3" t="s">
        <v>455</v>
      </c>
      <c r="B177" s="3" t="str">
        <f t="shared" si="3"/>
        <v>50268</v>
      </c>
      <c r="C177" s="3" t="s">
        <v>151</v>
      </c>
      <c r="D177" s="3" t="s">
        <v>349</v>
      </c>
    </row>
    <row r="178" customHeight="1" spans="1:4">
      <c r="A178" s="3" t="s">
        <v>456</v>
      </c>
      <c r="B178" s="3" t="str">
        <f t="shared" si="3"/>
        <v>50268</v>
      </c>
      <c r="C178" s="3" t="s">
        <v>151</v>
      </c>
    </row>
    <row r="179" customHeight="1" spans="1:4">
      <c r="A179" s="3" t="s">
        <v>457</v>
      </c>
      <c r="B179" s="3" t="str">
        <f t="shared" si="3"/>
        <v>50269</v>
      </c>
      <c r="C179" s="3" t="s">
        <v>151</v>
      </c>
    </row>
    <row r="180" customHeight="1" spans="1:4">
      <c r="A180" s="3" t="s">
        <v>458</v>
      </c>
      <c r="B180" s="3" t="str">
        <f t="shared" si="3"/>
        <v>50269</v>
      </c>
      <c r="C180" s="3" t="s">
        <v>151</v>
      </c>
    </row>
    <row r="181" customHeight="1" spans="1:4">
      <c r="A181" s="3" t="s">
        <v>459</v>
      </c>
      <c r="B181" s="3" t="str">
        <f t="shared" si="3"/>
        <v>50270</v>
      </c>
      <c r="C181" s="3" t="s">
        <v>151</v>
      </c>
    </row>
    <row r="182" customHeight="1" spans="1:4">
      <c r="A182" s="3" t="s">
        <v>460</v>
      </c>
      <c r="B182" s="3" t="str">
        <f t="shared" si="3"/>
        <v>50270</v>
      </c>
      <c r="C182" s="3" t="s">
        <v>151</v>
      </c>
    </row>
    <row r="183" customHeight="1" spans="1:4">
      <c r="A183" s="3" t="s">
        <v>461</v>
      </c>
      <c r="B183" s="3" t="str">
        <f t="shared" si="3"/>
        <v>50271</v>
      </c>
      <c r="C183" s="3" t="s">
        <v>151</v>
      </c>
      <c r="D183" s="3" t="s">
        <v>387</v>
      </c>
    </row>
    <row r="184" customHeight="1" spans="1:4">
      <c r="A184" s="3" t="s">
        <v>462</v>
      </c>
      <c r="B184" s="3" t="str">
        <f t="shared" si="3"/>
        <v>50272</v>
      </c>
      <c r="C184" s="3" t="s">
        <v>151</v>
      </c>
      <c r="D184" s="3" t="s">
        <v>387</v>
      </c>
    </row>
    <row r="185" customHeight="1" spans="1:4">
      <c r="A185" s="3" t="s">
        <v>463</v>
      </c>
      <c r="B185" s="3" t="str">
        <f t="shared" si="3"/>
        <v>50272</v>
      </c>
      <c r="C185" s="3" t="s">
        <v>151</v>
      </c>
      <c r="D185" s="3" t="s">
        <v>387</v>
      </c>
    </row>
    <row r="186" customHeight="1" spans="1:4">
      <c r="A186" s="3" t="s">
        <v>464</v>
      </c>
      <c r="B186" s="3" t="str">
        <f t="shared" si="3"/>
        <v>50273</v>
      </c>
      <c r="C186" s="3" t="s">
        <v>152</v>
      </c>
      <c r="D186" s="3" t="s">
        <v>349</v>
      </c>
    </row>
    <row r="187" customHeight="1" spans="1:4">
      <c r="A187" s="3" t="s">
        <v>465</v>
      </c>
      <c r="B187" s="3" t="str">
        <f t="shared" si="3"/>
        <v>50274</v>
      </c>
      <c r="C187" s="3" t="s">
        <v>152</v>
      </c>
      <c r="D187" s="3" t="s">
        <v>349</v>
      </c>
    </row>
    <row r="188" customHeight="1" spans="1:4">
      <c r="A188" s="3" t="s">
        <v>466</v>
      </c>
      <c r="B188" s="3" t="str">
        <f t="shared" si="3"/>
        <v>50274</v>
      </c>
      <c r="C188" s="3" t="s">
        <v>152</v>
      </c>
      <c r="D188" s="3" t="s">
        <v>349</v>
      </c>
    </row>
    <row r="189" customHeight="1" spans="1:4">
      <c r="A189" s="3" t="s">
        <v>467</v>
      </c>
      <c r="B189" s="3" t="str">
        <f t="shared" si="3"/>
        <v>50275</v>
      </c>
      <c r="C189" s="3" t="s">
        <v>151</v>
      </c>
      <c r="D189" s="3" t="s">
        <v>387</v>
      </c>
    </row>
    <row r="190" customHeight="1" spans="1:4">
      <c r="A190" s="3" t="s">
        <v>468</v>
      </c>
      <c r="B190" s="3" t="str">
        <f t="shared" si="3"/>
        <v>50275</v>
      </c>
      <c r="C190" s="3" t="s">
        <v>151</v>
      </c>
      <c r="D190" s="3" t="s">
        <v>387</v>
      </c>
    </row>
    <row r="191" customHeight="1" spans="1:4">
      <c r="A191" s="3" t="s">
        <v>469</v>
      </c>
      <c r="B191" s="3" t="str">
        <f t="shared" si="3"/>
        <v>50275</v>
      </c>
      <c r="C191" s="3" t="s">
        <v>151</v>
      </c>
      <c r="D191" s="3" t="s">
        <v>387</v>
      </c>
    </row>
    <row r="192" customHeight="1" spans="1:4">
      <c r="A192" s="3" t="s">
        <v>470</v>
      </c>
      <c r="B192" s="3" t="str">
        <f t="shared" si="3"/>
        <v>50275</v>
      </c>
      <c r="C192" s="3" t="s">
        <v>151</v>
      </c>
      <c r="D192" s="3" t="s">
        <v>387</v>
      </c>
    </row>
    <row r="193" customHeight="1" spans="1:4">
      <c r="A193" s="3" t="s">
        <v>471</v>
      </c>
      <c r="B193" s="3" t="str">
        <f t="shared" si="3"/>
        <v>50276</v>
      </c>
      <c r="C193" s="3" t="s">
        <v>269</v>
      </c>
    </row>
    <row r="194" customHeight="1" spans="1:4">
      <c r="A194" s="3" t="s">
        <v>472</v>
      </c>
      <c r="B194" s="3" t="str">
        <f t="shared" si="3"/>
        <v>50276</v>
      </c>
      <c r="C194" s="3" t="s">
        <v>269</v>
      </c>
    </row>
    <row r="195" customHeight="1" spans="1:4">
      <c r="A195" s="3" t="s">
        <v>473</v>
      </c>
      <c r="B195" s="3" t="str">
        <f t="shared" si="3"/>
        <v>50279</v>
      </c>
      <c r="C195" s="3" t="s">
        <v>151</v>
      </c>
      <c r="D195" s="3" t="s">
        <v>474</v>
      </c>
    </row>
    <row r="196" customHeight="1" spans="1:4">
      <c r="A196" s="3" t="s">
        <v>475</v>
      </c>
      <c r="B196" s="3" t="str">
        <f t="shared" si="3"/>
        <v>50279</v>
      </c>
      <c r="C196" s="3" t="s">
        <v>151</v>
      </c>
      <c r="D196" s="3" t="s">
        <v>474</v>
      </c>
    </row>
    <row r="197" customHeight="1" spans="1:4">
      <c r="A197" s="3" t="s">
        <v>476</v>
      </c>
      <c r="B197" s="3" t="str">
        <f t="shared" si="3"/>
        <v>50280</v>
      </c>
      <c r="C197" s="3" t="s">
        <v>151</v>
      </c>
    </row>
    <row r="198" customHeight="1" spans="1:4">
      <c r="A198" s="3" t="s">
        <v>477</v>
      </c>
      <c r="B198" s="3" t="str">
        <f t="shared" si="3"/>
        <v>50281</v>
      </c>
      <c r="C198" s="3" t="s">
        <v>152</v>
      </c>
    </row>
    <row r="199" customHeight="1" spans="1:4">
      <c r="A199" s="3" t="s">
        <v>478</v>
      </c>
      <c r="B199" s="3" t="str">
        <f t="shared" si="3"/>
        <v>50282</v>
      </c>
      <c r="C199" s="3" t="s">
        <v>152</v>
      </c>
    </row>
    <row r="200" customHeight="1" spans="1:4">
      <c r="B200" s="6"/>
    </row>
  </sheetData>
  <sheetProtection autoFilter="0"/>
  <autoFilter xmlns:etc="http://www.wps.cn/officeDocument/2017/etCustomData" ref="A1:D199" etc:filterBottomFollowUsedRange="0">
    <extLst/>
  </autoFilter>
  <conditionalFormatting sqref="A133">
    <cfRule type="duplicateValues" dxfId="0" priority="10"/>
  </conditionalFormatting>
  <conditionalFormatting sqref="A134">
    <cfRule type="duplicateValues" dxfId="0" priority="9"/>
  </conditionalFormatting>
  <conditionalFormatting sqref="A179">
    <cfRule type="duplicateValues" dxfId="0" priority="7"/>
  </conditionalFormatting>
  <conditionalFormatting sqref="A181">
    <cfRule type="duplicateValues" dxfId="0" priority="4"/>
  </conditionalFormatting>
  <conditionalFormatting sqref="B181">
    <cfRule type="duplicateValues" dxfId="0" priority="3"/>
  </conditionalFormatting>
  <conditionalFormatting sqref="A155:A157">
    <cfRule type="duplicateValues" dxfId="0" priority="8"/>
  </conditionalFormatting>
  <conditionalFormatting sqref="B2:B180">
    <cfRule type="duplicateValues" dxfId="0" priority="5"/>
  </conditionalFormatting>
  <conditionalFormatting sqref="B182:B183">
    <cfRule type="duplicateValues" dxfId="0" priority="2"/>
  </conditionalFormatting>
  <conditionalFormatting sqref="A1:A73 A75:A108">
    <cfRule type="duplicateValues" dxfId="0" priority="12"/>
  </conditionalFormatting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9" sqref="A19"/>
    </sheetView>
  </sheetViews>
  <sheetFormatPr defaultColWidth="9" defaultRowHeight="14.25" outlineLevelCol="2"/>
  <cols>
    <col min="1" max="1" width="59.5" customWidth="1"/>
    <col min="2" max="2" width="6.75" customWidth="1"/>
  </cols>
  <sheetData>
    <row r="1" spans="1:3">
      <c r="A1" s="1" t="s">
        <v>174</v>
      </c>
      <c r="C1" t="s">
        <v>20</v>
      </c>
    </row>
    <row r="2" spans="1:3">
      <c r="A2" s="1" t="s">
        <v>479</v>
      </c>
      <c r="C2" t="s">
        <v>480</v>
      </c>
    </row>
    <row r="3" spans="1:3">
      <c r="A3" s="1" t="s">
        <v>481</v>
      </c>
      <c r="C3" t="s">
        <v>482</v>
      </c>
    </row>
    <row r="4" spans="1:3">
      <c r="A4" s="1" t="s">
        <v>483</v>
      </c>
      <c r="C4" t="s">
        <v>77</v>
      </c>
    </row>
    <row r="5" spans="1:3">
      <c r="A5" s="1" t="s">
        <v>484</v>
      </c>
      <c r="C5" t="s">
        <v>485</v>
      </c>
    </row>
    <row r="6" spans="1:3">
      <c r="A6" s="1" t="s">
        <v>486</v>
      </c>
      <c r="C6" t="s">
        <v>487</v>
      </c>
    </row>
    <row r="7" spans="1:3">
      <c r="A7" s="1" t="s">
        <v>33</v>
      </c>
      <c r="C7" t="s">
        <v>117</v>
      </c>
    </row>
    <row r="8" spans="1:3">
      <c r="A8" s="1" t="s">
        <v>488</v>
      </c>
      <c r="C8" t="s">
        <v>58</v>
      </c>
    </row>
    <row r="9" spans="1:3">
      <c r="A9" s="1" t="s">
        <v>489</v>
      </c>
      <c r="C9" t="s">
        <v>490</v>
      </c>
    </row>
    <row r="10" spans="1:3">
      <c r="A10" s="1" t="s">
        <v>491</v>
      </c>
      <c r="C10" t="s">
        <v>77</v>
      </c>
    </row>
    <row r="11" spans="1:3">
      <c r="A11" s="1" t="s">
        <v>492</v>
      </c>
      <c r="C11" t="s">
        <v>62</v>
      </c>
    </row>
    <row r="12" spans="1:3">
      <c r="A12" s="1" t="s">
        <v>493</v>
      </c>
      <c r="C12" t="s">
        <v>494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1" master="" otherUserPermission="visible"/>
  <rangeList sheetStid="50" master="" otherUserPermission="visible"/>
  <rangeList sheetStid="44" master="" otherUserPermission="visible"/>
  <rangeList sheetStid="53" master="" otherUserPermission="visible"/>
  <rangeList sheetStid="51" master="" otherUserPermission="visible">
    <arrUserId title="区域1" rangeCreator="" othersAccessPermission="edit"/>
  </rangeList>
  <rangeList sheetStid="56" master="" otherUserPermission="visible"/>
  <rangeList sheetStid="36" master="" otherUserPermission="edit"/>
  <rangeList sheetStid="58" master="" otherUserPermission="visible"/>
  <rangeList sheetStid="52" master="" otherUserPermission="visible"/>
  <rangeList sheetStid="57" master="" otherUserPermission="edit"/>
</allowEditUser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41">
    <commentChains s:ref="H3" rgbClr="FF0000">
      <unresolved>
        <commentChain chainId="d9a26eea9e3306acfd0d0c29f39d478d9e36a7fa">
          <item id="5904063c9b3c3ad36241b106135b16b238f9e682" isNormal="1">
            <s:text>
              <s:r>
                <s:t xml:space="preserve">Administrator:
扣960pcs到PO:808565 (179840)；
扣40pcs到PO:808568 (179839)
扣14pcs到PO：876446（232723）
扣90pcs
PO:876502(232722)
扣14pcs到PO:876520(232721)
扣40pcs到PO：876463（232720）
扣80pcs到PO：876492（232727）
扣98pcs到PO:876448(232726)
扣26pcs到PO:876483(232725)
扣36pcs到PO:876442(232724)
扣46到
PO:892164 (242239)
扣22到
PO:892160 (242238)
扣204到
PO:892148 (242237)
扣52到
PO:892147 (242236)
</s:t>
              </s:r>
            </s:text>
          </item>
        </commentChain>
      </unresolved>
      <resolved/>
    </commentChains>
    <commentChains s:ref="H30" rgbClr="FF0000">
      <unresolved>
        <commentChain chainId="56dc4b2f43dd8efc40bfd2b1687691133029fa5b">
          <item id="9b155d217fef596b5c07d30a056e75a505567857" isNormal="1">
            <s:text>
              <s:r>
                <s:t xml:space="preserve">扣120pcs到PO:1017910 (308293)
扣270pcs到PO:1017911 (308294)
扣486pcs到PO：1017912 (308295)
扣90pcsPO:876502(232722)
扣14pcs到PO:876520(232721)
扣40pcs到PO：876463（232720）
扣80pcs到PO：876492（232727）
扣98pcs到PO:876448(232726)
扣26pcs到PO:876483(232725)
扣36pcs到PO:876442(232724)</s:t>
              </s:r>
            </s:text>
          </item>
          <item id="16d2fa9c88eec7a96a9f843df9723500925c68bc" userID="1828109780" userName="卿颖" dateTime="2026-06-29T00:58:14" isNormal="0">
            <s:text>
              <s:r>
                <s:t xml:space="preserve">扣564pcs到po：336018 OF</s:t>
              </s:r>
            </s:text>
          </item>
        </commentChain>
      </unresolved>
      <resolved/>
    </commentChains>
    <commentChains s:ref="H36" rgbClr="FF0000">
      <unresolved>
        <commentChain chainId="8e22f9f06abb647b46e2bfd897df2785184b0c79">
          <item id="b61b01fd1402303802ed5a8fa67b31f43de0ec99" isNormal="1">
            <s:text>
              <s:r>
                <s:t xml:space="preserve">DELL:
扣1203pcs到PO1040096 (325618)
扣162pcs到PO1040103 (325620)</s:t>
              </s:r>
            </s:text>
          </item>
        </commentChain>
      </unresolved>
      <resolved/>
    </commentChains>
  </commentList>
  <commentList sheetStid="53">
    <commentChains s:ref="G2" rgbClr="FF0000">
      <unresolved>
        <commentChain chainId="2807c19f4cb00f4c33adb13644843310e488e1be">
          <item id="9bd61d8b142e4b2c2c321f269a7da642cff686d9" isNormal="1">
            <s:text>
              <s:r>
                <s:t xml:space="preserve">扣960pcs到PO:808565 (179840)；
扣40pcs到PO:808568 (179839)
扣14pcs到PO：876446（232723）
扣90pcs
PO:876502(232722)
扣14pcs到PO:876520(232721)
扣40pcs到PO：876463（232720）
扣80pcs到PO：876492（232727）
扣98pcs到PO:876448(232726)
扣26pcs到PO:876483(232725)
扣36pcs到PO:876442(232724</s:t>
              </s:r>
            </s:text>
          </item>
        </commentChain>
      </unresolved>
      <resolved/>
    </commentChains>
    <commentChains s:ref="G4" rgbClr="FF0000">
      <unresolved>
        <commentChain chainId="cd6a62c7fd21fd4544e217876783383ef4e5e959">
          <item id="ce110ee38aef436db1f075a81e844dac8b407f15" isNormal="1">
            <s:text>
              <s:r>
                <s:t xml:space="preserve">扣120pcs到PO:1017910 (308293)
扣270pcs到PO:1017911 (308294)
扣486pcs到PO：1017912 (308295)
扣90pcsPO:876502(232722)
扣14pcs到PO:876520(232721)
扣40pcs到PO：876463（232720）
扣80pcs到PO：876492（232727）
扣98pcs到PO:876448(232726)
扣26pcs到PO:876483(232725)
扣36pcs到PO:876442(232724)</s:t>
              </s:r>
            </s:text>
          </item>
          <item id="59847c121b6f1651406418aca7ad0f1352f522c2" userID="1828109780" userName="卿颖" dateTime="2026-06-29T00:58:14" isNormal="0">
            <s:text>
              <s:r>
                <s:t xml:space="preserve">扣564pcs到po：336018 OF</s:t>
              </s:r>
            </s:text>
          </item>
        </commentChain>
      </unresolved>
      <resolved/>
    </commentChains>
    <commentChains s:ref="G5" rgbClr="FF0000">
      <unresolved>
        <commentChain chainId="2f9c91a8a7eb57b669049c349e1161996b009bde">
          <item id="2c8ef4573732bea7e41d9150e945624e9d817ac5" isNormal="1">
            <s:text>
              <s:r>
                <s:t xml:space="preserve">DELL:
扣1203pcs到PO1040096 (325618)
扣162pcs到PO1040103 (325620)</s:t>
              </s:r>
            </s:text>
          </item>
        </commentChain>
      </unresolved>
      <resolved/>
    </commentChains>
  </commentList>
</comments>
</file>

<file path=customXml/item3.xml><?xml version="1.0" encoding="utf-8"?>
<woProps xmlns="https://web.wps.cn/et/2018/main" xmlns:s="http://schemas.openxmlformats.org/spreadsheetml/2006/main">
  <woSheetsProps>
    <woSheetProps sheetStid="41" interlineOnOff="0" interlineColor="0" isDbSheet="0" isDashBoardSheet="0" isDbDashBoardSheet="0" isFlexPaperSheet="0">
      <cellprotection/>
      <appEtDbRelations/>
    </woSheetProps>
    <woSheetProps sheetStid="50" interlineOnOff="0" interlineColor="0" isDbSheet="0" isDashBoardSheet="0" isDbDashBoardSheet="0" isFlexPaperSheet="0">
      <cellprotection/>
      <appEtDbRelations/>
    </woSheetProps>
    <woSheetProps sheetStid="44" interlineOnOff="0" interlineColor="0" isDbSheet="0" isDashBoardSheet="0" isDbDashBoardSheet="0" isFlexPaperSheet="0">
      <cellprotection/>
      <appEtDbRelations/>
    </woSheetProps>
    <woSheetProps sheetStid="53" interlineOnOff="0" interlineColor="0" isDbSheet="0" isDashBoardSheet="0" isDbDashBoardSheet="0" isFlexPaperSheet="0">
      <cellprotection/>
      <appEtDbRelations/>
    </woSheetProps>
    <woSheetProps sheetStid="51" interlineOnOff="0" interlineColor="0" isDbSheet="0" isDashBoardSheet="0" isDbDashBoardSheet="0" isFlexPaperSheet="0">
      <cellprotection/>
      <appEtDbRelations/>
    </woSheetProps>
    <woSheetProps sheetStid="56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58" interlineOnOff="0" interlineColor="0" isDbSheet="0" isDashBoardSheet="0" isDbDashBoardSheet="0" isFlexPaperSheet="0">
      <cellprotection/>
      <appEtDbRelations/>
    </woSheetProps>
    <woSheetProps sheetStid="52" interlineOnOff="0" interlineColor="0" isDbSheet="0" isDashBoardSheet="0" isDbDashBoardSheet="0" isFlexPaperSheet="0">
      <cellprotection/>
      <appEtDbRelations/>
    </woSheetProps>
    <woSheetProps sheetStid="57" interlineOnOff="0" interlineColor="0" isDbSheet="0" isDashBoardSheet="0" isDbDashBoardSheet="0" isFlexPaperSheet="0">
      <cellprotection/>
      <appEtDbRelations/>
    </woSheetProps>
  </woSheetsProps>
  <woBookProps>
    <bookSettings fileId="531945618782" isFilterShared="1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41"/>
  <pixelatorList sheetStid="50"/>
  <pixelatorList sheetStid="44"/>
  <pixelatorList sheetStid="53"/>
  <pixelatorList sheetStid="51"/>
  <pixelatorList sheetStid="56"/>
  <pixelatorList sheetStid="36"/>
  <pixelatorList sheetStid="58"/>
  <pixelatorList sheetStid="52"/>
  <pixelatorList sheetStid="57"/>
  <pixelatorList sheetStid="5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总接单</vt:lpstr>
      <vt:lpstr>排期</vt:lpstr>
      <vt:lpstr>已走货</vt:lpstr>
      <vt:lpstr>MA</vt:lpstr>
      <vt:lpstr>取消单</vt:lpstr>
      <vt:lpstr>惠州浩华</vt:lpstr>
      <vt:lpstr>配比图</vt:lpstr>
      <vt:lpstr>MA 表</vt:lpstr>
      <vt:lpstr>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WPS_1734070022</cp:lastModifiedBy>
  <dcterms:created xsi:type="dcterms:W3CDTF">1996-12-30T01:32:00Z</dcterms:created>
  <cp:lastPrinted>2018-12-26T09:58:00Z</cp:lastPrinted>
  <dcterms:modified xsi:type="dcterms:W3CDTF">2026-06-25T08:24:00Z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09A40B19C70D47E1B6B7B6EEEDB3B172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