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F4"/>
  <workbookPr codeName="ThisWorkbook"/>
  <bookViews>
    <workbookView windowWidth="28800" windowHeight="12015" tabRatio="923" firstSheet="1" activeTab="3"/>
  </bookViews>
  <sheets>
    <sheet name="名称" sheetId="48" state="hidden" r:id="rId1"/>
    <sheet name="总接单" sheetId="47" r:id="rId2"/>
    <sheet name="总排期" sheetId="45" r:id="rId3"/>
    <sheet name="已走货" sheetId="52" r:id="rId4"/>
    <sheet name="取消单" sheetId="53" r:id="rId5"/>
    <sheet name="MA" sheetId="51" r:id="rId6"/>
    <sheet name="外箱贴纸箱号" sheetId="55" r:id="rId7"/>
  </sheets>
  <externalReferences>
    <externalReference r:id="rId9"/>
  </externalReferences>
  <definedNames>
    <definedName name="_xlnm._FilterDatabase" localSheetId="0" hidden="1">名称!$A$1:$F$28</definedName>
    <definedName name="_xlnm._FilterDatabase" localSheetId="1" hidden="1">总接单!$A$2:$AG$57</definedName>
    <definedName name="_xlnm._FilterDatabase" localSheetId="2" hidden="1">总排期!$A$1:$AD$13</definedName>
    <definedName name="_xlnm._FilterDatabase" localSheetId="3" hidden="1">已走货!$A$1:$AD$51</definedName>
    <definedName name="_xlnm._FilterDatabase" localSheetId="4" hidden="1">取消单!$A$1:$AB$13</definedName>
    <definedName name="_xlnm._FilterDatabase" localSheetId="5" hidden="1">MA!$A$1:$AB$21</definedName>
    <definedName name="_xlnm._FilterDatabase" localSheetId="6" hidden="1">外箱贴纸箱号!$A$1:$M$75</definedName>
    <definedName name="_xlnm.Print_Area" localSheetId="2">总排期!$A$1:$N$1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转1500PCS到PO：CBE593
转1500PCS到PO：1000000271
转1500PCS到PO：1000001352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转1500PCS到：1000000271
转1500PCS到：1000001352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Unknown User</author>
  </authors>
  <commentLis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转1602PCS到：KAR929
转1602PCS到：1000000721
转1602PCS到：1000001352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转1602PCS到：KAR929
转1602PCS到：1000000721
转1602PCS到：1000001352</t>
        </r>
      </text>
    </comment>
    <comment ref="H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转1008PCS到：1000001352</t>
        </r>
      </text>
    </comment>
    <comment ref="H13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1500PCS转入1000003832</t>
        </r>
      </text>
    </comment>
    <comment ref="H14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2520PCS转入1000003832</t>
        </r>
      </text>
    </comment>
    <comment ref="H15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2520PCS转入1000003832</t>
        </r>
      </text>
    </comment>
  </commentList>
</comments>
</file>

<file path=xl/sharedStrings.xml><?xml version="1.0" encoding="utf-8"?>
<sst xmlns="http://schemas.openxmlformats.org/spreadsheetml/2006/main" count="1085" uniqueCount="215">
  <si>
    <r>
      <rPr>
        <sz val="10"/>
        <color theme="1"/>
        <rFont val="宋体"/>
        <charset val="134"/>
      </rPr>
      <t>货号</t>
    </r>
  </si>
  <si>
    <r>
      <rPr>
        <sz val="10"/>
        <color theme="1"/>
        <rFont val="Times New Roman"/>
        <charset val="134"/>
      </rPr>
      <t>PWP</t>
    </r>
    <r>
      <rPr>
        <sz val="10"/>
        <color theme="1"/>
        <rFont val="宋体"/>
        <charset val="134"/>
      </rPr>
      <t>系统货号</t>
    </r>
  </si>
  <si>
    <r>
      <rPr>
        <sz val="10"/>
        <color theme="1"/>
        <rFont val="宋体"/>
        <charset val="134"/>
      </rPr>
      <t>名称</t>
    </r>
  </si>
  <si>
    <r>
      <rPr>
        <sz val="10"/>
        <color theme="1"/>
        <rFont val="宋体"/>
        <charset val="134"/>
      </rPr>
      <t>描述</t>
    </r>
  </si>
  <si>
    <r>
      <rPr>
        <sz val="10"/>
        <color theme="1"/>
        <rFont val="宋体"/>
        <charset val="134"/>
      </rPr>
      <t>内箱</t>
    </r>
  </si>
  <si>
    <r>
      <rPr>
        <sz val="10"/>
        <color theme="1"/>
        <rFont val="宋体"/>
        <charset val="134"/>
      </rPr>
      <t>外箱</t>
    </r>
  </si>
  <si>
    <t>LM986</t>
  </si>
  <si>
    <t>V553D/80-LS</t>
  </si>
  <si>
    <t>桶装野生动物</t>
  </si>
  <si>
    <t>WILD ANIMAL COUNTERS</t>
  </si>
  <si>
    <t>142BT</t>
  </si>
  <si>
    <t>1083DN</t>
  </si>
  <si>
    <t>蝙蝠</t>
  </si>
  <si>
    <t>5.5" BLACK BAT</t>
  </si>
  <si>
    <t>411CR</t>
  </si>
  <si>
    <t>913DCR-LA</t>
  </si>
  <si>
    <t>饼干</t>
  </si>
  <si>
    <t>CRACKER</t>
  </si>
  <si>
    <t>682TC</t>
  </si>
  <si>
    <t>98DTZ/2-N</t>
  </si>
  <si>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只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寸小老虎</t>
    </r>
  </si>
  <si>
    <t>2 ASSTD. 2" TIGER CUB</t>
  </si>
  <si>
    <t>HH994</t>
  </si>
  <si>
    <t>AE-D2113D-LS</t>
  </si>
  <si>
    <r>
      <rPr>
        <sz val="10"/>
        <color theme="1"/>
        <rFont val="宋体"/>
        <charset val="134"/>
      </rPr>
      <t>西班牙家庭</t>
    </r>
  </si>
  <si>
    <t>HISPANIC SOFT&amp; SAFE FAMILY SET</t>
  </si>
  <si>
    <t>HH993</t>
  </si>
  <si>
    <t>AE-D2114D-LS</t>
  </si>
  <si>
    <r>
      <rPr>
        <sz val="10"/>
        <color theme="1"/>
        <rFont val="宋体"/>
        <charset val="134"/>
      </rPr>
      <t>亚洲家庭</t>
    </r>
  </si>
  <si>
    <t>ASIAN SOFT &amp; SAFE FAMILY SET</t>
  </si>
  <si>
    <t>HH991</t>
  </si>
  <si>
    <t>AE-D2115D-LS</t>
  </si>
  <si>
    <r>
      <rPr>
        <sz val="10"/>
        <color theme="1"/>
        <rFont val="宋体"/>
        <charset val="134"/>
      </rPr>
      <t>非洲家庭</t>
    </r>
  </si>
  <si>
    <t>BLACK SOFT &amp; SAFE FAMILY SET</t>
  </si>
  <si>
    <t>HH992</t>
  </si>
  <si>
    <t>AE-D2116D-LS</t>
  </si>
  <si>
    <r>
      <rPr>
        <sz val="10"/>
        <color theme="1"/>
        <rFont val="宋体"/>
        <charset val="134"/>
      </rPr>
      <t>欧洲家庭</t>
    </r>
  </si>
  <si>
    <t>WHITE SOFT &amp; SAFE FAMILY SET</t>
  </si>
  <si>
    <t>GS673</t>
  </si>
  <si>
    <t>AE-PT8573D-LS</t>
  </si>
  <si>
    <t>巨型恐龙组1</t>
  </si>
  <si>
    <t>GIANT SOFT &amp; SAFE DINOSAURS-1</t>
  </si>
  <si>
    <t>GS675</t>
  </si>
  <si>
    <t>AE-PT8574D-LS</t>
  </si>
  <si>
    <r>
      <rPr>
        <sz val="10"/>
        <color theme="1"/>
        <rFont val="宋体"/>
        <charset val="134"/>
      </rPr>
      <t>巨型恐龙组</t>
    </r>
    <r>
      <rPr>
        <sz val="10"/>
        <color theme="1"/>
        <rFont val="Times New Roman"/>
        <charset val="134"/>
      </rPr>
      <t>2</t>
    </r>
  </si>
  <si>
    <t>GIANT SOFT &amp; SAFE DINOSAURS-2</t>
  </si>
  <si>
    <t>RA369</t>
  </si>
  <si>
    <t>AE-ZT4059D-LS</t>
  </si>
  <si>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款恐龙玩具</t>
    </r>
  </si>
  <si>
    <t>8 ASSTD. DINOSAUR PLAYSET</t>
  </si>
  <si>
    <t>RA362</t>
  </si>
  <si>
    <t>AE-ZT4060D-LS</t>
  </si>
  <si>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款野生动物套装</t>
    </r>
  </si>
  <si>
    <t>8 ASSTD. WILDLIFE PLAYSET</t>
  </si>
  <si>
    <t>RA368</t>
  </si>
  <si>
    <t>AE-ZT4062D-LS</t>
  </si>
  <si>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款海洋动物套装</t>
    </r>
  </si>
  <si>
    <t>10 ASSTD. OCEAN ANIMAL PLAYSET</t>
  </si>
  <si>
    <t>RA367</t>
  </si>
  <si>
    <t>AE-ZT8351D-LS</t>
  </si>
  <si>
    <r>
      <rPr>
        <sz val="10"/>
        <color theme="1"/>
        <rFont val="宋体"/>
        <charset val="134"/>
      </rPr>
      <t>农场小动物</t>
    </r>
  </si>
  <si>
    <t>BABY FARM ANIMALS</t>
  </si>
  <si>
    <t>DC346</t>
  </si>
  <si>
    <t>D4802D-LS</t>
  </si>
  <si>
    <r>
      <rPr>
        <sz val="10"/>
        <color theme="1"/>
        <rFont val="宋体"/>
        <charset val="134"/>
      </rPr>
      <t>恐龙收藏盒</t>
    </r>
  </si>
  <si>
    <t>CLASSIC DINOSAUR COLLECTION</t>
  </si>
  <si>
    <t>LC630</t>
  </si>
  <si>
    <t>DR5936-LS</t>
  </si>
  <si>
    <r>
      <rPr>
        <sz val="10"/>
        <color theme="1"/>
        <rFont val="Times New Roman"/>
        <charset val="134"/>
      </rPr>
      <t>26</t>
    </r>
    <r>
      <rPr>
        <sz val="10"/>
        <color theme="1"/>
        <rFont val="宋体"/>
        <charset val="134"/>
      </rPr>
      <t>款动物套装</t>
    </r>
  </si>
  <si>
    <t>26PCS ANIMAL PLAYSET</t>
  </si>
  <si>
    <t>154DS</t>
  </si>
  <si>
    <t>P111D</t>
  </si>
  <si>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只小恐龙</t>
    </r>
  </si>
  <si>
    <t>8 ASSTD. 5" DINOSAURS</t>
  </si>
  <si>
    <t>300OK</t>
  </si>
  <si>
    <t>P1246/2-LS</t>
  </si>
  <si>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颗小树</t>
    </r>
  </si>
  <si>
    <t>SET OF 2 SMALL OAK TREES</t>
  </si>
  <si>
    <t>374PL</t>
  </si>
  <si>
    <t>P1360D/1-LS</t>
  </si>
  <si>
    <t>医疗钳</t>
  </si>
  <si>
    <t>1 PC MEDICAL PLIER</t>
  </si>
  <si>
    <t>961WF</t>
  </si>
  <si>
    <t>P1726D/4-LS</t>
  </si>
  <si>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个围栏</t>
    </r>
  </si>
  <si>
    <t>4 PCS FENCE</t>
  </si>
  <si>
    <t>376MM</t>
  </si>
  <si>
    <t>P318D/5</t>
  </si>
  <si>
    <t>蝴蝶生长套装</t>
  </si>
  <si>
    <t>BUTTERFLY LIFE CYCLE</t>
  </si>
  <si>
    <t>856T1</t>
  </si>
  <si>
    <t>P532D/100</t>
  </si>
  <si>
    <t>小海龟</t>
  </si>
  <si>
    <t>100 PCS TURTLES PLAYSET</t>
  </si>
  <si>
    <t>HH429</t>
  </si>
  <si>
    <t>PZ5840-LS</t>
  </si>
  <si>
    <t>恐龙冒险套装</t>
  </si>
  <si>
    <t>DINOSAURS ADVENTURE SET</t>
  </si>
  <si>
    <t>HH393</t>
  </si>
  <si>
    <t>PZ5934-LS</t>
  </si>
  <si>
    <r>
      <rPr>
        <sz val="10"/>
        <color theme="1"/>
        <rFont val="宋体"/>
        <charset val="134"/>
      </rPr>
      <t>奇幻冒险背包</t>
    </r>
  </si>
  <si>
    <t>FANTASY ADVENTURE SET</t>
  </si>
  <si>
    <t>黑蝙蝠</t>
  </si>
  <si>
    <r>
      <rPr>
        <sz val="10"/>
        <color theme="1"/>
        <rFont val="Times New Roman"/>
        <charset val="134"/>
      </rPr>
      <t>5"</t>
    </r>
    <r>
      <rPr>
        <sz val="10"/>
        <color theme="1"/>
        <rFont val="宋体"/>
        <charset val="134"/>
      </rPr>
      <t>恐龙</t>
    </r>
  </si>
  <si>
    <t>8 ASSTD.5"DINOSAURS</t>
  </si>
  <si>
    <t>产品名称</t>
  </si>
  <si>
    <t>接单期</t>
  </si>
  <si>
    <t>出货期</t>
  </si>
  <si>
    <t>Customer</t>
  </si>
  <si>
    <t>PO号</t>
  </si>
  <si>
    <t>货号</t>
  </si>
  <si>
    <t>数量</t>
  </si>
  <si>
    <t>包装版本</t>
  </si>
  <si>
    <t>单价(USD)</t>
  </si>
  <si>
    <t>金额USD</t>
  </si>
  <si>
    <t>金额HKD</t>
  </si>
  <si>
    <t>合计：</t>
  </si>
  <si>
    <r>
      <rPr>
        <b/>
        <sz val="9"/>
        <color rgb="FFFF0000"/>
        <rFont val="宋体"/>
        <charset val="134"/>
      </rPr>
      <t>美国</t>
    </r>
  </si>
  <si>
    <r>
      <rPr>
        <b/>
        <sz val="9"/>
        <color rgb="FFFF0000"/>
        <rFont val="宋体"/>
        <charset val="134"/>
      </rPr>
      <t>总接单：</t>
    </r>
  </si>
  <si>
    <r>
      <rPr>
        <b/>
        <sz val="9"/>
        <color rgb="FFFF0000"/>
        <rFont val="宋体"/>
        <charset val="134"/>
      </rPr>
      <t>总排期：</t>
    </r>
  </si>
  <si>
    <r>
      <rPr>
        <b/>
        <sz val="9"/>
        <color rgb="FFFF0000"/>
        <rFont val="宋体"/>
        <charset val="134"/>
      </rPr>
      <t>已走货：</t>
    </r>
  </si>
  <si>
    <r>
      <rPr>
        <b/>
        <sz val="9"/>
        <color rgb="FFFF0000"/>
        <rFont val="宋体"/>
        <charset val="134"/>
      </rPr>
      <t>已出货：</t>
    </r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</si>
  <si>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</si>
  <si>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</si>
  <si>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</si>
  <si>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</si>
  <si>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</si>
  <si>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</si>
  <si>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扣单/转单</t>
  </si>
  <si>
    <t>蓝色字体</t>
  </si>
  <si>
    <t>已完成</t>
  </si>
  <si>
    <t>粉色字体</t>
  </si>
  <si>
    <t>已出货</t>
  </si>
  <si>
    <t>红色字体</t>
  </si>
  <si>
    <t>取消单</t>
  </si>
  <si>
    <t>客名</t>
  </si>
  <si>
    <t>国家</t>
  </si>
  <si>
    <t>内箱</t>
  </si>
  <si>
    <t>外箱</t>
  </si>
  <si>
    <t>总箱数</t>
  </si>
  <si>
    <t>客PO期</t>
  </si>
  <si>
    <t>验货期</t>
  </si>
  <si>
    <t>验货/抽板
地点</t>
  </si>
  <si>
    <t>验货结果</t>
  </si>
  <si>
    <t>船期SO</t>
  </si>
  <si>
    <t>箱唛</t>
  </si>
  <si>
    <t>贴纸</t>
  </si>
  <si>
    <t>外箱贴纸序号</t>
  </si>
  <si>
    <t>日期码</t>
  </si>
  <si>
    <t>备注</t>
  </si>
  <si>
    <t>单价USD</t>
  </si>
  <si>
    <t>发票号</t>
  </si>
  <si>
    <t>是否入系统</t>
  </si>
  <si>
    <t>交货点</t>
  </si>
  <si>
    <t>目的地</t>
  </si>
  <si>
    <t>PWP</t>
  </si>
  <si>
    <t>美国</t>
  </si>
  <si>
    <t>要抽PSS</t>
  </si>
  <si>
    <t>Lakeshore客标准唛</t>
  </si>
  <si>
    <t>Lakeshore+1000003832</t>
  </si>
  <si>
    <t>未有BOM</t>
  </si>
  <si>
    <t>已入系统</t>
  </si>
  <si>
    <t>Lakeshore+1000003943</t>
  </si>
  <si>
    <t>合计</t>
  </si>
  <si>
    <t>外箱贴纸*1</t>
  </si>
  <si>
    <t>Lakeshore+1000001583</t>
  </si>
  <si>
    <t>从MA转入</t>
  </si>
  <si>
    <t>pass</t>
  </si>
  <si>
    <t>Lakeshore+1000001352</t>
  </si>
  <si>
    <t>订单抽PSS办6pcs，车间需在大货里挑6套完美办寄给QC检查</t>
  </si>
  <si>
    <t>Lakeshore+1000001880</t>
  </si>
  <si>
    <t>2026/2/5:750pcs
2026/5/5:750pcs</t>
  </si>
  <si>
    <t>2/5验752pcs</t>
  </si>
  <si>
    <t>Lakeshore+1000001879</t>
  </si>
  <si>
    <t>等美国确认</t>
  </si>
  <si>
    <t>Lakeshore+1000002006</t>
  </si>
  <si>
    <t>2026/2/5：750pcs
2026/5/5：750pcs</t>
  </si>
  <si>
    <t>Lakeshore+1000002079</t>
  </si>
  <si>
    <t>背包1/25送达，不用订纸箱</t>
  </si>
  <si>
    <t>Lakeshore+1000002184</t>
  </si>
  <si>
    <t>2026/2/4:1002pcs
2026/5/2:606pcs</t>
  </si>
  <si>
    <t>1/30验1002pcs</t>
  </si>
  <si>
    <t>2026/2/4:1002pcs
2026/5/2:600pcs</t>
  </si>
  <si>
    <t>2/3验1002pcs</t>
  </si>
  <si>
    <t>转单已录</t>
  </si>
  <si>
    <t>Lakeshore+1000002361</t>
  </si>
  <si>
    <t>总订单4000pcs，8只恐龙，每款恐龙500pcs</t>
  </si>
  <si>
    <t>总订单4000pcs,每只小老虎：2000pcs</t>
  </si>
  <si>
    <t>Lakeshore+1000000721</t>
  </si>
  <si>
    <t>Lakeshore+1000003117</t>
  </si>
  <si>
    <t>PASS</t>
  </si>
  <si>
    <t>Lakeshore+1000002790</t>
  </si>
  <si>
    <t>首次PSS,请特别提前两星期安排</t>
  </si>
  <si>
    <t>Lakeshore+1000003458</t>
  </si>
  <si>
    <t>客供物料</t>
  </si>
  <si>
    <t>开始箱数
From</t>
  </si>
  <si>
    <t>结束箱数
Up to</t>
  </si>
  <si>
    <r>
      <rPr>
        <b/>
        <sz val="10"/>
        <rFont val="宋体"/>
        <charset val="134"/>
      </rPr>
      <t>PWP</t>
    </r>
    <r>
      <rPr>
        <b/>
        <sz val="10"/>
        <rFont val="宋体"/>
        <charset val="134"/>
      </rPr>
      <t>货号</t>
    </r>
  </si>
  <si>
    <t>客货号</t>
  </si>
  <si>
    <t>订单总箱数
Total CTN</t>
  </si>
  <si>
    <r>
      <rPr>
        <b/>
        <sz val="10"/>
        <rFont val="宋体"/>
        <charset val="134"/>
      </rPr>
      <t>产品条码</t>
    </r>
    <r>
      <rPr>
        <b/>
        <sz val="10"/>
        <rFont val="Arial"/>
        <charset val="134"/>
      </rPr>
      <t xml:space="preserve">
UPC/EAN</t>
    </r>
  </si>
  <si>
    <t>产品描述
DESCRIPTION</t>
  </si>
  <si>
    <r>
      <rPr>
        <b/>
        <sz val="10"/>
        <rFont val="宋体"/>
        <charset val="134"/>
      </rPr>
      <t>装箱数</t>
    </r>
    <r>
      <rPr>
        <b/>
        <sz val="10"/>
        <rFont val="Arial"/>
        <charset val="134"/>
      </rPr>
      <t xml:space="preserve">
CASE PACK</t>
    </r>
  </si>
  <si>
    <r>
      <rPr>
        <b/>
        <sz val="10"/>
        <rFont val="宋体"/>
        <charset val="134"/>
      </rPr>
      <t>订单号</t>
    </r>
    <r>
      <rPr>
        <b/>
        <sz val="10"/>
        <rFont val="Arial"/>
        <charset val="134"/>
      </rPr>
      <t>PO#</t>
    </r>
  </si>
  <si>
    <t>S/C No.</t>
  </si>
  <si>
    <t>Shipdate</t>
  </si>
  <si>
    <t>订单数量</t>
  </si>
  <si>
    <t>供应商</t>
  </si>
  <si>
    <t>CBE471</t>
  </si>
  <si>
    <t>RR</t>
  </si>
  <si>
    <t>KAR812</t>
  </si>
  <si>
    <t>CBE541</t>
  </si>
  <si>
    <t>CBE593</t>
  </si>
  <si>
    <t>KAR929</t>
  </si>
  <si>
    <t>CBF400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</si>
</sst>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_ "/>
    <numFmt numFmtId="178" formatCode="yyyy/m/d&quot;周&quot;aaa"/>
    <numFmt numFmtId="179" formatCode="0.000_ ;[Red]\-0.000\ "/>
    <numFmt numFmtId="180" formatCode="0.00_ ;[Red]\-0.00\ "/>
    <numFmt numFmtId="181" formatCode="m&quot;月&quot;d&quot;日&quot;\(aaa\)"/>
  </numFmts>
  <fonts count="49">
    <font>
      <sz val="12"/>
      <name val="宋体"/>
      <charset val="134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sz val="10"/>
      <color rgb="FFFF0000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8"/>
      <color rgb="FF0000FF"/>
      <name val="Arial"/>
      <charset val="134"/>
    </font>
    <font>
      <sz val="10"/>
      <name val="宋体"/>
      <charset val="134"/>
    </font>
    <font>
      <sz val="9"/>
      <name val="宋体"/>
      <charset val="134"/>
      <scheme val="major"/>
    </font>
    <font>
      <b/>
      <sz val="9"/>
      <color rgb="FFFF0000"/>
      <name val="宋体"/>
      <charset val="134"/>
      <scheme val="major"/>
    </font>
    <font>
      <sz val="9"/>
      <name val="宋体"/>
      <charset val="134"/>
    </font>
    <font>
      <sz val="9"/>
      <color rgb="FF000000"/>
      <name val="宋体"/>
      <charset val="134"/>
    </font>
    <font>
      <sz val="9"/>
      <color rgb="FFFF00FF"/>
      <name val="宋体"/>
      <charset val="134"/>
      <scheme val="major"/>
    </font>
    <font>
      <b/>
      <sz val="10"/>
      <color rgb="FFFF0000"/>
      <name val="Times New Roman"/>
      <charset val="134"/>
    </font>
    <font>
      <sz val="9"/>
      <color rgb="FFFF00FF"/>
      <name val="宋体"/>
      <charset val="134"/>
    </font>
    <font>
      <b/>
      <sz val="9"/>
      <color rgb="FFFF0000"/>
      <name val="宋体"/>
      <charset val="134"/>
    </font>
    <font>
      <sz val="9"/>
      <name val="Times New Roman"/>
      <charset val="134"/>
    </font>
    <font>
      <b/>
      <sz val="9"/>
      <color rgb="FFFF0000"/>
      <name val="Times New Roman"/>
      <charset val="134"/>
    </font>
    <font>
      <sz val="9"/>
      <color rgb="FF0000FF"/>
      <name val="宋体"/>
      <charset val="134"/>
      <scheme val="major"/>
    </font>
    <font>
      <sz val="9"/>
      <color rgb="FFFF0000"/>
      <name val="宋体"/>
      <charset val="134"/>
      <scheme val="major"/>
    </font>
    <font>
      <sz val="12"/>
      <name val="Times New Roman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b/>
      <sz val="10"/>
      <name val="Arial"/>
      <charset val="134"/>
    </font>
    <font>
      <sz val="9"/>
      <name val="宋体"/>
      <charset val="0"/>
    </font>
    <font>
      <sz val="9"/>
      <name val="宋体"/>
      <charset val="134"/>
    </font>
    <font>
      <b/>
      <sz val="9"/>
      <name val="宋体"/>
      <charset val="0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ECA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6" borderId="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8" applyNumberFormat="0" applyAlignment="0" applyProtection="0">
      <alignment vertical="center"/>
    </xf>
    <xf numFmtId="0" fontId="32" fillId="8" borderId="9" applyNumberFormat="0" applyAlignment="0" applyProtection="0">
      <alignment vertical="center"/>
    </xf>
    <xf numFmtId="0" fontId="33" fillId="8" borderId="8" applyNumberFormat="0" applyAlignment="0" applyProtection="0">
      <alignment vertical="center"/>
    </xf>
    <xf numFmtId="0" fontId="34" fillId="9" borderId="10" applyNumberFormat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176" fontId="0" fillId="0" borderId="0"/>
    <xf numFmtId="0" fontId="0" fillId="0" borderId="0" applyProtection="0"/>
    <xf numFmtId="0" fontId="22" fillId="0" borderId="0">
      <alignment vertical="center"/>
    </xf>
    <xf numFmtId="0" fontId="42" fillId="0" borderId="0"/>
    <xf numFmtId="0" fontId="22" fillId="0" borderId="0">
      <alignment vertical="center"/>
    </xf>
    <xf numFmtId="0" fontId="43" fillId="0" borderId="0"/>
    <xf numFmtId="0" fontId="0" fillId="0" borderId="0" applyProtection="0"/>
    <xf numFmtId="0" fontId="0" fillId="0" borderId="0"/>
    <xf numFmtId="176" fontId="0" fillId="0" borderId="0"/>
    <xf numFmtId="176" fontId="0" fillId="0" borderId="0"/>
    <xf numFmtId="0" fontId="0" fillId="0" borderId="0"/>
    <xf numFmtId="0" fontId="20" fillId="0" borderId="0"/>
    <xf numFmtId="176" fontId="0" fillId="0" borderId="0"/>
    <xf numFmtId="0" fontId="0" fillId="0" borderId="0" applyProtection="0"/>
    <xf numFmtId="0" fontId="0" fillId="0" borderId="0" applyProtection="0"/>
    <xf numFmtId="176" fontId="0" fillId="0" borderId="0"/>
    <xf numFmtId="0" fontId="0" fillId="0" borderId="0" applyProtection="0"/>
    <xf numFmtId="0" fontId="0" fillId="0" borderId="0" applyProtection="0"/>
    <xf numFmtId="0" fontId="0" fillId="0" borderId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2" borderId="0" xfId="0" applyFill="1"/>
    <xf numFmtId="3" fontId="1" fillId="3" borderId="1" xfId="1" applyNumberFormat="1" applyFont="1" applyFill="1" applyBorder="1" applyAlignment="1" applyProtection="1">
      <alignment horizontal="center" vertical="center" wrapText="1"/>
    </xf>
    <xf numFmtId="3" fontId="2" fillId="3" borderId="1" xfId="1" applyNumberFormat="1" applyFont="1" applyFill="1" applyBorder="1" applyAlignment="1" applyProtection="1">
      <alignment horizontal="center" vertical="center" wrapText="1"/>
    </xf>
    <xf numFmtId="3" fontId="3" fillId="0" borderId="2" xfId="1" applyNumberFormat="1" applyFont="1" applyBorder="1" applyAlignment="1">
      <alignment horizontal="center"/>
    </xf>
    <xf numFmtId="0" fontId="4" fillId="0" borderId="2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>
      <alignment horizontal="center"/>
    </xf>
    <xf numFmtId="0" fontId="4" fillId="0" borderId="2" xfId="1" applyNumberFormat="1" applyFont="1" applyFill="1" applyBorder="1" applyAlignment="1">
      <alignment horizontal="center"/>
    </xf>
    <xf numFmtId="177" fontId="4" fillId="0" borderId="2" xfId="1" applyNumberFormat="1" applyFont="1" applyBorder="1" applyAlignment="1">
      <alignment horizontal="center"/>
    </xf>
    <xf numFmtId="177" fontId="4" fillId="0" borderId="2" xfId="1" applyNumberFormat="1" applyFont="1" applyBorder="1" applyAlignment="1" applyProtection="1">
      <alignment horizontal="center"/>
      <protection locked="0"/>
    </xf>
    <xf numFmtId="15" fontId="5" fillId="0" borderId="2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0" fontId="7" fillId="0" borderId="0" xfId="0" applyFont="1" applyFill="1" applyAlignment="1">
      <alignment horizontal="center"/>
    </xf>
    <xf numFmtId="3" fontId="3" fillId="0" borderId="3" xfId="1" applyNumberFormat="1" applyFont="1" applyBorder="1" applyAlignment="1">
      <alignment horizontal="center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>
      <alignment horizontal="center"/>
    </xf>
    <xf numFmtId="0" fontId="4" fillId="0" borderId="3" xfId="1" applyNumberFormat="1" applyFont="1" applyFill="1" applyBorder="1" applyAlignment="1">
      <alignment horizontal="center"/>
    </xf>
    <xf numFmtId="177" fontId="4" fillId="0" borderId="3" xfId="1" applyNumberFormat="1" applyFont="1" applyBorder="1" applyAlignment="1">
      <alignment horizontal="center"/>
    </xf>
    <xf numFmtId="177" fontId="4" fillId="0" borderId="3" xfId="1" applyNumberFormat="1" applyFont="1" applyBorder="1" applyAlignment="1" applyProtection="1">
      <alignment horizontal="center"/>
      <protection locked="0"/>
    </xf>
    <xf numFmtId="15" fontId="5" fillId="0" borderId="3" xfId="0" applyNumberFormat="1" applyFont="1" applyFill="1" applyBorder="1" applyAlignment="1" applyProtection="1">
      <alignment horizontal="center"/>
      <protection locked="0"/>
    </xf>
    <xf numFmtId="15" fontId="4" fillId="0" borderId="3" xfId="0" applyNumberFormat="1" applyFont="1" applyFill="1" applyBorder="1" applyAlignment="1" applyProtection="1">
      <alignment horizontal="center"/>
      <protection locked="0"/>
    </xf>
    <xf numFmtId="3" fontId="3" fillId="0" borderId="3" xfId="1" applyNumberFormat="1" applyFont="1" applyFill="1" applyBorder="1" applyAlignment="1">
      <alignment horizontal="center"/>
    </xf>
    <xf numFmtId="177" fontId="4" fillId="0" borderId="3" xfId="1" applyNumberFormat="1" applyFont="1" applyFill="1" applyBorder="1" applyAlignment="1">
      <alignment horizontal="center"/>
    </xf>
    <xf numFmtId="177" fontId="4" fillId="0" borderId="3" xfId="1" applyNumberFormat="1" applyFont="1" applyFill="1" applyBorder="1" applyAlignment="1" applyProtection="1">
      <alignment horizontal="center"/>
      <protection locked="0"/>
    </xf>
    <xf numFmtId="3" fontId="3" fillId="2" borderId="3" xfId="1" applyNumberFormat="1" applyFont="1" applyFill="1" applyBorder="1" applyAlignment="1">
      <alignment horizontal="center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>
      <alignment horizontal="center"/>
    </xf>
    <xf numFmtId="177" fontId="4" fillId="2" borderId="3" xfId="1" applyNumberFormat="1" applyFont="1" applyFill="1" applyBorder="1" applyAlignment="1">
      <alignment horizontal="center"/>
    </xf>
    <xf numFmtId="177" fontId="4" fillId="2" borderId="3" xfId="1" applyNumberFormat="1" applyFont="1" applyFill="1" applyBorder="1" applyAlignment="1" applyProtection="1">
      <alignment horizontal="center"/>
      <protection locked="0"/>
    </xf>
    <xf numFmtId="3" fontId="3" fillId="4" borderId="3" xfId="1" applyNumberFormat="1" applyFont="1" applyFill="1" applyBorder="1" applyAlignment="1">
      <alignment horizontal="center"/>
    </xf>
    <xf numFmtId="0" fontId="4" fillId="4" borderId="3" xfId="0" applyFont="1" applyFill="1" applyBorder="1" applyAlignment="1" applyProtection="1">
      <alignment horizontal="center"/>
      <protection locked="0"/>
    </xf>
    <xf numFmtId="0" fontId="4" fillId="4" borderId="3" xfId="0" applyFont="1" applyFill="1" applyBorder="1" applyAlignment="1">
      <alignment horizontal="center"/>
    </xf>
    <xf numFmtId="0" fontId="4" fillId="4" borderId="3" xfId="1" applyNumberFormat="1" applyFont="1" applyFill="1" applyBorder="1" applyAlignment="1">
      <alignment horizontal="center"/>
    </xf>
    <xf numFmtId="177" fontId="4" fillId="4" borderId="3" xfId="1" applyNumberFormat="1" applyFont="1" applyFill="1" applyBorder="1" applyAlignment="1">
      <alignment horizontal="center"/>
    </xf>
    <xf numFmtId="177" fontId="4" fillId="4" borderId="3" xfId="1" applyNumberFormat="1" applyFont="1" applyFill="1" applyBorder="1" applyAlignment="1" applyProtection="1">
      <alignment horizontal="center"/>
      <protection locked="0"/>
    </xf>
    <xf numFmtId="0" fontId="4" fillId="2" borderId="3" xfId="1" applyNumberFormat="1" applyFont="1" applyFill="1" applyBorder="1" applyAlignment="1">
      <alignment horizontal="center"/>
    </xf>
    <xf numFmtId="15" fontId="4" fillId="2" borderId="3" xfId="0" applyNumberFormat="1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>
      <alignment horizontal="center"/>
    </xf>
    <xf numFmtId="0" fontId="8" fillId="4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8" fontId="8" fillId="0" borderId="0" xfId="0" applyNumberFormat="1" applyFont="1" applyFill="1" applyBorder="1" applyAlignment="1">
      <alignment horizontal="center" vertical="center" wrapText="1"/>
    </xf>
    <xf numFmtId="179" fontId="8" fillId="0" borderId="0" xfId="0" applyNumberFormat="1" applyFont="1" applyFill="1" applyBorder="1" applyAlignment="1">
      <alignment horizontal="center" vertical="center" wrapText="1"/>
    </xf>
    <xf numFmtId="180" fontId="8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 wrapText="1" shrinkToFit="1"/>
    </xf>
    <xf numFmtId="178" fontId="8" fillId="0" borderId="3" xfId="0" applyNumberFormat="1" applyFont="1" applyFill="1" applyBorder="1" applyAlignment="1">
      <alignment horizontal="center" vertical="center" shrinkToFit="1"/>
    </xf>
    <xf numFmtId="178" fontId="8" fillId="0" borderId="3" xfId="0" applyNumberFormat="1" applyFont="1" applyFill="1" applyBorder="1" applyAlignment="1">
      <alignment horizontal="center" vertical="center" wrapText="1" shrinkToFit="1"/>
    </xf>
    <xf numFmtId="0" fontId="8" fillId="0" borderId="3" xfId="0" applyNumberFormat="1" applyFont="1" applyFill="1" applyBorder="1" applyAlignment="1">
      <alignment horizontal="center" vertical="center" wrapText="1"/>
    </xf>
    <xf numFmtId="178" fontId="8" fillId="0" borderId="3" xfId="0" applyNumberFormat="1" applyFont="1" applyFill="1" applyBorder="1" applyAlignment="1">
      <alignment horizontal="center" vertical="center" wrapText="1"/>
    </xf>
    <xf numFmtId="178" fontId="10" fillId="0" borderId="3" xfId="0" applyNumberFormat="1" applyFont="1" applyFill="1" applyBorder="1" applyAlignment="1">
      <alignment horizontal="center" vertical="center" wrapText="1" shrinkToFit="1"/>
    </xf>
    <xf numFmtId="0" fontId="8" fillId="0" borderId="3" xfId="0" applyFont="1" applyFill="1" applyBorder="1" applyAlignment="1">
      <alignment horizontal="center" vertical="center"/>
    </xf>
    <xf numFmtId="179" fontId="8" fillId="0" borderId="3" xfId="0" applyNumberFormat="1" applyFont="1" applyFill="1" applyBorder="1" applyAlignment="1">
      <alignment horizontal="center" vertical="center" wrapText="1"/>
    </xf>
    <xf numFmtId="180" fontId="8" fillId="0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 wrapText="1" shrinkToFit="1"/>
    </xf>
    <xf numFmtId="181" fontId="8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 shrinkToFit="1"/>
    </xf>
    <xf numFmtId="180" fontId="8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 shrinkToFit="1"/>
    </xf>
    <xf numFmtId="0" fontId="11" fillId="0" borderId="3" xfId="0" applyFont="1" applyFill="1" applyBorder="1" applyAlignment="1">
      <alignment horizontal="center" vertical="center" wrapText="1"/>
    </xf>
    <xf numFmtId="178" fontId="8" fillId="0" borderId="3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78" fontId="12" fillId="0" borderId="3" xfId="0" applyNumberFormat="1" applyFont="1" applyFill="1" applyBorder="1" applyAlignment="1">
      <alignment horizontal="center" vertical="center" shrinkToFit="1"/>
    </xf>
    <xf numFmtId="0" fontId="12" fillId="0" borderId="3" xfId="0" applyFont="1" applyFill="1" applyBorder="1" applyAlignment="1">
      <alignment horizontal="center" vertical="center" wrapText="1"/>
    </xf>
    <xf numFmtId="181" fontId="12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 shrinkToFit="1"/>
    </xf>
    <xf numFmtId="0" fontId="12" fillId="0" borderId="3" xfId="0" applyNumberFormat="1" applyFont="1" applyFill="1" applyBorder="1" applyAlignment="1">
      <alignment horizontal="center" vertical="center" wrapText="1"/>
    </xf>
    <xf numFmtId="178" fontId="12" fillId="0" borderId="3" xfId="0" applyNumberFormat="1" applyFont="1" applyFill="1" applyBorder="1" applyAlignment="1">
      <alignment horizontal="center" vertical="center" wrapText="1"/>
    </xf>
    <xf numFmtId="178" fontId="12" fillId="0" borderId="3" xfId="0" applyNumberFormat="1" applyFont="1" applyFill="1" applyBorder="1" applyAlignment="1">
      <alignment horizontal="center" vertical="center" wrapText="1" shrinkToFit="1"/>
    </xf>
    <xf numFmtId="179" fontId="12" fillId="0" borderId="3" xfId="0" applyNumberFormat="1" applyFont="1" applyFill="1" applyBorder="1" applyAlignment="1">
      <alignment horizontal="center" vertical="center" wrapText="1"/>
    </xf>
    <xf numFmtId="180" fontId="12" fillId="0" borderId="3" xfId="0" applyNumberFormat="1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8" fontId="14" fillId="0" borderId="3" xfId="0" applyNumberFormat="1" applyFont="1" applyFill="1" applyBorder="1" applyAlignment="1">
      <alignment horizontal="center" vertical="center" wrapText="1" shrinkToFit="1"/>
    </xf>
    <xf numFmtId="178" fontId="14" fillId="0" borderId="3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178" fontId="11" fillId="0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179" fontId="10" fillId="0" borderId="0" xfId="0" applyNumberFormat="1" applyFont="1" applyFill="1" applyAlignment="1">
      <alignment horizontal="center" vertical="center" wrapText="1"/>
    </xf>
    <xf numFmtId="180" fontId="10" fillId="0" borderId="0" xfId="0" applyNumberFormat="1" applyFont="1" applyFill="1" applyAlignment="1">
      <alignment horizontal="center" vertical="center" wrapText="1"/>
    </xf>
    <xf numFmtId="178" fontId="10" fillId="0" borderId="3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10" fillId="0" borderId="3" xfId="78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179" fontId="10" fillId="0" borderId="3" xfId="0" applyNumberFormat="1" applyFont="1" applyFill="1" applyBorder="1" applyAlignment="1">
      <alignment horizontal="center" vertical="center" wrapText="1"/>
    </xf>
    <xf numFmtId="180" fontId="10" fillId="0" borderId="3" xfId="0" applyNumberFormat="1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180" fontId="14" fillId="0" borderId="3" xfId="0" applyNumberFormat="1" applyFont="1" applyFill="1" applyBorder="1" applyAlignment="1">
      <alignment horizontal="center" vertical="center" wrapText="1"/>
    </xf>
    <xf numFmtId="49" fontId="10" fillId="0" borderId="3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/>
    </xf>
    <xf numFmtId="178" fontId="15" fillId="0" borderId="3" xfId="0" applyNumberFormat="1" applyFont="1" applyFill="1" applyBorder="1" applyAlignment="1">
      <alignment horizontal="center" vertical="center" shrinkToFi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3" xfId="0" applyNumberFormat="1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180" fontId="17" fillId="0" borderId="0" xfId="0" applyNumberFormat="1" applyFont="1" applyFill="1" applyBorder="1" applyAlignment="1">
      <alignment horizontal="center" vertical="center" wrapText="1"/>
    </xf>
    <xf numFmtId="178" fontId="17" fillId="0" borderId="0" xfId="0" applyNumberFormat="1" applyFont="1" applyFill="1" applyBorder="1" applyAlignment="1">
      <alignment horizontal="right" vertical="center" wrapText="1"/>
    </xf>
    <xf numFmtId="178" fontId="15" fillId="0" borderId="0" xfId="0" applyNumberFormat="1" applyFont="1" applyFill="1" applyBorder="1" applyAlignment="1">
      <alignment horizontal="right" vertical="center" wrapText="1"/>
    </xf>
    <xf numFmtId="180" fontId="15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 applyProtection="1">
      <alignment horizontal="left" vertical="center"/>
    </xf>
    <xf numFmtId="0" fontId="8" fillId="0" borderId="0" xfId="0" applyFont="1" applyFill="1" applyBorder="1" applyAlignment="1" applyProtection="1">
      <alignment horizontal="center" vertical="center"/>
    </xf>
    <xf numFmtId="0" fontId="8" fillId="0" borderId="3" xfId="0" applyFont="1" applyFill="1" applyBorder="1" applyAlignment="1" applyProtection="1">
      <alignment horizontal="center" vertical="center"/>
    </xf>
    <xf numFmtId="0" fontId="8" fillId="2" borderId="3" xfId="0" applyFont="1" applyFill="1" applyBorder="1" applyAlignment="1" applyProtection="1">
      <alignment horizontal="center" vertical="center"/>
    </xf>
    <xf numFmtId="0" fontId="8" fillId="5" borderId="3" xfId="0" applyFont="1" applyFill="1" applyBorder="1" applyAlignment="1" applyProtection="1">
      <alignment horizontal="center" vertical="center"/>
    </xf>
    <xf numFmtId="0" fontId="18" fillId="0" borderId="3" xfId="0" applyFont="1" applyFill="1" applyBorder="1" applyAlignment="1" applyProtection="1">
      <alignment horizontal="center" vertical="center"/>
    </xf>
    <xf numFmtId="0" fontId="12" fillId="0" borderId="3" xfId="0" applyFont="1" applyFill="1" applyBorder="1" applyAlignment="1" applyProtection="1">
      <alignment horizontal="center" vertical="center"/>
    </xf>
    <xf numFmtId="0" fontId="19" fillId="0" borderId="3" xfId="0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0" fillId="0" borderId="0" xfId="0" applyFont="1"/>
    <xf numFmtId="0" fontId="21" fillId="0" borderId="0" xfId="0" applyFont="1" applyFill="1" applyAlignment="1">
      <alignment horizontal="center" vertical="center"/>
    </xf>
  </cellXfs>
  <cellStyles count="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 3 3" xfId="50"/>
    <cellStyle name="常规 6" xfId="51"/>
    <cellStyle name="Normal_Book1_INVOICE (Tray 2+ 3) 2003070091&amp;031212" xfId="52"/>
    <cellStyle name="常规 5 2" xfId="53"/>
    <cellStyle name="_ET_STYLE_NoName_00_" xfId="54"/>
    <cellStyle name="常规 2 5" xfId="55"/>
    <cellStyle name="样式 1 2 2" xfId="56"/>
    <cellStyle name="常规 2 2 2" xfId="57"/>
    <cellStyle name="常规 2 2 3" xfId="58"/>
    <cellStyle name="样式 1 2 3" xfId="59"/>
    <cellStyle name="Normal 2" xfId="60"/>
    <cellStyle name="常规 2 2" xfId="61"/>
    <cellStyle name="常规 2 3" xfId="62"/>
    <cellStyle name="常规 2 3 2" xfId="63"/>
    <cellStyle name="常规 2" xfId="64"/>
    <cellStyle name="常规 2 3 2 2" xfId="65"/>
    <cellStyle name="常规 2 4" xfId="66"/>
    <cellStyle name="常规 2 4 2" xfId="67"/>
    <cellStyle name="常规 3" xfId="68"/>
    <cellStyle name="常规 3 2" xfId="69"/>
    <cellStyle name="常规 3 2 2" xfId="70"/>
    <cellStyle name="常规 3 3" xfId="71"/>
    <cellStyle name="常规 4" xfId="72"/>
    <cellStyle name="常规 4 2" xfId="73"/>
    <cellStyle name="常规 4 2 2" xfId="74"/>
    <cellStyle name="常规 4 3" xfId="75"/>
    <cellStyle name="常规 5" xfId="76"/>
    <cellStyle name="常规_2014年Basic Concepts合同评审表(3)" xfId="77"/>
    <cellStyle name="常规_Sheet3" xfId="78"/>
    <cellStyle name="常规_排期" xfId="79"/>
    <cellStyle name="千位分隔 2" xfId="80"/>
    <cellStyle name="千位分隔 2 2" xfId="81"/>
    <cellStyle name="千位分隔 2 2 2" xfId="82"/>
    <cellStyle name="千位分隔 2 4" xfId="83"/>
    <cellStyle name="千位分隔 2 2 2 2" xfId="84"/>
    <cellStyle name="千位分隔 2 2 3" xfId="85"/>
    <cellStyle name="千位分隔 2 3" xfId="86"/>
    <cellStyle name="千位分隔 2 3 2" xfId="87"/>
    <cellStyle name="样式 1" xfId="88"/>
    <cellStyle name="样式 1 2" xfId="89"/>
    <cellStyle name="样式 1 2 2 2" xfId="90"/>
    <cellStyle name="样式 1 3" xfId="91"/>
    <cellStyle name="样式 1 3 2" xfId="92"/>
    <cellStyle name="样式 1 4" xfId="9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E6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FF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E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82EE6"/>
      <color rgb="000000FF"/>
      <color rgb="00FF0000"/>
      <color rgb="00000000"/>
      <color rgb="00FAE5F8"/>
      <color rgb="00ECA7E6"/>
      <color rgb="001B04FA"/>
      <color rgb="00232DF3"/>
      <color rgb="00FF00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680" dbFileVersion="0" changeLogVersion="0">
    <open main="49" threadCnt="1"/>
    <sheetInfos>
      <sheetInfo cellCmpFml="0" sheetStid="48">
        <open threadCnt="1"/>
      </sheetInfo>
      <sheetInfo cellCmpFml="90" sheetStid="47">
        <open main="5" threadCnt="1"/>
      </sheetInfo>
      <sheetInfo cellCmpFml="39" sheetStid="45">
        <open main="1" threadCnt="1"/>
      </sheetInfo>
      <sheetInfo cellCmpFml="154" sheetStid="52">
        <open main="2" threadCnt="1"/>
      </sheetInfo>
      <sheetInfo cellCmpFml="35" sheetStid="53">
        <open main="9" threadCnt="1"/>
      </sheetInfo>
      <sheetInfo cellCmpFml="62" sheetStid="51">
        <open main="2" threadCnt="1"/>
      </sheetInfo>
      <sheetInfo cellCmpFml="300" sheetStid="55">
        <open main="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schemas.openxmlformats.org/officeDocument/2006/relationships/styles" Target="styles.xml"/><Relationship Id="rId14" Type="http://schemas.openxmlformats.org/officeDocument/2006/relationships/customXml" Target="../customXml/item4.xml"/><Relationship Id="rId13" Type="http://schemas.openxmlformats.org/officeDocument/2006/relationships/customXml" Target="../customXml/item3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Moose&#20849;&#20139;/PWP-&#26087;&#22810;&#32654;/Lakeshore &#23458;&#20154;&#20135;&#21697;/Lakeshore&#22806;&#31665;&#36148;&#32440;/Carton Label Recor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rton Label"/>
      <sheetName val="ref"/>
    </sheetNames>
    <sheetDataSet>
      <sheetData sheetId="0" refreshError="1"/>
      <sheetData sheetId="1" refreshError="1">
        <row r="1">
          <cell r="A1" t="str">
            <v>Fty No.</v>
          </cell>
          <cell r="B1" t="str">
            <v>Cust. Ref.</v>
          </cell>
          <cell r="C1" t="str">
            <v>Smart label UPC/EAN</v>
          </cell>
          <cell r="D1" t="str">
            <v>DESCRIPTION</v>
          </cell>
          <cell r="E1" t="str">
            <v>CASE 
PACK</v>
          </cell>
        </row>
        <row r="4">
          <cell r="A4" t="str">
            <v>P543N-LS</v>
          </cell>
          <cell r="B4" t="str">
            <v>605SL</v>
          </cell>
          <cell r="C4" t="str">
            <v>002522000063</v>
          </cell>
          <cell r="D4" t="str">
            <v>12 ASSTD. LIZARDS POLYBAG</v>
          </cell>
          <cell r="E4">
            <v>200</v>
          </cell>
        </row>
        <row r="5">
          <cell r="A5" t="str">
            <v>PZ5840-LS</v>
          </cell>
          <cell r="B5" t="str">
            <v>HH429</v>
          </cell>
          <cell r="C5">
            <v>633682032085</v>
          </cell>
          <cell r="D5" t="str">
            <v>DINOSAURS ADVENTURE SET</v>
          </cell>
          <cell r="E5">
            <v>4</v>
          </cell>
        </row>
        <row r="6">
          <cell r="A6" t="str">
            <v>PZ5934-LS</v>
          </cell>
          <cell r="B6" t="str">
            <v>HH393</v>
          </cell>
          <cell r="C6">
            <v>633682140063</v>
          </cell>
          <cell r="D6" t="str">
            <v>FANTASY ADVENTURE SET</v>
          </cell>
          <cell r="E6">
            <v>4</v>
          </cell>
        </row>
        <row r="7">
          <cell r="A7" t="str">
            <v>529/A</v>
          </cell>
          <cell r="B7" t="str">
            <v>856E5</v>
          </cell>
          <cell r="C7">
            <v>754046529000</v>
          </cell>
          <cell r="D7" t="str">
            <v>BENDABLE EAGLE</v>
          </cell>
          <cell r="E7">
            <v>0</v>
          </cell>
        </row>
        <row r="8">
          <cell r="A8" t="str">
            <v>P1002/BF</v>
          </cell>
          <cell r="B8" t="str">
            <v>1002BF</v>
          </cell>
          <cell r="C8" t="str">
            <v>003417000076</v>
          </cell>
          <cell r="D8" t="str">
            <v>4PC BLACK FAMILY</v>
          </cell>
          <cell r="E8">
            <v>0</v>
          </cell>
        </row>
        <row r="9">
          <cell r="A9" t="str">
            <v>P552D/4-LS</v>
          </cell>
          <cell r="B9" t="str">
            <v>102FR</v>
          </cell>
          <cell r="C9">
            <v>754046055240</v>
          </cell>
          <cell r="D9" t="str">
            <v>SMALL FROGS - SET OF 4</v>
          </cell>
          <cell r="E9">
            <v>250</v>
          </cell>
        </row>
        <row r="10">
          <cell r="A10" t="str">
            <v>P98EX-N</v>
          </cell>
          <cell r="B10" t="str">
            <v>1068LE</v>
          </cell>
          <cell r="C10">
            <v>754046983000</v>
          </cell>
          <cell r="D10" t="str">
            <v>ADULT ELEPHANT</v>
          </cell>
          <cell r="E10">
            <v>0</v>
          </cell>
        </row>
        <row r="11">
          <cell r="A11" t="str">
            <v>KY-6833</v>
          </cell>
          <cell r="B11" t="str">
            <v>10X10VP</v>
          </cell>
          <cell r="C11">
            <v>633682020624</v>
          </cell>
          <cell r="D11" t="str">
            <v>9.75X10"VINYL POUCH BAG</v>
          </cell>
          <cell r="E11">
            <v>400</v>
          </cell>
        </row>
        <row r="12">
          <cell r="A12" t="str">
            <v>P7731</v>
          </cell>
          <cell r="B12" t="str">
            <v>111SK</v>
          </cell>
          <cell r="C12">
            <v>754046077310</v>
          </cell>
          <cell r="D12" t="str">
            <v>SET 16 SKELETON FIG.-ZZ111</v>
          </cell>
          <cell r="E12">
            <v>96</v>
          </cell>
        </row>
        <row r="13">
          <cell r="A13" t="str">
            <v>KY-1213</v>
          </cell>
          <cell r="B13" t="str">
            <v>1213VP</v>
          </cell>
          <cell r="C13">
            <v>633682015200</v>
          </cell>
          <cell r="D13" t="str">
            <v>VINYL POUCH BAG 13.5x12.62</v>
          </cell>
          <cell r="E13">
            <v>300</v>
          </cell>
        </row>
        <row r="14">
          <cell r="A14" t="str">
            <v>98GOZ1-N</v>
          </cell>
          <cell r="B14" t="str">
            <v>1248EB</v>
          </cell>
          <cell r="C14">
            <v>754046124809</v>
          </cell>
          <cell r="D14" t="str">
            <v>BABY GORILLA EAT BANANA</v>
          </cell>
          <cell r="E14">
            <v>0</v>
          </cell>
        </row>
        <row r="15">
          <cell r="A15" t="str">
            <v>P98GOZ2-N</v>
          </cell>
          <cell r="B15" t="str">
            <v>1248SH</v>
          </cell>
          <cell r="C15">
            <v>754046124816</v>
          </cell>
          <cell r="D15" t="str">
            <v>BABY GORILLA SCRATCH HEAD</v>
          </cell>
          <cell r="E15">
            <v>400</v>
          </cell>
        </row>
        <row r="16">
          <cell r="A16" t="str">
            <v>P6777</v>
          </cell>
          <cell r="B16" t="str">
            <v>134TM</v>
          </cell>
          <cell r="C16">
            <v>754046677701</v>
          </cell>
          <cell r="D16" t="str">
            <v>SET OF 17 DINOSAUR</v>
          </cell>
          <cell r="E16">
            <v>8</v>
          </cell>
        </row>
        <row r="17">
          <cell r="A17" t="str">
            <v>RT-119</v>
          </cell>
          <cell r="B17" t="str">
            <v>136BS</v>
          </cell>
          <cell r="C17">
            <v>754046001193</v>
          </cell>
          <cell r="D17" t="str">
            <v>DIE CAST INT'L SCHOOL BUS</v>
          </cell>
          <cell r="E17">
            <v>0</v>
          </cell>
        </row>
        <row r="18">
          <cell r="A18" t="str">
            <v>KY-6832</v>
          </cell>
          <cell r="B18" t="str">
            <v>13X10VP</v>
          </cell>
          <cell r="C18">
            <v>633682020631</v>
          </cell>
          <cell r="D18" t="str">
            <v>13"X10.5"VINYL POUCH BAG</v>
          </cell>
          <cell r="E18">
            <v>400</v>
          </cell>
        </row>
        <row r="19">
          <cell r="A19" t="str">
            <v>1083DN</v>
          </cell>
          <cell r="B19" t="str">
            <v>142BT</v>
          </cell>
          <cell r="C19">
            <v>754046108304</v>
          </cell>
          <cell r="D19" t="str">
            <v>5.5"PVC BLACK BAT</v>
          </cell>
          <cell r="E19">
            <v>864</v>
          </cell>
        </row>
        <row r="20">
          <cell r="A20" t="str">
            <v>P3346N-WM</v>
          </cell>
          <cell r="B20" t="str">
            <v>1485SN</v>
          </cell>
          <cell r="C20">
            <v>754046334604</v>
          </cell>
        </row>
        <row r="20">
          <cell r="E20">
            <v>0</v>
          </cell>
        </row>
        <row r="21">
          <cell r="A21" t="str">
            <v>KY-6831</v>
          </cell>
          <cell r="B21" t="str">
            <v>14X11VP</v>
          </cell>
          <cell r="C21">
            <v>633682020648</v>
          </cell>
          <cell r="D21" t="str">
            <v>13 7/5X11.75" VINYL POUCH BAG</v>
          </cell>
          <cell r="E21">
            <v>300</v>
          </cell>
        </row>
        <row r="22">
          <cell r="A22" t="str">
            <v>D5426</v>
          </cell>
          <cell r="B22" t="str">
            <v>153DM</v>
          </cell>
          <cell r="C22">
            <v>754046054267</v>
          </cell>
          <cell r="D22" t="str">
            <v>DRAGON WORLD PLAYSET</v>
          </cell>
          <cell r="E22">
            <v>0</v>
          </cell>
        </row>
        <row r="23">
          <cell r="A23" t="str">
            <v>P111D</v>
          </cell>
          <cell r="B23" t="str">
            <v>154DS</v>
          </cell>
          <cell r="C23">
            <v>754046001117</v>
          </cell>
          <cell r="D23" t="str">
            <v>8 ASST DINOSAUR</v>
          </cell>
          <cell r="E23">
            <v>800</v>
          </cell>
        </row>
        <row r="24">
          <cell r="A24" t="str">
            <v>KY-6830</v>
          </cell>
          <cell r="B24" t="str">
            <v>16X16VP</v>
          </cell>
          <cell r="C24">
            <v>633682020655</v>
          </cell>
          <cell r="D24" t="str">
            <v>15.75X16.5" VINYL POUCH BAG</v>
          </cell>
          <cell r="E24">
            <v>200</v>
          </cell>
        </row>
        <row r="25">
          <cell r="A25" t="str">
            <v>913DBS-LA   </v>
          </cell>
          <cell r="B25" t="str">
            <v>208BS</v>
          </cell>
          <cell r="C25">
            <v>754046913021</v>
          </cell>
          <cell r="D25" t="str">
            <v>BREAD STICKS</v>
          </cell>
          <cell r="E25">
            <v>720</v>
          </cell>
        </row>
        <row r="26">
          <cell r="A26" t="str">
            <v>P98RX-N</v>
          </cell>
          <cell r="B26" t="str">
            <v>210LR</v>
          </cell>
          <cell r="C26">
            <v>754046980009</v>
          </cell>
          <cell r="D26" t="str">
            <v>LARGE RHINO</v>
          </cell>
          <cell r="E26">
            <v>0</v>
          </cell>
        </row>
        <row r="27">
          <cell r="A27" t="str">
            <v>P225DN</v>
          </cell>
          <cell r="B27" t="str">
            <v>217HR</v>
          </cell>
          <cell r="C27">
            <v>754046002176</v>
          </cell>
          <cell r="D27" t="str">
            <v>SET OF 6 WHITE HORSE</v>
          </cell>
          <cell r="E27">
            <v>12</v>
          </cell>
        </row>
        <row r="28">
          <cell r="A28" t="str">
            <v>P6112D/3</v>
          </cell>
          <cell r="B28" t="str">
            <v>227BU</v>
          </cell>
          <cell r="C28">
            <v>754046611200</v>
          </cell>
          <cell r="D28" t="str">
            <v>SET OF 3 PCS BUGS</v>
          </cell>
          <cell r="E28">
            <v>1296</v>
          </cell>
        </row>
        <row r="29">
          <cell r="A29" t="str">
            <v>P7835</v>
          </cell>
          <cell r="B29" t="str">
            <v>231TA</v>
          </cell>
          <cell r="C29">
            <v>754046783501</v>
          </cell>
          <cell r="D29" t="str">
            <v>GRASSLAND ANIMAL 4PC</v>
          </cell>
          <cell r="E29">
            <v>24</v>
          </cell>
        </row>
        <row r="30">
          <cell r="A30" t="str">
            <v>P98GOZ/2</v>
          </cell>
          <cell r="B30" t="str">
            <v>233CP</v>
          </cell>
          <cell r="C30">
            <v>754046002336</v>
          </cell>
          <cell r="D30" t="str">
            <v>SET OF 2PC CHIMPANZEES</v>
          </cell>
          <cell r="E30">
            <v>288</v>
          </cell>
        </row>
        <row r="31">
          <cell r="A31" t="str">
            <v>P7834</v>
          </cell>
          <cell r="B31" t="str">
            <v>235TA</v>
          </cell>
          <cell r="C31">
            <v>754046783402</v>
          </cell>
          <cell r="D31" t="str">
            <v>FOREST &amp; MOUNTAIN ANIMAL 3PC</v>
          </cell>
          <cell r="E31">
            <v>96</v>
          </cell>
        </row>
        <row r="32">
          <cell r="A32" t="str">
            <v>P7837</v>
          </cell>
          <cell r="B32" t="str">
            <v>237TA</v>
          </cell>
          <cell r="C32">
            <v>754046783709</v>
          </cell>
          <cell r="D32" t="str">
            <v>DESERT ANIMAL 6PC</v>
          </cell>
          <cell r="E32">
            <v>144</v>
          </cell>
        </row>
        <row r="33">
          <cell r="A33" t="str">
            <v>P7838</v>
          </cell>
          <cell r="B33" t="str">
            <v>239TA</v>
          </cell>
          <cell r="C33">
            <v>754046078386</v>
          </cell>
          <cell r="D33" t="str">
            <v>SET OF 7PC POLAR &amp; TUNDRA</v>
          </cell>
          <cell r="E33">
            <v>48</v>
          </cell>
        </row>
        <row r="34">
          <cell r="A34" t="str">
            <v>P7836D</v>
          </cell>
          <cell r="B34" t="str">
            <v>241TA</v>
          </cell>
          <cell r="C34">
            <v>754046783600</v>
          </cell>
          <cell r="D34" t="str">
            <v>OCEAN ANIMAL 3PC</v>
          </cell>
          <cell r="E34">
            <v>48</v>
          </cell>
        </row>
        <row r="35">
          <cell r="A35" t="str">
            <v>P98BXBL-N</v>
          </cell>
          <cell r="B35" t="str">
            <v>2728BA</v>
          </cell>
          <cell r="C35">
            <v>754046272807</v>
          </cell>
          <cell r="D35" t="str">
            <v>BLACK BEAR</v>
          </cell>
          <cell r="E35">
            <v>0</v>
          </cell>
        </row>
        <row r="36">
          <cell r="A36" t="str">
            <v>P98BX-N</v>
          </cell>
          <cell r="B36" t="str">
            <v>2728BE</v>
          </cell>
          <cell r="C36">
            <v>754046027285</v>
          </cell>
          <cell r="D36" t="str">
            <v>ADULT BROWN BEAR</v>
          </cell>
          <cell r="E36">
            <v>0</v>
          </cell>
        </row>
        <row r="37">
          <cell r="A37" t="str">
            <v>P98ZX-N</v>
          </cell>
          <cell r="B37" t="str">
            <v>2729AZ</v>
          </cell>
          <cell r="C37">
            <v>754046272906</v>
          </cell>
          <cell r="D37" t="str">
            <v>ADULT ZEBRA</v>
          </cell>
          <cell r="E37">
            <v>0</v>
          </cell>
        </row>
        <row r="38">
          <cell r="A38" t="str">
            <v>98GZ-N</v>
          </cell>
          <cell r="B38" t="str">
            <v>2729BG</v>
          </cell>
          <cell r="C38">
            <v>754046272913</v>
          </cell>
          <cell r="D38" t="str">
            <v>BABY GIRAFFE</v>
          </cell>
          <cell r="E38">
            <v>0</v>
          </cell>
        </row>
        <row r="39">
          <cell r="A39" t="str">
            <v>KY-6829</v>
          </cell>
          <cell r="B39" t="str">
            <v>294VP</v>
          </cell>
          <cell r="C39">
            <v>633682020679</v>
          </cell>
          <cell r="D39" t="str">
            <v>7-3/8X9-3/8" POUCH BAG</v>
          </cell>
          <cell r="E39">
            <v>600</v>
          </cell>
        </row>
        <row r="40">
          <cell r="A40" t="str">
            <v>P1246/2-LS</v>
          </cell>
          <cell r="B40" t="str">
            <v>300OK</v>
          </cell>
          <cell r="C40">
            <v>754046124601</v>
          </cell>
          <cell r="D40" t="str">
            <v>SET OF 2 SMALL OAK TREES</v>
          </cell>
          <cell r="E40">
            <v>180</v>
          </cell>
        </row>
        <row r="41">
          <cell r="A41" t="str">
            <v>P516D/4</v>
          </cell>
          <cell r="B41" t="str">
            <v>313DG</v>
          </cell>
          <cell r="C41">
            <v>754046003135</v>
          </cell>
          <cell r="D41" t="str">
            <v>2.5" DOG 4 ASST</v>
          </cell>
          <cell r="E41">
            <v>108</v>
          </cell>
        </row>
        <row r="42">
          <cell r="A42" t="str">
            <v>P449/B</v>
          </cell>
          <cell r="B42" t="str">
            <v>314CT</v>
          </cell>
          <cell r="C42" t="str">
            <v>004880000075</v>
          </cell>
        </row>
        <row r="42">
          <cell r="E42">
            <v>0</v>
          </cell>
        </row>
        <row r="43">
          <cell r="A43" t="str">
            <v>P6112</v>
          </cell>
          <cell r="B43" t="str">
            <v>324BU</v>
          </cell>
          <cell r="C43">
            <v>754046061128</v>
          </cell>
          <cell r="D43" t="str">
            <v>SET OF 9PC BUGS</v>
          </cell>
          <cell r="E43">
            <v>432</v>
          </cell>
        </row>
        <row r="44">
          <cell r="A44" t="str">
            <v>P98HX-N</v>
          </cell>
          <cell r="B44" t="str">
            <v>329AH</v>
          </cell>
          <cell r="C44">
            <v>754046329006</v>
          </cell>
          <cell r="D44" t="str">
            <v>ADULT HIPPO</v>
          </cell>
          <cell r="E44">
            <v>0</v>
          </cell>
        </row>
        <row r="45">
          <cell r="A45" t="str">
            <v>P352/F</v>
          </cell>
          <cell r="B45" t="str">
            <v>329AL</v>
          </cell>
          <cell r="C45">
            <v>754046329105</v>
          </cell>
          <cell r="D45" t="str">
            <v>ADULT LION</v>
          </cell>
          <cell r="E45">
            <v>0</v>
          </cell>
        </row>
        <row r="46">
          <cell r="A46" t="str">
            <v>P1241/C</v>
          </cell>
          <cell r="B46" t="str">
            <v>329MT</v>
          </cell>
          <cell r="C46">
            <v>754046124137</v>
          </cell>
          <cell r="D46" t="str">
            <v>6" MOUNTAIN</v>
          </cell>
          <cell r="E46">
            <v>200</v>
          </cell>
        </row>
        <row r="47">
          <cell r="A47" t="str">
            <v>P4980</v>
          </cell>
          <cell r="B47" t="str">
            <v>329RS</v>
          </cell>
          <cell r="C47">
            <v>754046329204</v>
          </cell>
          <cell r="D47" t="str">
            <v>SET OF 12 ROCKS</v>
          </cell>
          <cell r="E47">
            <v>0</v>
          </cell>
        </row>
        <row r="48">
          <cell r="A48" t="str">
            <v>P6112</v>
          </cell>
          <cell r="B48" t="str">
            <v>342BU</v>
          </cell>
          <cell r="C48">
            <v>754046061128</v>
          </cell>
          <cell r="D48" t="str">
            <v>SET OF 9PC BUGS</v>
          </cell>
          <cell r="E48">
            <v>432</v>
          </cell>
        </row>
        <row r="49">
          <cell r="A49" t="str">
            <v>P8763D-LS</v>
          </cell>
          <cell r="B49" t="str">
            <v>347AN</v>
          </cell>
          <cell r="C49">
            <v>754046876302</v>
          </cell>
          <cell r="D49" t="str">
            <v>SET OF 21 WILD ANIMALS</v>
          </cell>
          <cell r="E49">
            <v>4</v>
          </cell>
        </row>
        <row r="50">
          <cell r="A50" t="str">
            <v>P7352</v>
          </cell>
          <cell r="B50" t="str">
            <v>357AN</v>
          </cell>
          <cell r="C50">
            <v>754046735203</v>
          </cell>
          <cell r="D50" t="str">
            <v>12 ASST SEA ANIMALS</v>
          </cell>
          <cell r="E50">
            <v>24</v>
          </cell>
        </row>
        <row r="51">
          <cell r="A51" t="str">
            <v>P98/8-LC</v>
          </cell>
          <cell r="B51" t="str">
            <v>361AN</v>
          </cell>
          <cell r="C51">
            <v>754046003616</v>
          </cell>
          <cell r="D51" t="str">
            <v>SET OF 8 ANIMALS</v>
          </cell>
          <cell r="E51">
            <v>0</v>
          </cell>
        </row>
        <row r="52">
          <cell r="A52">
            <v>1432</v>
          </cell>
          <cell r="B52" t="str">
            <v>361BM</v>
          </cell>
          <cell r="C52">
            <v>754046143206</v>
          </cell>
          <cell r="D52" t="str">
            <v>BROWN MOUNTAIN</v>
          </cell>
          <cell r="E52">
            <v>24</v>
          </cell>
        </row>
        <row r="53">
          <cell r="A53" t="str">
            <v>P1360D/1-LS</v>
          </cell>
          <cell r="B53" t="str">
            <v>374PL</v>
          </cell>
          <cell r="C53">
            <v>754046136017</v>
          </cell>
          <cell r="D53" t="str">
            <v>PLIERS</v>
          </cell>
          <cell r="E53">
            <v>700</v>
          </cell>
        </row>
        <row r="54">
          <cell r="A54" t="str">
            <v>P318D/5</v>
          </cell>
          <cell r="B54" t="str">
            <v>376MM</v>
          </cell>
          <cell r="C54">
            <v>754046003760</v>
          </cell>
          <cell r="D54" t="str">
            <v>BUTTERFLY LIFE CYCLE</v>
          </cell>
          <cell r="E54">
            <v>288</v>
          </cell>
        </row>
        <row r="55">
          <cell r="A55" t="str">
            <v>P552D/3-LS  </v>
          </cell>
          <cell r="B55" t="str">
            <v>379TM</v>
          </cell>
          <cell r="C55">
            <v>754046055233</v>
          </cell>
          <cell r="D55" t="str">
            <v>3 ASSORTED FROGS</v>
          </cell>
          <cell r="E55">
            <v>250</v>
          </cell>
        </row>
        <row r="56">
          <cell r="A56" t="str">
            <v>D5200D-LS</v>
          </cell>
          <cell r="B56" t="str">
            <v>384TM</v>
          </cell>
          <cell r="C56">
            <v>500000248803</v>
          </cell>
          <cell r="D56" t="str">
            <v>CLASSIC PETS COLLECTION</v>
          </cell>
          <cell r="E56">
            <v>6</v>
          </cell>
        </row>
        <row r="57">
          <cell r="A57" t="str">
            <v>P4600D-LS    </v>
          </cell>
          <cell r="B57" t="str">
            <v>389BG</v>
          </cell>
          <cell r="C57">
            <v>754046460006</v>
          </cell>
          <cell r="D57" t="str">
            <v>SET OF 24 BUGS</v>
          </cell>
          <cell r="E57">
            <v>36</v>
          </cell>
        </row>
        <row r="58">
          <cell r="A58" t="str">
            <v>RT-391</v>
          </cell>
          <cell r="B58" t="str">
            <v>391AR</v>
          </cell>
          <cell r="C58">
            <v>754046391102</v>
          </cell>
          <cell r="D58" t="str">
            <v>AIRPORT PLAYSET</v>
          </cell>
          <cell r="E58">
            <v>0</v>
          </cell>
        </row>
        <row r="59">
          <cell r="A59" t="str">
            <v>HT-F801-6</v>
          </cell>
          <cell r="B59" t="str">
            <v>391PL</v>
          </cell>
          <cell r="C59">
            <v>754046391003</v>
          </cell>
          <cell r="D59" t="str">
            <v>SET OF 6 SKY WINGS</v>
          </cell>
          <cell r="E59">
            <v>0</v>
          </cell>
        </row>
        <row r="60">
          <cell r="A60" t="str">
            <v>P5934-LS</v>
          </cell>
          <cell r="B60" t="str">
            <v>393FG</v>
          </cell>
          <cell r="C60">
            <v>500000496068</v>
          </cell>
          <cell r="D60" t="str">
            <v>PLASTIC FIGURES FOR HH393</v>
          </cell>
          <cell r="E60">
            <v>8</v>
          </cell>
        </row>
        <row r="61">
          <cell r="A61" t="str">
            <v>P98LX-N</v>
          </cell>
          <cell r="B61" t="str">
            <v>401LL</v>
          </cell>
          <cell r="C61">
            <v>754046004019</v>
          </cell>
          <cell r="D61" t="str">
            <v>ADULT LION</v>
          </cell>
          <cell r="E61">
            <v>0</v>
          </cell>
        </row>
        <row r="62">
          <cell r="A62" t="str">
            <v>98GY-N</v>
          </cell>
          <cell r="B62" t="str">
            <v>401MG</v>
          </cell>
          <cell r="C62">
            <v>754046980016</v>
          </cell>
          <cell r="D62" t="str">
            <v>MEDIUM GIRAFFE</v>
          </cell>
          <cell r="E62">
            <v>0</v>
          </cell>
        </row>
        <row r="63">
          <cell r="A63" t="str">
            <v>P277/GF</v>
          </cell>
          <cell r="B63" t="str">
            <v>405CF</v>
          </cell>
          <cell r="C63">
            <v>754046277000</v>
          </cell>
          <cell r="D63" t="str">
            <v>WILD CAT &amp; FOX</v>
          </cell>
          <cell r="E63">
            <v>0</v>
          </cell>
        </row>
        <row r="64">
          <cell r="A64" t="str">
            <v>P277/CD</v>
          </cell>
          <cell r="B64" t="str">
            <v>405DH</v>
          </cell>
          <cell r="C64">
            <v>754046004057</v>
          </cell>
          <cell r="D64" t="str">
            <v>DEER &amp; DEER W/ HORN</v>
          </cell>
          <cell r="E64">
            <v>0</v>
          </cell>
        </row>
        <row r="65">
          <cell r="A65" t="str">
            <v>P277/E</v>
          </cell>
          <cell r="B65" t="str">
            <v>405WF</v>
          </cell>
          <cell r="C65">
            <v>754046277109</v>
          </cell>
          <cell r="D65" t="str">
            <v>WOLF</v>
          </cell>
          <cell r="E65">
            <v>0</v>
          </cell>
        </row>
        <row r="66">
          <cell r="A66" t="str">
            <v>411BT</v>
          </cell>
          <cell r="B66" t="str">
            <v>411BT</v>
          </cell>
          <cell r="C66">
            <v>754046004118</v>
          </cell>
        </row>
        <row r="66">
          <cell r="E66">
            <v>0</v>
          </cell>
        </row>
        <row r="67">
          <cell r="A67" t="str">
            <v>913DCR-LA</v>
          </cell>
          <cell r="B67" t="str">
            <v>411CR</v>
          </cell>
          <cell r="C67">
            <v>754046913007</v>
          </cell>
          <cell r="D67" t="str">
            <v>CRACKER</v>
          </cell>
          <cell r="E67">
            <v>360</v>
          </cell>
        </row>
        <row r="68">
          <cell r="A68" t="str">
            <v>P5840D-LS</v>
          </cell>
          <cell r="B68" t="str">
            <v>429PD</v>
          </cell>
          <cell r="C68">
            <v>754046584009</v>
          </cell>
          <cell r="D68" t="str">
            <v>DINOSAURS FIGURINE SET</v>
          </cell>
          <cell r="E68">
            <v>24</v>
          </cell>
        </row>
        <row r="69">
          <cell r="A69" t="str">
            <v>P227D</v>
          </cell>
          <cell r="B69" t="str">
            <v>441AD</v>
          </cell>
          <cell r="C69">
            <v>754046227005</v>
          </cell>
          <cell r="D69" t="str">
            <v>12 ASST DINOSAURS</v>
          </cell>
          <cell r="E69">
            <v>12</v>
          </cell>
        </row>
        <row r="70">
          <cell r="A70" t="str">
            <v>P279/6</v>
          </cell>
          <cell r="B70" t="str">
            <v>453TF</v>
          </cell>
          <cell r="C70">
            <v>754046027964</v>
          </cell>
          <cell r="D70" t="str">
            <v>6PC TROPICAL FISH</v>
          </cell>
          <cell r="E70">
            <v>0</v>
          </cell>
        </row>
        <row r="71">
          <cell r="A71" t="str">
            <v>P6043</v>
          </cell>
          <cell r="B71" t="str">
            <v>453TM</v>
          </cell>
          <cell r="C71">
            <v>754046045302</v>
          </cell>
          <cell r="D71" t="str">
            <v>SET OF 11 REPTILES</v>
          </cell>
          <cell r="E71">
            <v>24</v>
          </cell>
        </row>
        <row r="72">
          <cell r="A72" t="str">
            <v>P1854/100</v>
          </cell>
          <cell r="B72" t="str">
            <v>453TS</v>
          </cell>
          <cell r="C72">
            <v>754046185404</v>
          </cell>
          <cell r="D72" t="str">
            <v>TREE WITH STAND</v>
          </cell>
          <cell r="E72">
            <v>3000</v>
          </cell>
        </row>
        <row r="73">
          <cell r="A73" t="str">
            <v>81D/A</v>
          </cell>
          <cell r="B73" t="str">
            <v>453WH</v>
          </cell>
          <cell r="C73">
            <v>754046004538</v>
          </cell>
          <cell r="D73" t="str">
            <v>HUMPBACK WHALE</v>
          </cell>
          <cell r="E73">
            <v>144</v>
          </cell>
        </row>
        <row r="74">
          <cell r="A74" t="str">
            <v>98EZ-N</v>
          </cell>
          <cell r="B74" t="str">
            <v>4620EL</v>
          </cell>
          <cell r="C74" t="str">
            <v>001899000089</v>
          </cell>
        </row>
        <row r="74">
          <cell r="E74">
            <v>0</v>
          </cell>
        </row>
        <row r="75">
          <cell r="A75" t="str">
            <v>98ZR-N</v>
          </cell>
          <cell r="B75" t="str">
            <v>4620RH</v>
          </cell>
          <cell r="C75">
            <v>754046984007</v>
          </cell>
          <cell r="D75" t="str">
            <v>BABY RHINO</v>
          </cell>
          <cell r="E75">
            <v>0</v>
          </cell>
        </row>
        <row r="76">
          <cell r="A76" t="str">
            <v>P7357</v>
          </cell>
          <cell r="B76" t="str">
            <v>489KP</v>
          </cell>
          <cell r="C76">
            <v>754046735708</v>
          </cell>
          <cell r="D76" t="str">
            <v>KOALA &amp; PANDA, 5PC</v>
          </cell>
          <cell r="E76">
            <v>72</v>
          </cell>
        </row>
        <row r="77">
          <cell r="A77" t="str">
            <v>P98/10-LC</v>
          </cell>
          <cell r="B77" t="str">
            <v>518AN</v>
          </cell>
          <cell r="C77">
            <v>754046981006</v>
          </cell>
          <cell r="D77" t="str">
            <v>SET OF 10 ANIMALS</v>
          </cell>
          <cell r="E77">
            <v>0</v>
          </cell>
        </row>
        <row r="78">
          <cell r="A78" t="str">
            <v>906/B</v>
          </cell>
          <cell r="B78" t="str">
            <v>518TR</v>
          </cell>
          <cell r="C78">
            <v>754046005184</v>
          </cell>
          <cell r="D78" t="str">
            <v>PLAM TREE</v>
          </cell>
          <cell r="E78">
            <v>0</v>
          </cell>
        </row>
        <row r="79">
          <cell r="A79" t="str">
            <v>334N</v>
          </cell>
          <cell r="B79" t="str">
            <v>526BM</v>
          </cell>
          <cell r="C79" t="str">
            <v>002495000084</v>
          </cell>
          <cell r="D79" t="str">
            <v>DARK BROWN MOUNTAIN</v>
          </cell>
          <cell r="E79">
            <v>0</v>
          </cell>
        </row>
        <row r="80">
          <cell r="A80" t="str">
            <v>529/B</v>
          </cell>
          <cell r="B80" t="str">
            <v>526BW</v>
          </cell>
          <cell r="C80">
            <v>754046005269</v>
          </cell>
          <cell r="D80" t="str">
            <v>BENDABLE OWL</v>
          </cell>
          <cell r="E80">
            <v>0</v>
          </cell>
        </row>
        <row r="81">
          <cell r="A81" t="str">
            <v>P530/3-LC</v>
          </cell>
          <cell r="B81" t="str">
            <v>541BP</v>
          </cell>
          <cell r="C81">
            <v>754046530303</v>
          </cell>
          <cell r="D81" t="str">
            <v>BENDABLE FIGURE SET OF 3</v>
          </cell>
          <cell r="E81">
            <v>0</v>
          </cell>
        </row>
        <row r="82">
          <cell r="A82" t="str">
            <v>D5974-LS</v>
          </cell>
          <cell r="B82" t="str">
            <v>554DA</v>
          </cell>
          <cell r="C82" t="str">
            <v>007012000080</v>
          </cell>
          <cell r="D82" t="str">
            <v>DINOSAUR ADVENTURES</v>
          </cell>
          <cell r="E82">
            <v>6</v>
          </cell>
        </row>
        <row r="83">
          <cell r="A83" t="str">
            <v>P702</v>
          </cell>
          <cell r="B83" t="str">
            <v>554DS</v>
          </cell>
          <cell r="C83">
            <v>754046554002</v>
          </cell>
          <cell r="D83" t="str">
            <v>SET OF 12 DINOS &amp; SKELETONS</v>
          </cell>
          <cell r="E83">
            <v>0</v>
          </cell>
        </row>
        <row r="84">
          <cell r="A84" t="str">
            <v>P1364-LS</v>
          </cell>
          <cell r="B84" t="str">
            <v>558CS</v>
          </cell>
          <cell r="C84" t="str">
            <v>007137000071</v>
          </cell>
          <cell r="D84" t="str">
            <v>PLASTIC CASE WITH HANDLE</v>
          </cell>
          <cell r="E84">
            <v>24</v>
          </cell>
        </row>
        <row r="85">
          <cell r="A85" t="str">
            <v>P98/CX</v>
          </cell>
          <cell r="B85" t="str">
            <v>577CA</v>
          </cell>
          <cell r="C85">
            <v>754046005771</v>
          </cell>
          <cell r="D85" t="str">
            <v>ADULT CHIMPANZEE</v>
          </cell>
          <cell r="E85">
            <v>0</v>
          </cell>
        </row>
        <row r="86">
          <cell r="A86" t="str">
            <v>P275/AB</v>
          </cell>
          <cell r="B86" t="str">
            <v>577KB</v>
          </cell>
          <cell r="C86">
            <v>754046015570</v>
          </cell>
          <cell r="D86" t="str">
            <v>KOALA BEAR BABIES</v>
          </cell>
          <cell r="E86">
            <v>0</v>
          </cell>
        </row>
        <row r="87">
          <cell r="A87" t="str">
            <v>P552D</v>
          </cell>
          <cell r="B87" t="str">
            <v>605SF</v>
          </cell>
          <cell r="C87">
            <v>754046552008</v>
          </cell>
          <cell r="D87" t="str">
            <v>SMALL FROGS</v>
          </cell>
          <cell r="E87">
            <v>144</v>
          </cell>
        </row>
        <row r="88">
          <cell r="A88" t="str">
            <v>913D/CT</v>
          </cell>
          <cell r="B88" t="str">
            <v>623CT</v>
          </cell>
          <cell r="C88">
            <v>754046009137</v>
          </cell>
          <cell r="D88" t="str">
            <v>CORN TORTILLA</v>
          </cell>
          <cell r="E88">
            <v>320</v>
          </cell>
        </row>
        <row r="89">
          <cell r="A89" t="str">
            <v>P279D</v>
          </cell>
          <cell r="B89" t="str">
            <v>633FC</v>
          </cell>
          <cell r="C89">
            <v>754046279004</v>
          </cell>
          <cell r="D89" t="str">
            <v>12 TROPICAL FISH </v>
          </cell>
          <cell r="E89">
            <v>144</v>
          </cell>
        </row>
        <row r="90">
          <cell r="A90" t="str">
            <v>P432D-HW</v>
          </cell>
          <cell r="B90" t="str">
            <v>633WC</v>
          </cell>
          <cell r="C90">
            <v>754046633004</v>
          </cell>
          <cell r="D90" t="str">
            <v>2 HORSE &amp; WAGON</v>
          </cell>
          <cell r="E90">
            <v>72</v>
          </cell>
        </row>
        <row r="91">
          <cell r="A91" t="str">
            <v>P358/10</v>
          </cell>
          <cell r="B91" t="str">
            <v>634BF</v>
          </cell>
          <cell r="C91">
            <v>754046358105</v>
          </cell>
          <cell r="D91" t="str">
            <v>BROWN/BLUE BUTTERFLIES</v>
          </cell>
          <cell r="E91">
            <v>160</v>
          </cell>
        </row>
        <row r="92">
          <cell r="A92" t="str">
            <v>P498/B</v>
          </cell>
          <cell r="B92" t="str">
            <v>638MC</v>
          </cell>
          <cell r="C92">
            <v>754046006389</v>
          </cell>
          <cell r="D92" t="str">
            <v>HEN</v>
          </cell>
          <cell r="E92">
            <v>0</v>
          </cell>
        </row>
        <row r="93">
          <cell r="A93" t="str">
            <v>P526</v>
          </cell>
          <cell r="B93" t="str">
            <v>638TF</v>
          </cell>
          <cell r="C93">
            <v>754046526009</v>
          </cell>
          <cell r="D93" t="str">
            <v>4 ASST TADPOLES</v>
          </cell>
          <cell r="E93">
            <v>0</v>
          </cell>
        </row>
        <row r="94">
          <cell r="A94" t="str">
            <v>98ZZ-N</v>
          </cell>
          <cell r="B94" t="str">
            <v>647BZ</v>
          </cell>
          <cell r="C94">
            <v>754046982003</v>
          </cell>
          <cell r="D94" t="str">
            <v>BABY ZEBRA</v>
          </cell>
          <cell r="E94">
            <v>0</v>
          </cell>
        </row>
        <row r="95">
          <cell r="A95" t="str">
            <v>98DTZ/2-N</v>
          </cell>
          <cell r="B95" t="str">
            <v>682TC</v>
          </cell>
          <cell r="C95">
            <v>754046006822</v>
          </cell>
          <cell r="D95" t="str">
            <v>TIGER CUBS</v>
          </cell>
          <cell r="E95">
            <v>400</v>
          </cell>
        </row>
        <row r="96">
          <cell r="A96" t="str">
            <v>CL-P6262</v>
          </cell>
          <cell r="B96" t="str">
            <v>705MI</v>
          </cell>
          <cell r="C96">
            <v>754046062620</v>
          </cell>
          <cell r="D96" t="str">
            <v>SET OF 5 MEDICAL INSTRUMENTS</v>
          </cell>
          <cell r="E96">
            <v>300</v>
          </cell>
        </row>
        <row r="97">
          <cell r="A97" t="str">
            <v>P913D/K</v>
          </cell>
          <cell r="B97" t="str">
            <v>711BA</v>
          </cell>
          <cell r="C97">
            <v>754046007119</v>
          </cell>
          <cell r="D97" t="str">
            <v>BAGEL</v>
          </cell>
          <cell r="E97">
            <v>288</v>
          </cell>
        </row>
        <row r="98">
          <cell r="A98" t="str">
            <v>P551D/16</v>
          </cell>
          <cell r="B98" t="str">
            <v>734FA</v>
          </cell>
          <cell r="C98">
            <v>754046007348</v>
          </cell>
          <cell r="D98" t="str">
            <v>SET OF 16 FARM ANIMALS</v>
          </cell>
          <cell r="E98">
            <v>180</v>
          </cell>
        </row>
        <row r="99">
          <cell r="A99" t="str">
            <v>P532D/4   </v>
          </cell>
          <cell r="B99" t="str">
            <v>789TR</v>
          </cell>
          <cell r="C99">
            <v>754046532406</v>
          </cell>
          <cell r="D99" t="str">
            <v>SMALL TURTLES</v>
          </cell>
          <cell r="E99">
            <v>450</v>
          </cell>
        </row>
        <row r="100">
          <cell r="A100" t="str">
            <v>KY-6572</v>
          </cell>
          <cell r="B100" t="str">
            <v>791VP</v>
          </cell>
          <cell r="C100">
            <v>633682020686</v>
          </cell>
          <cell r="D100" t="str">
            <v>8.25X10-11/16"VINYL POUCH BAG</v>
          </cell>
          <cell r="E100">
            <v>600</v>
          </cell>
        </row>
        <row r="101">
          <cell r="A101" t="str">
            <v>P7895D-1-LS</v>
          </cell>
          <cell r="B101" t="str">
            <v>800AC</v>
          </cell>
          <cell r="C101" t="str">
            <v>007723000096</v>
          </cell>
          <cell r="D101" t="str">
            <v>ANIMAL TRANSPORTER SET</v>
          </cell>
          <cell r="E101">
            <v>12</v>
          </cell>
        </row>
        <row r="102">
          <cell r="A102" t="str">
            <v>P6716</v>
          </cell>
          <cell r="B102" t="str">
            <v>805AN</v>
          </cell>
          <cell r="C102">
            <v>754046671600</v>
          </cell>
          <cell r="D102" t="str">
            <v>SET OF 3 WILD ANIMALS</v>
          </cell>
          <cell r="E102">
            <v>40</v>
          </cell>
        </row>
        <row r="103">
          <cell r="A103" t="str">
            <v>P338DB/144</v>
          </cell>
          <cell r="B103" t="str">
            <v>842AN</v>
          </cell>
          <cell r="C103">
            <v>754046338008</v>
          </cell>
          <cell r="D103" t="str">
            <v>MINI BLACK ANT</v>
          </cell>
          <cell r="E103">
            <v>72</v>
          </cell>
        </row>
        <row r="104">
          <cell r="A104" t="str">
            <v>P532D/100</v>
          </cell>
          <cell r="B104" t="str">
            <v>856T1</v>
          </cell>
          <cell r="C104">
            <v>754046532406</v>
          </cell>
          <cell r="D104" t="str">
            <v>SMALL TURTLES </v>
          </cell>
          <cell r="E104">
            <v>1200</v>
          </cell>
        </row>
        <row r="105">
          <cell r="A105" t="str">
            <v>MW-P913WH</v>
          </cell>
          <cell r="B105" t="str">
            <v>913WH</v>
          </cell>
          <cell r="C105">
            <v>754046913014</v>
          </cell>
        </row>
        <row r="105">
          <cell r="E105">
            <v>0</v>
          </cell>
        </row>
        <row r="106">
          <cell r="A106" t="str">
            <v>P338DC/100-LS</v>
          </cell>
          <cell r="B106" t="str">
            <v>928LB</v>
          </cell>
          <cell r="C106" t="str">
            <v>005265000055</v>
          </cell>
          <cell r="D106" t="str">
            <v>RED LADY BUG-PH</v>
          </cell>
          <cell r="E106">
            <v>5000</v>
          </cell>
        </row>
        <row r="107">
          <cell r="A107" t="str">
            <v>P4588D</v>
          </cell>
          <cell r="B107" t="str">
            <v>959WD</v>
          </cell>
          <cell r="C107">
            <v>754046009595</v>
          </cell>
          <cell r="D107" t="str">
            <v>PLAIN WHITE DINOSAURS</v>
          </cell>
          <cell r="E107">
            <v>24</v>
          </cell>
        </row>
        <row r="108">
          <cell r="A108" t="str">
            <v>P1726D/4-LS</v>
          </cell>
          <cell r="B108" t="str">
            <v>961WF</v>
          </cell>
          <cell r="C108">
            <v>754046172640</v>
          </cell>
          <cell r="D108" t="str">
            <v>4 PCS FENCE</v>
          </cell>
          <cell r="E108">
            <v>24</v>
          </cell>
        </row>
        <row r="109">
          <cell r="A109" t="str">
            <v>P8908D-LS   </v>
          </cell>
          <cell r="B109" t="str">
            <v>967BG</v>
          </cell>
          <cell r="C109" t="str">
            <v>754046890803</v>
          </cell>
          <cell r="D109" t="str">
            <v>10 ASSTD . INSECT</v>
          </cell>
          <cell r="E109">
            <v>72</v>
          </cell>
        </row>
        <row r="110">
          <cell r="A110" t="str">
            <v>P8908D</v>
          </cell>
          <cell r="B110" t="str">
            <v>967BG</v>
          </cell>
        </row>
        <row r="110">
          <cell r="D110" t="str">
            <v>10 ASSTD . INSECT</v>
          </cell>
          <cell r="E110">
            <v>72</v>
          </cell>
        </row>
        <row r="111">
          <cell r="A111" t="str">
            <v>P552DN2</v>
          </cell>
          <cell r="B111" t="str">
            <v>967TD</v>
          </cell>
          <cell r="C111">
            <v>754046552206</v>
          </cell>
          <cell r="D111" t="str">
            <v>SMALL GREEN FROG</v>
          </cell>
          <cell r="E111">
            <v>144</v>
          </cell>
        </row>
        <row r="112">
          <cell r="A112" t="str">
            <v>P552N2</v>
          </cell>
          <cell r="B112" t="str">
            <v>967TD</v>
          </cell>
          <cell r="C112">
            <v>754046552206</v>
          </cell>
          <cell r="D112" t="str">
            <v>SMALL GREEN FROG</v>
          </cell>
          <cell r="E112">
            <v>144</v>
          </cell>
        </row>
        <row r="113">
          <cell r="A113" t="str">
            <v>AE-P8122</v>
          </cell>
          <cell r="B113" t="str">
            <v>971JU</v>
          </cell>
          <cell r="C113" t="str">
            <v>007094000053</v>
          </cell>
          <cell r="D113" t="str">
            <v>ASST BABY JUNGLE ANIMALS</v>
          </cell>
          <cell r="E113">
            <v>36</v>
          </cell>
        </row>
        <row r="114">
          <cell r="A114" t="str">
            <v>AE-P8123</v>
          </cell>
          <cell r="B114" t="str">
            <v>972FA</v>
          </cell>
          <cell r="C114" t="str">
            <v>007117000077</v>
          </cell>
          <cell r="D114" t="str">
            <v>ASST BABY FARM ANIMALS</v>
          </cell>
          <cell r="E114">
            <v>36</v>
          </cell>
        </row>
        <row r="115">
          <cell r="A115" t="str">
            <v>AE-P8121</v>
          </cell>
          <cell r="B115" t="str">
            <v>973DI</v>
          </cell>
          <cell r="C115" t="str">
            <v>007132000069</v>
          </cell>
          <cell r="D115" t="str">
            <v>ASST BABY DINOSAURS</v>
          </cell>
          <cell r="E115">
            <v>36</v>
          </cell>
        </row>
        <row r="116">
          <cell r="A116" t="str">
            <v>P7842N1-LS</v>
          </cell>
          <cell r="B116" t="str">
            <v>974DB</v>
          </cell>
          <cell r="C116">
            <v>754046784201</v>
          </cell>
          <cell r="D116" t="str">
            <v>GIANT DINOSAUR SKELETON</v>
          </cell>
          <cell r="E116">
            <v>48</v>
          </cell>
        </row>
        <row r="117">
          <cell r="A117">
            <v>3377</v>
          </cell>
          <cell r="B117" t="str">
            <v>976CR</v>
          </cell>
          <cell r="C117">
            <v>754046337704</v>
          </cell>
          <cell r="D117" t="str">
            <v>CRYING CROCODILE</v>
          </cell>
          <cell r="E117">
            <v>0</v>
          </cell>
        </row>
        <row r="118">
          <cell r="A118" t="str">
            <v>D4802D-LS</v>
          </cell>
          <cell r="B118" t="str">
            <v>DC346</v>
          </cell>
          <cell r="C118">
            <v>500000248797</v>
          </cell>
          <cell r="D118" t="str">
            <v>CLASSIC DINOSAUR COLLECTION</v>
          </cell>
          <cell r="E118">
            <v>4</v>
          </cell>
        </row>
        <row r="119">
          <cell r="A119" t="str">
            <v>AE-W2030D-LS</v>
          </cell>
          <cell r="B119" t="str">
            <v>FF854</v>
          </cell>
          <cell r="C119">
            <v>633682112367</v>
          </cell>
          <cell r="D119" t="str">
            <v>SOFT &amp; SAFE COMMUNITY HELPERS</v>
          </cell>
          <cell r="E119">
            <v>6</v>
          </cell>
        </row>
        <row r="120">
          <cell r="A120" t="str">
            <v>D8763D-LS</v>
          </cell>
          <cell r="B120" t="str">
            <v>GG347</v>
          </cell>
          <cell r="C120">
            <v>633682059075</v>
          </cell>
          <cell r="D120" t="str">
            <v>CLASSIC WILD ANIMAL COLLECTION</v>
          </cell>
          <cell r="E120">
            <v>16</v>
          </cell>
        </row>
        <row r="121">
          <cell r="A121" t="str">
            <v>D6779</v>
          </cell>
          <cell r="B121" t="str">
            <v>GG348</v>
          </cell>
          <cell r="C121" t="str">
            <v>008700000078</v>
          </cell>
          <cell r="D121" t="str">
            <v>JUNGLE HABITAT</v>
          </cell>
          <cell r="E121">
            <v>6</v>
          </cell>
        </row>
        <row r="122">
          <cell r="A122" t="str">
            <v>D6799-1</v>
          </cell>
          <cell r="B122" t="str">
            <v>GG348</v>
          </cell>
          <cell r="C122" t="str">
            <v>008700000078</v>
          </cell>
          <cell r="D122" t="str">
            <v>JUNGLE HABITAT</v>
          </cell>
          <cell r="E122">
            <v>6</v>
          </cell>
        </row>
        <row r="123">
          <cell r="A123" t="str">
            <v>D6779</v>
          </cell>
          <cell r="B123" t="str">
            <v>GG348</v>
          </cell>
          <cell r="C123" t="str">
            <v>008700000078</v>
          </cell>
          <cell r="D123" t="str">
            <v>JUNGLE HABITAT</v>
          </cell>
          <cell r="E123">
            <v>6</v>
          </cell>
        </row>
        <row r="124">
          <cell r="A124" t="str">
            <v>KY-7412</v>
          </cell>
          <cell r="B124" t="str">
            <v>GG964</v>
          </cell>
          <cell r="C124">
            <v>633682062969</v>
          </cell>
          <cell r="D124" t="str">
            <v>CLR VIEW ELEM BACKPACK</v>
          </cell>
          <cell r="E124">
            <v>40</v>
          </cell>
        </row>
        <row r="125">
          <cell r="A125" t="str">
            <v>AE-PT1898D-LS</v>
          </cell>
          <cell r="B125" t="str">
            <v>GS671</v>
          </cell>
          <cell r="C125" t="str">
            <v>006893000066</v>
          </cell>
          <cell r="D125" t="str">
            <v>SOFT WILD ANIMALS</v>
          </cell>
          <cell r="E125">
            <v>8</v>
          </cell>
        </row>
        <row r="126">
          <cell r="A126" t="str">
            <v>PT1898D-LS</v>
          </cell>
          <cell r="B126" t="str">
            <v>GS671</v>
          </cell>
          <cell r="C126" t="str">
            <v>006893000066</v>
          </cell>
          <cell r="D126" t="str">
            <v>SOFT WILD ANIMALS</v>
          </cell>
          <cell r="E126">
            <v>8</v>
          </cell>
        </row>
        <row r="127">
          <cell r="A127" t="str">
            <v>AE-PT1899D-LS</v>
          </cell>
          <cell r="B127" t="str">
            <v>GS672</v>
          </cell>
          <cell r="C127" t="str">
            <v>006886000097</v>
          </cell>
          <cell r="D127" t="str">
            <v>SOFT FARM ANIMALS</v>
          </cell>
          <cell r="E127">
            <v>8</v>
          </cell>
        </row>
        <row r="128">
          <cell r="A128" t="str">
            <v>AE-PT8573D-LS</v>
          </cell>
          <cell r="B128" t="str">
            <v>GS673</v>
          </cell>
          <cell r="C128" t="str">
            <v>007492000068</v>
          </cell>
          <cell r="D128" t="str">
            <v>SOFT DINOSAURS - 1</v>
          </cell>
          <cell r="E128">
            <v>4</v>
          </cell>
        </row>
        <row r="129">
          <cell r="A129" t="str">
            <v>PT8573D-LS</v>
          </cell>
          <cell r="B129" t="str">
            <v>GS673</v>
          </cell>
          <cell r="C129" t="str">
            <v>007492000068</v>
          </cell>
          <cell r="D129" t="str">
            <v>SOFT DINOSAURS - 1</v>
          </cell>
          <cell r="E129">
            <v>4</v>
          </cell>
        </row>
        <row r="130">
          <cell r="A130" t="str">
            <v>PT8574D-LS</v>
          </cell>
          <cell r="B130" t="str">
            <v>GS674</v>
          </cell>
          <cell r="C130" t="str">
            <v>006108000089</v>
          </cell>
          <cell r="D130" t="str">
            <v>SOFT DINOSAURS - 2</v>
          </cell>
          <cell r="E130">
            <v>4</v>
          </cell>
        </row>
        <row r="131">
          <cell r="A131" t="str">
            <v>AE-PT8574-LS</v>
          </cell>
          <cell r="B131" t="str">
            <v>GS674</v>
          </cell>
          <cell r="C131" t="str">
            <v>006108000089</v>
          </cell>
          <cell r="D131" t="str">
            <v>SOFT DINOSAURS - 2</v>
          </cell>
          <cell r="E131">
            <v>4</v>
          </cell>
        </row>
        <row r="132">
          <cell r="A132" t="str">
            <v>AE-PT8574D-LS</v>
          </cell>
          <cell r="B132" t="str">
            <v>GS675</v>
          </cell>
          <cell r="C132">
            <v>500000080748</v>
          </cell>
          <cell r="D132" t="str">
            <v>SOFT DINOSAURS - 2</v>
          </cell>
          <cell r="E132">
            <v>4</v>
          </cell>
        </row>
        <row r="133">
          <cell r="A133" t="str">
            <v>PT8574D-LS</v>
          </cell>
          <cell r="B133" t="str">
            <v>GS675</v>
          </cell>
          <cell r="C133" t="str">
            <v>006108000089</v>
          </cell>
          <cell r="D133" t="str">
            <v>SOFT DINOSAURS - 2</v>
          </cell>
          <cell r="E133">
            <v>4</v>
          </cell>
        </row>
        <row r="134">
          <cell r="A134" t="str">
            <v>AE-PT5105D-LS</v>
          </cell>
          <cell r="B134" t="str">
            <v>GS683</v>
          </cell>
          <cell r="C134">
            <v>500000188611</v>
          </cell>
          <cell r="D134" t="str">
            <v>5 ASSTD. GIANT SOFT DINOSAURS</v>
          </cell>
          <cell r="E134">
            <v>4</v>
          </cell>
        </row>
        <row r="135">
          <cell r="A135" t="str">
            <v>AE-D2115D-LS</v>
          </cell>
          <cell r="B135" t="str">
            <v>HH991</v>
          </cell>
          <cell r="C135">
            <v>633682111193</v>
          </cell>
          <cell r="D135" t="str">
            <v>BLACK SOFT FAMILY SET  </v>
          </cell>
          <cell r="E135">
            <v>6</v>
          </cell>
        </row>
        <row r="136">
          <cell r="A136" t="str">
            <v>AE-D2116D-LS</v>
          </cell>
          <cell r="B136" t="str">
            <v>HH992</v>
          </cell>
          <cell r="C136">
            <v>633682112619</v>
          </cell>
          <cell r="D136" t="str">
            <v>WHITE SOFT FAMILY SET </v>
          </cell>
          <cell r="E136">
            <v>6</v>
          </cell>
        </row>
        <row r="137">
          <cell r="A137" t="str">
            <v>AE-D2114D-LS</v>
          </cell>
          <cell r="B137" t="str">
            <v>HH993</v>
          </cell>
          <cell r="C137">
            <v>633682112879</v>
          </cell>
          <cell r="D137" t="str">
            <v>ASIAN SOFT FAMILY SET </v>
          </cell>
          <cell r="E137">
            <v>6</v>
          </cell>
        </row>
        <row r="138">
          <cell r="A138" t="str">
            <v>AE-D2113D-LS</v>
          </cell>
          <cell r="B138" t="str">
            <v>HH994</v>
          </cell>
          <cell r="C138">
            <v>633682113012</v>
          </cell>
          <cell r="D138" t="str">
            <v>HISPANIC SOFT FAMILY SET</v>
          </cell>
          <cell r="E138">
            <v>6</v>
          </cell>
        </row>
        <row r="139">
          <cell r="A139" t="str">
            <v>VR1364-LS</v>
          </cell>
          <cell r="B139" t="str">
            <v>LA558</v>
          </cell>
          <cell r="C139">
            <v>633682006222</v>
          </cell>
          <cell r="D139" t="str">
            <v>GIANT STENCIL BOX</v>
          </cell>
          <cell r="E139">
            <v>24</v>
          </cell>
        </row>
        <row r="140">
          <cell r="A140" t="str">
            <v>KY-6830</v>
          </cell>
          <cell r="B140" t="str">
            <v>LA988</v>
          </cell>
          <cell r="C140">
            <v>754046068301</v>
          </cell>
          <cell r="D140" t="str">
            <v>15.75X16.5" VINYL POUCH BAG</v>
          </cell>
          <cell r="E140">
            <v>200</v>
          </cell>
        </row>
        <row r="141">
          <cell r="A141" t="str">
            <v>DR5936-LS</v>
          </cell>
          <cell r="B141" t="str">
            <v>LC630</v>
          </cell>
          <cell r="C141">
            <v>633682141084</v>
          </cell>
          <cell r="D141" t="str">
            <v>ANIMAL PLAYSET</v>
          </cell>
          <cell r="E141">
            <v>12</v>
          </cell>
        </row>
        <row r="142">
          <cell r="A142" t="str">
            <v>P3323/6B-LM</v>
          </cell>
          <cell r="B142" t="str">
            <v>LC907</v>
          </cell>
          <cell r="C142" t="str">
            <v>002252000081</v>
          </cell>
          <cell r="D142" t="str">
            <v>GIANT DINOSAUR-SET 2</v>
          </cell>
          <cell r="E142">
            <v>0</v>
          </cell>
        </row>
        <row r="143">
          <cell r="A143" t="str">
            <v>P3323/6B-LM</v>
          </cell>
          <cell r="B143" t="str">
            <v>LC907</v>
          </cell>
          <cell r="C143">
            <v>754046332303</v>
          </cell>
          <cell r="D143" t="str">
            <v>GIANT DINOSAUR-SET 2</v>
          </cell>
          <cell r="E143">
            <v>0</v>
          </cell>
        </row>
        <row r="144">
          <cell r="A144" t="str">
            <v>P3323N1/6B-LM</v>
          </cell>
          <cell r="B144" t="str">
            <v>LC907</v>
          </cell>
          <cell r="C144">
            <v>633682085708</v>
          </cell>
          <cell r="D144" t="str">
            <v>GIANT DINOSAUR-SET 2</v>
          </cell>
          <cell r="E144">
            <v>8</v>
          </cell>
        </row>
        <row r="145">
          <cell r="A145" t="str">
            <v>PT3323N1/6B-LM</v>
          </cell>
          <cell r="B145" t="str">
            <v>LC907</v>
          </cell>
          <cell r="C145">
            <v>633682085708</v>
          </cell>
          <cell r="D145" t="str">
            <v>GIANT DINOSAUR-SET 2</v>
          </cell>
          <cell r="E145">
            <v>8</v>
          </cell>
        </row>
        <row r="146">
          <cell r="A146" t="str">
            <v>PT6176-LM</v>
          </cell>
          <cell r="B146" t="str">
            <v>LC914</v>
          </cell>
          <cell r="C146">
            <v>633682085715</v>
          </cell>
          <cell r="D146" t="str">
            <v>GIANT DINOSAUR-SET 1</v>
          </cell>
          <cell r="E146">
            <v>8</v>
          </cell>
        </row>
        <row r="147">
          <cell r="A147" t="str">
            <v>P6176-LM</v>
          </cell>
          <cell r="B147" t="str">
            <v>LC914</v>
          </cell>
          <cell r="C147" t="str">
            <v>002251000099</v>
          </cell>
          <cell r="D147" t="str">
            <v>GIANT DINOSAUR-SET 1</v>
          </cell>
          <cell r="E147">
            <v>8</v>
          </cell>
        </row>
        <row r="148">
          <cell r="A148" t="str">
            <v>P3323N1/6A-LM</v>
          </cell>
          <cell r="B148" t="str">
            <v>LC914</v>
          </cell>
          <cell r="C148" t="str">
            <v>002251000099</v>
          </cell>
          <cell r="D148" t="str">
            <v>GIANT DINOSAUR-SET 1</v>
          </cell>
          <cell r="E148">
            <v>8</v>
          </cell>
        </row>
        <row r="149">
          <cell r="A149" t="str">
            <v>P3323/6A-LM</v>
          </cell>
          <cell r="B149" t="str">
            <v>LC914</v>
          </cell>
          <cell r="C149" t="str">
            <v>002251000099</v>
          </cell>
          <cell r="D149" t="str">
            <v>GIANT DINOSAUR-SET 1</v>
          </cell>
          <cell r="E149">
            <v>0</v>
          </cell>
        </row>
        <row r="150">
          <cell r="A150" t="str">
            <v>P3323/6A-LM</v>
          </cell>
          <cell r="B150" t="str">
            <v>LC914</v>
          </cell>
          <cell r="C150">
            <v>754046332310</v>
          </cell>
          <cell r="D150" t="str">
            <v>GIANT DINOSAUR-SET 1</v>
          </cell>
          <cell r="E150">
            <v>0</v>
          </cell>
        </row>
        <row r="151">
          <cell r="A151" t="str">
            <v>V553D/80-LS</v>
          </cell>
          <cell r="B151" t="str">
            <v>LM986</v>
          </cell>
          <cell r="C151">
            <v>633682136417</v>
          </cell>
          <cell r="D151" t="str">
            <v>WILD ANIMAL COUNTERS</v>
          </cell>
          <cell r="E151">
            <v>24</v>
          </cell>
        </row>
        <row r="152">
          <cell r="A152" t="str">
            <v>P1855D-LS</v>
          </cell>
          <cell r="B152" t="str">
            <v>PRT1124HR</v>
          </cell>
          <cell r="C152">
            <v>754046185503</v>
          </cell>
          <cell r="D152" t="str">
            <v>SET OF 12 HORSES IN ZZ1124</v>
          </cell>
          <cell r="E152">
            <v>24</v>
          </cell>
        </row>
        <row r="153">
          <cell r="A153" t="str">
            <v>P1895D-LS</v>
          </cell>
          <cell r="B153" t="str">
            <v>PRT1587HR</v>
          </cell>
          <cell r="C153">
            <v>754046189501</v>
          </cell>
          <cell r="D153" t="str">
            <v>SET OF 12 HORSES IN ZZ1587</v>
          </cell>
          <cell r="E153">
            <v>24</v>
          </cell>
        </row>
        <row r="154">
          <cell r="A154" t="str">
            <v>AE-ZT8298/4-LS</v>
          </cell>
          <cell r="B154" t="str">
            <v>PRT366DN</v>
          </cell>
          <cell r="C154">
            <v>754046829841</v>
          </cell>
          <cell r="D154" t="str">
            <v>DINOSAUR SET </v>
          </cell>
          <cell r="E154">
            <v>18</v>
          </cell>
        </row>
        <row r="155">
          <cell r="A155" t="str">
            <v>PRT368DP</v>
          </cell>
          <cell r="B155" t="str">
            <v>PRT368DP</v>
          </cell>
          <cell r="C155">
            <v>500000080786</v>
          </cell>
          <cell r="D155" t="str">
            <v>RA368-DOLPHIN</v>
          </cell>
          <cell r="E155">
            <v>50</v>
          </cell>
        </row>
        <row r="156">
          <cell r="A156" t="str">
            <v>P318D/A1   </v>
          </cell>
          <cell r="B156" t="str">
            <v>PRT376BT</v>
          </cell>
          <cell r="C156">
            <v>754046031800</v>
          </cell>
          <cell r="D156" t="str">
            <v>BUTTERFLY IN ORANGE COLOR </v>
          </cell>
          <cell r="E156">
            <v>300</v>
          </cell>
        </row>
        <row r="157">
          <cell r="A157" t="str">
            <v>AE-ZT1465/6-LS</v>
          </cell>
          <cell r="B157" t="str">
            <v>RA361</v>
          </cell>
          <cell r="C157" t="str">
            <v>004445000076</v>
          </cell>
          <cell r="D157" t="str">
            <v>6 SOFT DINOSAUR IN TOTE</v>
          </cell>
          <cell r="E157">
            <v>18</v>
          </cell>
        </row>
        <row r="158">
          <cell r="A158" t="str">
            <v>AE-ZT4060D-LS</v>
          </cell>
          <cell r="B158" t="str">
            <v>RA362</v>
          </cell>
          <cell r="C158">
            <v>500000080779</v>
          </cell>
          <cell r="D158" t="str">
            <v>SOFT WILD ANIMALS SET</v>
          </cell>
          <cell r="E158">
            <v>12</v>
          </cell>
        </row>
        <row r="159">
          <cell r="A159" t="str">
            <v>ZT8298D-LS</v>
          </cell>
          <cell r="B159" t="str">
            <v>RA366</v>
          </cell>
          <cell r="C159">
            <v>754046829803</v>
          </cell>
          <cell r="D159" t="str">
            <v>BEST-BUY DINOSAUR SET </v>
          </cell>
          <cell r="E159">
            <v>18</v>
          </cell>
        </row>
        <row r="160">
          <cell r="A160" t="str">
            <v>AE-ZT8298D-LS</v>
          </cell>
          <cell r="B160" t="str">
            <v>RA366</v>
          </cell>
          <cell r="C160">
            <v>754046829803</v>
          </cell>
          <cell r="D160" t="str">
            <v>BEST-BUY DINOSAUR SET </v>
          </cell>
          <cell r="E160">
            <v>18</v>
          </cell>
        </row>
        <row r="161">
          <cell r="A161" t="str">
            <v>AE-ZT8351D-LS</v>
          </cell>
          <cell r="B161" t="str">
            <v>RA367</v>
          </cell>
          <cell r="C161">
            <v>754046835101</v>
          </cell>
          <cell r="D161" t="str">
            <v>BEST-BUY FARM ANIMAL SET</v>
          </cell>
          <cell r="E161">
            <v>12</v>
          </cell>
        </row>
        <row r="162">
          <cell r="A162" t="str">
            <v>ZT8351D-LS</v>
          </cell>
          <cell r="B162" t="str">
            <v>RA367</v>
          </cell>
          <cell r="C162">
            <v>754046835101</v>
          </cell>
          <cell r="D162" t="str">
            <v>BEST-BUY FARM ANIMAL SET</v>
          </cell>
          <cell r="E162">
            <v>18</v>
          </cell>
        </row>
        <row r="163">
          <cell r="A163" t="str">
            <v>AE-ZT4062D-LS</v>
          </cell>
          <cell r="B163" t="str">
            <v>RA368</v>
          </cell>
          <cell r="C163">
            <v>500000080786</v>
          </cell>
          <cell r="D163" t="str">
            <v>SOFT OCEAN ANIMALS SET</v>
          </cell>
          <cell r="E163">
            <v>12</v>
          </cell>
        </row>
        <row r="164">
          <cell r="A164" t="str">
            <v>AE-ZT4059D-LS</v>
          </cell>
          <cell r="B164" t="str">
            <v>RA369</v>
          </cell>
          <cell r="C164">
            <v>500000080762</v>
          </cell>
          <cell r="D164" t="str">
            <v>SOFT &amp; SQUEEZY DINOSAURS</v>
          </cell>
          <cell r="E164">
            <v>18</v>
          </cell>
        </row>
        <row r="165">
          <cell r="A165" t="str">
            <v>KY-P6102</v>
          </cell>
          <cell r="B165" t="str">
            <v>RR752BU</v>
          </cell>
          <cell r="C165" t="str">
            <v>009125000070</v>
          </cell>
          <cell r="D165" t="str">
            <v>CLR PVC BACKPACK BLUE TRIM</v>
          </cell>
          <cell r="E165">
            <v>80</v>
          </cell>
        </row>
        <row r="166">
          <cell r="A166" t="str">
            <v>KY-P6581</v>
          </cell>
          <cell r="B166" t="str">
            <v>RR752GR</v>
          </cell>
          <cell r="C166">
            <v>633682057330</v>
          </cell>
          <cell r="D166" t="str">
            <v>GREEN TAKE HOME BACKPACK</v>
          </cell>
          <cell r="E166">
            <v>60</v>
          </cell>
        </row>
        <row r="167">
          <cell r="A167" t="str">
            <v>KY-P6750</v>
          </cell>
          <cell r="B167" t="str">
            <v>RR752RD</v>
          </cell>
          <cell r="C167">
            <v>633682058030</v>
          </cell>
          <cell r="D167" t="str">
            <v>RED TAKE HOME BACKPACK</v>
          </cell>
          <cell r="E167">
            <v>60</v>
          </cell>
        </row>
        <row r="168">
          <cell r="A168" t="str">
            <v>D4520D-LS</v>
          </cell>
          <cell r="B168" t="str">
            <v>ZZ116</v>
          </cell>
          <cell r="C168">
            <v>633682121376</v>
          </cell>
          <cell r="D168" t="str">
            <v>Wild Animal Park</v>
          </cell>
          <cell r="E168">
            <v>8</v>
          </cell>
        </row>
        <row r="169">
          <cell r="A169" t="str">
            <v>D4496D-LS</v>
          </cell>
          <cell r="B169" t="str">
            <v>ZZ157</v>
          </cell>
          <cell r="C169">
            <v>754046449612</v>
          </cell>
          <cell r="D169" t="str">
            <v>HORSE STABLE PLAYSET</v>
          </cell>
          <cell r="E169">
            <v>6</v>
          </cell>
        </row>
        <row r="170">
          <cell r="A170" t="str">
            <v>D7224D-LS</v>
          </cell>
          <cell r="B170" t="str">
            <v>ZZ204</v>
          </cell>
          <cell r="C170">
            <v>633682074320</v>
          </cell>
          <cell r="D170" t="str">
            <v>DINOSAUR MOUNTAIN</v>
          </cell>
          <cell r="E170">
            <v>6</v>
          </cell>
        </row>
        <row r="171">
          <cell r="A171" t="str">
            <v>D7224-LS</v>
          </cell>
          <cell r="B171" t="str">
            <v>ZZ204</v>
          </cell>
          <cell r="C171">
            <v>633682074320</v>
          </cell>
          <cell r="D171" t="str">
            <v>DINOSAUR MOUNTAIN</v>
          </cell>
          <cell r="E171">
            <v>6</v>
          </cell>
        </row>
        <row r="172">
          <cell r="A172" t="str">
            <v>AE-NT4965D-LS</v>
          </cell>
          <cell r="B172" t="str">
            <v>ZZ215</v>
          </cell>
          <cell r="C172">
            <v>633682127958</v>
          </cell>
          <cell r="D172" t="str">
            <v>BATHTIME SEA CREATURES</v>
          </cell>
          <cell r="E172">
            <v>8</v>
          </cell>
        </row>
        <row r="173">
          <cell r="A173" t="str">
            <v>RT-38900-R</v>
          </cell>
          <cell r="B173" t="str">
            <v>ZZ232</v>
          </cell>
          <cell r="C173">
            <v>4891691389002</v>
          </cell>
          <cell r="D173" t="str">
            <v>SUPER GARAGE CAR SET</v>
          </cell>
          <cell r="E173">
            <v>0</v>
          </cell>
        </row>
        <row r="174">
          <cell r="A174" t="str">
            <v>RT-38900-R</v>
          </cell>
          <cell r="B174" t="str">
            <v>ZZ232</v>
          </cell>
          <cell r="C174">
            <v>754046002329</v>
          </cell>
          <cell r="D174" t="str">
            <v>SUPER GARAGE CAR SET</v>
          </cell>
          <cell r="E174">
            <v>0</v>
          </cell>
        </row>
        <row r="175">
          <cell r="A175" t="str">
            <v>KY-P7732</v>
          </cell>
          <cell r="B175" t="str">
            <v>ZZ256</v>
          </cell>
          <cell r="C175">
            <v>754046077327</v>
          </cell>
          <cell r="D175" t="str">
            <v>SOFT GUITAR CASE</v>
          </cell>
          <cell r="E175">
            <v>48</v>
          </cell>
        </row>
        <row r="176">
          <cell r="A176" t="str">
            <v>KY-P7732</v>
          </cell>
          <cell r="B176" t="str">
            <v>ZZ256</v>
          </cell>
          <cell r="C176">
            <v>754046077327</v>
          </cell>
          <cell r="D176" t="str">
            <v>SOFT GUITAR CASE</v>
          </cell>
          <cell r="E176">
            <v>48</v>
          </cell>
        </row>
        <row r="177">
          <cell r="A177" t="str">
            <v>VR4522D-LS</v>
          </cell>
          <cell r="B177" t="str">
            <v>ZZ308</v>
          </cell>
          <cell r="C177">
            <v>633682121444</v>
          </cell>
          <cell r="D177" t="str">
            <v>Animal Stampede</v>
          </cell>
          <cell r="E177">
            <v>6</v>
          </cell>
        </row>
        <row r="178">
          <cell r="A178" t="str">
            <v>VR4522D-LS</v>
          </cell>
          <cell r="B178" t="str">
            <v>ZZ308</v>
          </cell>
          <cell r="C178">
            <v>633682121444</v>
          </cell>
          <cell r="D178" t="str">
            <v>Animal Stampede</v>
          </cell>
          <cell r="E178">
            <v>6</v>
          </cell>
        </row>
        <row r="179">
          <cell r="A179" t="str">
            <v>VR4522D-LS</v>
          </cell>
          <cell r="B179" t="str">
            <v>ZZ308</v>
          </cell>
          <cell r="C179">
            <v>633682121444</v>
          </cell>
          <cell r="D179" t="str">
            <v>Animal Stampede</v>
          </cell>
          <cell r="E179">
            <v>6</v>
          </cell>
        </row>
        <row r="180">
          <cell r="A180" t="str">
            <v>D8482D-LS</v>
          </cell>
          <cell r="B180" t="str">
            <v>ZZ342</v>
          </cell>
          <cell r="C180">
            <v>500000021314</v>
          </cell>
          <cell r="D180" t="str">
            <v>BUG WORLD</v>
          </cell>
          <cell r="E180">
            <v>8</v>
          </cell>
        </row>
        <row r="181">
          <cell r="A181" t="str">
            <v>D8482D-LS</v>
          </cell>
          <cell r="B181" t="str">
            <v>ZZ342</v>
          </cell>
          <cell r="C181">
            <v>500000021314</v>
          </cell>
          <cell r="D181" t="str">
            <v>BUG WORLD</v>
          </cell>
          <cell r="E181">
            <v>8</v>
          </cell>
        </row>
        <row r="182">
          <cell r="A182" t="str">
            <v>D8482D-LS</v>
          </cell>
          <cell r="B182" t="str">
            <v>ZZ342</v>
          </cell>
          <cell r="C182">
            <v>500000021314</v>
          </cell>
          <cell r="D182" t="str">
            <v>BUG WORLD</v>
          </cell>
          <cell r="E182">
            <v>8</v>
          </cell>
        </row>
        <row r="183">
          <cell r="A183" t="str">
            <v>D8482D-LS</v>
          </cell>
          <cell r="B183" t="str">
            <v>ZZ342</v>
          </cell>
          <cell r="C183">
            <v>500000021314</v>
          </cell>
          <cell r="D183" t="str">
            <v>BUG WORLD</v>
          </cell>
          <cell r="E183">
            <v>8</v>
          </cell>
        </row>
        <row r="184">
          <cell r="A184" t="str">
            <v>P8860D-LS</v>
          </cell>
          <cell r="B184" t="str">
            <v>ZZ361</v>
          </cell>
        </row>
        <row r="184">
          <cell r="D184" t="str">
            <v>JUNGLE ADVENTURE PLAYSET</v>
          </cell>
          <cell r="E184">
            <v>2</v>
          </cell>
        </row>
        <row r="185">
          <cell r="A185" t="str">
            <v>D8860D-LS</v>
          </cell>
          <cell r="B185" t="str">
            <v>ZZ361</v>
          </cell>
          <cell r="C185" t="str">
            <v>633682105246</v>
          </cell>
          <cell r="D185" t="str">
            <v>JUNGLE ADVENTURE PLAYSET</v>
          </cell>
          <cell r="E185">
            <v>4</v>
          </cell>
        </row>
        <row r="186">
          <cell r="A186" t="str">
            <v>KY-P8583</v>
          </cell>
          <cell r="B186" t="str">
            <v>ZZ377</v>
          </cell>
          <cell r="C186">
            <v>754046858308</v>
          </cell>
          <cell r="D186" t="str">
            <v>40 INCH GUITAR CASE</v>
          </cell>
          <cell r="E186">
            <v>40</v>
          </cell>
        </row>
        <row r="187">
          <cell r="A187" t="str">
            <v>RT-36310LS</v>
          </cell>
          <cell r="B187" t="str">
            <v>ZZ533</v>
          </cell>
          <cell r="C187">
            <v>4891691363101</v>
          </cell>
          <cell r="D187" t="str">
            <v>CONSTRUCTION SITE SET</v>
          </cell>
          <cell r="E187">
            <v>4</v>
          </cell>
        </row>
        <row r="188">
          <cell r="A188" t="str">
            <v>RT-36310LS</v>
          </cell>
          <cell r="B188" t="str">
            <v>ZZ533</v>
          </cell>
          <cell r="C188">
            <v>4891691363101</v>
          </cell>
          <cell r="D188" t="str">
            <v>CONSTRUCTION SITE SET</v>
          </cell>
          <cell r="E188">
            <v>4</v>
          </cell>
        </row>
        <row r="189">
          <cell r="A189" t="str">
            <v>RT-36310LS</v>
          </cell>
          <cell r="B189" t="str">
            <v>ZZ533</v>
          </cell>
          <cell r="C189">
            <v>4891691363101</v>
          </cell>
          <cell r="D189" t="str">
            <v>CONSTRUCTION SITE SET</v>
          </cell>
          <cell r="E189">
            <v>4</v>
          </cell>
        </row>
        <row r="190">
          <cell r="A190" t="str">
            <v>RT-36310LS</v>
          </cell>
          <cell r="B190" t="str">
            <v>ZZ533</v>
          </cell>
          <cell r="C190">
            <v>4891691363101</v>
          </cell>
          <cell r="D190" t="str">
            <v>CONSTRUCTION SITE SET</v>
          </cell>
          <cell r="E190">
            <v>4</v>
          </cell>
        </row>
        <row r="191">
          <cell r="A191" t="str">
            <v>RT-36310LS</v>
          </cell>
          <cell r="B191" t="str">
            <v>ZZ533</v>
          </cell>
          <cell r="C191">
            <v>4891691363101</v>
          </cell>
          <cell r="D191" t="str">
            <v>CONSTRUCTION SITE SET</v>
          </cell>
          <cell r="E191">
            <v>4</v>
          </cell>
        </row>
        <row r="192">
          <cell r="A192" t="str">
            <v>RT-36310LS</v>
          </cell>
          <cell r="B192" t="str">
            <v>ZZ533</v>
          </cell>
          <cell r="C192">
            <v>4891691363101</v>
          </cell>
          <cell r="D192" t="str">
            <v>CONSTRUCTION SITE SET</v>
          </cell>
          <cell r="E192">
            <v>4</v>
          </cell>
        </row>
        <row r="193">
          <cell r="A193" t="str">
            <v>RT-36310LS</v>
          </cell>
          <cell r="B193" t="str">
            <v>ZZ533</v>
          </cell>
          <cell r="C193">
            <v>4891691363101</v>
          </cell>
          <cell r="D193" t="str">
            <v>CONSTRUCTION SITE SET</v>
          </cell>
          <cell r="E193">
            <v>4</v>
          </cell>
        </row>
        <row r="194">
          <cell r="A194" t="str">
            <v>RT-36310LS</v>
          </cell>
          <cell r="B194" t="str">
            <v>ZZ533</v>
          </cell>
          <cell r="C194">
            <v>4891691363101</v>
          </cell>
          <cell r="D194" t="str">
            <v>CONSTRUCTION SITE SET</v>
          </cell>
          <cell r="E194">
            <v>4</v>
          </cell>
        </row>
        <row r="195">
          <cell r="A195" t="str">
            <v>RT-36310LS</v>
          </cell>
          <cell r="B195" t="str">
            <v>ZZ533</v>
          </cell>
          <cell r="C195">
            <v>4891691363101</v>
          </cell>
          <cell r="D195" t="str">
            <v>CONSTRUCTION SITE SET</v>
          </cell>
          <cell r="E195">
            <v>4</v>
          </cell>
        </row>
        <row r="196">
          <cell r="A196" t="str">
            <v>RT-36310LS</v>
          </cell>
          <cell r="B196" t="str">
            <v>ZZ533</v>
          </cell>
          <cell r="C196">
            <v>4891691363101</v>
          </cell>
          <cell r="D196" t="str">
            <v>CONSTRUCTION SITE SET</v>
          </cell>
          <cell r="E196">
            <v>4</v>
          </cell>
        </row>
        <row r="197">
          <cell r="A197" t="str">
            <v>RT-36310LS</v>
          </cell>
          <cell r="B197" t="str">
            <v>ZZ533</v>
          </cell>
          <cell r="C197">
            <v>4891691363101</v>
          </cell>
          <cell r="D197" t="str">
            <v>CONSTRUCTION SITE SET</v>
          </cell>
          <cell r="E197">
            <v>4</v>
          </cell>
        </row>
        <row r="198">
          <cell r="A198" t="str">
            <v>RT-36310LS</v>
          </cell>
          <cell r="B198" t="str">
            <v>ZZ533</v>
          </cell>
          <cell r="C198">
            <v>4891691363101</v>
          </cell>
          <cell r="D198" t="str">
            <v>CONSTRUCTION SITE SET</v>
          </cell>
          <cell r="E198">
            <v>4</v>
          </cell>
        </row>
        <row r="199">
          <cell r="A199" t="str">
            <v>RT-36310LS</v>
          </cell>
          <cell r="B199" t="str">
            <v>ZZ533</v>
          </cell>
          <cell r="C199">
            <v>754046005337</v>
          </cell>
          <cell r="D199" t="str">
            <v>CONSTRUCTION SITE SET</v>
          </cell>
          <cell r="E199">
            <v>4</v>
          </cell>
        </row>
        <row r="200">
          <cell r="A200" t="str">
            <v>D8119D-LS</v>
          </cell>
          <cell r="B200" t="str">
            <v>ZZ774</v>
          </cell>
          <cell r="C200" t="str">
            <v>754046811907</v>
          </cell>
          <cell r="D200" t="str">
            <v>DRAGON &amp; KNIGHT ADVENTURE</v>
          </cell>
          <cell r="E200">
            <v>4</v>
          </cell>
        </row>
        <row r="201">
          <cell r="A201" t="str">
            <v>D8119D-LS</v>
          </cell>
          <cell r="B201" t="str">
            <v>ZZ774</v>
          </cell>
          <cell r="C201" t="str">
            <v>754046811907</v>
          </cell>
          <cell r="D201" t="str">
            <v>DRAGON &amp; KNIGHT ADVENTURE</v>
          </cell>
          <cell r="E201">
            <v>4</v>
          </cell>
        </row>
        <row r="202">
          <cell r="A202" t="str">
            <v>D8119D-LS</v>
          </cell>
          <cell r="B202" t="str">
            <v>ZZ774</v>
          </cell>
          <cell r="C202" t="str">
            <v>754046811907</v>
          </cell>
          <cell r="D202" t="str">
            <v>DRAGON &amp; KNIGHT ADVENTURE</v>
          </cell>
          <cell r="E202">
            <v>4</v>
          </cell>
        </row>
        <row r="203">
          <cell r="A203" t="str">
            <v>D8119D-LS</v>
          </cell>
          <cell r="B203" t="str">
            <v>ZZ774</v>
          </cell>
          <cell r="C203" t="str">
            <v>754046811907</v>
          </cell>
          <cell r="D203" t="str">
            <v>DRAGON &amp; KNIGHT ADVENTURE</v>
          </cell>
          <cell r="E203">
            <v>4</v>
          </cell>
        </row>
        <row r="204">
          <cell r="A204" t="str">
            <v>D8119D-LS</v>
          </cell>
          <cell r="B204" t="str">
            <v>ZZ774</v>
          </cell>
          <cell r="C204">
            <v>754046811907</v>
          </cell>
          <cell r="D204" t="str">
            <v>DRAGON &amp; KNIGHT ADVENTURE    </v>
          </cell>
          <cell r="E204">
            <v>4</v>
          </cell>
        </row>
        <row r="205">
          <cell r="A205" t="str">
            <v>D8119D-LS</v>
          </cell>
          <cell r="B205" t="str">
            <v>ZZ774</v>
          </cell>
          <cell r="C205">
            <v>754046811907</v>
          </cell>
          <cell r="D205" t="str">
            <v>DRAGON &amp; KNIGHT ADVENTURE    </v>
          </cell>
          <cell r="E205">
            <v>4</v>
          </cell>
        </row>
        <row r="206">
          <cell r="A206" t="str">
            <v>D8119D-LS</v>
          </cell>
          <cell r="B206" t="str">
            <v>ZZ774</v>
          </cell>
          <cell r="C206" t="str">
            <v>754046811907</v>
          </cell>
          <cell r="D206" t="str">
            <v>DRAGON &amp; KNIGHT ADVENTURE</v>
          </cell>
          <cell r="E206">
            <v>4</v>
          </cell>
        </row>
        <row r="207">
          <cell r="A207" t="str">
            <v>D8119D-LS</v>
          </cell>
          <cell r="B207" t="str">
            <v>ZZ774</v>
          </cell>
          <cell r="C207" t="str">
            <v>754046811907</v>
          </cell>
          <cell r="D207" t="str">
            <v>DRAGON &amp; KNIGHT ADVENTURE</v>
          </cell>
          <cell r="E207">
            <v>4</v>
          </cell>
        </row>
        <row r="208">
          <cell r="A208" t="str">
            <v>D8119D-LS</v>
          </cell>
          <cell r="B208" t="str">
            <v>ZZ774</v>
          </cell>
          <cell r="C208" t="str">
            <v>754046811907</v>
          </cell>
          <cell r="D208" t="str">
            <v>DRAGON &amp; KNIGHT ADVENTURE</v>
          </cell>
          <cell r="E208">
            <v>4</v>
          </cell>
        </row>
        <row r="209">
          <cell r="A209" t="str">
            <v>D8119D-LS</v>
          </cell>
          <cell r="B209" t="str">
            <v>ZZ774</v>
          </cell>
          <cell r="C209" t="str">
            <v>754046811907</v>
          </cell>
          <cell r="D209" t="str">
            <v>DRAGON &amp; KNIGHT ADVENTURE</v>
          </cell>
          <cell r="E209">
            <v>4</v>
          </cell>
        </row>
        <row r="210">
          <cell r="A210" t="str">
            <v>D8119D-LS</v>
          </cell>
          <cell r="B210" t="str">
            <v>ZZ774</v>
          </cell>
          <cell r="C210" t="str">
            <v>754046811907</v>
          </cell>
          <cell r="D210" t="str">
            <v>DRAGON &amp; KNIGHT ADVENTURE</v>
          </cell>
          <cell r="E210">
            <v>4</v>
          </cell>
        </row>
        <row r="211">
          <cell r="A211" t="str">
            <v>D8119D-LS</v>
          </cell>
          <cell r="B211" t="str">
            <v>ZZ774</v>
          </cell>
          <cell r="C211" t="str">
            <v>754046811907</v>
          </cell>
          <cell r="D211" t="str">
            <v>DRAGON &amp; KNIGHT ADVENTURE</v>
          </cell>
          <cell r="E211">
            <v>4</v>
          </cell>
        </row>
        <row r="212">
          <cell r="A212" t="str">
            <v>D8119-LS</v>
          </cell>
          <cell r="B212" t="str">
            <v>ZZ774</v>
          </cell>
          <cell r="C212" t="str">
            <v>754046811907</v>
          </cell>
          <cell r="D212" t="str">
            <v>DRAGON &amp; KNIGHT ADVENTURE</v>
          </cell>
          <cell r="E212">
            <v>4</v>
          </cell>
        </row>
        <row r="213">
          <cell r="A213" t="str">
            <v>D8119-LS</v>
          </cell>
          <cell r="B213" t="str">
            <v>ZZ774</v>
          </cell>
          <cell r="C213" t="str">
            <v>754046811907</v>
          </cell>
          <cell r="D213" t="str">
            <v>DRAGON &amp; KNIGHT ADVENTURE</v>
          </cell>
          <cell r="E213">
            <v>4</v>
          </cell>
        </row>
        <row r="214">
          <cell r="A214" t="str">
            <v>D8119-LS</v>
          </cell>
          <cell r="B214" t="str">
            <v>ZZ774</v>
          </cell>
          <cell r="C214" t="str">
            <v>754046811907</v>
          </cell>
          <cell r="D214" t="str">
            <v>DRAGON &amp; KNIGHT ADVENTURE</v>
          </cell>
          <cell r="E214">
            <v>4</v>
          </cell>
        </row>
        <row r="215">
          <cell r="A215" t="str">
            <v>D8119-LS</v>
          </cell>
          <cell r="B215" t="str">
            <v>ZZ774</v>
          </cell>
          <cell r="C215" t="str">
            <v>754046811907</v>
          </cell>
          <cell r="D215" t="str">
            <v>DRAGON &amp; KNIGHT ADVENTURE</v>
          </cell>
          <cell r="E215">
            <v>4</v>
          </cell>
        </row>
        <row r="216">
          <cell r="A216" t="str">
            <v>D8119-LS</v>
          </cell>
          <cell r="B216" t="str">
            <v>ZZ774</v>
          </cell>
          <cell r="C216" t="str">
            <v>754046811907</v>
          </cell>
          <cell r="D216" t="str">
            <v>DRAGON &amp; KNIGHT ADVENTURE</v>
          </cell>
          <cell r="E216">
            <v>4</v>
          </cell>
        </row>
        <row r="217">
          <cell r="A217" t="str">
            <v>D8119-LS</v>
          </cell>
          <cell r="B217" t="str">
            <v>ZZ774</v>
          </cell>
          <cell r="C217" t="str">
            <v>754046811907</v>
          </cell>
          <cell r="D217" t="str">
            <v>DRAGON &amp; KNIGHT ADVENTURE</v>
          </cell>
          <cell r="E217">
            <v>4</v>
          </cell>
        </row>
        <row r="218">
          <cell r="A218" t="str">
            <v>D8119D-LS</v>
          </cell>
          <cell r="B218" t="str">
            <v>ZZ774</v>
          </cell>
          <cell r="C218">
            <v>754046811907</v>
          </cell>
          <cell r="D218" t="str">
            <v>DRAGON &amp; KNIGHT ADVENTURE    </v>
          </cell>
          <cell r="E218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pane ySplit="1" topLeftCell="A11" activePane="bottomLeft" state="frozen"/>
      <selection/>
      <selection pane="bottomLeft" activeCell="B27" sqref="B27"/>
    </sheetView>
  </sheetViews>
  <sheetFormatPr defaultColWidth="9" defaultRowHeight="20.1" customHeight="1" outlineLevelCol="5"/>
  <cols>
    <col min="1" max="1" width="9" style="124"/>
    <col min="2" max="3" width="21" style="124" customWidth="1"/>
    <col min="4" max="4" width="30.625" style="124" customWidth="1"/>
    <col min="5" max="16381" width="9" style="124"/>
    <col min="16382" max="16384" width="9" style="125"/>
  </cols>
  <sheetData>
    <row r="1" s="124" customFormat="1" customHeight="1" spans="1:6">
      <c r="A1" s="124" t="s">
        <v>0</v>
      </c>
      <c r="B1" s="124" t="s">
        <v>1</v>
      </c>
      <c r="C1" s="124" t="s">
        <v>2</v>
      </c>
      <c r="D1" s="124" t="s">
        <v>3</v>
      </c>
      <c r="E1" s="124" t="s">
        <v>4</v>
      </c>
      <c r="F1" s="124" t="s">
        <v>5</v>
      </c>
    </row>
    <row r="2" s="124" customFormat="1" customHeight="1" spans="1:6">
      <c r="A2" s="124" t="s">
        <v>6</v>
      </c>
      <c r="B2" s="124" t="s">
        <v>7</v>
      </c>
      <c r="C2" s="126" t="s">
        <v>8</v>
      </c>
      <c r="D2" s="124" t="s">
        <v>9</v>
      </c>
      <c r="E2" s="124">
        <v>6</v>
      </c>
      <c r="F2" s="124">
        <v>24</v>
      </c>
    </row>
    <row r="3" s="124" customFormat="1" customHeight="1" spans="1:6">
      <c r="A3" s="124" t="s">
        <v>10</v>
      </c>
      <c r="B3" s="124" t="s">
        <v>11</v>
      </c>
      <c r="C3" s="126" t="s">
        <v>12</v>
      </c>
      <c r="D3" s="124" t="s">
        <v>13</v>
      </c>
      <c r="E3" s="124">
        <v>144</v>
      </c>
      <c r="F3" s="124">
        <v>864</v>
      </c>
    </row>
    <row r="4" s="124" customFormat="1" customHeight="1" spans="1:6">
      <c r="A4" s="124" t="s">
        <v>14</v>
      </c>
      <c r="B4" s="124" t="s">
        <v>15</v>
      </c>
      <c r="C4" s="126" t="s">
        <v>16</v>
      </c>
      <c r="D4" s="124" t="s">
        <v>17</v>
      </c>
      <c r="E4" s="124">
        <v>120</v>
      </c>
      <c r="F4" s="124">
        <v>360</v>
      </c>
    </row>
    <row r="5" s="124" customFormat="1" customHeight="1" spans="1:6">
      <c r="A5" s="124" t="s">
        <v>18</v>
      </c>
      <c r="B5" s="124" t="s">
        <v>19</v>
      </c>
      <c r="C5" s="124" t="s">
        <v>20</v>
      </c>
      <c r="D5" s="124" t="s">
        <v>21</v>
      </c>
      <c r="E5" s="124">
        <v>50</v>
      </c>
      <c r="F5" s="124">
        <v>400</v>
      </c>
    </row>
    <row r="6" s="124" customFormat="1" customHeight="1" spans="1:6">
      <c r="A6" s="124" t="s">
        <v>22</v>
      </c>
      <c r="B6" s="124" t="s">
        <v>23</v>
      </c>
      <c r="C6" s="124" t="s">
        <v>24</v>
      </c>
      <c r="D6" s="124" t="s">
        <v>25</v>
      </c>
      <c r="E6" s="124">
        <v>0</v>
      </c>
      <c r="F6" s="124">
        <v>6</v>
      </c>
    </row>
    <row r="7" s="124" customFormat="1" customHeight="1" spans="1:6">
      <c r="A7" s="124" t="s">
        <v>26</v>
      </c>
      <c r="B7" s="124" t="s">
        <v>27</v>
      </c>
      <c r="C7" s="124" t="s">
        <v>28</v>
      </c>
      <c r="D7" s="124" t="s">
        <v>29</v>
      </c>
      <c r="E7" s="124">
        <v>0</v>
      </c>
      <c r="F7" s="124">
        <v>6</v>
      </c>
    </row>
    <row r="8" s="124" customFormat="1" customHeight="1" spans="1:6">
      <c r="A8" s="124" t="s">
        <v>30</v>
      </c>
      <c r="B8" s="124" t="s">
        <v>31</v>
      </c>
      <c r="C8" s="124" t="s">
        <v>32</v>
      </c>
      <c r="D8" s="124" t="s">
        <v>33</v>
      </c>
      <c r="E8" s="124">
        <v>0</v>
      </c>
      <c r="F8" s="124">
        <v>6</v>
      </c>
    </row>
    <row r="9" s="124" customFormat="1" customHeight="1" spans="1:6">
      <c r="A9" s="124" t="s">
        <v>34</v>
      </c>
      <c r="B9" s="124" t="s">
        <v>35</v>
      </c>
      <c r="C9" s="124" t="s">
        <v>36</v>
      </c>
      <c r="D9" s="124" t="s">
        <v>37</v>
      </c>
      <c r="E9" s="124">
        <v>0</v>
      </c>
      <c r="F9" s="124">
        <v>6</v>
      </c>
    </row>
    <row r="10" s="124" customFormat="1" customHeight="1" spans="1:6">
      <c r="A10" s="124" t="s">
        <v>38</v>
      </c>
      <c r="B10" s="124" t="s">
        <v>39</v>
      </c>
      <c r="C10" s="126" t="s">
        <v>40</v>
      </c>
      <c r="D10" s="124" t="s">
        <v>41</v>
      </c>
      <c r="E10" s="124">
        <v>2</v>
      </c>
      <c r="F10" s="124">
        <v>4</v>
      </c>
    </row>
    <row r="11" s="124" customFormat="1" customHeight="1" spans="1:6">
      <c r="A11" s="124" t="s">
        <v>42</v>
      </c>
      <c r="B11" s="124" t="s">
        <v>43</v>
      </c>
      <c r="C11" s="124" t="s">
        <v>44</v>
      </c>
      <c r="D11" s="124" t="s">
        <v>45</v>
      </c>
      <c r="E11" s="124">
        <v>0</v>
      </c>
      <c r="F11" s="124">
        <v>4</v>
      </c>
    </row>
    <row r="12" s="124" customFormat="1" customHeight="1" spans="1:6">
      <c r="A12" s="124" t="s">
        <v>46</v>
      </c>
      <c r="B12" s="124" t="s">
        <v>47</v>
      </c>
      <c r="C12" s="124" t="s">
        <v>48</v>
      </c>
      <c r="D12" s="124" t="s">
        <v>49</v>
      </c>
      <c r="E12" s="124">
        <v>9</v>
      </c>
      <c r="F12" s="124">
        <v>18</v>
      </c>
    </row>
    <row r="13" s="124" customFormat="1" customHeight="1" spans="1:6">
      <c r="A13" s="124" t="s">
        <v>50</v>
      </c>
      <c r="B13" s="124" t="s">
        <v>51</v>
      </c>
      <c r="C13" s="124" t="s">
        <v>52</v>
      </c>
      <c r="D13" s="124" t="s">
        <v>53</v>
      </c>
      <c r="E13" s="124">
        <v>6</v>
      </c>
      <c r="F13" s="124">
        <v>12</v>
      </c>
    </row>
    <row r="14" s="124" customFormat="1" customHeight="1" spans="1:6">
      <c r="A14" s="124" t="s">
        <v>54</v>
      </c>
      <c r="B14" s="124" t="s">
        <v>55</v>
      </c>
      <c r="C14" s="124" t="s">
        <v>56</v>
      </c>
      <c r="D14" s="124" t="s">
        <v>57</v>
      </c>
      <c r="E14" s="124">
        <v>6</v>
      </c>
      <c r="F14" s="124">
        <v>12</v>
      </c>
    </row>
    <row r="15" s="124" customFormat="1" customHeight="1" spans="1:6">
      <c r="A15" s="124" t="s">
        <v>58</v>
      </c>
      <c r="B15" s="124" t="s">
        <v>59</v>
      </c>
      <c r="C15" s="124" t="s">
        <v>60</v>
      </c>
      <c r="D15" s="124" t="s">
        <v>61</v>
      </c>
      <c r="E15" s="124">
        <v>6</v>
      </c>
      <c r="F15" s="124">
        <v>12</v>
      </c>
    </row>
    <row r="16" s="124" customFormat="1" customHeight="1" spans="1:6">
      <c r="A16" s="124" t="s">
        <v>62</v>
      </c>
      <c r="B16" s="124" t="s">
        <v>63</v>
      </c>
      <c r="C16" s="124" t="s">
        <v>64</v>
      </c>
      <c r="D16" s="124" t="s">
        <v>65</v>
      </c>
      <c r="E16" s="124">
        <v>0</v>
      </c>
      <c r="F16" s="124">
        <v>4</v>
      </c>
    </row>
    <row r="17" s="124" customFormat="1" customHeight="1" spans="1:6">
      <c r="A17" s="124" t="s">
        <v>66</v>
      </c>
      <c r="B17" s="124" t="s">
        <v>67</v>
      </c>
      <c r="C17" s="124" t="s">
        <v>68</v>
      </c>
      <c r="D17" s="124" t="s">
        <v>69</v>
      </c>
      <c r="E17" s="124">
        <v>0</v>
      </c>
      <c r="F17" s="124">
        <v>12</v>
      </c>
    </row>
    <row r="18" s="124" customFormat="1" customHeight="1" spans="1:6">
      <c r="A18" s="124" t="s">
        <v>70</v>
      </c>
      <c r="B18" s="124" t="s">
        <v>71</v>
      </c>
      <c r="C18" s="124" t="s">
        <v>72</v>
      </c>
      <c r="D18" s="124" t="s">
        <v>73</v>
      </c>
      <c r="E18" s="124">
        <v>25</v>
      </c>
      <c r="F18" s="124">
        <v>100</v>
      </c>
    </row>
    <row r="19" s="124" customFormat="1" customHeight="1" spans="1:6">
      <c r="A19" s="124" t="s">
        <v>74</v>
      </c>
      <c r="B19" s="124" t="s">
        <v>75</v>
      </c>
      <c r="C19" s="124" t="s">
        <v>76</v>
      </c>
      <c r="D19" s="124" t="s">
        <v>77</v>
      </c>
      <c r="E19" s="124">
        <v>30</v>
      </c>
      <c r="F19" s="124">
        <v>180</v>
      </c>
    </row>
    <row r="20" s="124" customFormat="1" customHeight="1" spans="1:6">
      <c r="A20" s="124" t="s">
        <v>78</v>
      </c>
      <c r="B20" s="124" t="s">
        <v>79</v>
      </c>
      <c r="C20" s="126" t="s">
        <v>80</v>
      </c>
      <c r="D20" s="124" t="s">
        <v>81</v>
      </c>
      <c r="E20" s="124">
        <v>175</v>
      </c>
      <c r="F20" s="124">
        <v>700</v>
      </c>
    </row>
    <row r="21" s="124" customFormat="1" customHeight="1" spans="1:6">
      <c r="A21" s="124" t="s">
        <v>82</v>
      </c>
      <c r="B21" s="124" t="s">
        <v>83</v>
      </c>
      <c r="C21" s="124" t="s">
        <v>84</v>
      </c>
      <c r="D21" s="124" t="s">
        <v>85</v>
      </c>
      <c r="E21" s="124">
        <v>0</v>
      </c>
      <c r="F21" s="124">
        <v>24</v>
      </c>
    </row>
    <row r="22" s="124" customFormat="1" customHeight="1" spans="1:6">
      <c r="A22" s="124" t="s">
        <v>86</v>
      </c>
      <c r="B22" s="124" t="s">
        <v>87</v>
      </c>
      <c r="C22" s="126" t="s">
        <v>88</v>
      </c>
      <c r="D22" s="124" t="s">
        <v>89</v>
      </c>
      <c r="E22" s="124">
        <v>72</v>
      </c>
      <c r="F22" s="124">
        <v>288</v>
      </c>
    </row>
    <row r="23" s="124" customFormat="1" customHeight="1" spans="1:6">
      <c r="A23" s="124" t="s">
        <v>90</v>
      </c>
      <c r="B23" s="124" t="s">
        <v>91</v>
      </c>
      <c r="C23" s="126" t="s">
        <v>92</v>
      </c>
      <c r="D23" s="124" t="s">
        <v>93</v>
      </c>
      <c r="E23" s="124">
        <v>3</v>
      </c>
      <c r="F23" s="124">
        <v>12</v>
      </c>
    </row>
    <row r="24" s="124" customFormat="1" customHeight="1" spans="1:6">
      <c r="A24" s="124" t="s">
        <v>94</v>
      </c>
      <c r="B24" s="124" t="s">
        <v>95</v>
      </c>
      <c r="C24" s="126" t="s">
        <v>96</v>
      </c>
      <c r="D24" s="124" t="s">
        <v>97</v>
      </c>
      <c r="E24" s="124">
        <v>0</v>
      </c>
      <c r="F24" s="124">
        <v>4</v>
      </c>
    </row>
    <row r="25" s="124" customFormat="1" customHeight="1" spans="1:6">
      <c r="A25" s="124" t="s">
        <v>98</v>
      </c>
      <c r="B25" s="124" t="s">
        <v>99</v>
      </c>
      <c r="C25" s="124" t="s">
        <v>100</v>
      </c>
      <c r="D25" s="124" t="s">
        <v>101</v>
      </c>
      <c r="E25" s="124">
        <v>0</v>
      </c>
      <c r="F25" s="124">
        <v>4</v>
      </c>
    </row>
    <row r="26" customHeight="1" spans="1:6">
      <c r="A26" s="124" t="s">
        <v>11</v>
      </c>
      <c r="B26" s="124" t="s">
        <v>10</v>
      </c>
      <c r="C26" s="126" t="s">
        <v>102</v>
      </c>
      <c r="D26" s="124" t="s">
        <v>13</v>
      </c>
      <c r="E26" s="124">
        <v>144</v>
      </c>
      <c r="F26" s="124">
        <v>864</v>
      </c>
    </row>
    <row r="27" customHeight="1" spans="1:6">
      <c r="A27" s="124" t="s">
        <v>71</v>
      </c>
      <c r="B27" s="124" t="s">
        <v>70</v>
      </c>
      <c r="C27" s="124" t="s">
        <v>103</v>
      </c>
      <c r="D27" s="124" t="s">
        <v>104</v>
      </c>
      <c r="E27" s="124">
        <v>50</v>
      </c>
      <c r="F27" s="124">
        <v>100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28" etc:filterBottomFollowUsedRange="0">
    <extLst/>
  </autoFilter>
  <conditionalFormatting sqref="A28:A29">
    <cfRule type="duplicateValues" dxfId="0" priority="1"/>
  </conditionalFormatting>
  <conditionalFormatting sqref="B1:C27 C28:C29 B30:C1048576">
    <cfRule type="duplicateValues" dxfId="0" priority="2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2"/>
  <sheetViews>
    <sheetView workbookViewId="0">
      <pane xSplit="7" ySplit="2" topLeftCell="H28" activePane="bottomRight" state="frozen"/>
      <selection/>
      <selection pane="topRight"/>
      <selection pane="bottomLeft"/>
      <selection pane="bottomRight" activeCell="D28" sqref="D28"/>
    </sheetView>
  </sheetViews>
  <sheetFormatPr defaultColWidth="9" defaultRowHeight="25" customHeight="1"/>
  <cols>
    <col min="1" max="2" width="12.6" style="88" customWidth="1"/>
    <col min="3" max="4" width="12.6" style="89" customWidth="1"/>
    <col min="5" max="5" width="10.6" style="89" customWidth="1"/>
    <col min="6" max="6" width="8.625" style="92" customWidth="1"/>
    <col min="7" max="7" width="6.625" style="88" customWidth="1"/>
    <col min="8" max="30" width="8.625" style="88" customWidth="1"/>
    <col min="31" max="31" width="8.6" style="93" customWidth="1"/>
    <col min="32" max="33" width="12.6" style="94" customWidth="1"/>
    <col min="34" max="16384" width="9" style="88"/>
  </cols>
  <sheetData>
    <row r="1" s="88" customFormat="1" customHeight="1" spans="1:33">
      <c r="A1" s="95" t="s">
        <v>105</v>
      </c>
      <c r="B1" s="95"/>
      <c r="C1" s="95"/>
      <c r="D1" s="95"/>
      <c r="E1" s="95"/>
      <c r="F1" s="96"/>
      <c r="G1" s="95"/>
      <c r="H1" s="97"/>
      <c r="I1" s="43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9"/>
      <c r="AF1" s="100"/>
      <c r="AG1" s="100"/>
    </row>
    <row r="2" s="89" customFormat="1" customHeight="1" spans="1:33">
      <c r="A2" s="57" t="s">
        <v>106</v>
      </c>
      <c r="B2" s="57" t="s">
        <v>107</v>
      </c>
      <c r="C2" s="54" t="s">
        <v>108</v>
      </c>
      <c r="D2" s="54" t="s">
        <v>109</v>
      </c>
      <c r="E2" s="54" t="s">
        <v>110</v>
      </c>
      <c r="F2" s="43" t="s">
        <v>111</v>
      </c>
      <c r="G2" s="57" t="s">
        <v>112</v>
      </c>
      <c r="H2" s="43" t="s">
        <v>98</v>
      </c>
      <c r="I2" s="43" t="s">
        <v>58</v>
      </c>
      <c r="J2" s="43" t="s">
        <v>50</v>
      </c>
      <c r="K2" s="43" t="s">
        <v>22</v>
      </c>
      <c r="L2" s="43" t="s">
        <v>26</v>
      </c>
      <c r="M2" s="43" t="s">
        <v>30</v>
      </c>
      <c r="N2" s="43" t="s">
        <v>34</v>
      </c>
      <c r="O2" s="43" t="s">
        <v>62</v>
      </c>
      <c r="P2" s="43" t="s">
        <v>42</v>
      </c>
      <c r="Q2" s="43" t="s">
        <v>46</v>
      </c>
      <c r="R2" s="43" t="s">
        <v>66</v>
      </c>
      <c r="S2" s="98" t="s">
        <v>10</v>
      </c>
      <c r="T2" s="98" t="s">
        <v>18</v>
      </c>
      <c r="U2" s="98" t="s">
        <v>90</v>
      </c>
      <c r="V2" s="43" t="s">
        <v>38</v>
      </c>
      <c r="W2" s="43" t="s">
        <v>6</v>
      </c>
      <c r="X2" s="43" t="s">
        <v>54</v>
      </c>
      <c r="Y2" s="43" t="s">
        <v>94</v>
      </c>
      <c r="Z2" s="43" t="s">
        <v>86</v>
      </c>
      <c r="AA2" s="43" t="s">
        <v>74</v>
      </c>
      <c r="AB2" s="43" t="s">
        <v>70</v>
      </c>
      <c r="AC2" s="98"/>
      <c r="AD2" s="98"/>
      <c r="AE2" s="99" t="s">
        <v>113</v>
      </c>
      <c r="AF2" s="100" t="s">
        <v>114</v>
      </c>
      <c r="AG2" s="100" t="s">
        <v>115</v>
      </c>
    </row>
    <row r="3" s="90" customFormat="1" customHeight="1" spans="1:33">
      <c r="A3" s="70">
        <v>45840</v>
      </c>
      <c r="B3" s="76">
        <v>45915</v>
      </c>
      <c r="C3" s="73" t="s">
        <v>31</v>
      </c>
      <c r="D3" s="71">
        <v>1000000721</v>
      </c>
      <c r="E3" s="71" t="s">
        <v>30</v>
      </c>
      <c r="F3" s="74">
        <f>1602-564</f>
        <v>1038</v>
      </c>
      <c r="G3" s="71"/>
      <c r="H3" s="101" t="str">
        <f t="shared" ref="H3:AD3" si="0">IF(OR($E3="",H$2=""),"",IF(TRIM(LEFT($E3,MIN(IFERROR(FIND("CDU",UPPER($E3)),999),IFERROR(FIND("BULK",UPPER($E3)),999),IFERROR(FIND("-",$E3),999),IFERROR(FIND("（",$E3),999))-1))=H$2,$F3,""))</f>
        <v/>
      </c>
      <c r="I3" s="101" t="str">
        <f t="shared" si="0"/>
        <v/>
      </c>
      <c r="J3" s="101" t="str">
        <f t="shared" si="0"/>
        <v/>
      </c>
      <c r="K3" s="101" t="str">
        <f t="shared" si="0"/>
        <v/>
      </c>
      <c r="L3" s="101" t="str">
        <f t="shared" si="0"/>
        <v/>
      </c>
      <c r="M3" s="101">
        <f t="shared" si="0"/>
        <v>1038</v>
      </c>
      <c r="N3" s="101" t="str">
        <f t="shared" si="0"/>
        <v/>
      </c>
      <c r="O3" s="101" t="str">
        <f t="shared" si="0"/>
        <v/>
      </c>
      <c r="P3" s="101" t="str">
        <f t="shared" si="0"/>
        <v/>
      </c>
      <c r="Q3" s="101" t="str">
        <f t="shared" si="0"/>
        <v/>
      </c>
      <c r="R3" s="101" t="str">
        <f t="shared" si="0"/>
        <v/>
      </c>
      <c r="S3" s="101" t="str">
        <f t="shared" si="0"/>
        <v/>
      </c>
      <c r="T3" s="101" t="str">
        <f t="shared" si="0"/>
        <v/>
      </c>
      <c r="U3" s="101" t="str">
        <f t="shared" si="0"/>
        <v/>
      </c>
      <c r="V3" s="101" t="str">
        <f t="shared" si="0"/>
        <v/>
      </c>
      <c r="W3" s="101" t="str">
        <f t="shared" si="0"/>
        <v/>
      </c>
      <c r="X3" s="101" t="str">
        <f t="shared" si="0"/>
        <v/>
      </c>
      <c r="Y3" s="101" t="str">
        <f t="shared" si="0"/>
        <v/>
      </c>
      <c r="Z3" s="101" t="str">
        <f t="shared" si="0"/>
        <v/>
      </c>
      <c r="AA3" s="101" t="str">
        <f t="shared" si="0"/>
        <v/>
      </c>
      <c r="AB3" s="101" t="str">
        <f t="shared" si="0"/>
        <v/>
      </c>
      <c r="AC3" s="101" t="str">
        <f t="shared" si="0"/>
        <v/>
      </c>
      <c r="AD3" s="101" t="str">
        <f t="shared" si="0"/>
        <v/>
      </c>
      <c r="AE3" s="78">
        <v>4.72</v>
      </c>
      <c r="AF3" s="102">
        <f t="shared" ref="AF3:AF12" si="1">SUM(H3:AD3)*AE3</f>
        <v>4899.36</v>
      </c>
      <c r="AG3" s="102">
        <f t="shared" ref="AG3:AG12" si="2">AF3*7.75</f>
        <v>37970.04</v>
      </c>
    </row>
    <row r="4" s="90" customFormat="1" customHeight="1" spans="1:33">
      <c r="A4" s="70">
        <v>45840</v>
      </c>
      <c r="B4" s="76">
        <v>45915</v>
      </c>
      <c r="C4" s="73" t="s">
        <v>35</v>
      </c>
      <c r="D4" s="71">
        <v>1000000721</v>
      </c>
      <c r="E4" s="71" t="s">
        <v>34</v>
      </c>
      <c r="F4" s="74">
        <f>1602-612</f>
        <v>990</v>
      </c>
      <c r="G4" s="71"/>
      <c r="H4" s="101" t="str">
        <f t="shared" ref="H4:AD4" si="3">IF(OR($E4="",H$2=""),"",IF(TRIM(LEFT($E4,MIN(IFERROR(FIND("CDU",UPPER($E4)),999),IFERROR(FIND("BULK",UPPER($E4)),999),IFERROR(FIND("-",$E4),999),IFERROR(FIND("（",$E4),999))-1))=H$2,$F4,""))</f>
        <v/>
      </c>
      <c r="I4" s="101" t="str">
        <f t="shared" si="3"/>
        <v/>
      </c>
      <c r="J4" s="101" t="str">
        <f t="shared" si="3"/>
        <v/>
      </c>
      <c r="K4" s="101" t="str">
        <f t="shared" si="3"/>
        <v/>
      </c>
      <c r="L4" s="101" t="str">
        <f t="shared" si="3"/>
        <v/>
      </c>
      <c r="M4" s="101" t="str">
        <f t="shared" si="3"/>
        <v/>
      </c>
      <c r="N4" s="101">
        <f t="shared" si="3"/>
        <v>990</v>
      </c>
      <c r="O4" s="101" t="str">
        <f t="shared" si="3"/>
        <v/>
      </c>
      <c r="P4" s="101" t="str">
        <f t="shared" si="3"/>
        <v/>
      </c>
      <c r="Q4" s="101" t="str">
        <f t="shared" si="3"/>
        <v/>
      </c>
      <c r="R4" s="101" t="str">
        <f t="shared" si="3"/>
        <v/>
      </c>
      <c r="S4" s="101" t="str">
        <f t="shared" si="3"/>
        <v/>
      </c>
      <c r="T4" s="101" t="str">
        <f t="shared" si="3"/>
        <v/>
      </c>
      <c r="U4" s="101" t="str">
        <f t="shared" si="3"/>
        <v/>
      </c>
      <c r="V4" s="101" t="str">
        <f t="shared" si="3"/>
        <v/>
      </c>
      <c r="W4" s="101" t="str">
        <f t="shared" si="3"/>
        <v/>
      </c>
      <c r="X4" s="101" t="str">
        <f t="shared" si="3"/>
        <v/>
      </c>
      <c r="Y4" s="101" t="str">
        <f t="shared" si="3"/>
        <v/>
      </c>
      <c r="Z4" s="101" t="str">
        <f t="shared" si="3"/>
        <v/>
      </c>
      <c r="AA4" s="101" t="str">
        <f t="shared" si="3"/>
        <v/>
      </c>
      <c r="AB4" s="101" t="str">
        <f t="shared" si="3"/>
        <v/>
      </c>
      <c r="AC4" s="101" t="str">
        <f t="shared" si="3"/>
        <v/>
      </c>
      <c r="AD4" s="101" t="str">
        <f t="shared" si="3"/>
        <v/>
      </c>
      <c r="AE4" s="78">
        <v>4.92</v>
      </c>
      <c r="AF4" s="102">
        <f t="shared" si="1"/>
        <v>4870.8</v>
      </c>
      <c r="AG4" s="102">
        <f t="shared" si="2"/>
        <v>37748.7</v>
      </c>
    </row>
    <row r="5" s="90" customFormat="1" customHeight="1" spans="1:33">
      <c r="A5" s="70">
        <v>45840</v>
      </c>
      <c r="B5" s="76">
        <v>45915</v>
      </c>
      <c r="C5" s="73" t="s">
        <v>23</v>
      </c>
      <c r="D5" s="71">
        <v>1000000721</v>
      </c>
      <c r="E5" s="71" t="s">
        <v>22</v>
      </c>
      <c r="F5" s="74">
        <f>1602-1026</f>
        <v>576</v>
      </c>
      <c r="G5" s="71"/>
      <c r="H5" s="101" t="str">
        <f t="shared" ref="H5:AD5" si="4">IF(OR($E5="",H$2=""),"",IF(TRIM(LEFT($E5,MIN(IFERROR(FIND("CDU",UPPER($E5)),999),IFERROR(FIND("BULK",UPPER($E5)),999),IFERROR(FIND("-",$E5),999),IFERROR(FIND("（",$E5),999))-1))=H$2,$F5,""))</f>
        <v/>
      </c>
      <c r="I5" s="101" t="str">
        <f t="shared" si="4"/>
        <v/>
      </c>
      <c r="J5" s="101" t="str">
        <f t="shared" si="4"/>
        <v/>
      </c>
      <c r="K5" s="101">
        <f t="shared" si="4"/>
        <v>576</v>
      </c>
      <c r="L5" s="101" t="str">
        <f t="shared" si="4"/>
        <v/>
      </c>
      <c r="M5" s="101" t="str">
        <f t="shared" si="4"/>
        <v/>
      </c>
      <c r="N5" s="101" t="str">
        <f t="shared" si="4"/>
        <v/>
      </c>
      <c r="O5" s="101" t="str">
        <f t="shared" si="4"/>
        <v/>
      </c>
      <c r="P5" s="101" t="str">
        <f t="shared" si="4"/>
        <v/>
      </c>
      <c r="Q5" s="101" t="str">
        <f t="shared" si="4"/>
        <v/>
      </c>
      <c r="R5" s="101" t="str">
        <f t="shared" si="4"/>
        <v/>
      </c>
      <c r="S5" s="101" t="str">
        <f t="shared" si="4"/>
        <v/>
      </c>
      <c r="T5" s="101" t="str">
        <f t="shared" si="4"/>
        <v/>
      </c>
      <c r="U5" s="101" t="str">
        <f t="shared" si="4"/>
        <v/>
      </c>
      <c r="V5" s="101" t="str">
        <f t="shared" si="4"/>
        <v/>
      </c>
      <c r="W5" s="101" t="str">
        <f t="shared" si="4"/>
        <v/>
      </c>
      <c r="X5" s="101" t="str">
        <f t="shared" si="4"/>
        <v/>
      </c>
      <c r="Y5" s="101" t="str">
        <f t="shared" si="4"/>
        <v/>
      </c>
      <c r="Z5" s="101" t="str">
        <f t="shared" si="4"/>
        <v/>
      </c>
      <c r="AA5" s="101" t="str">
        <f t="shared" si="4"/>
        <v/>
      </c>
      <c r="AB5" s="101" t="str">
        <f t="shared" si="4"/>
        <v/>
      </c>
      <c r="AC5" s="101" t="str">
        <f t="shared" si="4"/>
        <v/>
      </c>
      <c r="AD5" s="101" t="str">
        <f t="shared" si="4"/>
        <v/>
      </c>
      <c r="AE5" s="78">
        <v>4.92</v>
      </c>
      <c r="AF5" s="102">
        <f t="shared" si="1"/>
        <v>2833.92</v>
      </c>
      <c r="AG5" s="102">
        <f t="shared" si="2"/>
        <v>21962.88</v>
      </c>
    </row>
    <row r="6" s="90" customFormat="1" customHeight="1" spans="1:33">
      <c r="A6" s="70">
        <v>45910</v>
      </c>
      <c r="B6" s="76">
        <v>45995</v>
      </c>
      <c r="C6" s="73" t="s">
        <v>39</v>
      </c>
      <c r="D6" s="71">
        <v>1000001352</v>
      </c>
      <c r="E6" s="71" t="s">
        <v>38</v>
      </c>
      <c r="F6" s="74">
        <f>1532-340</f>
        <v>1192</v>
      </c>
      <c r="G6" s="71"/>
      <c r="H6" s="101" t="str">
        <f t="shared" ref="H6:AD6" si="5">IF(OR($E6="",H$2=""),"",IF(TRIM(LEFT($E6,MIN(IFERROR(FIND("CDU",UPPER($E6)),999),IFERROR(FIND("BULK",UPPER($E6)),999),IFERROR(FIND("-",$E6),999),IFERROR(FIND("（",$E6),999))-1))=H$2,$F6,""))</f>
        <v/>
      </c>
      <c r="I6" s="101" t="str">
        <f t="shared" si="5"/>
        <v/>
      </c>
      <c r="J6" s="101" t="str">
        <f t="shared" si="5"/>
        <v/>
      </c>
      <c r="K6" s="101" t="str">
        <f t="shared" si="5"/>
        <v/>
      </c>
      <c r="L6" s="101" t="str">
        <f t="shared" si="5"/>
        <v/>
      </c>
      <c r="M6" s="101" t="str">
        <f t="shared" si="5"/>
        <v/>
      </c>
      <c r="N6" s="101" t="str">
        <f t="shared" si="5"/>
        <v/>
      </c>
      <c r="O6" s="101" t="str">
        <f t="shared" si="5"/>
        <v/>
      </c>
      <c r="P6" s="101" t="str">
        <f t="shared" si="5"/>
        <v/>
      </c>
      <c r="Q6" s="101" t="str">
        <f t="shared" si="5"/>
        <v/>
      </c>
      <c r="R6" s="101" t="str">
        <f t="shared" si="5"/>
        <v/>
      </c>
      <c r="S6" s="101" t="str">
        <f t="shared" si="5"/>
        <v/>
      </c>
      <c r="T6" s="101" t="str">
        <f t="shared" si="5"/>
        <v/>
      </c>
      <c r="U6" s="101" t="str">
        <f t="shared" si="5"/>
        <v/>
      </c>
      <c r="V6" s="101">
        <f t="shared" si="5"/>
        <v>1192</v>
      </c>
      <c r="W6" s="101" t="str">
        <f t="shared" si="5"/>
        <v/>
      </c>
      <c r="X6" s="101" t="str">
        <f t="shared" si="5"/>
        <v/>
      </c>
      <c r="Y6" s="101" t="str">
        <f t="shared" si="5"/>
        <v/>
      </c>
      <c r="Z6" s="101" t="str">
        <f t="shared" si="5"/>
        <v/>
      </c>
      <c r="AA6" s="101" t="str">
        <f t="shared" si="5"/>
        <v/>
      </c>
      <c r="AB6" s="101" t="str">
        <f t="shared" si="5"/>
        <v/>
      </c>
      <c r="AC6" s="101" t="str">
        <f t="shared" si="5"/>
        <v/>
      </c>
      <c r="AD6" s="101" t="str">
        <f t="shared" si="5"/>
        <v/>
      </c>
      <c r="AE6" s="78">
        <v>11.5</v>
      </c>
      <c r="AF6" s="102">
        <f t="shared" si="1"/>
        <v>13708</v>
      </c>
      <c r="AG6" s="102">
        <f t="shared" si="2"/>
        <v>106237</v>
      </c>
    </row>
    <row r="7" s="90" customFormat="1" customHeight="1" spans="1:33">
      <c r="A7" s="70">
        <v>45910</v>
      </c>
      <c r="B7" s="76">
        <v>45995</v>
      </c>
      <c r="C7" s="73" t="s">
        <v>35</v>
      </c>
      <c r="D7" s="71">
        <v>1000001352</v>
      </c>
      <c r="E7" s="71" t="s">
        <v>34</v>
      </c>
      <c r="F7" s="74">
        <v>1602</v>
      </c>
      <c r="G7" s="71"/>
      <c r="H7" s="101" t="str">
        <f t="shared" ref="H7:AD7" si="6">IF(OR($E7="",H$2=""),"",IF(TRIM(LEFT($E7,MIN(IFERROR(FIND("CDU",UPPER($E7)),999),IFERROR(FIND("BULK",UPPER($E7)),999),IFERROR(FIND("-",$E7),999),IFERROR(FIND("（",$E7),999))-1))=H$2,$F7,""))</f>
        <v/>
      </c>
      <c r="I7" s="101" t="str">
        <f t="shared" si="6"/>
        <v/>
      </c>
      <c r="J7" s="101" t="str">
        <f t="shared" si="6"/>
        <v/>
      </c>
      <c r="K7" s="101" t="str">
        <f t="shared" si="6"/>
        <v/>
      </c>
      <c r="L7" s="101" t="str">
        <f t="shared" si="6"/>
        <v/>
      </c>
      <c r="M7" s="101" t="str">
        <f t="shared" si="6"/>
        <v/>
      </c>
      <c r="N7" s="101">
        <f t="shared" si="6"/>
        <v>1602</v>
      </c>
      <c r="O7" s="101" t="str">
        <f t="shared" si="6"/>
        <v/>
      </c>
      <c r="P7" s="101" t="str">
        <f t="shared" si="6"/>
        <v/>
      </c>
      <c r="Q7" s="101" t="str">
        <f t="shared" si="6"/>
        <v/>
      </c>
      <c r="R7" s="101" t="str">
        <f t="shared" si="6"/>
        <v/>
      </c>
      <c r="S7" s="101" t="str">
        <f t="shared" si="6"/>
        <v/>
      </c>
      <c r="T7" s="101" t="str">
        <f t="shared" si="6"/>
        <v/>
      </c>
      <c r="U7" s="101" t="str">
        <f t="shared" si="6"/>
        <v/>
      </c>
      <c r="V7" s="101" t="str">
        <f t="shared" si="6"/>
        <v/>
      </c>
      <c r="W7" s="101" t="str">
        <f t="shared" si="6"/>
        <v/>
      </c>
      <c r="X7" s="101" t="str">
        <f t="shared" si="6"/>
        <v/>
      </c>
      <c r="Y7" s="101" t="str">
        <f t="shared" si="6"/>
        <v/>
      </c>
      <c r="Z7" s="101" t="str">
        <f t="shared" si="6"/>
        <v/>
      </c>
      <c r="AA7" s="101" t="str">
        <f t="shared" si="6"/>
        <v/>
      </c>
      <c r="AB7" s="101" t="str">
        <f t="shared" si="6"/>
        <v/>
      </c>
      <c r="AC7" s="101" t="str">
        <f t="shared" si="6"/>
        <v/>
      </c>
      <c r="AD7" s="101" t="str">
        <f t="shared" si="6"/>
        <v/>
      </c>
      <c r="AE7" s="78">
        <v>4.92</v>
      </c>
      <c r="AF7" s="102">
        <f t="shared" si="1"/>
        <v>7881.84</v>
      </c>
      <c r="AG7" s="102">
        <f t="shared" si="2"/>
        <v>61084.26</v>
      </c>
    </row>
    <row r="8" s="90" customFormat="1" customHeight="1" spans="1:33">
      <c r="A8" s="70">
        <v>45910</v>
      </c>
      <c r="B8" s="76">
        <v>45995</v>
      </c>
      <c r="C8" s="73" t="s">
        <v>23</v>
      </c>
      <c r="D8" s="71">
        <v>1000001352</v>
      </c>
      <c r="E8" s="71" t="s">
        <v>22</v>
      </c>
      <c r="F8" s="74">
        <v>1602</v>
      </c>
      <c r="G8" s="71"/>
      <c r="H8" s="101" t="str">
        <f t="shared" ref="H8:AD8" si="7">IF(OR($E8="",H$2=""),"",IF(TRIM(LEFT($E8,MIN(IFERROR(FIND("CDU",UPPER($E8)),999),IFERROR(FIND("BULK",UPPER($E8)),999),IFERROR(FIND("-",$E8),999),IFERROR(FIND("（",$E8),999))-1))=H$2,$F8,""))</f>
        <v/>
      </c>
      <c r="I8" s="101" t="str">
        <f t="shared" si="7"/>
        <v/>
      </c>
      <c r="J8" s="101" t="str">
        <f t="shared" si="7"/>
        <v/>
      </c>
      <c r="K8" s="101">
        <f t="shared" si="7"/>
        <v>1602</v>
      </c>
      <c r="L8" s="101" t="str">
        <f t="shared" si="7"/>
        <v/>
      </c>
      <c r="M8" s="101" t="str">
        <f t="shared" si="7"/>
        <v/>
      </c>
      <c r="N8" s="101" t="str">
        <f t="shared" si="7"/>
        <v/>
      </c>
      <c r="O8" s="101" t="str">
        <f t="shared" si="7"/>
        <v/>
      </c>
      <c r="P8" s="101" t="str">
        <f t="shared" si="7"/>
        <v/>
      </c>
      <c r="Q8" s="101" t="str">
        <f t="shared" si="7"/>
        <v/>
      </c>
      <c r="R8" s="101" t="str">
        <f t="shared" si="7"/>
        <v/>
      </c>
      <c r="S8" s="101" t="str">
        <f t="shared" si="7"/>
        <v/>
      </c>
      <c r="T8" s="101" t="str">
        <f t="shared" si="7"/>
        <v/>
      </c>
      <c r="U8" s="101" t="str">
        <f t="shared" si="7"/>
        <v/>
      </c>
      <c r="V8" s="101" t="str">
        <f t="shared" si="7"/>
        <v/>
      </c>
      <c r="W8" s="101" t="str">
        <f t="shared" si="7"/>
        <v/>
      </c>
      <c r="X8" s="101" t="str">
        <f t="shared" si="7"/>
        <v/>
      </c>
      <c r="Y8" s="101" t="str">
        <f t="shared" si="7"/>
        <v/>
      </c>
      <c r="Z8" s="101" t="str">
        <f t="shared" si="7"/>
        <v/>
      </c>
      <c r="AA8" s="101" t="str">
        <f t="shared" si="7"/>
        <v/>
      </c>
      <c r="AB8" s="101" t="str">
        <f t="shared" si="7"/>
        <v/>
      </c>
      <c r="AC8" s="101" t="str">
        <f t="shared" si="7"/>
        <v/>
      </c>
      <c r="AD8" s="101" t="str">
        <f t="shared" si="7"/>
        <v/>
      </c>
      <c r="AE8" s="78">
        <v>4.92</v>
      </c>
      <c r="AF8" s="102">
        <f t="shared" si="1"/>
        <v>7881.84</v>
      </c>
      <c r="AG8" s="102">
        <f t="shared" si="2"/>
        <v>61084.26</v>
      </c>
    </row>
    <row r="9" s="90" customFormat="1" customHeight="1" spans="1:33">
      <c r="A9" s="70">
        <v>45930</v>
      </c>
      <c r="B9" s="76">
        <v>45989</v>
      </c>
      <c r="C9" s="73" t="s">
        <v>87</v>
      </c>
      <c r="D9" s="71">
        <v>1000001583</v>
      </c>
      <c r="E9" s="73" t="s">
        <v>86</v>
      </c>
      <c r="F9" s="74">
        <v>1440</v>
      </c>
      <c r="G9" s="71"/>
      <c r="H9" s="101" t="str">
        <f t="shared" ref="H9:AD9" si="8">IF(OR($E9="",H$2=""),"",IF(TRIM(LEFT($E9,MIN(IFERROR(FIND("CDU",UPPER($E9)),999),IFERROR(FIND("BULK",UPPER($E9)),999),IFERROR(FIND("-",$E9),999),IFERROR(FIND("（",$E9),999))-1))=H$2,$F9,""))</f>
        <v/>
      </c>
      <c r="I9" s="101" t="str">
        <f t="shared" si="8"/>
        <v/>
      </c>
      <c r="J9" s="101" t="str">
        <f t="shared" si="8"/>
        <v/>
      </c>
      <c r="K9" s="101" t="str">
        <f t="shared" si="8"/>
        <v/>
      </c>
      <c r="L9" s="101" t="str">
        <f t="shared" si="8"/>
        <v/>
      </c>
      <c r="M9" s="101" t="str">
        <f t="shared" si="8"/>
        <v/>
      </c>
      <c r="N9" s="101" t="str">
        <f t="shared" si="8"/>
        <v/>
      </c>
      <c r="O9" s="101" t="str">
        <f t="shared" si="8"/>
        <v/>
      </c>
      <c r="P9" s="101" t="str">
        <f t="shared" si="8"/>
        <v/>
      </c>
      <c r="Q9" s="101" t="str">
        <f t="shared" si="8"/>
        <v/>
      </c>
      <c r="R9" s="101" t="str">
        <f t="shared" si="8"/>
        <v/>
      </c>
      <c r="S9" s="101" t="str">
        <f t="shared" si="8"/>
        <v/>
      </c>
      <c r="T9" s="101" t="str">
        <f t="shared" si="8"/>
        <v/>
      </c>
      <c r="U9" s="101" t="str">
        <f t="shared" si="8"/>
        <v/>
      </c>
      <c r="V9" s="101" t="str">
        <f t="shared" si="8"/>
        <v/>
      </c>
      <c r="W9" s="101" t="str">
        <f t="shared" si="8"/>
        <v/>
      </c>
      <c r="X9" s="101" t="str">
        <f t="shared" si="8"/>
        <v/>
      </c>
      <c r="Y9" s="101" t="str">
        <f t="shared" si="8"/>
        <v/>
      </c>
      <c r="Z9" s="101">
        <f t="shared" si="8"/>
        <v>1440</v>
      </c>
      <c r="AA9" s="101" t="str">
        <f t="shared" si="8"/>
        <v/>
      </c>
      <c r="AB9" s="101" t="str">
        <f t="shared" si="8"/>
        <v/>
      </c>
      <c r="AC9" s="101" t="str">
        <f t="shared" si="8"/>
        <v/>
      </c>
      <c r="AD9" s="101" t="str">
        <f t="shared" si="8"/>
        <v/>
      </c>
      <c r="AE9" s="78">
        <v>1.01</v>
      </c>
      <c r="AF9" s="102">
        <f t="shared" si="1"/>
        <v>1454.4</v>
      </c>
      <c r="AG9" s="102">
        <f t="shared" si="2"/>
        <v>11271.6</v>
      </c>
    </row>
    <row r="10" s="90" customFormat="1" customHeight="1" spans="1:33">
      <c r="A10" s="70">
        <v>45966</v>
      </c>
      <c r="B10" s="76">
        <v>46036</v>
      </c>
      <c r="C10" s="73" t="s">
        <v>63</v>
      </c>
      <c r="D10" s="71">
        <v>1000001879</v>
      </c>
      <c r="E10" s="71" t="s">
        <v>62</v>
      </c>
      <c r="F10" s="74">
        <v>752</v>
      </c>
      <c r="G10" s="71"/>
      <c r="H10" s="101" t="str">
        <f t="shared" ref="H10:AD10" si="9">IF(OR($E10="",H$2=""),"",IF(TRIM(LEFT($E10,MIN(IFERROR(FIND("CDU",UPPER($E10)),999),IFERROR(FIND("BULK",UPPER($E10)),999),IFERROR(FIND("-",$E10),999),IFERROR(FIND("（",$E10),999))-1))=H$2,$F10,""))</f>
        <v/>
      </c>
      <c r="I10" s="101" t="str">
        <f t="shared" si="9"/>
        <v/>
      </c>
      <c r="J10" s="101" t="str">
        <f t="shared" si="9"/>
        <v/>
      </c>
      <c r="K10" s="101" t="str">
        <f t="shared" si="9"/>
        <v/>
      </c>
      <c r="L10" s="101" t="str">
        <f t="shared" si="9"/>
        <v/>
      </c>
      <c r="M10" s="101" t="str">
        <f t="shared" si="9"/>
        <v/>
      </c>
      <c r="N10" s="101" t="str">
        <f t="shared" si="9"/>
        <v/>
      </c>
      <c r="O10" s="101">
        <f t="shared" si="9"/>
        <v>752</v>
      </c>
      <c r="P10" s="101" t="str">
        <f t="shared" si="9"/>
        <v/>
      </c>
      <c r="Q10" s="101" t="str">
        <f t="shared" si="9"/>
        <v/>
      </c>
      <c r="R10" s="101" t="str">
        <f t="shared" si="9"/>
        <v/>
      </c>
      <c r="S10" s="101" t="str">
        <f t="shared" si="9"/>
        <v/>
      </c>
      <c r="T10" s="101" t="str">
        <f t="shared" si="9"/>
        <v/>
      </c>
      <c r="U10" s="101" t="str">
        <f t="shared" si="9"/>
        <v/>
      </c>
      <c r="V10" s="101" t="str">
        <f t="shared" si="9"/>
        <v/>
      </c>
      <c r="W10" s="101" t="str">
        <f t="shared" si="9"/>
        <v/>
      </c>
      <c r="X10" s="101" t="str">
        <f t="shared" si="9"/>
        <v/>
      </c>
      <c r="Y10" s="101" t="str">
        <f t="shared" si="9"/>
        <v/>
      </c>
      <c r="Z10" s="101" t="str">
        <f t="shared" si="9"/>
        <v/>
      </c>
      <c r="AA10" s="101" t="str">
        <f t="shared" si="9"/>
        <v/>
      </c>
      <c r="AB10" s="101" t="str">
        <f t="shared" si="9"/>
        <v/>
      </c>
      <c r="AC10" s="101" t="str">
        <f t="shared" si="9"/>
        <v/>
      </c>
      <c r="AD10" s="101" t="str">
        <f t="shared" si="9"/>
        <v/>
      </c>
      <c r="AE10" s="78">
        <v>9.71</v>
      </c>
      <c r="AF10" s="102">
        <f t="shared" si="1"/>
        <v>7301.92</v>
      </c>
      <c r="AG10" s="102">
        <f t="shared" si="2"/>
        <v>56589.88</v>
      </c>
    </row>
    <row r="11" s="90" customFormat="1" customHeight="1" spans="1:33">
      <c r="A11" s="70">
        <v>45966</v>
      </c>
      <c r="B11" s="76">
        <v>46036</v>
      </c>
      <c r="C11" s="73" t="s">
        <v>63</v>
      </c>
      <c r="D11" s="71">
        <v>1000001879</v>
      </c>
      <c r="E11" s="71" t="s">
        <v>62</v>
      </c>
      <c r="F11" s="74">
        <f>1500-752</f>
        <v>748</v>
      </c>
      <c r="G11" s="71"/>
      <c r="H11" s="101" t="str">
        <f t="shared" ref="H11:AD11" si="10">IF(OR($E11="",H$2=""),"",IF(TRIM(LEFT($E11,MIN(IFERROR(FIND("CDU",UPPER($E11)),999),IFERROR(FIND("BULK",UPPER($E11)),999),IFERROR(FIND("-",$E11),999),IFERROR(FIND("（",$E11),999))-1))=H$2,$F11,""))</f>
        <v/>
      </c>
      <c r="I11" s="101" t="str">
        <f t="shared" si="10"/>
        <v/>
      </c>
      <c r="J11" s="101" t="str">
        <f t="shared" si="10"/>
        <v/>
      </c>
      <c r="K11" s="101" t="str">
        <f t="shared" si="10"/>
        <v/>
      </c>
      <c r="L11" s="101" t="str">
        <f t="shared" si="10"/>
        <v/>
      </c>
      <c r="M11" s="101" t="str">
        <f t="shared" si="10"/>
        <v/>
      </c>
      <c r="N11" s="101" t="str">
        <f t="shared" si="10"/>
        <v/>
      </c>
      <c r="O11" s="101">
        <f t="shared" si="10"/>
        <v>748</v>
      </c>
      <c r="P11" s="101" t="str">
        <f t="shared" si="10"/>
        <v/>
      </c>
      <c r="Q11" s="101" t="str">
        <f t="shared" si="10"/>
        <v/>
      </c>
      <c r="R11" s="101" t="str">
        <f t="shared" si="10"/>
        <v/>
      </c>
      <c r="S11" s="101" t="str">
        <f t="shared" si="10"/>
        <v/>
      </c>
      <c r="T11" s="101" t="str">
        <f t="shared" si="10"/>
        <v/>
      </c>
      <c r="U11" s="101" t="str">
        <f t="shared" si="10"/>
        <v/>
      </c>
      <c r="V11" s="101" t="str">
        <f t="shared" si="10"/>
        <v/>
      </c>
      <c r="W11" s="101" t="str">
        <f t="shared" si="10"/>
        <v/>
      </c>
      <c r="X11" s="101" t="str">
        <f t="shared" si="10"/>
        <v/>
      </c>
      <c r="Y11" s="101" t="str">
        <f t="shared" si="10"/>
        <v/>
      </c>
      <c r="Z11" s="101" t="str">
        <f t="shared" si="10"/>
        <v/>
      </c>
      <c r="AA11" s="101" t="str">
        <f t="shared" si="10"/>
        <v/>
      </c>
      <c r="AB11" s="101" t="str">
        <f t="shared" si="10"/>
        <v/>
      </c>
      <c r="AC11" s="101" t="str">
        <f t="shared" si="10"/>
        <v/>
      </c>
      <c r="AD11" s="101" t="str">
        <f t="shared" si="10"/>
        <v/>
      </c>
      <c r="AE11" s="78">
        <v>9.71</v>
      </c>
      <c r="AF11" s="102">
        <f t="shared" si="1"/>
        <v>7263.08</v>
      </c>
      <c r="AG11" s="102">
        <f t="shared" si="2"/>
        <v>56288.87</v>
      </c>
    </row>
    <row r="12" s="90" customFormat="1" customHeight="1" spans="1:33">
      <c r="A12" s="70">
        <v>45966</v>
      </c>
      <c r="B12" s="76">
        <v>46036</v>
      </c>
      <c r="C12" s="73" t="s">
        <v>43</v>
      </c>
      <c r="D12" s="71">
        <v>1000001879</v>
      </c>
      <c r="E12" s="71" t="s">
        <v>42</v>
      </c>
      <c r="F12" s="74">
        <v>1500</v>
      </c>
      <c r="G12" s="71"/>
      <c r="H12" s="101" t="str">
        <f t="shared" ref="H12:AD12" si="11">IF(OR($E12="",H$2=""),"",IF(TRIM(LEFT($E12,MIN(IFERROR(FIND("CDU",UPPER($E12)),999),IFERROR(FIND("BULK",UPPER($E12)),999),IFERROR(FIND("-",$E12),999),IFERROR(FIND("（",$E12),999))-1))=H$2,$F12,""))</f>
        <v/>
      </c>
      <c r="I12" s="101" t="str">
        <f t="shared" si="11"/>
        <v/>
      </c>
      <c r="J12" s="101" t="str">
        <f t="shared" si="11"/>
        <v/>
      </c>
      <c r="K12" s="101" t="str">
        <f t="shared" si="11"/>
        <v/>
      </c>
      <c r="L12" s="101" t="str">
        <f t="shared" si="11"/>
        <v/>
      </c>
      <c r="M12" s="101" t="str">
        <f t="shared" si="11"/>
        <v/>
      </c>
      <c r="N12" s="101" t="str">
        <f t="shared" si="11"/>
        <v/>
      </c>
      <c r="O12" s="101" t="str">
        <f t="shared" si="11"/>
        <v/>
      </c>
      <c r="P12" s="101">
        <f t="shared" si="11"/>
        <v>1500</v>
      </c>
      <c r="Q12" s="101" t="str">
        <f t="shared" si="11"/>
        <v/>
      </c>
      <c r="R12" s="101" t="str">
        <f t="shared" si="11"/>
        <v/>
      </c>
      <c r="S12" s="101" t="str">
        <f t="shared" si="11"/>
        <v/>
      </c>
      <c r="T12" s="101" t="str">
        <f t="shared" si="11"/>
        <v/>
      </c>
      <c r="U12" s="101" t="str">
        <f t="shared" si="11"/>
        <v/>
      </c>
      <c r="V12" s="101" t="str">
        <f t="shared" si="11"/>
        <v/>
      </c>
      <c r="W12" s="101" t="str">
        <f t="shared" si="11"/>
        <v/>
      </c>
      <c r="X12" s="101" t="str">
        <f t="shared" si="11"/>
        <v/>
      </c>
      <c r="Y12" s="101" t="str">
        <f t="shared" si="11"/>
        <v/>
      </c>
      <c r="Z12" s="101" t="str">
        <f t="shared" si="11"/>
        <v/>
      </c>
      <c r="AA12" s="101" t="str">
        <f t="shared" si="11"/>
        <v/>
      </c>
      <c r="AB12" s="101" t="str">
        <f t="shared" si="11"/>
        <v/>
      </c>
      <c r="AC12" s="101" t="str">
        <f t="shared" si="11"/>
        <v/>
      </c>
      <c r="AD12" s="101" t="str">
        <f t="shared" si="11"/>
        <v/>
      </c>
      <c r="AE12" s="78">
        <v>12</v>
      </c>
      <c r="AF12" s="102">
        <f t="shared" si="1"/>
        <v>18000</v>
      </c>
      <c r="AG12" s="102">
        <f t="shared" si="2"/>
        <v>139500</v>
      </c>
    </row>
    <row r="13" s="90" customFormat="1" customHeight="1" spans="1:33">
      <c r="A13" s="70">
        <v>45966</v>
      </c>
      <c r="B13" s="76">
        <v>46036</v>
      </c>
      <c r="C13" s="73" t="s">
        <v>31</v>
      </c>
      <c r="D13" s="71">
        <v>1000001879</v>
      </c>
      <c r="E13" s="71" t="s">
        <v>30</v>
      </c>
      <c r="F13" s="74">
        <v>1602</v>
      </c>
      <c r="G13" s="71"/>
      <c r="H13" s="101" t="str">
        <f t="shared" ref="H13:AD13" si="12">IF(OR($E13="",H$2=""),"",IF(TRIM(LEFT($E13,MIN(IFERROR(FIND("CDU",UPPER($E13)),999),IFERROR(FIND("BULK",UPPER($E13)),999),IFERROR(FIND("-",$E13),999),IFERROR(FIND("（",$E13),999))-1))=H$2,$F13,""))</f>
        <v/>
      </c>
      <c r="I13" s="101" t="str">
        <f t="shared" si="12"/>
        <v/>
      </c>
      <c r="J13" s="101" t="str">
        <f t="shared" si="12"/>
        <v/>
      </c>
      <c r="K13" s="101" t="str">
        <f t="shared" si="12"/>
        <v/>
      </c>
      <c r="L13" s="101" t="str">
        <f t="shared" si="12"/>
        <v/>
      </c>
      <c r="M13" s="101">
        <f t="shared" si="12"/>
        <v>1602</v>
      </c>
      <c r="N13" s="101" t="str">
        <f t="shared" si="12"/>
        <v/>
      </c>
      <c r="O13" s="101" t="str">
        <f t="shared" si="12"/>
        <v/>
      </c>
      <c r="P13" s="101" t="str">
        <f t="shared" si="12"/>
        <v/>
      </c>
      <c r="Q13" s="101" t="str">
        <f t="shared" si="12"/>
        <v/>
      </c>
      <c r="R13" s="101" t="str">
        <f t="shared" si="12"/>
        <v/>
      </c>
      <c r="S13" s="101" t="str">
        <f t="shared" si="12"/>
        <v/>
      </c>
      <c r="T13" s="101" t="str">
        <f t="shared" si="12"/>
        <v/>
      </c>
      <c r="U13" s="101" t="str">
        <f t="shared" si="12"/>
        <v/>
      </c>
      <c r="V13" s="101" t="str">
        <f t="shared" si="12"/>
        <v/>
      </c>
      <c r="W13" s="101" t="str">
        <f t="shared" si="12"/>
        <v/>
      </c>
      <c r="X13" s="101" t="str">
        <f t="shared" si="12"/>
        <v/>
      </c>
      <c r="Y13" s="101" t="str">
        <f t="shared" si="12"/>
        <v/>
      </c>
      <c r="Z13" s="101" t="str">
        <f t="shared" si="12"/>
        <v/>
      </c>
      <c r="AA13" s="101" t="str">
        <f t="shared" si="12"/>
        <v/>
      </c>
      <c r="AB13" s="101" t="str">
        <f t="shared" si="12"/>
        <v/>
      </c>
      <c r="AC13" s="101" t="str">
        <f t="shared" si="12"/>
        <v/>
      </c>
      <c r="AD13" s="101" t="str">
        <f t="shared" si="12"/>
        <v/>
      </c>
      <c r="AE13" s="78">
        <v>4.72</v>
      </c>
      <c r="AF13" s="102">
        <f t="shared" ref="AF13:AF23" si="13">SUM(H13:AD13)*AE13</f>
        <v>7561.44</v>
      </c>
      <c r="AG13" s="102">
        <f t="shared" ref="AG13:AG18" si="14">AF13*7.75</f>
        <v>58601.16</v>
      </c>
    </row>
    <row r="14" s="90" customFormat="1" customHeight="1" spans="1:33">
      <c r="A14" s="70">
        <v>45966</v>
      </c>
      <c r="B14" s="76">
        <v>46021</v>
      </c>
      <c r="C14" s="73" t="s">
        <v>51</v>
      </c>
      <c r="D14" s="71">
        <v>1000001880</v>
      </c>
      <c r="E14" s="71" t="s">
        <v>50</v>
      </c>
      <c r="F14" s="74">
        <f>2508+720</f>
        <v>3228</v>
      </c>
      <c r="G14" s="71"/>
      <c r="H14" s="101" t="str">
        <f t="shared" ref="H14:AD14" si="15">IF(OR($E14="",H$2=""),"",IF(TRIM(LEFT($E14,MIN(IFERROR(FIND("CDU",UPPER($E14)),999),IFERROR(FIND("BULK",UPPER($E14)),999),IFERROR(FIND("-",$E14),999),IFERROR(FIND("（",$E14),999))-1))=H$2,$F14,""))</f>
        <v/>
      </c>
      <c r="I14" s="101" t="str">
        <f t="shared" si="15"/>
        <v/>
      </c>
      <c r="J14" s="101">
        <f t="shared" si="15"/>
        <v>3228</v>
      </c>
      <c r="K14" s="101" t="str">
        <f t="shared" si="15"/>
        <v/>
      </c>
      <c r="L14" s="101" t="str">
        <f t="shared" si="15"/>
        <v/>
      </c>
      <c r="M14" s="101" t="str">
        <f t="shared" si="15"/>
        <v/>
      </c>
      <c r="N14" s="101" t="str">
        <f t="shared" si="15"/>
        <v/>
      </c>
      <c r="O14" s="101" t="str">
        <f t="shared" si="15"/>
        <v/>
      </c>
      <c r="P14" s="101" t="str">
        <f t="shared" si="15"/>
        <v/>
      </c>
      <c r="Q14" s="101" t="str">
        <f t="shared" si="15"/>
        <v/>
      </c>
      <c r="R14" s="101" t="str">
        <f t="shared" si="15"/>
        <v/>
      </c>
      <c r="S14" s="101" t="str">
        <f t="shared" si="15"/>
        <v/>
      </c>
      <c r="T14" s="101" t="str">
        <f t="shared" si="15"/>
        <v/>
      </c>
      <c r="U14" s="101" t="str">
        <f t="shared" si="15"/>
        <v/>
      </c>
      <c r="V14" s="101" t="str">
        <f t="shared" si="15"/>
        <v/>
      </c>
      <c r="W14" s="101" t="str">
        <f t="shared" si="15"/>
        <v/>
      </c>
      <c r="X14" s="101" t="str">
        <f t="shared" si="15"/>
        <v/>
      </c>
      <c r="Y14" s="101" t="str">
        <f t="shared" si="15"/>
        <v/>
      </c>
      <c r="Z14" s="101" t="str">
        <f t="shared" si="15"/>
        <v/>
      </c>
      <c r="AA14" s="101" t="str">
        <f t="shared" si="15"/>
        <v/>
      </c>
      <c r="AB14" s="101" t="str">
        <f t="shared" si="15"/>
        <v/>
      </c>
      <c r="AC14" s="101" t="str">
        <f t="shared" si="15"/>
        <v/>
      </c>
      <c r="AD14" s="101" t="str">
        <f t="shared" si="15"/>
        <v/>
      </c>
      <c r="AE14" s="78">
        <v>7.34</v>
      </c>
      <c r="AF14" s="102">
        <f t="shared" si="13"/>
        <v>23693.52</v>
      </c>
      <c r="AG14" s="102">
        <f t="shared" si="14"/>
        <v>183624.78</v>
      </c>
    </row>
    <row r="15" s="90" customFormat="1" customHeight="1" spans="1:33">
      <c r="A15" s="70">
        <v>45966</v>
      </c>
      <c r="B15" s="76">
        <v>46021</v>
      </c>
      <c r="C15" s="73" t="s">
        <v>59</v>
      </c>
      <c r="D15" s="71">
        <v>1000001880</v>
      </c>
      <c r="E15" s="71" t="s">
        <v>58</v>
      </c>
      <c r="F15" s="74">
        <v>2832</v>
      </c>
      <c r="G15" s="71"/>
      <c r="H15" s="101" t="str">
        <f t="shared" ref="H15:AD15" si="16">IF(OR($E15="",H$2=""),"",IF(TRIM(LEFT($E15,MIN(IFERROR(FIND("CDU",UPPER($E15)),999),IFERROR(FIND("BULK",UPPER($E15)),999),IFERROR(FIND("-",$E15),999),IFERROR(FIND("（",$E15),999))-1))=H$2,$F15,""))</f>
        <v/>
      </c>
      <c r="I15" s="101">
        <f t="shared" si="16"/>
        <v>2832</v>
      </c>
      <c r="J15" s="101" t="str">
        <f t="shared" si="16"/>
        <v/>
      </c>
      <c r="K15" s="101" t="str">
        <f t="shared" si="16"/>
        <v/>
      </c>
      <c r="L15" s="101" t="str">
        <f t="shared" si="16"/>
        <v/>
      </c>
      <c r="M15" s="101" t="str">
        <f t="shared" si="16"/>
        <v/>
      </c>
      <c r="N15" s="101" t="str">
        <f t="shared" si="16"/>
        <v/>
      </c>
      <c r="O15" s="101" t="str">
        <f t="shared" si="16"/>
        <v/>
      </c>
      <c r="P15" s="101" t="str">
        <f t="shared" si="16"/>
        <v/>
      </c>
      <c r="Q15" s="101" t="str">
        <f t="shared" si="16"/>
        <v/>
      </c>
      <c r="R15" s="101" t="str">
        <f t="shared" si="16"/>
        <v/>
      </c>
      <c r="S15" s="101" t="str">
        <f t="shared" si="16"/>
        <v/>
      </c>
      <c r="T15" s="101" t="str">
        <f t="shared" si="16"/>
        <v/>
      </c>
      <c r="U15" s="101" t="str">
        <f t="shared" si="16"/>
        <v/>
      </c>
      <c r="V15" s="101" t="str">
        <f t="shared" si="16"/>
        <v/>
      </c>
      <c r="W15" s="101" t="str">
        <f t="shared" si="16"/>
        <v/>
      </c>
      <c r="X15" s="101" t="str">
        <f t="shared" si="16"/>
        <v/>
      </c>
      <c r="Y15" s="101" t="str">
        <f t="shared" si="16"/>
        <v/>
      </c>
      <c r="Z15" s="101" t="str">
        <f t="shared" si="16"/>
        <v/>
      </c>
      <c r="AA15" s="101" t="str">
        <f t="shared" si="16"/>
        <v/>
      </c>
      <c r="AB15" s="101" t="str">
        <f t="shared" si="16"/>
        <v/>
      </c>
      <c r="AC15" s="101" t="str">
        <f t="shared" si="16"/>
        <v/>
      </c>
      <c r="AD15" s="101" t="str">
        <f t="shared" si="16"/>
        <v/>
      </c>
      <c r="AE15" s="78">
        <v>7.38</v>
      </c>
      <c r="AF15" s="102">
        <f t="shared" si="13"/>
        <v>20900.16</v>
      </c>
      <c r="AG15" s="102">
        <f t="shared" si="14"/>
        <v>161976.24</v>
      </c>
    </row>
    <row r="16" s="90" customFormat="1" customHeight="1" spans="1:33">
      <c r="A16" s="70">
        <v>45966</v>
      </c>
      <c r="B16" s="76">
        <v>46021</v>
      </c>
      <c r="C16" s="73" t="s">
        <v>59</v>
      </c>
      <c r="D16" s="71">
        <v>1000001880</v>
      </c>
      <c r="E16" s="71" t="s">
        <v>58</v>
      </c>
      <c r="F16" s="74">
        <f>2520+720-2832</f>
        <v>408</v>
      </c>
      <c r="G16" s="71"/>
      <c r="H16" s="101" t="str">
        <f t="shared" ref="H16:AD16" si="17">IF(OR($E16="",H$2=""),"",IF(TRIM(LEFT($E16,MIN(IFERROR(FIND("CDU",UPPER($E16)),999),IFERROR(FIND("BULK",UPPER($E16)),999),IFERROR(FIND("-",$E16),999),IFERROR(FIND("（",$E16),999))-1))=H$2,$F16,""))</f>
        <v/>
      </c>
      <c r="I16" s="101">
        <f t="shared" si="17"/>
        <v>408</v>
      </c>
      <c r="J16" s="101" t="str">
        <f t="shared" si="17"/>
        <v/>
      </c>
      <c r="K16" s="101" t="str">
        <f t="shared" si="17"/>
        <v/>
      </c>
      <c r="L16" s="101" t="str">
        <f t="shared" si="17"/>
        <v/>
      </c>
      <c r="M16" s="101" t="str">
        <f t="shared" si="17"/>
        <v/>
      </c>
      <c r="N16" s="101" t="str">
        <f t="shared" si="17"/>
        <v/>
      </c>
      <c r="O16" s="101" t="str">
        <f t="shared" si="17"/>
        <v/>
      </c>
      <c r="P16" s="101" t="str">
        <f t="shared" si="17"/>
        <v/>
      </c>
      <c r="Q16" s="101" t="str">
        <f t="shared" si="17"/>
        <v/>
      </c>
      <c r="R16" s="101" t="str">
        <f t="shared" si="17"/>
        <v/>
      </c>
      <c r="S16" s="101" t="str">
        <f t="shared" si="17"/>
        <v/>
      </c>
      <c r="T16" s="101" t="str">
        <f t="shared" si="17"/>
        <v/>
      </c>
      <c r="U16" s="101" t="str">
        <f t="shared" si="17"/>
        <v/>
      </c>
      <c r="V16" s="101" t="str">
        <f t="shared" si="17"/>
        <v/>
      </c>
      <c r="W16" s="101" t="str">
        <f t="shared" si="17"/>
        <v/>
      </c>
      <c r="X16" s="101" t="str">
        <f t="shared" si="17"/>
        <v/>
      </c>
      <c r="Y16" s="101" t="str">
        <f t="shared" si="17"/>
        <v/>
      </c>
      <c r="Z16" s="101" t="str">
        <f t="shared" si="17"/>
        <v/>
      </c>
      <c r="AA16" s="101" t="str">
        <f t="shared" si="17"/>
        <v/>
      </c>
      <c r="AB16" s="101" t="str">
        <f t="shared" si="17"/>
        <v/>
      </c>
      <c r="AC16" s="101" t="str">
        <f t="shared" si="17"/>
        <v/>
      </c>
      <c r="AD16" s="101" t="str">
        <f t="shared" si="17"/>
        <v/>
      </c>
      <c r="AE16" s="78">
        <v>7.38</v>
      </c>
      <c r="AF16" s="102">
        <f t="shared" si="13"/>
        <v>3011.04</v>
      </c>
      <c r="AG16" s="102">
        <f t="shared" si="14"/>
        <v>23335.56</v>
      </c>
    </row>
    <row r="17" s="90" customFormat="1" customHeight="1" spans="1:33">
      <c r="A17" s="70">
        <v>45966</v>
      </c>
      <c r="B17" s="76">
        <v>46021</v>
      </c>
      <c r="C17" s="73" t="s">
        <v>47</v>
      </c>
      <c r="D17" s="71">
        <v>1000001880</v>
      </c>
      <c r="E17" s="71" t="s">
        <v>46</v>
      </c>
      <c r="F17" s="74">
        <f>2520+1080</f>
        <v>3600</v>
      </c>
      <c r="G17" s="71"/>
      <c r="H17" s="101" t="str">
        <f t="shared" ref="H17:AD17" si="18">IF(OR($E17="",H$2=""),"",IF(TRIM(LEFT($E17,MIN(IFERROR(FIND("CDU",UPPER($E17)),999),IFERROR(FIND("BULK",UPPER($E17)),999),IFERROR(FIND("-",$E17),999),IFERROR(FIND("（",$E17),999))-1))=H$2,$F17,""))</f>
        <v/>
      </c>
      <c r="I17" s="101" t="str">
        <f t="shared" si="18"/>
        <v/>
      </c>
      <c r="J17" s="101" t="str">
        <f t="shared" si="18"/>
        <v/>
      </c>
      <c r="K17" s="101" t="str">
        <f t="shared" si="18"/>
        <v/>
      </c>
      <c r="L17" s="101" t="str">
        <f t="shared" si="18"/>
        <v/>
      </c>
      <c r="M17" s="101" t="str">
        <f t="shared" si="18"/>
        <v/>
      </c>
      <c r="N17" s="101" t="str">
        <f t="shared" si="18"/>
        <v/>
      </c>
      <c r="O17" s="101" t="str">
        <f t="shared" si="18"/>
        <v/>
      </c>
      <c r="P17" s="101" t="str">
        <f t="shared" si="18"/>
        <v/>
      </c>
      <c r="Q17" s="101">
        <f t="shared" si="18"/>
        <v>3600</v>
      </c>
      <c r="R17" s="101" t="str">
        <f t="shared" si="18"/>
        <v/>
      </c>
      <c r="S17" s="101" t="str">
        <f t="shared" si="18"/>
        <v/>
      </c>
      <c r="T17" s="101" t="str">
        <f t="shared" si="18"/>
        <v/>
      </c>
      <c r="U17" s="101" t="str">
        <f t="shared" si="18"/>
        <v/>
      </c>
      <c r="V17" s="101" t="str">
        <f t="shared" si="18"/>
        <v/>
      </c>
      <c r="W17" s="101" t="str">
        <f t="shared" si="18"/>
        <v/>
      </c>
      <c r="X17" s="101" t="str">
        <f t="shared" si="18"/>
        <v/>
      </c>
      <c r="Y17" s="101" t="str">
        <f t="shared" si="18"/>
        <v/>
      </c>
      <c r="Z17" s="101" t="str">
        <f t="shared" si="18"/>
        <v/>
      </c>
      <c r="AA17" s="101" t="str">
        <f t="shared" si="18"/>
        <v/>
      </c>
      <c r="AB17" s="101" t="str">
        <f t="shared" si="18"/>
        <v/>
      </c>
      <c r="AC17" s="101" t="str">
        <f t="shared" si="18"/>
        <v/>
      </c>
      <c r="AD17" s="101" t="str">
        <f t="shared" si="18"/>
        <v/>
      </c>
      <c r="AE17" s="78">
        <v>7.31</v>
      </c>
      <c r="AF17" s="102">
        <f t="shared" si="13"/>
        <v>26316</v>
      </c>
      <c r="AG17" s="102">
        <f t="shared" si="14"/>
        <v>203949</v>
      </c>
    </row>
    <row r="18" s="90" customFormat="1" customHeight="1" spans="1:33">
      <c r="A18" s="70">
        <v>45972</v>
      </c>
      <c r="B18" s="76">
        <v>46043</v>
      </c>
      <c r="C18" s="73" t="s">
        <v>35</v>
      </c>
      <c r="D18" s="71">
        <v>1000002006</v>
      </c>
      <c r="E18" s="71" t="s">
        <v>34</v>
      </c>
      <c r="F18" s="74">
        <v>1002</v>
      </c>
      <c r="G18" s="71"/>
      <c r="H18" s="101" t="str">
        <f t="shared" ref="H18:AD18" si="19">IF(OR($E18="",H$2=""),"",IF(TRIM(LEFT($E18,MIN(IFERROR(FIND("CDU",UPPER($E18)),999),IFERROR(FIND("BULK",UPPER($E18)),999),IFERROR(FIND("-",$E18),999),IFERROR(FIND("（",$E18),999))-1))=H$2,$F18,""))</f>
        <v/>
      </c>
      <c r="I18" s="101" t="str">
        <f t="shared" si="19"/>
        <v/>
      </c>
      <c r="J18" s="101" t="str">
        <f t="shared" si="19"/>
        <v/>
      </c>
      <c r="K18" s="101" t="str">
        <f t="shared" si="19"/>
        <v/>
      </c>
      <c r="L18" s="101" t="str">
        <f t="shared" si="19"/>
        <v/>
      </c>
      <c r="M18" s="101" t="str">
        <f t="shared" si="19"/>
        <v/>
      </c>
      <c r="N18" s="101">
        <f t="shared" si="19"/>
        <v>1002</v>
      </c>
      <c r="O18" s="101" t="str">
        <f t="shared" si="19"/>
        <v/>
      </c>
      <c r="P18" s="101" t="str">
        <f t="shared" si="19"/>
        <v/>
      </c>
      <c r="Q18" s="101" t="str">
        <f t="shared" si="19"/>
        <v/>
      </c>
      <c r="R18" s="101" t="str">
        <f t="shared" si="19"/>
        <v/>
      </c>
      <c r="S18" s="101" t="str">
        <f t="shared" si="19"/>
        <v/>
      </c>
      <c r="T18" s="101" t="str">
        <f t="shared" si="19"/>
        <v/>
      </c>
      <c r="U18" s="101" t="str">
        <f t="shared" si="19"/>
        <v/>
      </c>
      <c r="V18" s="101" t="str">
        <f t="shared" si="19"/>
        <v/>
      </c>
      <c r="W18" s="101" t="str">
        <f t="shared" si="19"/>
        <v/>
      </c>
      <c r="X18" s="101" t="str">
        <f t="shared" si="19"/>
        <v/>
      </c>
      <c r="Y18" s="101" t="str">
        <f t="shared" si="19"/>
        <v/>
      </c>
      <c r="Z18" s="101" t="str">
        <f t="shared" si="19"/>
        <v/>
      </c>
      <c r="AA18" s="101" t="str">
        <f t="shared" si="19"/>
        <v/>
      </c>
      <c r="AB18" s="101" t="str">
        <f t="shared" si="19"/>
        <v/>
      </c>
      <c r="AC18" s="101" t="str">
        <f t="shared" si="19"/>
        <v/>
      </c>
      <c r="AD18" s="101" t="str">
        <f t="shared" si="19"/>
        <v/>
      </c>
      <c r="AE18" s="78">
        <v>4.92</v>
      </c>
      <c r="AF18" s="102">
        <f t="shared" si="13"/>
        <v>4929.84</v>
      </c>
      <c r="AG18" s="102">
        <f t="shared" si="14"/>
        <v>38206.26</v>
      </c>
    </row>
    <row r="19" s="90" customFormat="1" customHeight="1" spans="1:33">
      <c r="A19" s="70">
        <v>45972</v>
      </c>
      <c r="B19" s="76">
        <v>46043</v>
      </c>
      <c r="C19" s="73" t="s">
        <v>35</v>
      </c>
      <c r="D19" s="71">
        <v>1000002006</v>
      </c>
      <c r="E19" s="71" t="s">
        <v>34</v>
      </c>
      <c r="F19" s="74">
        <f>1608-1002</f>
        <v>606</v>
      </c>
      <c r="G19" s="71"/>
      <c r="H19" s="101" t="str">
        <f t="shared" ref="H19:AD19" si="20">IF(OR($E19="",H$2=""),"",IF(TRIM(LEFT($E19,MIN(IFERROR(FIND("CDU",UPPER($E19)),999),IFERROR(FIND("BULK",UPPER($E19)),999),IFERROR(FIND("-",$E19),999),IFERROR(FIND("（",$E19),999))-1))=H$2,$F19,""))</f>
        <v/>
      </c>
      <c r="I19" s="101" t="str">
        <f t="shared" si="20"/>
        <v/>
      </c>
      <c r="J19" s="101" t="str">
        <f t="shared" si="20"/>
        <v/>
      </c>
      <c r="K19" s="101" t="str">
        <f t="shared" si="20"/>
        <v/>
      </c>
      <c r="L19" s="101" t="str">
        <f t="shared" si="20"/>
        <v/>
      </c>
      <c r="M19" s="101" t="str">
        <f t="shared" si="20"/>
        <v/>
      </c>
      <c r="N19" s="101">
        <f t="shared" si="20"/>
        <v>606</v>
      </c>
      <c r="O19" s="101" t="str">
        <f t="shared" si="20"/>
        <v/>
      </c>
      <c r="P19" s="101" t="str">
        <f t="shared" si="20"/>
        <v/>
      </c>
      <c r="Q19" s="101" t="str">
        <f t="shared" si="20"/>
        <v/>
      </c>
      <c r="R19" s="101" t="str">
        <f t="shared" si="20"/>
        <v/>
      </c>
      <c r="S19" s="101" t="str">
        <f t="shared" si="20"/>
        <v/>
      </c>
      <c r="T19" s="101" t="str">
        <f t="shared" si="20"/>
        <v/>
      </c>
      <c r="U19" s="101" t="str">
        <f t="shared" si="20"/>
        <v/>
      </c>
      <c r="V19" s="101" t="str">
        <f t="shared" si="20"/>
        <v/>
      </c>
      <c r="W19" s="101" t="str">
        <f t="shared" si="20"/>
        <v/>
      </c>
      <c r="X19" s="101" t="str">
        <f t="shared" si="20"/>
        <v/>
      </c>
      <c r="Y19" s="101" t="str">
        <f t="shared" si="20"/>
        <v/>
      </c>
      <c r="Z19" s="101" t="str">
        <f t="shared" si="20"/>
        <v/>
      </c>
      <c r="AA19" s="101" t="str">
        <f t="shared" si="20"/>
        <v/>
      </c>
      <c r="AB19" s="101" t="str">
        <f t="shared" si="20"/>
        <v/>
      </c>
      <c r="AC19" s="101" t="str">
        <f t="shared" si="20"/>
        <v/>
      </c>
      <c r="AD19" s="101" t="str">
        <f t="shared" si="20"/>
        <v/>
      </c>
      <c r="AE19" s="78">
        <v>4.92</v>
      </c>
      <c r="AF19" s="102">
        <f t="shared" si="13"/>
        <v>2981.52</v>
      </c>
      <c r="AG19" s="102">
        <f t="shared" ref="AG19:AG23" si="21">AF19*7.75</f>
        <v>23106.78</v>
      </c>
    </row>
    <row r="20" s="90" customFormat="1" customHeight="1" spans="1:33">
      <c r="A20" s="70">
        <v>45972</v>
      </c>
      <c r="B20" s="76">
        <v>46043</v>
      </c>
      <c r="C20" s="73" t="s">
        <v>27</v>
      </c>
      <c r="D20" s="71">
        <v>1000002006</v>
      </c>
      <c r="E20" s="71" t="s">
        <v>26</v>
      </c>
      <c r="F20" s="74">
        <v>1602</v>
      </c>
      <c r="G20" s="71"/>
      <c r="H20" s="101" t="str">
        <f t="shared" ref="H20:AD20" si="22">IF(OR($E20="",H$2=""),"",IF(TRIM(LEFT($E20,MIN(IFERROR(FIND("CDU",UPPER($E20)),999),IFERROR(FIND("BULK",UPPER($E20)),999),IFERROR(FIND("-",$E20),999),IFERROR(FIND("（",$E20),999))-1))=H$2,$F20,""))</f>
        <v/>
      </c>
      <c r="I20" s="101" t="str">
        <f t="shared" si="22"/>
        <v/>
      </c>
      <c r="J20" s="101" t="str">
        <f t="shared" si="22"/>
        <v/>
      </c>
      <c r="K20" s="101" t="str">
        <f t="shared" si="22"/>
        <v/>
      </c>
      <c r="L20" s="101">
        <f t="shared" si="22"/>
        <v>1602</v>
      </c>
      <c r="M20" s="101" t="str">
        <f t="shared" si="22"/>
        <v/>
      </c>
      <c r="N20" s="101" t="str">
        <f t="shared" si="22"/>
        <v/>
      </c>
      <c r="O20" s="101" t="str">
        <f t="shared" si="22"/>
        <v/>
      </c>
      <c r="P20" s="101" t="str">
        <f t="shared" si="22"/>
        <v/>
      </c>
      <c r="Q20" s="101" t="str">
        <f t="shared" si="22"/>
        <v/>
      </c>
      <c r="R20" s="101" t="str">
        <f t="shared" si="22"/>
        <v/>
      </c>
      <c r="S20" s="101" t="str">
        <f t="shared" si="22"/>
        <v/>
      </c>
      <c r="T20" s="101" t="str">
        <f t="shared" si="22"/>
        <v/>
      </c>
      <c r="U20" s="101" t="str">
        <f t="shared" si="22"/>
        <v/>
      </c>
      <c r="V20" s="101" t="str">
        <f t="shared" si="22"/>
        <v/>
      </c>
      <c r="W20" s="101" t="str">
        <f t="shared" si="22"/>
        <v/>
      </c>
      <c r="X20" s="101" t="str">
        <f t="shared" si="22"/>
        <v/>
      </c>
      <c r="Y20" s="101" t="str">
        <f t="shared" si="22"/>
        <v/>
      </c>
      <c r="Z20" s="101" t="str">
        <f t="shared" si="22"/>
        <v/>
      </c>
      <c r="AA20" s="101" t="str">
        <f t="shared" si="22"/>
        <v/>
      </c>
      <c r="AB20" s="101" t="str">
        <f t="shared" si="22"/>
        <v/>
      </c>
      <c r="AC20" s="101" t="str">
        <f t="shared" si="22"/>
        <v/>
      </c>
      <c r="AD20" s="101" t="str">
        <f t="shared" si="22"/>
        <v/>
      </c>
      <c r="AE20" s="78">
        <v>4.92</v>
      </c>
      <c r="AF20" s="102">
        <f t="shared" si="13"/>
        <v>7881.84</v>
      </c>
      <c r="AG20" s="102">
        <f t="shared" si="21"/>
        <v>61084.26</v>
      </c>
    </row>
    <row r="21" s="90" customFormat="1" customHeight="1" spans="1:33">
      <c r="A21" s="70">
        <v>45972</v>
      </c>
      <c r="B21" s="76">
        <v>46043</v>
      </c>
      <c r="C21" s="73" t="s">
        <v>23</v>
      </c>
      <c r="D21" s="71">
        <v>1000002006</v>
      </c>
      <c r="E21" s="71" t="s">
        <v>22</v>
      </c>
      <c r="F21" s="74">
        <v>1002</v>
      </c>
      <c r="G21" s="71"/>
      <c r="H21" s="101" t="str">
        <f t="shared" ref="H21:AD21" si="23">IF(OR($E21="",H$2=""),"",IF(TRIM(LEFT($E21,MIN(IFERROR(FIND("CDU",UPPER($E21)),999),IFERROR(FIND("BULK",UPPER($E21)),999),IFERROR(FIND("-",$E21),999),IFERROR(FIND("（",$E21),999))-1))=H$2,$F21,""))</f>
        <v/>
      </c>
      <c r="I21" s="101" t="str">
        <f t="shared" si="23"/>
        <v/>
      </c>
      <c r="J21" s="101" t="str">
        <f t="shared" si="23"/>
        <v/>
      </c>
      <c r="K21" s="101">
        <f t="shared" si="23"/>
        <v>1002</v>
      </c>
      <c r="L21" s="101" t="str">
        <f t="shared" si="23"/>
        <v/>
      </c>
      <c r="M21" s="101" t="str">
        <f t="shared" si="23"/>
        <v/>
      </c>
      <c r="N21" s="101" t="str">
        <f t="shared" si="23"/>
        <v/>
      </c>
      <c r="O21" s="101" t="str">
        <f t="shared" si="23"/>
        <v/>
      </c>
      <c r="P21" s="101" t="str">
        <f t="shared" si="23"/>
        <v/>
      </c>
      <c r="Q21" s="101" t="str">
        <f t="shared" si="23"/>
        <v/>
      </c>
      <c r="R21" s="101" t="str">
        <f t="shared" si="23"/>
        <v/>
      </c>
      <c r="S21" s="101" t="str">
        <f t="shared" si="23"/>
        <v/>
      </c>
      <c r="T21" s="101" t="str">
        <f t="shared" si="23"/>
        <v/>
      </c>
      <c r="U21" s="101" t="str">
        <f t="shared" si="23"/>
        <v/>
      </c>
      <c r="V21" s="101" t="str">
        <f t="shared" si="23"/>
        <v/>
      </c>
      <c r="W21" s="101" t="str">
        <f t="shared" si="23"/>
        <v/>
      </c>
      <c r="X21" s="101" t="str">
        <f t="shared" si="23"/>
        <v/>
      </c>
      <c r="Y21" s="101" t="str">
        <f t="shared" si="23"/>
        <v/>
      </c>
      <c r="Z21" s="101" t="str">
        <f t="shared" si="23"/>
        <v/>
      </c>
      <c r="AA21" s="101" t="str">
        <f t="shared" si="23"/>
        <v/>
      </c>
      <c r="AB21" s="101" t="str">
        <f t="shared" si="23"/>
        <v/>
      </c>
      <c r="AC21" s="101" t="str">
        <f t="shared" si="23"/>
        <v/>
      </c>
      <c r="AD21" s="101" t="str">
        <f t="shared" si="23"/>
        <v/>
      </c>
      <c r="AE21" s="78">
        <v>4.92</v>
      </c>
      <c r="AF21" s="102">
        <f t="shared" si="13"/>
        <v>4929.84</v>
      </c>
      <c r="AG21" s="102">
        <f t="shared" si="21"/>
        <v>38206.26</v>
      </c>
    </row>
    <row r="22" s="90" customFormat="1" customHeight="1" spans="1:33">
      <c r="A22" s="70">
        <v>45972</v>
      </c>
      <c r="B22" s="76">
        <v>46043</v>
      </c>
      <c r="C22" s="73" t="s">
        <v>23</v>
      </c>
      <c r="D22" s="71">
        <v>1000002006</v>
      </c>
      <c r="E22" s="71" t="s">
        <v>22</v>
      </c>
      <c r="F22" s="74">
        <f>1602-1002</f>
        <v>600</v>
      </c>
      <c r="G22" s="71"/>
      <c r="H22" s="101" t="str">
        <f t="shared" ref="H22:AD22" si="24">IF(OR($E22="",H$2=""),"",IF(TRIM(LEFT($E22,MIN(IFERROR(FIND("CDU",UPPER($E22)),999),IFERROR(FIND("BULK",UPPER($E22)),999),IFERROR(FIND("-",$E22),999),IFERROR(FIND("（",$E22),999))-1))=H$2,$F22,""))</f>
        <v/>
      </c>
      <c r="I22" s="101" t="str">
        <f t="shared" si="24"/>
        <v/>
      </c>
      <c r="J22" s="101" t="str">
        <f t="shared" si="24"/>
        <v/>
      </c>
      <c r="K22" s="101">
        <f t="shared" si="24"/>
        <v>600</v>
      </c>
      <c r="L22" s="101" t="str">
        <f t="shared" si="24"/>
        <v/>
      </c>
      <c r="M22" s="101" t="str">
        <f t="shared" si="24"/>
        <v/>
      </c>
      <c r="N22" s="101" t="str">
        <f t="shared" si="24"/>
        <v/>
      </c>
      <c r="O22" s="101" t="str">
        <f t="shared" si="24"/>
        <v/>
      </c>
      <c r="P22" s="101" t="str">
        <f t="shared" si="24"/>
        <v/>
      </c>
      <c r="Q22" s="101" t="str">
        <f t="shared" si="24"/>
        <v/>
      </c>
      <c r="R22" s="101" t="str">
        <f t="shared" si="24"/>
        <v/>
      </c>
      <c r="S22" s="101" t="str">
        <f t="shared" si="24"/>
        <v/>
      </c>
      <c r="T22" s="101" t="str">
        <f t="shared" si="24"/>
        <v/>
      </c>
      <c r="U22" s="101" t="str">
        <f t="shared" si="24"/>
        <v/>
      </c>
      <c r="V22" s="101" t="str">
        <f t="shared" si="24"/>
        <v/>
      </c>
      <c r="W22" s="101" t="str">
        <f t="shared" si="24"/>
        <v/>
      </c>
      <c r="X22" s="101" t="str">
        <f t="shared" si="24"/>
        <v/>
      </c>
      <c r="Y22" s="101" t="str">
        <f t="shared" si="24"/>
        <v/>
      </c>
      <c r="Z22" s="101" t="str">
        <f t="shared" si="24"/>
        <v/>
      </c>
      <c r="AA22" s="101" t="str">
        <f t="shared" si="24"/>
        <v/>
      </c>
      <c r="AB22" s="101" t="str">
        <f t="shared" si="24"/>
        <v/>
      </c>
      <c r="AC22" s="101" t="str">
        <f t="shared" si="24"/>
        <v/>
      </c>
      <c r="AD22" s="101" t="str">
        <f t="shared" si="24"/>
        <v/>
      </c>
      <c r="AE22" s="78">
        <v>4.92</v>
      </c>
      <c r="AF22" s="102">
        <f t="shared" si="13"/>
        <v>2952</v>
      </c>
      <c r="AG22" s="102">
        <f t="shared" si="21"/>
        <v>22878</v>
      </c>
    </row>
    <row r="23" s="90" customFormat="1" customHeight="1" spans="1:33">
      <c r="A23" s="70">
        <v>45972</v>
      </c>
      <c r="B23" s="76">
        <v>46043</v>
      </c>
      <c r="C23" s="73" t="s">
        <v>51</v>
      </c>
      <c r="D23" s="71">
        <v>1000002006</v>
      </c>
      <c r="E23" s="71" t="s">
        <v>50</v>
      </c>
      <c r="F23" s="74">
        <v>1968</v>
      </c>
      <c r="G23" s="71"/>
      <c r="H23" s="101" t="str">
        <f t="shared" ref="H23:AD23" si="25">IF(OR($E23="",H$2=""),"",IF(TRIM(LEFT($E23,MIN(IFERROR(FIND("CDU",UPPER($E23)),999),IFERROR(FIND("BULK",UPPER($E23)),999),IFERROR(FIND("-",$E23),999),IFERROR(FIND("（",$E23),999))-1))=H$2,$F23,""))</f>
        <v/>
      </c>
      <c r="I23" s="101" t="str">
        <f t="shared" si="25"/>
        <v/>
      </c>
      <c r="J23" s="101">
        <f t="shared" si="25"/>
        <v>1968</v>
      </c>
      <c r="K23" s="101" t="str">
        <f t="shared" si="25"/>
        <v/>
      </c>
      <c r="L23" s="101" t="str">
        <f t="shared" si="25"/>
        <v/>
      </c>
      <c r="M23" s="101" t="str">
        <f t="shared" si="25"/>
        <v/>
      </c>
      <c r="N23" s="101" t="str">
        <f t="shared" si="25"/>
        <v/>
      </c>
      <c r="O23" s="101" t="str">
        <f t="shared" si="25"/>
        <v/>
      </c>
      <c r="P23" s="101" t="str">
        <f t="shared" si="25"/>
        <v/>
      </c>
      <c r="Q23" s="101" t="str">
        <f t="shared" si="25"/>
        <v/>
      </c>
      <c r="R23" s="101" t="str">
        <f t="shared" si="25"/>
        <v/>
      </c>
      <c r="S23" s="101" t="str">
        <f t="shared" si="25"/>
        <v/>
      </c>
      <c r="T23" s="101" t="str">
        <f t="shared" si="25"/>
        <v/>
      </c>
      <c r="U23" s="101" t="str">
        <f t="shared" si="25"/>
        <v/>
      </c>
      <c r="V23" s="101" t="str">
        <f t="shared" si="25"/>
        <v/>
      </c>
      <c r="W23" s="101" t="str">
        <f t="shared" si="25"/>
        <v/>
      </c>
      <c r="X23" s="101" t="str">
        <f t="shared" si="25"/>
        <v/>
      </c>
      <c r="Y23" s="101" t="str">
        <f t="shared" si="25"/>
        <v/>
      </c>
      <c r="Z23" s="101" t="str">
        <f t="shared" si="25"/>
        <v/>
      </c>
      <c r="AA23" s="101" t="str">
        <f t="shared" si="25"/>
        <v/>
      </c>
      <c r="AB23" s="101" t="str">
        <f t="shared" si="25"/>
        <v/>
      </c>
      <c r="AC23" s="101" t="str">
        <f t="shared" si="25"/>
        <v/>
      </c>
      <c r="AD23" s="101" t="str">
        <f t="shared" si="25"/>
        <v/>
      </c>
      <c r="AE23" s="78">
        <v>7.34</v>
      </c>
      <c r="AF23" s="102">
        <f t="shared" si="13"/>
        <v>14445.12</v>
      </c>
      <c r="AG23" s="102">
        <f t="shared" si="21"/>
        <v>111949.68</v>
      </c>
    </row>
    <row r="24" s="90" customFormat="1" customHeight="1" spans="1:33">
      <c r="A24" s="70">
        <v>45972</v>
      </c>
      <c r="B24" s="76">
        <v>46043</v>
      </c>
      <c r="C24" s="73" t="s">
        <v>51</v>
      </c>
      <c r="D24" s="71">
        <v>1000002006</v>
      </c>
      <c r="E24" s="71" t="s">
        <v>50</v>
      </c>
      <c r="F24" s="74">
        <f>2508-1968</f>
        <v>540</v>
      </c>
      <c r="G24" s="71"/>
      <c r="H24" s="101" t="str">
        <f t="shared" ref="H24:AD24" si="26">IF(OR($E24="",H$2=""),"",IF(TRIM(LEFT($E24,MIN(IFERROR(FIND("CDU",UPPER($E24)),999),IFERROR(FIND("BULK",UPPER($E24)),999),IFERROR(FIND("-",$E24),999),IFERROR(FIND("（",$E24),999))-1))=H$2,$F24,""))</f>
        <v/>
      </c>
      <c r="I24" s="101" t="str">
        <f t="shared" si="26"/>
        <v/>
      </c>
      <c r="J24" s="101">
        <f t="shared" si="26"/>
        <v>540</v>
      </c>
      <c r="K24" s="101" t="str">
        <f t="shared" si="26"/>
        <v/>
      </c>
      <c r="L24" s="101" t="str">
        <f t="shared" si="26"/>
        <v/>
      </c>
      <c r="M24" s="101" t="str">
        <f t="shared" si="26"/>
        <v/>
      </c>
      <c r="N24" s="101" t="str">
        <f t="shared" si="26"/>
        <v/>
      </c>
      <c r="O24" s="101" t="str">
        <f t="shared" si="26"/>
        <v/>
      </c>
      <c r="P24" s="101" t="str">
        <f t="shared" si="26"/>
        <v/>
      </c>
      <c r="Q24" s="101" t="str">
        <f t="shared" si="26"/>
        <v/>
      </c>
      <c r="R24" s="101" t="str">
        <f t="shared" si="26"/>
        <v/>
      </c>
      <c r="S24" s="101" t="str">
        <f t="shared" si="26"/>
        <v/>
      </c>
      <c r="T24" s="101" t="str">
        <f t="shared" si="26"/>
        <v/>
      </c>
      <c r="U24" s="101" t="str">
        <f t="shared" si="26"/>
        <v/>
      </c>
      <c r="V24" s="101" t="str">
        <f t="shared" si="26"/>
        <v/>
      </c>
      <c r="W24" s="101" t="str">
        <f t="shared" si="26"/>
        <v/>
      </c>
      <c r="X24" s="101" t="str">
        <f t="shared" si="26"/>
        <v/>
      </c>
      <c r="Y24" s="101" t="str">
        <f t="shared" si="26"/>
        <v/>
      </c>
      <c r="Z24" s="101" t="str">
        <f t="shared" si="26"/>
        <v/>
      </c>
      <c r="AA24" s="101" t="str">
        <f t="shared" si="26"/>
        <v/>
      </c>
      <c r="AB24" s="101" t="str">
        <f t="shared" si="26"/>
        <v/>
      </c>
      <c r="AC24" s="101" t="str">
        <f t="shared" si="26"/>
        <v/>
      </c>
      <c r="AD24" s="101" t="str">
        <f t="shared" si="26"/>
        <v/>
      </c>
      <c r="AE24" s="78">
        <v>7.34</v>
      </c>
      <c r="AF24" s="102">
        <f t="shared" ref="AF24:AF43" si="27">SUM(H24:AD24)*AE24</f>
        <v>3963.6</v>
      </c>
      <c r="AG24" s="102">
        <f t="shared" ref="AG24:AG43" si="28">AF24*7.75</f>
        <v>30717.9</v>
      </c>
    </row>
    <row r="25" s="90" customFormat="1" customHeight="1" spans="1:33">
      <c r="A25" s="70">
        <v>45972</v>
      </c>
      <c r="B25" s="76">
        <v>46043</v>
      </c>
      <c r="C25" s="73" t="s">
        <v>55</v>
      </c>
      <c r="D25" s="71">
        <v>1000002006</v>
      </c>
      <c r="E25" s="71" t="s">
        <v>54</v>
      </c>
      <c r="F25" s="74">
        <v>2520</v>
      </c>
      <c r="G25" s="71"/>
      <c r="H25" s="101" t="str">
        <f t="shared" ref="H25:AD25" si="29">IF(OR($E25="",H$2=""),"",IF(TRIM(LEFT($E25,MIN(IFERROR(FIND("CDU",UPPER($E25)),999),IFERROR(FIND("BULK",UPPER($E25)),999),IFERROR(FIND("-",$E25),999),IFERROR(FIND("（",$E25),999))-1))=H$2,$F25,""))</f>
        <v/>
      </c>
      <c r="I25" s="101" t="str">
        <f t="shared" si="29"/>
        <v/>
      </c>
      <c r="J25" s="101" t="str">
        <f t="shared" si="29"/>
        <v/>
      </c>
      <c r="K25" s="101" t="str">
        <f t="shared" si="29"/>
        <v/>
      </c>
      <c r="L25" s="101" t="str">
        <f t="shared" si="29"/>
        <v/>
      </c>
      <c r="M25" s="101" t="str">
        <f t="shared" si="29"/>
        <v/>
      </c>
      <c r="N25" s="101" t="str">
        <f t="shared" si="29"/>
        <v/>
      </c>
      <c r="O25" s="101" t="str">
        <f t="shared" si="29"/>
        <v/>
      </c>
      <c r="P25" s="101" t="str">
        <f t="shared" si="29"/>
        <v/>
      </c>
      <c r="Q25" s="101" t="str">
        <f t="shared" si="29"/>
        <v/>
      </c>
      <c r="R25" s="101" t="str">
        <f t="shared" si="29"/>
        <v/>
      </c>
      <c r="S25" s="101" t="str">
        <f t="shared" si="29"/>
        <v/>
      </c>
      <c r="T25" s="101" t="str">
        <f t="shared" si="29"/>
        <v/>
      </c>
      <c r="U25" s="101" t="str">
        <f t="shared" si="29"/>
        <v/>
      </c>
      <c r="V25" s="101" t="str">
        <f t="shared" si="29"/>
        <v/>
      </c>
      <c r="W25" s="101" t="str">
        <f t="shared" si="29"/>
        <v/>
      </c>
      <c r="X25" s="101">
        <f t="shared" si="29"/>
        <v>2520</v>
      </c>
      <c r="Y25" s="101" t="str">
        <f t="shared" si="29"/>
        <v/>
      </c>
      <c r="Z25" s="101" t="str">
        <f t="shared" si="29"/>
        <v/>
      </c>
      <c r="AA25" s="101" t="str">
        <f t="shared" si="29"/>
        <v/>
      </c>
      <c r="AB25" s="101" t="str">
        <f t="shared" si="29"/>
        <v/>
      </c>
      <c r="AC25" s="101" t="str">
        <f t="shared" si="29"/>
        <v/>
      </c>
      <c r="AD25" s="101" t="str">
        <f t="shared" si="29"/>
        <v/>
      </c>
      <c r="AE25" s="78">
        <v>7</v>
      </c>
      <c r="AF25" s="102">
        <f t="shared" si="27"/>
        <v>17640</v>
      </c>
      <c r="AG25" s="102">
        <f t="shared" si="28"/>
        <v>136710</v>
      </c>
    </row>
    <row r="26" s="90" customFormat="1" customHeight="1" spans="1:33">
      <c r="A26" s="70">
        <v>45981</v>
      </c>
      <c r="B26" s="76">
        <v>46065</v>
      </c>
      <c r="C26" s="73" t="s">
        <v>39</v>
      </c>
      <c r="D26" s="71">
        <v>1000002079</v>
      </c>
      <c r="E26" s="71" t="s">
        <v>38</v>
      </c>
      <c r="F26" s="74">
        <f>1500-752</f>
        <v>748</v>
      </c>
      <c r="G26" s="71"/>
      <c r="H26" s="101" t="str">
        <f t="shared" ref="H26:AD26" si="30">IF(OR($E26="",H$2=""),"",IF(TRIM(LEFT($E26,MIN(IFERROR(FIND("CDU",UPPER($E26)),999),IFERROR(FIND("BULK",UPPER($E26)),999),IFERROR(FIND("-",$E26),999),IFERROR(FIND("（",$E26),999))-1))=H$2,$F26,""))</f>
        <v/>
      </c>
      <c r="I26" s="101" t="str">
        <f t="shared" si="30"/>
        <v/>
      </c>
      <c r="J26" s="101" t="str">
        <f t="shared" si="30"/>
        <v/>
      </c>
      <c r="K26" s="101" t="str">
        <f t="shared" si="30"/>
        <v/>
      </c>
      <c r="L26" s="101" t="str">
        <f t="shared" si="30"/>
        <v/>
      </c>
      <c r="M26" s="101" t="str">
        <f t="shared" si="30"/>
        <v/>
      </c>
      <c r="N26" s="101" t="str">
        <f t="shared" si="30"/>
        <v/>
      </c>
      <c r="O26" s="101" t="str">
        <f t="shared" si="30"/>
        <v/>
      </c>
      <c r="P26" s="101" t="str">
        <f t="shared" si="30"/>
        <v/>
      </c>
      <c r="Q26" s="101" t="str">
        <f t="shared" si="30"/>
        <v/>
      </c>
      <c r="R26" s="101" t="str">
        <f t="shared" si="30"/>
        <v/>
      </c>
      <c r="S26" s="101" t="str">
        <f t="shared" si="30"/>
        <v/>
      </c>
      <c r="T26" s="101" t="str">
        <f t="shared" si="30"/>
        <v/>
      </c>
      <c r="U26" s="101" t="str">
        <f t="shared" si="30"/>
        <v/>
      </c>
      <c r="V26" s="101">
        <f t="shared" si="30"/>
        <v>748</v>
      </c>
      <c r="W26" s="101" t="str">
        <f t="shared" si="30"/>
        <v/>
      </c>
      <c r="X26" s="101" t="str">
        <f t="shared" si="30"/>
        <v/>
      </c>
      <c r="Y26" s="101" t="str">
        <f t="shared" si="30"/>
        <v/>
      </c>
      <c r="Z26" s="101" t="str">
        <f t="shared" si="30"/>
        <v/>
      </c>
      <c r="AA26" s="101" t="str">
        <f t="shared" si="30"/>
        <v/>
      </c>
      <c r="AB26" s="101" t="str">
        <f t="shared" si="30"/>
        <v/>
      </c>
      <c r="AC26" s="101" t="str">
        <f t="shared" si="30"/>
        <v/>
      </c>
      <c r="AD26" s="101" t="str">
        <f t="shared" si="30"/>
        <v/>
      </c>
      <c r="AE26" s="78">
        <v>11.5</v>
      </c>
      <c r="AF26" s="102">
        <f t="shared" si="27"/>
        <v>8602</v>
      </c>
      <c r="AG26" s="102">
        <f t="shared" si="28"/>
        <v>66665.5</v>
      </c>
    </row>
    <row r="27" s="90" customFormat="1" customHeight="1" spans="1:33">
      <c r="A27" s="70">
        <v>45981</v>
      </c>
      <c r="B27" s="76">
        <v>46065</v>
      </c>
      <c r="C27" s="73" t="s">
        <v>43</v>
      </c>
      <c r="D27" s="71">
        <v>1000002079</v>
      </c>
      <c r="E27" s="71" t="s">
        <v>42</v>
      </c>
      <c r="F27" s="74">
        <f>1500-180-280-292</f>
        <v>748</v>
      </c>
      <c r="G27" s="71"/>
      <c r="H27" s="101" t="str">
        <f t="shared" ref="H27:AD27" si="31">IF(OR($E27="",H$2=""),"",IF(TRIM(LEFT($E27,MIN(IFERROR(FIND("CDU",UPPER($E27)),999),IFERROR(FIND("BULK",UPPER($E27)),999),IFERROR(FIND("-",$E27),999),IFERROR(FIND("（",$E27),999))-1))=H$2,$F27,""))</f>
        <v/>
      </c>
      <c r="I27" s="101" t="str">
        <f t="shared" si="31"/>
        <v/>
      </c>
      <c r="J27" s="101" t="str">
        <f t="shared" si="31"/>
        <v/>
      </c>
      <c r="K27" s="101" t="str">
        <f t="shared" si="31"/>
        <v/>
      </c>
      <c r="L27" s="101" t="str">
        <f t="shared" si="31"/>
        <v/>
      </c>
      <c r="M27" s="101" t="str">
        <f t="shared" si="31"/>
        <v/>
      </c>
      <c r="N27" s="101" t="str">
        <f t="shared" si="31"/>
        <v/>
      </c>
      <c r="O27" s="101" t="str">
        <f t="shared" si="31"/>
        <v/>
      </c>
      <c r="P27" s="101">
        <f t="shared" si="31"/>
        <v>748</v>
      </c>
      <c r="Q27" s="101" t="str">
        <f t="shared" si="31"/>
        <v/>
      </c>
      <c r="R27" s="101" t="str">
        <f t="shared" si="31"/>
        <v/>
      </c>
      <c r="S27" s="101" t="str">
        <f t="shared" si="31"/>
        <v/>
      </c>
      <c r="T27" s="101" t="str">
        <f t="shared" si="31"/>
        <v/>
      </c>
      <c r="U27" s="101" t="str">
        <f t="shared" si="31"/>
        <v/>
      </c>
      <c r="V27" s="101" t="str">
        <f t="shared" si="31"/>
        <v/>
      </c>
      <c r="W27" s="101" t="str">
        <f t="shared" si="31"/>
        <v/>
      </c>
      <c r="X27" s="101" t="str">
        <f t="shared" si="31"/>
        <v/>
      </c>
      <c r="Y27" s="101" t="str">
        <f t="shared" si="31"/>
        <v/>
      </c>
      <c r="Z27" s="101" t="str">
        <f t="shared" si="31"/>
        <v/>
      </c>
      <c r="AA27" s="101" t="str">
        <f t="shared" si="31"/>
        <v/>
      </c>
      <c r="AB27" s="101" t="str">
        <f t="shared" si="31"/>
        <v/>
      </c>
      <c r="AC27" s="101" t="str">
        <f t="shared" si="31"/>
        <v/>
      </c>
      <c r="AD27" s="101" t="str">
        <f t="shared" si="31"/>
        <v/>
      </c>
      <c r="AE27" s="78">
        <v>12</v>
      </c>
      <c r="AF27" s="102">
        <f t="shared" si="27"/>
        <v>8976</v>
      </c>
      <c r="AG27" s="102">
        <f t="shared" si="28"/>
        <v>69564</v>
      </c>
    </row>
    <row r="28" s="90" customFormat="1" customHeight="1" spans="1:33">
      <c r="A28" s="70">
        <v>45981</v>
      </c>
      <c r="B28" s="76">
        <v>46065</v>
      </c>
      <c r="C28" s="73" t="s">
        <v>39</v>
      </c>
      <c r="D28" s="71">
        <v>1000002079</v>
      </c>
      <c r="E28" s="71" t="s">
        <v>38</v>
      </c>
      <c r="F28" s="74">
        <v>752</v>
      </c>
      <c r="G28" s="71"/>
      <c r="H28" s="101" t="str">
        <f t="shared" ref="H28:AD28" si="32">IF(OR($E28="",H$2=""),"",IF(TRIM(LEFT($E28,MIN(IFERROR(FIND("CDU",UPPER($E28)),999),IFERROR(FIND("BULK",UPPER($E28)),999),IFERROR(FIND("-",$E28),999),IFERROR(FIND("（",$E28),999))-1))=H$2,$F28,""))</f>
        <v/>
      </c>
      <c r="I28" s="101" t="str">
        <f t="shared" si="32"/>
        <v/>
      </c>
      <c r="J28" s="101" t="str">
        <f t="shared" si="32"/>
        <v/>
      </c>
      <c r="K28" s="101" t="str">
        <f t="shared" si="32"/>
        <v/>
      </c>
      <c r="L28" s="101" t="str">
        <f t="shared" si="32"/>
        <v/>
      </c>
      <c r="M28" s="101" t="str">
        <f t="shared" si="32"/>
        <v/>
      </c>
      <c r="N28" s="101" t="str">
        <f t="shared" si="32"/>
        <v/>
      </c>
      <c r="O28" s="101" t="str">
        <f t="shared" si="32"/>
        <v/>
      </c>
      <c r="P28" s="101" t="str">
        <f t="shared" si="32"/>
        <v/>
      </c>
      <c r="Q28" s="101" t="str">
        <f t="shared" si="32"/>
        <v/>
      </c>
      <c r="R28" s="101" t="str">
        <f t="shared" si="32"/>
        <v/>
      </c>
      <c r="S28" s="101" t="str">
        <f t="shared" si="32"/>
        <v/>
      </c>
      <c r="T28" s="101" t="str">
        <f t="shared" si="32"/>
        <v/>
      </c>
      <c r="U28" s="101" t="str">
        <f t="shared" si="32"/>
        <v/>
      </c>
      <c r="V28" s="101">
        <f t="shared" si="32"/>
        <v>752</v>
      </c>
      <c r="W28" s="101" t="str">
        <f t="shared" si="32"/>
        <v/>
      </c>
      <c r="X28" s="101" t="str">
        <f t="shared" si="32"/>
        <v/>
      </c>
      <c r="Y28" s="101" t="str">
        <f t="shared" si="32"/>
        <v/>
      </c>
      <c r="Z28" s="101" t="str">
        <f t="shared" si="32"/>
        <v/>
      </c>
      <c r="AA28" s="101" t="str">
        <f t="shared" si="32"/>
        <v/>
      </c>
      <c r="AB28" s="101" t="str">
        <f t="shared" si="32"/>
        <v/>
      </c>
      <c r="AC28" s="101" t="str">
        <f t="shared" si="32"/>
        <v/>
      </c>
      <c r="AD28" s="101" t="str">
        <f t="shared" si="32"/>
        <v/>
      </c>
      <c r="AE28" s="78">
        <v>11.5</v>
      </c>
      <c r="AF28" s="102">
        <f t="shared" si="27"/>
        <v>8648</v>
      </c>
      <c r="AG28" s="102">
        <f t="shared" si="28"/>
        <v>67022</v>
      </c>
    </row>
    <row r="29" s="90" customFormat="1" customHeight="1" spans="1:33">
      <c r="A29" s="70">
        <v>45981</v>
      </c>
      <c r="B29" s="76">
        <v>46065</v>
      </c>
      <c r="C29" s="73" t="s">
        <v>43</v>
      </c>
      <c r="D29" s="71">
        <v>1000002079</v>
      </c>
      <c r="E29" s="71" t="s">
        <v>42</v>
      </c>
      <c r="F29" s="74">
        <f>180+280+292</f>
        <v>752</v>
      </c>
      <c r="G29" s="71"/>
      <c r="H29" s="101" t="str">
        <f t="shared" ref="H29:AD29" si="33">IF(OR($E29="",H$2=""),"",IF(TRIM(LEFT($E29,MIN(IFERROR(FIND("CDU",UPPER($E29)),999),IFERROR(FIND("BULK",UPPER($E29)),999),IFERROR(FIND("-",$E29),999),IFERROR(FIND("（",$E29),999))-1))=H$2,$F29,""))</f>
        <v/>
      </c>
      <c r="I29" s="101" t="str">
        <f t="shared" si="33"/>
        <v/>
      </c>
      <c r="J29" s="101" t="str">
        <f t="shared" si="33"/>
        <v/>
      </c>
      <c r="K29" s="101" t="str">
        <f t="shared" si="33"/>
        <v/>
      </c>
      <c r="L29" s="101" t="str">
        <f t="shared" si="33"/>
        <v/>
      </c>
      <c r="M29" s="101" t="str">
        <f t="shared" si="33"/>
        <v/>
      </c>
      <c r="N29" s="101" t="str">
        <f t="shared" si="33"/>
        <v/>
      </c>
      <c r="O29" s="101" t="str">
        <f t="shared" si="33"/>
        <v/>
      </c>
      <c r="P29" s="101">
        <f t="shared" si="33"/>
        <v>752</v>
      </c>
      <c r="Q29" s="101" t="str">
        <f t="shared" si="33"/>
        <v/>
      </c>
      <c r="R29" s="101" t="str">
        <f t="shared" si="33"/>
        <v/>
      </c>
      <c r="S29" s="101" t="str">
        <f t="shared" si="33"/>
        <v/>
      </c>
      <c r="T29" s="101" t="str">
        <f t="shared" si="33"/>
        <v/>
      </c>
      <c r="U29" s="101" t="str">
        <f t="shared" si="33"/>
        <v/>
      </c>
      <c r="V29" s="101" t="str">
        <f t="shared" si="33"/>
        <v/>
      </c>
      <c r="W29" s="101" t="str">
        <f t="shared" si="33"/>
        <v/>
      </c>
      <c r="X29" s="101" t="str">
        <f t="shared" si="33"/>
        <v/>
      </c>
      <c r="Y29" s="101" t="str">
        <f t="shared" si="33"/>
        <v/>
      </c>
      <c r="Z29" s="101" t="str">
        <f t="shared" si="33"/>
        <v/>
      </c>
      <c r="AA29" s="101" t="str">
        <f t="shared" si="33"/>
        <v/>
      </c>
      <c r="AB29" s="101" t="str">
        <f t="shared" si="33"/>
        <v/>
      </c>
      <c r="AC29" s="101" t="str">
        <f t="shared" si="33"/>
        <v/>
      </c>
      <c r="AD29" s="101" t="str">
        <f t="shared" si="33"/>
        <v/>
      </c>
      <c r="AE29" s="78">
        <v>12</v>
      </c>
      <c r="AF29" s="102">
        <f t="shared" si="27"/>
        <v>9024</v>
      </c>
      <c r="AG29" s="102">
        <f t="shared" si="28"/>
        <v>69936</v>
      </c>
    </row>
    <row r="30" s="90" customFormat="1" customHeight="1" spans="1:33">
      <c r="A30" s="70">
        <v>45981</v>
      </c>
      <c r="B30" s="76">
        <v>46065</v>
      </c>
      <c r="C30" s="73" t="s">
        <v>95</v>
      </c>
      <c r="D30" s="71">
        <v>1000002079</v>
      </c>
      <c r="E30" s="71" t="s">
        <v>94</v>
      </c>
      <c r="F30" s="74">
        <v>3000</v>
      </c>
      <c r="G30" s="71"/>
      <c r="H30" s="101" t="str">
        <f t="shared" ref="H30:AD30" si="34">IF(OR($E30="",H$2=""),"",IF(TRIM(LEFT($E30,MIN(IFERROR(FIND("CDU",UPPER($E30)),999),IFERROR(FIND("BULK",UPPER($E30)),999),IFERROR(FIND("-",$E30),999),IFERROR(FIND("（",$E30),999))-1))=H$2,$F30,""))</f>
        <v/>
      </c>
      <c r="I30" s="101" t="str">
        <f t="shared" si="34"/>
        <v/>
      </c>
      <c r="J30" s="101" t="str">
        <f t="shared" si="34"/>
        <v/>
      </c>
      <c r="K30" s="101" t="str">
        <f t="shared" si="34"/>
        <v/>
      </c>
      <c r="L30" s="101" t="str">
        <f t="shared" si="34"/>
        <v/>
      </c>
      <c r="M30" s="101" t="str">
        <f t="shared" si="34"/>
        <v/>
      </c>
      <c r="N30" s="101" t="str">
        <f t="shared" si="34"/>
        <v/>
      </c>
      <c r="O30" s="101" t="str">
        <f t="shared" si="34"/>
        <v/>
      </c>
      <c r="P30" s="101" t="str">
        <f t="shared" si="34"/>
        <v/>
      </c>
      <c r="Q30" s="101" t="str">
        <f t="shared" si="34"/>
        <v/>
      </c>
      <c r="R30" s="101" t="str">
        <f t="shared" si="34"/>
        <v/>
      </c>
      <c r="S30" s="101" t="str">
        <f t="shared" si="34"/>
        <v/>
      </c>
      <c r="T30" s="101" t="str">
        <f t="shared" si="34"/>
        <v/>
      </c>
      <c r="U30" s="101" t="str">
        <f t="shared" si="34"/>
        <v/>
      </c>
      <c r="V30" s="101" t="str">
        <f t="shared" si="34"/>
        <v/>
      </c>
      <c r="W30" s="101" t="str">
        <f t="shared" si="34"/>
        <v/>
      </c>
      <c r="X30" s="101" t="str">
        <f t="shared" si="34"/>
        <v/>
      </c>
      <c r="Y30" s="101">
        <f t="shared" si="34"/>
        <v>3000</v>
      </c>
      <c r="Z30" s="101" t="str">
        <f t="shared" si="34"/>
        <v/>
      </c>
      <c r="AA30" s="101" t="str">
        <f t="shared" si="34"/>
        <v/>
      </c>
      <c r="AB30" s="101" t="str">
        <f t="shared" si="34"/>
        <v/>
      </c>
      <c r="AC30" s="101" t="str">
        <f t="shared" si="34"/>
        <v/>
      </c>
      <c r="AD30" s="101" t="str">
        <f t="shared" si="34"/>
        <v/>
      </c>
      <c r="AE30" s="78">
        <v>4.26</v>
      </c>
      <c r="AF30" s="102">
        <f t="shared" si="27"/>
        <v>12780</v>
      </c>
      <c r="AG30" s="102">
        <f t="shared" si="28"/>
        <v>99045</v>
      </c>
    </row>
    <row r="31" s="90" customFormat="1" customHeight="1" spans="1:33">
      <c r="A31" s="70">
        <v>45994</v>
      </c>
      <c r="B31" s="76">
        <v>46065</v>
      </c>
      <c r="C31" s="73" t="s">
        <v>75</v>
      </c>
      <c r="D31" s="71">
        <v>1000002184</v>
      </c>
      <c r="E31" s="71" t="s">
        <v>74</v>
      </c>
      <c r="F31" s="74">
        <v>1800</v>
      </c>
      <c r="G31" s="71"/>
      <c r="H31" s="101" t="str">
        <f t="shared" ref="H31:AD31" si="35">IF(OR($E31="",H$2=""),"",IF(TRIM(LEFT($E31,MIN(IFERROR(FIND("CDU",UPPER($E31)),999),IFERROR(FIND("BULK",UPPER($E31)),999),IFERROR(FIND("-",$E31),999),IFERROR(FIND("（",$E31),999))-1))=H$2,$F31,""))</f>
        <v/>
      </c>
      <c r="I31" s="101" t="str">
        <f t="shared" si="35"/>
        <v/>
      </c>
      <c r="J31" s="101" t="str">
        <f t="shared" si="35"/>
        <v/>
      </c>
      <c r="K31" s="101" t="str">
        <f t="shared" si="35"/>
        <v/>
      </c>
      <c r="L31" s="101" t="str">
        <f t="shared" si="35"/>
        <v/>
      </c>
      <c r="M31" s="101" t="str">
        <f t="shared" si="35"/>
        <v/>
      </c>
      <c r="N31" s="101" t="str">
        <f t="shared" si="35"/>
        <v/>
      </c>
      <c r="O31" s="101" t="str">
        <f t="shared" si="35"/>
        <v/>
      </c>
      <c r="P31" s="101" t="str">
        <f t="shared" si="35"/>
        <v/>
      </c>
      <c r="Q31" s="101" t="str">
        <f t="shared" si="35"/>
        <v/>
      </c>
      <c r="R31" s="101" t="str">
        <f t="shared" si="35"/>
        <v/>
      </c>
      <c r="S31" s="101" t="str">
        <f t="shared" si="35"/>
        <v/>
      </c>
      <c r="T31" s="101" t="str">
        <f t="shared" si="35"/>
        <v/>
      </c>
      <c r="U31" s="101" t="str">
        <f t="shared" si="35"/>
        <v/>
      </c>
      <c r="V31" s="101" t="str">
        <f t="shared" si="35"/>
        <v/>
      </c>
      <c r="W31" s="101" t="str">
        <f t="shared" si="35"/>
        <v/>
      </c>
      <c r="X31" s="101" t="str">
        <f t="shared" si="35"/>
        <v/>
      </c>
      <c r="Y31" s="101" t="str">
        <f t="shared" si="35"/>
        <v/>
      </c>
      <c r="Z31" s="101" t="str">
        <f t="shared" si="35"/>
        <v/>
      </c>
      <c r="AA31" s="101">
        <f t="shared" si="35"/>
        <v>1800</v>
      </c>
      <c r="AB31" s="101" t="str">
        <f t="shared" si="35"/>
        <v/>
      </c>
      <c r="AC31" s="101" t="str">
        <f t="shared" si="35"/>
        <v/>
      </c>
      <c r="AD31" s="101" t="str">
        <f t="shared" si="35"/>
        <v/>
      </c>
      <c r="AE31" s="78">
        <v>0.36</v>
      </c>
      <c r="AF31" s="102">
        <f t="shared" si="27"/>
        <v>648</v>
      </c>
      <c r="AG31" s="102">
        <f t="shared" si="28"/>
        <v>5022</v>
      </c>
    </row>
    <row r="32" s="90" customFormat="1" customHeight="1" spans="1:33">
      <c r="A32" s="70">
        <v>45994</v>
      </c>
      <c r="B32" s="76">
        <v>46065</v>
      </c>
      <c r="C32" s="73" t="s">
        <v>99</v>
      </c>
      <c r="D32" s="71">
        <v>1000002184</v>
      </c>
      <c r="E32" s="71" t="s">
        <v>98</v>
      </c>
      <c r="F32" s="74">
        <v>3000</v>
      </c>
      <c r="G32" s="71"/>
      <c r="H32" s="101">
        <f t="shared" ref="H32:AD32" si="36">IF(OR($E32="",H$2=""),"",IF(TRIM(LEFT($E32,MIN(IFERROR(FIND("CDU",UPPER($E32)),999),IFERROR(FIND("BULK",UPPER($E32)),999),IFERROR(FIND("-",$E32),999),IFERROR(FIND("（",$E32),999))-1))=H$2,$F32,""))</f>
        <v>3000</v>
      </c>
      <c r="I32" s="101" t="str">
        <f t="shared" si="36"/>
        <v/>
      </c>
      <c r="J32" s="101" t="str">
        <f t="shared" si="36"/>
        <v/>
      </c>
      <c r="K32" s="101" t="str">
        <f t="shared" si="36"/>
        <v/>
      </c>
      <c r="L32" s="101" t="str">
        <f t="shared" si="36"/>
        <v/>
      </c>
      <c r="M32" s="101" t="str">
        <f t="shared" si="36"/>
        <v/>
      </c>
      <c r="N32" s="101" t="str">
        <f t="shared" si="36"/>
        <v/>
      </c>
      <c r="O32" s="101" t="str">
        <f t="shared" si="36"/>
        <v/>
      </c>
      <c r="P32" s="101" t="str">
        <f t="shared" si="36"/>
        <v/>
      </c>
      <c r="Q32" s="101" t="str">
        <f t="shared" si="36"/>
        <v/>
      </c>
      <c r="R32" s="101" t="str">
        <f t="shared" si="36"/>
        <v/>
      </c>
      <c r="S32" s="101" t="str">
        <f t="shared" si="36"/>
        <v/>
      </c>
      <c r="T32" s="101" t="str">
        <f t="shared" si="36"/>
        <v/>
      </c>
      <c r="U32" s="101" t="str">
        <f t="shared" si="36"/>
        <v/>
      </c>
      <c r="V32" s="101" t="str">
        <f t="shared" si="36"/>
        <v/>
      </c>
      <c r="W32" s="101" t="str">
        <f t="shared" si="36"/>
        <v/>
      </c>
      <c r="X32" s="101" t="str">
        <f t="shared" si="36"/>
        <v/>
      </c>
      <c r="Y32" s="101" t="str">
        <f t="shared" si="36"/>
        <v/>
      </c>
      <c r="Z32" s="101" t="str">
        <f t="shared" si="36"/>
        <v/>
      </c>
      <c r="AA32" s="101" t="str">
        <f t="shared" si="36"/>
        <v/>
      </c>
      <c r="AB32" s="101" t="str">
        <f t="shared" si="36"/>
        <v/>
      </c>
      <c r="AC32" s="101" t="str">
        <f t="shared" si="36"/>
        <v/>
      </c>
      <c r="AD32" s="101" t="str">
        <f t="shared" si="36"/>
        <v/>
      </c>
      <c r="AE32" s="78">
        <v>4.87</v>
      </c>
      <c r="AF32" s="102">
        <f t="shared" si="27"/>
        <v>14610</v>
      </c>
      <c r="AG32" s="102">
        <f t="shared" si="28"/>
        <v>113227.5</v>
      </c>
    </row>
    <row r="33" s="90" customFormat="1" customHeight="1" spans="1:33">
      <c r="A33" s="70">
        <v>46001</v>
      </c>
      <c r="B33" s="76">
        <v>46076</v>
      </c>
      <c r="C33" s="71" t="s">
        <v>11</v>
      </c>
      <c r="D33" s="71">
        <v>1000002361</v>
      </c>
      <c r="E33" s="73" t="s">
        <v>10</v>
      </c>
      <c r="F33" s="74">
        <v>8640</v>
      </c>
      <c r="G33" s="71"/>
      <c r="H33" s="101" t="str">
        <f t="shared" ref="H33:AD33" si="37">IF(OR($E33="",H$2=""),"",IF(TRIM(LEFT($E33,MIN(IFERROR(FIND("CDU",UPPER($E33)),999),IFERROR(FIND("BULK",UPPER($E33)),999),IFERROR(FIND("-",$E33),999),IFERROR(FIND("（",$E33),999))-1))=H$2,$F33,""))</f>
        <v/>
      </c>
      <c r="I33" s="101" t="str">
        <f t="shared" si="37"/>
        <v/>
      </c>
      <c r="J33" s="101" t="str">
        <f t="shared" si="37"/>
        <v/>
      </c>
      <c r="K33" s="101" t="str">
        <f t="shared" si="37"/>
        <v/>
      </c>
      <c r="L33" s="101" t="str">
        <f t="shared" si="37"/>
        <v/>
      </c>
      <c r="M33" s="101" t="str">
        <f t="shared" si="37"/>
        <v/>
      </c>
      <c r="N33" s="101" t="str">
        <f t="shared" si="37"/>
        <v/>
      </c>
      <c r="O33" s="101" t="str">
        <f t="shared" si="37"/>
        <v/>
      </c>
      <c r="P33" s="101" t="str">
        <f t="shared" si="37"/>
        <v/>
      </c>
      <c r="Q33" s="101" t="str">
        <f t="shared" si="37"/>
        <v/>
      </c>
      <c r="R33" s="101" t="str">
        <f t="shared" si="37"/>
        <v/>
      </c>
      <c r="S33" s="101">
        <f t="shared" si="37"/>
        <v>8640</v>
      </c>
      <c r="T33" s="101" t="str">
        <f t="shared" si="37"/>
        <v/>
      </c>
      <c r="U33" s="101" t="str">
        <f t="shared" si="37"/>
        <v/>
      </c>
      <c r="V33" s="101" t="str">
        <f t="shared" si="37"/>
        <v/>
      </c>
      <c r="W33" s="101" t="str">
        <f t="shared" si="37"/>
        <v/>
      </c>
      <c r="X33" s="101" t="str">
        <f t="shared" si="37"/>
        <v/>
      </c>
      <c r="Y33" s="101" t="str">
        <f t="shared" si="37"/>
        <v/>
      </c>
      <c r="Z33" s="101" t="str">
        <f t="shared" si="37"/>
        <v/>
      </c>
      <c r="AA33" s="101" t="str">
        <f t="shared" si="37"/>
        <v/>
      </c>
      <c r="AB33" s="101" t="str">
        <f t="shared" si="37"/>
        <v/>
      </c>
      <c r="AC33" s="101" t="str">
        <f t="shared" si="37"/>
        <v/>
      </c>
      <c r="AD33" s="101" t="str">
        <f t="shared" si="37"/>
        <v/>
      </c>
      <c r="AE33" s="78">
        <v>0.15</v>
      </c>
      <c r="AF33" s="102">
        <f t="shared" si="27"/>
        <v>1296</v>
      </c>
      <c r="AG33" s="102">
        <f t="shared" si="28"/>
        <v>10044</v>
      </c>
    </row>
    <row r="34" s="90" customFormat="1" customHeight="1" spans="1:33">
      <c r="A34" s="70">
        <v>46001</v>
      </c>
      <c r="B34" s="76">
        <v>46076</v>
      </c>
      <c r="C34" s="71" t="s">
        <v>71</v>
      </c>
      <c r="D34" s="71">
        <v>1000002361</v>
      </c>
      <c r="E34" s="73" t="s">
        <v>70</v>
      </c>
      <c r="F34" s="74">
        <v>4000</v>
      </c>
      <c r="G34" s="71"/>
      <c r="H34" s="101" t="str">
        <f t="shared" ref="H34:AD34" si="38">IF(OR($E34="",H$2=""),"",IF(TRIM(LEFT($E34,MIN(IFERROR(FIND("CDU",UPPER($E34)),999),IFERROR(FIND("BULK",UPPER($E34)),999),IFERROR(FIND("-",$E34),999),IFERROR(FIND("（",$E34),999))-1))=H$2,$F34,""))</f>
        <v/>
      </c>
      <c r="I34" s="101" t="str">
        <f t="shared" si="38"/>
        <v/>
      </c>
      <c r="J34" s="101" t="str">
        <f t="shared" si="38"/>
        <v/>
      </c>
      <c r="K34" s="101" t="str">
        <f t="shared" si="38"/>
        <v/>
      </c>
      <c r="L34" s="101" t="str">
        <f t="shared" si="38"/>
        <v/>
      </c>
      <c r="M34" s="101" t="str">
        <f t="shared" si="38"/>
        <v/>
      </c>
      <c r="N34" s="101" t="str">
        <f t="shared" si="38"/>
        <v/>
      </c>
      <c r="O34" s="101" t="str">
        <f t="shared" si="38"/>
        <v/>
      </c>
      <c r="P34" s="101" t="str">
        <f t="shared" si="38"/>
        <v/>
      </c>
      <c r="Q34" s="101" t="str">
        <f t="shared" si="38"/>
        <v/>
      </c>
      <c r="R34" s="101" t="str">
        <f t="shared" si="38"/>
        <v/>
      </c>
      <c r="S34" s="101" t="str">
        <f t="shared" si="38"/>
        <v/>
      </c>
      <c r="T34" s="101" t="str">
        <f t="shared" si="38"/>
        <v/>
      </c>
      <c r="U34" s="101" t="str">
        <f t="shared" si="38"/>
        <v/>
      </c>
      <c r="V34" s="101" t="str">
        <f t="shared" si="38"/>
        <v/>
      </c>
      <c r="W34" s="101" t="str">
        <f t="shared" si="38"/>
        <v/>
      </c>
      <c r="X34" s="101" t="str">
        <f t="shared" si="38"/>
        <v/>
      </c>
      <c r="Y34" s="101" t="str">
        <f t="shared" si="38"/>
        <v/>
      </c>
      <c r="Z34" s="101" t="str">
        <f t="shared" si="38"/>
        <v/>
      </c>
      <c r="AA34" s="101" t="str">
        <f t="shared" si="38"/>
        <v/>
      </c>
      <c r="AB34" s="101">
        <f t="shared" si="38"/>
        <v>4000</v>
      </c>
      <c r="AC34" s="101" t="str">
        <f t="shared" si="38"/>
        <v/>
      </c>
      <c r="AD34" s="101" t="str">
        <f t="shared" si="38"/>
        <v/>
      </c>
      <c r="AE34" s="78">
        <v>0.21</v>
      </c>
      <c r="AF34" s="102">
        <f t="shared" si="27"/>
        <v>840</v>
      </c>
      <c r="AG34" s="102">
        <f t="shared" si="28"/>
        <v>6510</v>
      </c>
    </row>
    <row r="35" s="90" customFormat="1" customHeight="1" spans="1:33">
      <c r="A35" s="70">
        <v>46001</v>
      </c>
      <c r="B35" s="76">
        <v>46076</v>
      </c>
      <c r="C35" s="73" t="s">
        <v>19</v>
      </c>
      <c r="D35" s="71">
        <v>1000002361</v>
      </c>
      <c r="E35" s="71" t="s">
        <v>18</v>
      </c>
      <c r="F35" s="74">
        <v>4000</v>
      </c>
      <c r="G35" s="71"/>
      <c r="H35" s="101" t="str">
        <f t="shared" ref="H35:AD35" si="39">IF(OR($E35="",H$2=""),"",IF(TRIM(LEFT($E35,MIN(IFERROR(FIND("CDU",UPPER($E35)),999),IFERROR(FIND("BULK",UPPER($E35)),999),IFERROR(FIND("-",$E35),999),IFERROR(FIND("（",$E35),999))-1))=H$2,$F35,""))</f>
        <v/>
      </c>
      <c r="I35" s="101" t="str">
        <f t="shared" si="39"/>
        <v/>
      </c>
      <c r="J35" s="101" t="str">
        <f t="shared" si="39"/>
        <v/>
      </c>
      <c r="K35" s="101" t="str">
        <f t="shared" si="39"/>
        <v/>
      </c>
      <c r="L35" s="101" t="str">
        <f t="shared" si="39"/>
        <v/>
      </c>
      <c r="M35" s="101" t="str">
        <f t="shared" si="39"/>
        <v/>
      </c>
      <c r="N35" s="101" t="str">
        <f t="shared" si="39"/>
        <v/>
      </c>
      <c r="O35" s="101" t="str">
        <f t="shared" si="39"/>
        <v/>
      </c>
      <c r="P35" s="101" t="str">
        <f t="shared" si="39"/>
        <v/>
      </c>
      <c r="Q35" s="101" t="str">
        <f t="shared" si="39"/>
        <v/>
      </c>
      <c r="R35" s="101" t="str">
        <f t="shared" si="39"/>
        <v/>
      </c>
      <c r="S35" s="101" t="str">
        <f t="shared" si="39"/>
        <v/>
      </c>
      <c r="T35" s="101">
        <f t="shared" si="39"/>
        <v>4000</v>
      </c>
      <c r="U35" s="101" t="str">
        <f t="shared" si="39"/>
        <v/>
      </c>
      <c r="V35" s="101" t="str">
        <f t="shared" si="39"/>
        <v/>
      </c>
      <c r="W35" s="101" t="str">
        <f t="shared" si="39"/>
        <v/>
      </c>
      <c r="X35" s="101" t="str">
        <f t="shared" si="39"/>
        <v/>
      </c>
      <c r="Y35" s="101" t="str">
        <f t="shared" si="39"/>
        <v/>
      </c>
      <c r="Z35" s="101" t="str">
        <f t="shared" si="39"/>
        <v/>
      </c>
      <c r="AA35" s="101" t="str">
        <f t="shared" si="39"/>
        <v/>
      </c>
      <c r="AB35" s="101" t="str">
        <f t="shared" si="39"/>
        <v/>
      </c>
      <c r="AC35" s="101" t="str">
        <f t="shared" si="39"/>
        <v/>
      </c>
      <c r="AD35" s="101" t="str">
        <f t="shared" si="39"/>
        <v/>
      </c>
      <c r="AE35" s="78">
        <v>0.42</v>
      </c>
      <c r="AF35" s="102">
        <f t="shared" si="27"/>
        <v>1680</v>
      </c>
      <c r="AG35" s="102">
        <f t="shared" si="28"/>
        <v>13020</v>
      </c>
    </row>
    <row r="36" s="90" customFormat="1" customHeight="1" spans="1:33">
      <c r="A36" s="70">
        <v>46105</v>
      </c>
      <c r="B36" s="76">
        <v>46204</v>
      </c>
      <c r="C36" s="73" t="s">
        <v>99</v>
      </c>
      <c r="D36" s="71">
        <v>1000002790</v>
      </c>
      <c r="E36" s="71" t="s">
        <v>98</v>
      </c>
      <c r="F36" s="74">
        <v>284</v>
      </c>
      <c r="G36" s="71"/>
      <c r="H36" s="101">
        <f t="shared" ref="H36:AD36" si="40">IF(OR($E36="",H$2=""),"",IF(TRIM(LEFT($E36,MIN(IFERROR(FIND("CDU",UPPER($E36)),999),IFERROR(FIND("BULK",UPPER($E36)),999),IFERROR(FIND("-",$E36),999),IFERROR(FIND("（",$E36),999))-1))=H$2,$F36,""))</f>
        <v>284</v>
      </c>
      <c r="I36" s="101" t="str">
        <f t="shared" si="40"/>
        <v/>
      </c>
      <c r="J36" s="101" t="str">
        <f t="shared" si="40"/>
        <v/>
      </c>
      <c r="K36" s="101" t="str">
        <f t="shared" si="40"/>
        <v/>
      </c>
      <c r="L36" s="101" t="str">
        <f t="shared" si="40"/>
        <v/>
      </c>
      <c r="M36" s="101" t="str">
        <f t="shared" si="40"/>
        <v/>
      </c>
      <c r="N36" s="101" t="str">
        <f t="shared" si="40"/>
        <v/>
      </c>
      <c r="O36" s="101" t="str">
        <f t="shared" si="40"/>
        <v/>
      </c>
      <c r="P36" s="101" t="str">
        <f t="shared" si="40"/>
        <v/>
      </c>
      <c r="Q36" s="101" t="str">
        <f t="shared" si="40"/>
        <v/>
      </c>
      <c r="R36" s="101" t="str">
        <f t="shared" si="40"/>
        <v/>
      </c>
      <c r="S36" s="101" t="str">
        <f t="shared" si="40"/>
        <v/>
      </c>
      <c r="T36" s="101" t="str">
        <f t="shared" si="40"/>
        <v/>
      </c>
      <c r="U36" s="101" t="str">
        <f t="shared" si="40"/>
        <v/>
      </c>
      <c r="V36" s="101" t="str">
        <f t="shared" si="40"/>
        <v/>
      </c>
      <c r="W36" s="101" t="str">
        <f t="shared" si="40"/>
        <v/>
      </c>
      <c r="X36" s="101" t="str">
        <f t="shared" si="40"/>
        <v/>
      </c>
      <c r="Y36" s="101" t="str">
        <f t="shared" si="40"/>
        <v/>
      </c>
      <c r="Z36" s="101" t="str">
        <f t="shared" si="40"/>
        <v/>
      </c>
      <c r="AA36" s="101" t="str">
        <f t="shared" si="40"/>
        <v/>
      </c>
      <c r="AB36" s="101" t="str">
        <f t="shared" si="40"/>
        <v/>
      </c>
      <c r="AC36" s="101" t="str">
        <f t="shared" si="40"/>
        <v/>
      </c>
      <c r="AD36" s="101" t="str">
        <f t="shared" si="40"/>
        <v/>
      </c>
      <c r="AE36" s="78">
        <v>4.87</v>
      </c>
      <c r="AF36" s="102">
        <f t="shared" si="27"/>
        <v>1383.08</v>
      </c>
      <c r="AG36" s="102">
        <f t="shared" si="28"/>
        <v>10718.87</v>
      </c>
    </row>
    <row r="37" s="90" customFormat="1" customHeight="1" spans="1:33">
      <c r="A37" s="70">
        <v>46105</v>
      </c>
      <c r="B37" s="76">
        <v>46204</v>
      </c>
      <c r="C37" s="73" t="s">
        <v>99</v>
      </c>
      <c r="D37" s="71">
        <v>1000002790</v>
      </c>
      <c r="E37" s="71" t="s">
        <v>98</v>
      </c>
      <c r="F37" s="74">
        <v>3220</v>
      </c>
      <c r="G37" s="71"/>
      <c r="H37" s="101">
        <f t="shared" ref="H37:AD37" si="41">IF(OR($E37="",H$2=""),"",IF(TRIM(LEFT($E37,MIN(IFERROR(FIND("CDU",UPPER($E37)),999),IFERROR(FIND("BULK",UPPER($E37)),999),IFERROR(FIND("-",$E37),999),IFERROR(FIND("（",$E37),999))-1))=H$2,$F37,""))</f>
        <v>3220</v>
      </c>
      <c r="I37" s="101" t="str">
        <f t="shared" si="41"/>
        <v/>
      </c>
      <c r="J37" s="101" t="str">
        <f t="shared" si="41"/>
        <v/>
      </c>
      <c r="K37" s="101" t="str">
        <f t="shared" si="41"/>
        <v/>
      </c>
      <c r="L37" s="101" t="str">
        <f t="shared" si="41"/>
        <v/>
      </c>
      <c r="M37" s="101" t="str">
        <f t="shared" si="41"/>
        <v/>
      </c>
      <c r="N37" s="101" t="str">
        <f t="shared" si="41"/>
        <v/>
      </c>
      <c r="O37" s="101" t="str">
        <f t="shared" si="41"/>
        <v/>
      </c>
      <c r="P37" s="101" t="str">
        <f t="shared" si="41"/>
        <v/>
      </c>
      <c r="Q37" s="101" t="str">
        <f t="shared" si="41"/>
        <v/>
      </c>
      <c r="R37" s="101" t="str">
        <f t="shared" si="41"/>
        <v/>
      </c>
      <c r="S37" s="101" t="str">
        <f t="shared" si="41"/>
        <v/>
      </c>
      <c r="T37" s="101" t="str">
        <f t="shared" si="41"/>
        <v/>
      </c>
      <c r="U37" s="101" t="str">
        <f t="shared" si="41"/>
        <v/>
      </c>
      <c r="V37" s="101" t="str">
        <f t="shared" si="41"/>
        <v/>
      </c>
      <c r="W37" s="101" t="str">
        <f t="shared" si="41"/>
        <v/>
      </c>
      <c r="X37" s="101" t="str">
        <f t="shared" si="41"/>
        <v/>
      </c>
      <c r="Y37" s="101" t="str">
        <f t="shared" si="41"/>
        <v/>
      </c>
      <c r="Z37" s="101" t="str">
        <f t="shared" si="41"/>
        <v/>
      </c>
      <c r="AA37" s="101" t="str">
        <f t="shared" si="41"/>
        <v/>
      </c>
      <c r="AB37" s="101" t="str">
        <f t="shared" si="41"/>
        <v/>
      </c>
      <c r="AC37" s="101" t="str">
        <f t="shared" si="41"/>
        <v/>
      </c>
      <c r="AD37" s="101" t="str">
        <f t="shared" si="41"/>
        <v/>
      </c>
      <c r="AE37" s="78">
        <v>4.87</v>
      </c>
      <c r="AF37" s="102">
        <f t="shared" si="27"/>
        <v>15681.4</v>
      </c>
      <c r="AG37" s="102">
        <f t="shared" si="28"/>
        <v>121530.85</v>
      </c>
    </row>
    <row r="38" s="90" customFormat="1" customHeight="1" spans="1:33">
      <c r="A38" s="70">
        <v>46105</v>
      </c>
      <c r="B38" s="76">
        <v>46204</v>
      </c>
      <c r="C38" s="73" t="s">
        <v>95</v>
      </c>
      <c r="D38" s="71">
        <v>1000002790</v>
      </c>
      <c r="E38" s="71" t="s">
        <v>94</v>
      </c>
      <c r="F38" s="74">
        <v>3064</v>
      </c>
      <c r="G38" s="71"/>
      <c r="H38" s="101" t="str">
        <f t="shared" ref="H38:AD38" si="42">IF(OR($E38="",H$2=""),"",IF(TRIM(LEFT($E38,MIN(IFERROR(FIND("CDU",UPPER($E38)),999),IFERROR(FIND("BULK",UPPER($E38)),999),IFERROR(FIND("-",$E38),999),IFERROR(FIND("（",$E38),999))-1))=H$2,$F38,""))</f>
        <v/>
      </c>
      <c r="I38" s="101" t="str">
        <f t="shared" si="42"/>
        <v/>
      </c>
      <c r="J38" s="101" t="str">
        <f t="shared" si="42"/>
        <v/>
      </c>
      <c r="K38" s="101" t="str">
        <f t="shared" si="42"/>
        <v/>
      </c>
      <c r="L38" s="101" t="str">
        <f t="shared" si="42"/>
        <v/>
      </c>
      <c r="M38" s="101" t="str">
        <f t="shared" si="42"/>
        <v/>
      </c>
      <c r="N38" s="101" t="str">
        <f t="shared" si="42"/>
        <v/>
      </c>
      <c r="O38" s="101" t="str">
        <f t="shared" si="42"/>
        <v/>
      </c>
      <c r="P38" s="101" t="str">
        <f t="shared" si="42"/>
        <v/>
      </c>
      <c r="Q38" s="101" t="str">
        <f t="shared" si="42"/>
        <v/>
      </c>
      <c r="R38" s="101" t="str">
        <f t="shared" si="42"/>
        <v/>
      </c>
      <c r="S38" s="101" t="str">
        <f t="shared" si="42"/>
        <v/>
      </c>
      <c r="T38" s="101" t="str">
        <f t="shared" si="42"/>
        <v/>
      </c>
      <c r="U38" s="101" t="str">
        <f t="shared" si="42"/>
        <v/>
      </c>
      <c r="V38" s="101" t="str">
        <f t="shared" si="42"/>
        <v/>
      </c>
      <c r="W38" s="101" t="str">
        <f t="shared" si="42"/>
        <v/>
      </c>
      <c r="X38" s="101" t="str">
        <f t="shared" si="42"/>
        <v/>
      </c>
      <c r="Y38" s="101">
        <f t="shared" si="42"/>
        <v>3064</v>
      </c>
      <c r="Z38" s="101" t="str">
        <f t="shared" si="42"/>
        <v/>
      </c>
      <c r="AA38" s="101" t="str">
        <f t="shared" si="42"/>
        <v/>
      </c>
      <c r="AB38" s="101" t="str">
        <f t="shared" si="42"/>
        <v/>
      </c>
      <c r="AC38" s="101" t="str">
        <f t="shared" si="42"/>
        <v/>
      </c>
      <c r="AD38" s="101" t="str">
        <f t="shared" si="42"/>
        <v/>
      </c>
      <c r="AE38" s="78">
        <v>4.26</v>
      </c>
      <c r="AF38" s="102">
        <f t="shared" si="27"/>
        <v>13052.64</v>
      </c>
      <c r="AG38" s="102">
        <f t="shared" si="28"/>
        <v>101157.96</v>
      </c>
    </row>
    <row r="39" s="90" customFormat="1" customHeight="1" spans="1:33">
      <c r="A39" s="70">
        <v>46105</v>
      </c>
      <c r="B39" s="76">
        <v>46204</v>
      </c>
      <c r="C39" s="73" t="s">
        <v>95</v>
      </c>
      <c r="D39" s="71">
        <v>1000002790</v>
      </c>
      <c r="E39" s="71" t="s">
        <v>94</v>
      </c>
      <c r="F39" s="74">
        <v>3464</v>
      </c>
      <c r="G39" s="71"/>
      <c r="H39" s="101" t="str">
        <f t="shared" ref="H39:AD39" si="43">IF(OR($E39="",H$2=""),"",IF(TRIM(LEFT($E39,MIN(IFERROR(FIND("CDU",UPPER($E39)),999),IFERROR(FIND("BULK",UPPER($E39)),999),IFERROR(FIND("-",$E39),999),IFERROR(FIND("（",$E39),999))-1))=H$2,$F39,""))</f>
        <v/>
      </c>
      <c r="I39" s="101" t="str">
        <f t="shared" si="43"/>
        <v/>
      </c>
      <c r="J39" s="101" t="str">
        <f t="shared" si="43"/>
        <v/>
      </c>
      <c r="K39" s="101" t="str">
        <f t="shared" si="43"/>
        <v/>
      </c>
      <c r="L39" s="101" t="str">
        <f t="shared" si="43"/>
        <v/>
      </c>
      <c r="M39" s="101" t="str">
        <f t="shared" si="43"/>
        <v/>
      </c>
      <c r="N39" s="101" t="str">
        <f t="shared" si="43"/>
        <v/>
      </c>
      <c r="O39" s="101" t="str">
        <f t="shared" si="43"/>
        <v/>
      </c>
      <c r="P39" s="101" t="str">
        <f t="shared" si="43"/>
        <v/>
      </c>
      <c r="Q39" s="101" t="str">
        <f t="shared" si="43"/>
        <v/>
      </c>
      <c r="R39" s="101" t="str">
        <f t="shared" si="43"/>
        <v/>
      </c>
      <c r="S39" s="101" t="str">
        <f t="shared" si="43"/>
        <v/>
      </c>
      <c r="T39" s="101" t="str">
        <f t="shared" si="43"/>
        <v/>
      </c>
      <c r="U39" s="101" t="str">
        <f t="shared" si="43"/>
        <v/>
      </c>
      <c r="V39" s="101" t="str">
        <f t="shared" si="43"/>
        <v/>
      </c>
      <c r="W39" s="101" t="str">
        <f t="shared" si="43"/>
        <v/>
      </c>
      <c r="X39" s="101" t="str">
        <f t="shared" si="43"/>
        <v/>
      </c>
      <c r="Y39" s="101">
        <f t="shared" si="43"/>
        <v>3464</v>
      </c>
      <c r="Z39" s="101" t="str">
        <f t="shared" si="43"/>
        <v/>
      </c>
      <c r="AA39" s="101" t="str">
        <f t="shared" si="43"/>
        <v/>
      </c>
      <c r="AB39" s="101" t="str">
        <f t="shared" si="43"/>
        <v/>
      </c>
      <c r="AC39" s="101" t="str">
        <f t="shared" si="43"/>
        <v/>
      </c>
      <c r="AD39" s="101" t="str">
        <f t="shared" si="43"/>
        <v/>
      </c>
      <c r="AE39" s="78">
        <v>4.26</v>
      </c>
      <c r="AF39" s="102">
        <f t="shared" si="27"/>
        <v>14756.64</v>
      </c>
      <c r="AG39" s="102">
        <f t="shared" si="28"/>
        <v>114363.96</v>
      </c>
    </row>
    <row r="40" s="90" customFormat="1" customHeight="1" spans="1:33">
      <c r="A40" s="70">
        <v>46129</v>
      </c>
      <c r="B40" s="76">
        <v>46186</v>
      </c>
      <c r="C40" s="73" t="s">
        <v>19</v>
      </c>
      <c r="D40" s="71">
        <v>1000003117</v>
      </c>
      <c r="E40" s="71" t="s">
        <v>18</v>
      </c>
      <c r="F40" s="74">
        <v>3200</v>
      </c>
      <c r="G40" s="71"/>
      <c r="H40" s="101" t="str">
        <f t="shared" ref="H40:AD40" si="44">IF(OR($E40="",H$2=""),"",IF(TRIM(LEFT($E40,MIN(IFERROR(FIND("CDU",UPPER($E40)),999),IFERROR(FIND("BULK",UPPER($E40)),999),IFERROR(FIND("-",$E40),999),IFERROR(FIND("（",$E40),999))-1))=H$2,$F40,""))</f>
        <v/>
      </c>
      <c r="I40" s="101" t="str">
        <f t="shared" si="44"/>
        <v/>
      </c>
      <c r="J40" s="101" t="str">
        <f t="shared" si="44"/>
        <v/>
      </c>
      <c r="K40" s="101" t="str">
        <f t="shared" si="44"/>
        <v/>
      </c>
      <c r="L40" s="101" t="str">
        <f t="shared" si="44"/>
        <v/>
      </c>
      <c r="M40" s="101" t="str">
        <f t="shared" si="44"/>
        <v/>
      </c>
      <c r="N40" s="101" t="str">
        <f t="shared" si="44"/>
        <v/>
      </c>
      <c r="O40" s="101" t="str">
        <f t="shared" si="44"/>
        <v/>
      </c>
      <c r="P40" s="101" t="str">
        <f t="shared" si="44"/>
        <v/>
      </c>
      <c r="Q40" s="101" t="str">
        <f t="shared" si="44"/>
        <v/>
      </c>
      <c r="R40" s="101" t="str">
        <f t="shared" si="44"/>
        <v/>
      </c>
      <c r="S40" s="101" t="str">
        <f t="shared" si="44"/>
        <v/>
      </c>
      <c r="T40" s="101">
        <f t="shared" si="44"/>
        <v>3200</v>
      </c>
      <c r="U40" s="101" t="str">
        <f t="shared" si="44"/>
        <v/>
      </c>
      <c r="V40" s="101" t="str">
        <f t="shared" si="44"/>
        <v/>
      </c>
      <c r="W40" s="101" t="str">
        <f t="shared" si="44"/>
        <v/>
      </c>
      <c r="X40" s="101" t="str">
        <f t="shared" si="44"/>
        <v/>
      </c>
      <c r="Y40" s="101" t="str">
        <f t="shared" si="44"/>
        <v/>
      </c>
      <c r="Z40" s="101" t="str">
        <f t="shared" si="44"/>
        <v/>
      </c>
      <c r="AA40" s="101" t="str">
        <f t="shared" si="44"/>
        <v/>
      </c>
      <c r="AB40" s="101" t="str">
        <f t="shared" si="44"/>
        <v/>
      </c>
      <c r="AC40" s="101" t="str">
        <f t="shared" si="44"/>
        <v/>
      </c>
      <c r="AD40" s="101" t="str">
        <f t="shared" si="44"/>
        <v/>
      </c>
      <c r="AE40" s="78">
        <v>0.41</v>
      </c>
      <c r="AF40" s="102">
        <f t="shared" si="27"/>
        <v>1312</v>
      </c>
      <c r="AG40" s="102">
        <f t="shared" si="28"/>
        <v>10168</v>
      </c>
    </row>
    <row r="41" s="90" customFormat="1" customHeight="1" spans="1:33">
      <c r="A41" s="70">
        <v>46129</v>
      </c>
      <c r="B41" s="76">
        <v>46186</v>
      </c>
      <c r="C41" s="73" t="s">
        <v>31</v>
      </c>
      <c r="D41" s="71">
        <v>1000003117</v>
      </c>
      <c r="E41" s="71" t="s">
        <v>30</v>
      </c>
      <c r="F41" s="74">
        <v>1602</v>
      </c>
      <c r="G41" s="71"/>
      <c r="H41" s="101" t="str">
        <f t="shared" ref="H41:AD41" si="45">IF(OR($E41="",H$2=""),"",IF(TRIM(LEFT($E41,MIN(IFERROR(FIND("CDU",UPPER($E41)),999),IFERROR(FIND("BULK",UPPER($E41)),999),IFERROR(FIND("-",$E41),999),IFERROR(FIND("（",$E41),999))-1))=H$2,$F41,""))</f>
        <v/>
      </c>
      <c r="I41" s="101" t="str">
        <f t="shared" si="45"/>
        <v/>
      </c>
      <c r="J41" s="101" t="str">
        <f t="shared" si="45"/>
        <v/>
      </c>
      <c r="K41" s="101" t="str">
        <f t="shared" si="45"/>
        <v/>
      </c>
      <c r="L41" s="101" t="str">
        <f t="shared" si="45"/>
        <v/>
      </c>
      <c r="M41" s="101">
        <f t="shared" si="45"/>
        <v>1602</v>
      </c>
      <c r="N41" s="101" t="str">
        <f t="shared" si="45"/>
        <v/>
      </c>
      <c r="O41" s="101" t="str">
        <f t="shared" si="45"/>
        <v/>
      </c>
      <c r="P41" s="101" t="str">
        <f t="shared" si="45"/>
        <v/>
      </c>
      <c r="Q41" s="101" t="str">
        <f t="shared" si="45"/>
        <v/>
      </c>
      <c r="R41" s="101" t="str">
        <f t="shared" si="45"/>
        <v/>
      </c>
      <c r="S41" s="101" t="str">
        <f t="shared" si="45"/>
        <v/>
      </c>
      <c r="T41" s="101" t="str">
        <f t="shared" si="45"/>
        <v/>
      </c>
      <c r="U41" s="101" t="str">
        <f t="shared" si="45"/>
        <v/>
      </c>
      <c r="V41" s="101" t="str">
        <f t="shared" si="45"/>
        <v/>
      </c>
      <c r="W41" s="101" t="str">
        <f t="shared" si="45"/>
        <v/>
      </c>
      <c r="X41" s="101" t="str">
        <f t="shared" si="45"/>
        <v/>
      </c>
      <c r="Y41" s="101" t="str">
        <f t="shared" si="45"/>
        <v/>
      </c>
      <c r="Z41" s="101" t="str">
        <f t="shared" si="45"/>
        <v/>
      </c>
      <c r="AA41" s="101" t="str">
        <f t="shared" si="45"/>
        <v/>
      </c>
      <c r="AB41" s="101" t="str">
        <f t="shared" si="45"/>
        <v/>
      </c>
      <c r="AC41" s="101" t="str">
        <f t="shared" si="45"/>
        <v/>
      </c>
      <c r="AD41" s="101" t="str">
        <f t="shared" si="45"/>
        <v/>
      </c>
      <c r="AE41" s="78">
        <v>4.58</v>
      </c>
      <c r="AF41" s="102">
        <f t="shared" si="27"/>
        <v>7337.16</v>
      </c>
      <c r="AG41" s="102">
        <f t="shared" si="28"/>
        <v>56862.99</v>
      </c>
    </row>
    <row r="42" s="90" customFormat="1" customHeight="1" spans="1:33">
      <c r="A42" s="70">
        <v>46129</v>
      </c>
      <c r="B42" s="76">
        <v>46186</v>
      </c>
      <c r="C42" s="73" t="s">
        <v>7</v>
      </c>
      <c r="D42" s="71">
        <v>1000003117</v>
      </c>
      <c r="E42" s="71" t="s">
        <v>6</v>
      </c>
      <c r="F42" s="74">
        <v>1008</v>
      </c>
      <c r="G42" s="71"/>
      <c r="H42" s="101" t="str">
        <f t="shared" ref="H42:AD42" si="46">IF(OR($E42="",H$2=""),"",IF(TRIM(LEFT($E42,MIN(IFERROR(FIND("CDU",UPPER($E42)),999),IFERROR(FIND("BULK",UPPER($E42)),999),IFERROR(FIND("-",$E42),999),IFERROR(FIND("（",$E42),999))-1))=H$2,$F42,""))</f>
        <v/>
      </c>
      <c r="I42" s="101" t="str">
        <f t="shared" si="46"/>
        <v/>
      </c>
      <c r="J42" s="101" t="str">
        <f t="shared" si="46"/>
        <v/>
      </c>
      <c r="K42" s="101" t="str">
        <f t="shared" si="46"/>
        <v/>
      </c>
      <c r="L42" s="101" t="str">
        <f t="shared" si="46"/>
        <v/>
      </c>
      <c r="M42" s="101" t="str">
        <f t="shared" si="46"/>
        <v/>
      </c>
      <c r="N42" s="101" t="str">
        <f t="shared" si="46"/>
        <v/>
      </c>
      <c r="O42" s="101" t="str">
        <f t="shared" si="46"/>
        <v/>
      </c>
      <c r="P42" s="101" t="str">
        <f t="shared" si="46"/>
        <v/>
      </c>
      <c r="Q42" s="101" t="str">
        <f t="shared" si="46"/>
        <v/>
      </c>
      <c r="R42" s="101" t="str">
        <f t="shared" si="46"/>
        <v/>
      </c>
      <c r="S42" s="101" t="str">
        <f t="shared" si="46"/>
        <v/>
      </c>
      <c r="T42" s="101" t="str">
        <f t="shared" si="46"/>
        <v/>
      </c>
      <c r="U42" s="101" t="str">
        <f t="shared" si="46"/>
        <v/>
      </c>
      <c r="V42" s="101" t="str">
        <f t="shared" si="46"/>
        <v/>
      </c>
      <c r="W42" s="101">
        <f t="shared" si="46"/>
        <v>1008</v>
      </c>
      <c r="X42" s="101" t="str">
        <f t="shared" si="46"/>
        <v/>
      </c>
      <c r="Y42" s="101" t="str">
        <f t="shared" si="46"/>
        <v/>
      </c>
      <c r="Z42" s="101" t="str">
        <f t="shared" si="46"/>
        <v/>
      </c>
      <c r="AA42" s="101" t="str">
        <f t="shared" si="46"/>
        <v/>
      </c>
      <c r="AB42" s="101" t="str">
        <f t="shared" si="46"/>
        <v/>
      </c>
      <c r="AC42" s="101" t="str">
        <f t="shared" si="46"/>
        <v/>
      </c>
      <c r="AD42" s="101" t="str">
        <f t="shared" si="46"/>
        <v/>
      </c>
      <c r="AE42" s="78">
        <v>4.65</v>
      </c>
      <c r="AF42" s="102">
        <f t="shared" si="27"/>
        <v>4687.2</v>
      </c>
      <c r="AG42" s="102">
        <f t="shared" si="28"/>
        <v>36325.8</v>
      </c>
    </row>
    <row r="43" s="90" customFormat="1" customHeight="1" spans="1:33">
      <c r="A43" s="70">
        <v>46129</v>
      </c>
      <c r="B43" s="76">
        <v>46186</v>
      </c>
      <c r="C43" s="73" t="s">
        <v>59</v>
      </c>
      <c r="D43" s="71">
        <v>1000003117</v>
      </c>
      <c r="E43" s="71" t="s">
        <v>58</v>
      </c>
      <c r="F43" s="74">
        <v>6000</v>
      </c>
      <c r="G43" s="71"/>
      <c r="H43" s="101" t="str">
        <f t="shared" ref="H43:AD43" si="47">IF(OR($E43="",H$2=""),"",IF(TRIM(LEFT($E43,MIN(IFERROR(FIND("CDU",UPPER($E43)),999),IFERROR(FIND("BULK",UPPER($E43)),999),IFERROR(FIND("-",$E43),999),IFERROR(FIND("（",$E43),999))-1))=H$2,$F43,""))</f>
        <v/>
      </c>
      <c r="I43" s="101">
        <f t="shared" si="47"/>
        <v>6000</v>
      </c>
      <c r="J43" s="101" t="str">
        <f t="shared" si="47"/>
        <v/>
      </c>
      <c r="K43" s="101" t="str">
        <f t="shared" si="47"/>
        <v/>
      </c>
      <c r="L43" s="101" t="str">
        <f t="shared" si="47"/>
        <v/>
      </c>
      <c r="M43" s="101" t="str">
        <f t="shared" si="47"/>
        <v/>
      </c>
      <c r="N43" s="101" t="str">
        <f t="shared" si="47"/>
        <v/>
      </c>
      <c r="O43" s="101" t="str">
        <f t="shared" si="47"/>
        <v/>
      </c>
      <c r="P43" s="101" t="str">
        <f t="shared" si="47"/>
        <v/>
      </c>
      <c r="Q43" s="101" t="str">
        <f t="shared" si="47"/>
        <v/>
      </c>
      <c r="R43" s="101" t="str">
        <f t="shared" si="47"/>
        <v/>
      </c>
      <c r="S43" s="101" t="str">
        <f t="shared" si="47"/>
        <v/>
      </c>
      <c r="T43" s="101" t="str">
        <f t="shared" si="47"/>
        <v/>
      </c>
      <c r="U43" s="101" t="str">
        <f t="shared" si="47"/>
        <v/>
      </c>
      <c r="V43" s="101" t="str">
        <f t="shared" si="47"/>
        <v/>
      </c>
      <c r="W43" s="101" t="str">
        <f t="shared" si="47"/>
        <v/>
      </c>
      <c r="X43" s="101" t="str">
        <f t="shared" si="47"/>
        <v/>
      </c>
      <c r="Y43" s="101" t="str">
        <f t="shared" si="47"/>
        <v/>
      </c>
      <c r="Z43" s="101" t="str">
        <f t="shared" si="47"/>
        <v/>
      </c>
      <c r="AA43" s="101" t="str">
        <f t="shared" si="47"/>
        <v/>
      </c>
      <c r="AB43" s="101" t="str">
        <f t="shared" si="47"/>
        <v/>
      </c>
      <c r="AC43" s="101" t="str">
        <f t="shared" si="47"/>
        <v/>
      </c>
      <c r="AD43" s="101" t="str">
        <f t="shared" si="47"/>
        <v/>
      </c>
      <c r="AE43" s="78">
        <v>7.38</v>
      </c>
      <c r="AF43" s="102">
        <f t="shared" si="27"/>
        <v>44280</v>
      </c>
      <c r="AG43" s="102">
        <f t="shared" si="28"/>
        <v>343170</v>
      </c>
    </row>
    <row r="44" s="90" customFormat="1" customHeight="1" spans="1:33">
      <c r="A44" s="70">
        <v>46161</v>
      </c>
      <c r="B44" s="76">
        <v>46225</v>
      </c>
      <c r="C44" s="73" t="s">
        <v>67</v>
      </c>
      <c r="D44" s="71">
        <v>1000003458</v>
      </c>
      <c r="E44" s="71" t="s">
        <v>66</v>
      </c>
      <c r="F44" s="74">
        <v>1008</v>
      </c>
      <c r="G44" s="71"/>
      <c r="H44" s="101" t="str">
        <f t="shared" ref="H44:AD44" si="48">IF(OR($E44="",H$2=""),"",IF(TRIM(LEFT($E44,MIN(IFERROR(FIND("CDU",UPPER($E44)),999),IFERROR(FIND("BULK",UPPER($E44)),999),IFERROR(FIND("-",$E44),999),IFERROR(FIND("（",$E44),999))-1))=H$2,$F44,""))</f>
        <v/>
      </c>
      <c r="I44" s="101" t="str">
        <f t="shared" si="48"/>
        <v/>
      </c>
      <c r="J44" s="101" t="str">
        <f t="shared" si="48"/>
        <v/>
      </c>
      <c r="K44" s="101" t="str">
        <f t="shared" si="48"/>
        <v/>
      </c>
      <c r="L44" s="101" t="str">
        <f t="shared" si="48"/>
        <v/>
      </c>
      <c r="M44" s="101" t="str">
        <f t="shared" si="48"/>
        <v/>
      </c>
      <c r="N44" s="101" t="str">
        <f t="shared" si="48"/>
        <v/>
      </c>
      <c r="O44" s="101" t="str">
        <f t="shared" si="48"/>
        <v/>
      </c>
      <c r="P44" s="101" t="str">
        <f t="shared" si="48"/>
        <v/>
      </c>
      <c r="Q44" s="101" t="str">
        <f t="shared" si="48"/>
        <v/>
      </c>
      <c r="R44" s="101">
        <f t="shared" si="48"/>
        <v>1008</v>
      </c>
      <c r="S44" s="101" t="str">
        <f t="shared" si="48"/>
        <v/>
      </c>
      <c r="T44" s="101" t="str">
        <f t="shared" si="48"/>
        <v/>
      </c>
      <c r="U44" s="101" t="str">
        <f t="shared" si="48"/>
        <v/>
      </c>
      <c r="V44" s="101" t="str">
        <f t="shared" si="48"/>
        <v/>
      </c>
      <c r="W44" s="101" t="str">
        <f t="shared" si="48"/>
        <v/>
      </c>
      <c r="X44" s="101" t="str">
        <f t="shared" si="48"/>
        <v/>
      </c>
      <c r="Y44" s="101" t="str">
        <f t="shared" si="48"/>
        <v/>
      </c>
      <c r="Z44" s="101" t="str">
        <f t="shared" si="48"/>
        <v/>
      </c>
      <c r="AA44" s="101" t="str">
        <f t="shared" si="48"/>
        <v/>
      </c>
      <c r="AB44" s="101" t="str">
        <f t="shared" si="48"/>
        <v/>
      </c>
      <c r="AC44" s="101" t="str">
        <f t="shared" si="48"/>
        <v/>
      </c>
      <c r="AD44" s="101" t="str">
        <f t="shared" si="48"/>
        <v/>
      </c>
      <c r="AE44" s="78">
        <v>5.45</v>
      </c>
      <c r="AF44" s="102">
        <f t="shared" ref="AF44:AF56" si="49">SUM(H44:AD44)*AE44</f>
        <v>5493.6</v>
      </c>
      <c r="AG44" s="102">
        <f t="shared" ref="AG44:AG56" si="50">AF44*7.75</f>
        <v>42575.4</v>
      </c>
    </row>
    <row r="45" s="90" customFormat="1" customHeight="1" spans="1:33">
      <c r="A45" s="70">
        <v>46161</v>
      </c>
      <c r="B45" s="76">
        <v>46225</v>
      </c>
      <c r="C45" s="73" t="s">
        <v>51</v>
      </c>
      <c r="D45" s="71">
        <v>1000003458</v>
      </c>
      <c r="E45" s="71" t="s">
        <v>50</v>
      </c>
      <c r="F45" s="74">
        <v>2508</v>
      </c>
      <c r="G45" s="71"/>
      <c r="H45" s="101" t="str">
        <f t="shared" ref="H45:AD45" si="51">IF(OR($E45="",H$2=""),"",IF(TRIM(LEFT($E45,MIN(IFERROR(FIND("CDU",UPPER($E45)),999),IFERROR(FIND("BULK",UPPER($E45)),999),IFERROR(FIND("-",$E45),999),IFERROR(FIND("（",$E45),999))-1))=H$2,$F45,""))</f>
        <v/>
      </c>
      <c r="I45" s="101" t="str">
        <f t="shared" si="51"/>
        <v/>
      </c>
      <c r="J45" s="101">
        <f t="shared" si="51"/>
        <v>2508</v>
      </c>
      <c r="K45" s="101" t="str">
        <f t="shared" si="51"/>
        <v/>
      </c>
      <c r="L45" s="101" t="str">
        <f t="shared" si="51"/>
        <v/>
      </c>
      <c r="M45" s="101" t="str">
        <f t="shared" si="51"/>
        <v/>
      </c>
      <c r="N45" s="101" t="str">
        <f t="shared" si="51"/>
        <v/>
      </c>
      <c r="O45" s="101" t="str">
        <f t="shared" si="51"/>
        <v/>
      </c>
      <c r="P45" s="101" t="str">
        <f t="shared" si="51"/>
        <v/>
      </c>
      <c r="Q45" s="101" t="str">
        <f t="shared" si="51"/>
        <v/>
      </c>
      <c r="R45" s="101" t="str">
        <f t="shared" si="51"/>
        <v/>
      </c>
      <c r="S45" s="101" t="str">
        <f t="shared" si="51"/>
        <v/>
      </c>
      <c r="T45" s="101" t="str">
        <f t="shared" si="51"/>
        <v/>
      </c>
      <c r="U45" s="101" t="str">
        <f t="shared" si="51"/>
        <v/>
      </c>
      <c r="V45" s="101" t="str">
        <f t="shared" si="51"/>
        <v/>
      </c>
      <c r="W45" s="101" t="str">
        <f t="shared" si="51"/>
        <v/>
      </c>
      <c r="X45" s="101" t="str">
        <f t="shared" si="51"/>
        <v/>
      </c>
      <c r="Y45" s="101" t="str">
        <f t="shared" si="51"/>
        <v/>
      </c>
      <c r="Z45" s="101" t="str">
        <f t="shared" si="51"/>
        <v/>
      </c>
      <c r="AA45" s="101" t="str">
        <f t="shared" si="51"/>
        <v/>
      </c>
      <c r="AB45" s="101" t="str">
        <f t="shared" si="51"/>
        <v/>
      </c>
      <c r="AC45" s="101" t="str">
        <f t="shared" si="51"/>
        <v/>
      </c>
      <c r="AD45" s="101" t="str">
        <f t="shared" si="51"/>
        <v/>
      </c>
      <c r="AE45" s="78">
        <v>7.19</v>
      </c>
      <c r="AF45" s="102">
        <f t="shared" si="49"/>
        <v>18032.52</v>
      </c>
      <c r="AG45" s="102">
        <f t="shared" si="50"/>
        <v>139752.03</v>
      </c>
    </row>
    <row r="46" s="90" customFormat="1" customHeight="1" spans="1:33">
      <c r="A46" s="70">
        <v>46161</v>
      </c>
      <c r="B46" s="76">
        <v>46225</v>
      </c>
      <c r="C46" s="73" t="s">
        <v>47</v>
      </c>
      <c r="D46" s="71">
        <v>1000003458</v>
      </c>
      <c r="E46" s="71" t="s">
        <v>46</v>
      </c>
      <c r="F46" s="74">
        <v>2520</v>
      </c>
      <c r="G46" s="71"/>
      <c r="H46" s="101" t="str">
        <f t="shared" ref="H46:AD46" si="52">IF(OR($E46="",H$2=""),"",IF(TRIM(LEFT($E46,MIN(IFERROR(FIND("CDU",UPPER($E46)),999),IFERROR(FIND("BULK",UPPER($E46)),999),IFERROR(FIND("-",$E46),999),IFERROR(FIND("（",$E46),999))-1))=H$2,$F46,""))</f>
        <v/>
      </c>
      <c r="I46" s="101" t="str">
        <f t="shared" si="52"/>
        <v/>
      </c>
      <c r="J46" s="101" t="str">
        <f t="shared" si="52"/>
        <v/>
      </c>
      <c r="K46" s="101" t="str">
        <f t="shared" si="52"/>
        <v/>
      </c>
      <c r="L46" s="101" t="str">
        <f t="shared" si="52"/>
        <v/>
      </c>
      <c r="M46" s="101" t="str">
        <f t="shared" si="52"/>
        <v/>
      </c>
      <c r="N46" s="101" t="str">
        <f t="shared" si="52"/>
        <v/>
      </c>
      <c r="O46" s="101" t="str">
        <f t="shared" si="52"/>
        <v/>
      </c>
      <c r="P46" s="101" t="str">
        <f t="shared" si="52"/>
        <v/>
      </c>
      <c r="Q46" s="101">
        <f t="shared" si="52"/>
        <v>2520</v>
      </c>
      <c r="R46" s="101" t="str">
        <f t="shared" si="52"/>
        <v/>
      </c>
      <c r="S46" s="101" t="str">
        <f t="shared" si="52"/>
        <v/>
      </c>
      <c r="T46" s="101" t="str">
        <f t="shared" si="52"/>
        <v/>
      </c>
      <c r="U46" s="101" t="str">
        <f t="shared" si="52"/>
        <v/>
      </c>
      <c r="V46" s="101" t="str">
        <f t="shared" si="52"/>
        <v/>
      </c>
      <c r="W46" s="101" t="str">
        <f t="shared" si="52"/>
        <v/>
      </c>
      <c r="X46" s="101" t="str">
        <f t="shared" si="52"/>
        <v/>
      </c>
      <c r="Y46" s="101" t="str">
        <f t="shared" si="52"/>
        <v/>
      </c>
      <c r="Z46" s="101" t="str">
        <f t="shared" si="52"/>
        <v/>
      </c>
      <c r="AA46" s="101" t="str">
        <f t="shared" si="52"/>
        <v/>
      </c>
      <c r="AB46" s="101" t="str">
        <f t="shared" si="52"/>
        <v/>
      </c>
      <c r="AC46" s="101" t="str">
        <f t="shared" si="52"/>
        <v/>
      </c>
      <c r="AD46" s="101" t="str">
        <f t="shared" si="52"/>
        <v/>
      </c>
      <c r="AE46" s="78">
        <v>7.16</v>
      </c>
      <c r="AF46" s="102">
        <f t="shared" si="49"/>
        <v>18043.2</v>
      </c>
      <c r="AG46" s="102">
        <f t="shared" si="50"/>
        <v>139834.8</v>
      </c>
    </row>
    <row r="47" s="88" customFormat="1" customHeight="1" spans="1:33">
      <c r="A47" s="53">
        <v>46200</v>
      </c>
      <c r="B47" s="56">
        <v>46251</v>
      </c>
      <c r="C47" s="85" t="s">
        <v>63</v>
      </c>
      <c r="D47" s="43">
        <v>1000003832</v>
      </c>
      <c r="E47" s="67" t="s">
        <v>62</v>
      </c>
      <c r="F47" s="63">
        <v>1500</v>
      </c>
      <c r="G47" s="43"/>
      <c r="H47" s="98" t="str">
        <f t="shared" ref="H47:AD47" si="53">IF(OR($E47="",H$2=""),"",IF(TRIM(LEFT($E47,MIN(IFERROR(FIND("CDU",UPPER($E47)),999),IFERROR(FIND("BULK",UPPER($E47)),999),IFERROR(FIND("-",$E47),999),IFERROR(FIND("（",$E47),999))-1))=H$2,$F47,""))</f>
        <v/>
      </c>
      <c r="I47" s="98" t="str">
        <f t="shared" si="53"/>
        <v/>
      </c>
      <c r="J47" s="98" t="str">
        <f t="shared" si="53"/>
        <v/>
      </c>
      <c r="K47" s="98" t="str">
        <f t="shared" si="53"/>
        <v/>
      </c>
      <c r="L47" s="98" t="str">
        <f t="shared" si="53"/>
        <v/>
      </c>
      <c r="M47" s="98" t="str">
        <f t="shared" si="53"/>
        <v/>
      </c>
      <c r="N47" s="98" t="str">
        <f t="shared" si="53"/>
        <v/>
      </c>
      <c r="O47" s="98">
        <f t="shared" si="53"/>
        <v>1500</v>
      </c>
      <c r="P47" s="98" t="str">
        <f t="shared" si="53"/>
        <v/>
      </c>
      <c r="Q47" s="98" t="str">
        <f t="shared" si="53"/>
        <v/>
      </c>
      <c r="R47" s="98" t="str">
        <f t="shared" si="53"/>
        <v/>
      </c>
      <c r="S47" s="98" t="str">
        <f t="shared" si="53"/>
        <v/>
      </c>
      <c r="T47" s="98" t="str">
        <f t="shared" si="53"/>
        <v/>
      </c>
      <c r="U47" s="98" t="str">
        <f t="shared" si="53"/>
        <v/>
      </c>
      <c r="V47" s="98" t="str">
        <f t="shared" si="53"/>
        <v/>
      </c>
      <c r="W47" s="98" t="str">
        <f t="shared" si="53"/>
        <v/>
      </c>
      <c r="X47" s="98" t="str">
        <f t="shared" si="53"/>
        <v/>
      </c>
      <c r="Y47" s="98" t="str">
        <f t="shared" si="53"/>
        <v/>
      </c>
      <c r="Z47" s="98" t="str">
        <f t="shared" si="53"/>
        <v/>
      </c>
      <c r="AA47" s="98" t="str">
        <f t="shared" si="53"/>
        <v/>
      </c>
      <c r="AB47" s="98" t="str">
        <f t="shared" si="53"/>
        <v/>
      </c>
      <c r="AC47" s="98" t="str">
        <f t="shared" si="53"/>
        <v/>
      </c>
      <c r="AD47" s="98" t="str">
        <f t="shared" si="53"/>
        <v/>
      </c>
      <c r="AE47" s="59">
        <v>9.71</v>
      </c>
      <c r="AF47" s="100">
        <f t="shared" si="49"/>
        <v>14565</v>
      </c>
      <c r="AG47" s="100">
        <f t="shared" si="50"/>
        <v>112878.75</v>
      </c>
    </row>
    <row r="48" s="88" customFormat="1" customHeight="1" spans="1:33">
      <c r="A48" s="53">
        <v>46200</v>
      </c>
      <c r="B48" s="56">
        <v>46251</v>
      </c>
      <c r="C48" s="85" t="s">
        <v>55</v>
      </c>
      <c r="D48" s="43">
        <v>1000003832</v>
      </c>
      <c r="E48" s="67" t="s">
        <v>54</v>
      </c>
      <c r="F48" s="63">
        <v>2520</v>
      </c>
      <c r="G48" s="43"/>
      <c r="H48" s="98" t="str">
        <f t="shared" ref="H48:AD48" si="54">IF(OR($E48="",H$2=""),"",IF(TRIM(LEFT($E48,MIN(IFERROR(FIND("CDU",UPPER($E48)),999),IFERROR(FIND("BULK",UPPER($E48)),999),IFERROR(FIND("-",$E48),999),IFERROR(FIND("（",$E48),999))-1))=H$2,$F48,""))</f>
        <v/>
      </c>
      <c r="I48" s="98" t="str">
        <f t="shared" si="54"/>
        <v/>
      </c>
      <c r="J48" s="98" t="str">
        <f t="shared" si="54"/>
        <v/>
      </c>
      <c r="K48" s="98" t="str">
        <f t="shared" si="54"/>
        <v/>
      </c>
      <c r="L48" s="98" t="str">
        <f t="shared" si="54"/>
        <v/>
      </c>
      <c r="M48" s="98" t="str">
        <f t="shared" si="54"/>
        <v/>
      </c>
      <c r="N48" s="98" t="str">
        <f t="shared" si="54"/>
        <v/>
      </c>
      <c r="O48" s="98" t="str">
        <f t="shared" si="54"/>
        <v/>
      </c>
      <c r="P48" s="98" t="str">
        <f t="shared" si="54"/>
        <v/>
      </c>
      <c r="Q48" s="98" t="str">
        <f t="shared" si="54"/>
        <v/>
      </c>
      <c r="R48" s="98" t="str">
        <f t="shared" si="54"/>
        <v/>
      </c>
      <c r="S48" s="98" t="str">
        <f t="shared" si="54"/>
        <v/>
      </c>
      <c r="T48" s="98" t="str">
        <f t="shared" si="54"/>
        <v/>
      </c>
      <c r="U48" s="98" t="str">
        <f t="shared" si="54"/>
        <v/>
      </c>
      <c r="V48" s="98" t="str">
        <f t="shared" si="54"/>
        <v/>
      </c>
      <c r="W48" s="98" t="str">
        <f t="shared" si="54"/>
        <v/>
      </c>
      <c r="X48" s="98">
        <f t="shared" si="54"/>
        <v>2520</v>
      </c>
      <c r="Y48" s="98" t="str">
        <f t="shared" si="54"/>
        <v/>
      </c>
      <c r="Z48" s="98" t="str">
        <f t="shared" si="54"/>
        <v/>
      </c>
      <c r="AA48" s="98" t="str">
        <f t="shared" si="54"/>
        <v/>
      </c>
      <c r="AB48" s="98" t="str">
        <f t="shared" si="54"/>
        <v/>
      </c>
      <c r="AC48" s="98" t="str">
        <f t="shared" si="54"/>
        <v/>
      </c>
      <c r="AD48" s="98" t="str">
        <f t="shared" si="54"/>
        <v/>
      </c>
      <c r="AE48" s="59">
        <v>6.79</v>
      </c>
      <c r="AF48" s="100">
        <f t="shared" si="49"/>
        <v>17110.8</v>
      </c>
      <c r="AG48" s="100">
        <f t="shared" si="50"/>
        <v>132608.7</v>
      </c>
    </row>
    <row r="49" s="88" customFormat="1" customHeight="1" spans="1:33">
      <c r="A49" s="53">
        <v>46200</v>
      </c>
      <c r="B49" s="56">
        <v>46251</v>
      </c>
      <c r="C49" s="85" t="s">
        <v>47</v>
      </c>
      <c r="D49" s="43">
        <v>1000003832</v>
      </c>
      <c r="E49" s="67" t="s">
        <v>46</v>
      </c>
      <c r="F49" s="63">
        <v>2520</v>
      </c>
      <c r="G49" s="43"/>
      <c r="H49" s="98" t="str">
        <f t="shared" ref="H49:AD49" si="55">IF(OR($E49="",H$2=""),"",IF(TRIM(LEFT($E49,MIN(IFERROR(FIND("CDU",UPPER($E49)),999),IFERROR(FIND("BULK",UPPER($E49)),999),IFERROR(FIND("-",$E49),999),IFERROR(FIND("（",$E49),999))-1))=H$2,$F49,""))</f>
        <v/>
      </c>
      <c r="I49" s="98" t="str">
        <f t="shared" si="55"/>
        <v/>
      </c>
      <c r="J49" s="98" t="str">
        <f t="shared" si="55"/>
        <v/>
      </c>
      <c r="K49" s="98" t="str">
        <f t="shared" si="55"/>
        <v/>
      </c>
      <c r="L49" s="98" t="str">
        <f t="shared" si="55"/>
        <v/>
      </c>
      <c r="M49" s="98" t="str">
        <f t="shared" si="55"/>
        <v/>
      </c>
      <c r="N49" s="98" t="str">
        <f t="shared" si="55"/>
        <v/>
      </c>
      <c r="O49" s="98" t="str">
        <f t="shared" si="55"/>
        <v/>
      </c>
      <c r="P49" s="98" t="str">
        <f t="shared" si="55"/>
        <v/>
      </c>
      <c r="Q49" s="98">
        <f t="shared" si="55"/>
        <v>2520</v>
      </c>
      <c r="R49" s="98" t="str">
        <f t="shared" si="55"/>
        <v/>
      </c>
      <c r="S49" s="98" t="str">
        <f t="shared" si="55"/>
        <v/>
      </c>
      <c r="T49" s="98" t="str">
        <f t="shared" si="55"/>
        <v/>
      </c>
      <c r="U49" s="98" t="str">
        <f t="shared" si="55"/>
        <v/>
      </c>
      <c r="V49" s="98" t="str">
        <f t="shared" si="55"/>
        <v/>
      </c>
      <c r="W49" s="98" t="str">
        <f t="shared" si="55"/>
        <v/>
      </c>
      <c r="X49" s="98" t="str">
        <f t="shared" si="55"/>
        <v/>
      </c>
      <c r="Y49" s="98" t="str">
        <f t="shared" si="55"/>
        <v/>
      </c>
      <c r="Z49" s="98" t="str">
        <f t="shared" si="55"/>
        <v/>
      </c>
      <c r="AA49" s="98" t="str">
        <f t="shared" si="55"/>
        <v/>
      </c>
      <c r="AB49" s="98" t="str">
        <f t="shared" si="55"/>
        <v/>
      </c>
      <c r="AC49" s="98" t="str">
        <f t="shared" si="55"/>
        <v/>
      </c>
      <c r="AD49" s="98" t="str">
        <f t="shared" si="55"/>
        <v/>
      </c>
      <c r="AE49" s="59">
        <v>7.16</v>
      </c>
      <c r="AF49" s="100">
        <f t="shared" si="49"/>
        <v>18043.2</v>
      </c>
      <c r="AG49" s="100">
        <f t="shared" si="50"/>
        <v>139834.8</v>
      </c>
    </row>
    <row r="50" s="88" customFormat="1" customHeight="1" spans="1:33">
      <c r="A50" s="53">
        <v>46219</v>
      </c>
      <c r="B50" s="86">
        <v>46275</v>
      </c>
      <c r="C50" s="67" t="s">
        <v>71</v>
      </c>
      <c r="D50" s="43"/>
      <c r="E50" s="67" t="s">
        <v>70</v>
      </c>
      <c r="F50" s="63">
        <v>4000</v>
      </c>
      <c r="G50" s="43"/>
      <c r="H50" s="98" t="str">
        <f t="shared" ref="H50:AD50" si="56">IF(OR($E50="",H$2=""),"",IF(TRIM(LEFT($E50,MIN(IFERROR(FIND("CDU",UPPER($E50)),999),IFERROR(FIND("BULK",UPPER($E50)),999),IFERROR(FIND("-",$E50),999),IFERROR(FIND("（",$E50),999))-1))=H$2,$F50,""))</f>
        <v/>
      </c>
      <c r="I50" s="98" t="str">
        <f t="shared" si="56"/>
        <v/>
      </c>
      <c r="J50" s="98" t="str">
        <f t="shared" si="56"/>
        <v/>
      </c>
      <c r="K50" s="98" t="str">
        <f t="shared" si="56"/>
        <v/>
      </c>
      <c r="L50" s="98" t="str">
        <f t="shared" si="56"/>
        <v/>
      </c>
      <c r="M50" s="98" t="str">
        <f t="shared" si="56"/>
        <v/>
      </c>
      <c r="N50" s="98" t="str">
        <f t="shared" si="56"/>
        <v/>
      </c>
      <c r="O50" s="98" t="str">
        <f t="shared" si="56"/>
        <v/>
      </c>
      <c r="P50" s="98" t="str">
        <f t="shared" si="56"/>
        <v/>
      </c>
      <c r="Q50" s="98" t="str">
        <f t="shared" si="56"/>
        <v/>
      </c>
      <c r="R50" s="98" t="str">
        <f t="shared" si="56"/>
        <v/>
      </c>
      <c r="S50" s="98" t="str">
        <f t="shared" si="56"/>
        <v/>
      </c>
      <c r="T50" s="98" t="str">
        <f t="shared" si="56"/>
        <v/>
      </c>
      <c r="U50" s="98" t="str">
        <f t="shared" si="56"/>
        <v/>
      </c>
      <c r="V50" s="98" t="str">
        <f t="shared" si="56"/>
        <v/>
      </c>
      <c r="W50" s="98" t="str">
        <f t="shared" si="56"/>
        <v/>
      </c>
      <c r="X50" s="98" t="str">
        <f t="shared" si="56"/>
        <v/>
      </c>
      <c r="Y50" s="98" t="str">
        <f t="shared" si="56"/>
        <v/>
      </c>
      <c r="Z50" s="98" t="str">
        <f t="shared" si="56"/>
        <v/>
      </c>
      <c r="AA50" s="98" t="str">
        <f t="shared" si="56"/>
        <v/>
      </c>
      <c r="AB50" s="98">
        <f t="shared" si="56"/>
        <v>4000</v>
      </c>
      <c r="AC50" s="98" t="str">
        <f t="shared" si="56"/>
        <v/>
      </c>
      <c r="AD50" s="98" t="str">
        <f t="shared" si="56"/>
        <v/>
      </c>
      <c r="AE50" s="59">
        <v>0.21</v>
      </c>
      <c r="AF50" s="100">
        <f t="shared" si="49"/>
        <v>840</v>
      </c>
      <c r="AG50" s="100">
        <f t="shared" si="50"/>
        <v>6510</v>
      </c>
    </row>
    <row r="51" s="88" customFormat="1" customHeight="1" spans="1:33">
      <c r="A51" s="53">
        <v>46219</v>
      </c>
      <c r="B51" s="86">
        <v>46275</v>
      </c>
      <c r="C51" s="67" t="s">
        <v>91</v>
      </c>
      <c r="D51" s="43"/>
      <c r="E51" s="67" t="s">
        <v>90</v>
      </c>
      <c r="F51" s="63">
        <v>4800</v>
      </c>
      <c r="G51" s="43"/>
      <c r="H51" s="98" t="str">
        <f t="shared" ref="H51:AD51" si="57">IF(OR($E51="",H$2=""),"",IF(TRIM(LEFT($E51,MIN(IFERROR(FIND("CDU",UPPER($E51)),999),IFERROR(FIND("BULK",UPPER($E51)),999),IFERROR(FIND("-",$E51),999),IFERROR(FIND("（",$E51),999))-1))=H$2,$F51,""))</f>
        <v/>
      </c>
      <c r="I51" s="98" t="str">
        <f t="shared" si="57"/>
        <v/>
      </c>
      <c r="J51" s="98" t="str">
        <f t="shared" si="57"/>
        <v/>
      </c>
      <c r="K51" s="98" t="str">
        <f t="shared" si="57"/>
        <v/>
      </c>
      <c r="L51" s="98" t="str">
        <f t="shared" si="57"/>
        <v/>
      </c>
      <c r="M51" s="98" t="str">
        <f t="shared" si="57"/>
        <v/>
      </c>
      <c r="N51" s="98" t="str">
        <f t="shared" si="57"/>
        <v/>
      </c>
      <c r="O51" s="98" t="str">
        <f t="shared" si="57"/>
        <v/>
      </c>
      <c r="P51" s="98" t="str">
        <f t="shared" si="57"/>
        <v/>
      </c>
      <c r="Q51" s="98" t="str">
        <f t="shared" si="57"/>
        <v/>
      </c>
      <c r="R51" s="98" t="str">
        <f t="shared" si="57"/>
        <v/>
      </c>
      <c r="S51" s="98" t="str">
        <f t="shared" si="57"/>
        <v/>
      </c>
      <c r="T51" s="98" t="str">
        <f t="shared" si="57"/>
        <v/>
      </c>
      <c r="U51" s="98">
        <f t="shared" si="57"/>
        <v>4800</v>
      </c>
      <c r="V51" s="98" t="str">
        <f t="shared" si="57"/>
        <v/>
      </c>
      <c r="W51" s="98" t="str">
        <f t="shared" si="57"/>
        <v/>
      </c>
      <c r="X51" s="98" t="str">
        <f t="shared" si="57"/>
        <v/>
      </c>
      <c r="Y51" s="98" t="str">
        <f t="shared" si="57"/>
        <v/>
      </c>
      <c r="Z51" s="98" t="str">
        <f t="shared" si="57"/>
        <v/>
      </c>
      <c r="AA51" s="98" t="str">
        <f t="shared" si="57"/>
        <v/>
      </c>
      <c r="AB51" s="98" t="str">
        <f t="shared" si="57"/>
        <v/>
      </c>
      <c r="AC51" s="98" t="str">
        <f t="shared" si="57"/>
        <v/>
      </c>
      <c r="AD51" s="98" t="str">
        <f t="shared" si="57"/>
        <v/>
      </c>
      <c r="AE51" s="59">
        <v>0.16</v>
      </c>
      <c r="AF51" s="100">
        <f t="shared" si="49"/>
        <v>768</v>
      </c>
      <c r="AG51" s="100">
        <f t="shared" si="50"/>
        <v>5952</v>
      </c>
    </row>
    <row r="52" s="88" customFormat="1" customHeight="1" spans="1:33">
      <c r="A52" s="95"/>
      <c r="B52" s="95"/>
      <c r="C52" s="103"/>
      <c r="D52" s="98"/>
      <c r="E52" s="98"/>
      <c r="F52" s="104"/>
      <c r="G52" s="43"/>
      <c r="H52" s="98" t="str">
        <f t="shared" ref="H52:AD52" si="58">IF(OR($E52="",H$2=""),"",IF(TRIM(LEFT($E52,MIN(IFERROR(FIND("CDU",UPPER($E52)),999),IFERROR(FIND("BULK",UPPER($E52)),999),IFERROR(FIND("-",$E52),999),IFERROR(FIND("（",$E52),999))-1))=H$2,$F52,""))</f>
        <v/>
      </c>
      <c r="I52" s="98" t="str">
        <f t="shared" si="58"/>
        <v/>
      </c>
      <c r="J52" s="98" t="str">
        <f t="shared" si="58"/>
        <v/>
      </c>
      <c r="K52" s="98" t="str">
        <f t="shared" si="58"/>
        <v/>
      </c>
      <c r="L52" s="98" t="str">
        <f t="shared" si="58"/>
        <v/>
      </c>
      <c r="M52" s="98" t="str">
        <f t="shared" si="58"/>
        <v/>
      </c>
      <c r="N52" s="98" t="str">
        <f t="shared" si="58"/>
        <v/>
      </c>
      <c r="O52" s="98" t="str">
        <f t="shared" si="58"/>
        <v/>
      </c>
      <c r="P52" s="98" t="str">
        <f t="shared" si="58"/>
        <v/>
      </c>
      <c r="Q52" s="98" t="str">
        <f t="shared" si="58"/>
        <v/>
      </c>
      <c r="R52" s="98" t="str">
        <f t="shared" si="58"/>
        <v/>
      </c>
      <c r="S52" s="98" t="str">
        <f t="shared" si="58"/>
        <v/>
      </c>
      <c r="T52" s="98" t="str">
        <f t="shared" si="58"/>
        <v/>
      </c>
      <c r="U52" s="98" t="str">
        <f t="shared" si="58"/>
        <v/>
      </c>
      <c r="V52" s="98" t="str">
        <f t="shared" si="58"/>
        <v/>
      </c>
      <c r="W52" s="98" t="str">
        <f t="shared" si="58"/>
        <v/>
      </c>
      <c r="X52" s="98" t="str">
        <f t="shared" si="58"/>
        <v/>
      </c>
      <c r="Y52" s="98" t="str">
        <f t="shared" si="58"/>
        <v/>
      </c>
      <c r="Z52" s="98" t="str">
        <f t="shared" si="58"/>
        <v/>
      </c>
      <c r="AA52" s="98" t="str">
        <f t="shared" si="58"/>
        <v/>
      </c>
      <c r="AB52" s="98" t="str">
        <f t="shared" si="58"/>
        <v/>
      </c>
      <c r="AC52" s="98" t="str">
        <f t="shared" si="58"/>
        <v/>
      </c>
      <c r="AD52" s="98" t="str">
        <f t="shared" si="58"/>
        <v/>
      </c>
      <c r="AE52" s="99"/>
      <c r="AF52" s="100">
        <f t="shared" si="49"/>
        <v>0</v>
      </c>
      <c r="AG52" s="100">
        <f t="shared" si="50"/>
        <v>0</v>
      </c>
    </row>
    <row r="53" s="88" customFormat="1" customHeight="1" spans="1:33">
      <c r="A53" s="95"/>
      <c r="B53" s="95"/>
      <c r="C53" s="103"/>
      <c r="D53" s="98"/>
      <c r="E53" s="98"/>
      <c r="F53" s="104"/>
      <c r="G53" s="43"/>
      <c r="H53" s="98" t="str">
        <f t="shared" ref="H53:AD53" si="59">IF(OR($E53="",H$2=""),"",IF(TRIM(LEFT($E53,MIN(IFERROR(FIND("CDU",UPPER($E53)),999),IFERROR(FIND("BULK",UPPER($E53)),999),IFERROR(FIND("-",$E53),999),IFERROR(FIND("（",$E53),999))-1))=H$2,$F53,""))</f>
        <v/>
      </c>
      <c r="I53" s="98" t="str">
        <f t="shared" si="59"/>
        <v/>
      </c>
      <c r="J53" s="98" t="str">
        <f t="shared" si="59"/>
        <v/>
      </c>
      <c r="K53" s="98" t="str">
        <f t="shared" si="59"/>
        <v/>
      </c>
      <c r="L53" s="98" t="str">
        <f t="shared" si="59"/>
        <v/>
      </c>
      <c r="M53" s="98" t="str">
        <f t="shared" si="59"/>
        <v/>
      </c>
      <c r="N53" s="98" t="str">
        <f t="shared" si="59"/>
        <v/>
      </c>
      <c r="O53" s="98" t="str">
        <f t="shared" si="59"/>
        <v/>
      </c>
      <c r="P53" s="98" t="str">
        <f t="shared" si="59"/>
        <v/>
      </c>
      <c r="Q53" s="98" t="str">
        <f t="shared" si="59"/>
        <v/>
      </c>
      <c r="R53" s="98" t="str">
        <f t="shared" si="59"/>
        <v/>
      </c>
      <c r="S53" s="98" t="str">
        <f t="shared" si="59"/>
        <v/>
      </c>
      <c r="T53" s="98" t="str">
        <f t="shared" si="59"/>
        <v/>
      </c>
      <c r="U53" s="98" t="str">
        <f t="shared" si="59"/>
        <v/>
      </c>
      <c r="V53" s="98" t="str">
        <f t="shared" si="59"/>
        <v/>
      </c>
      <c r="W53" s="98" t="str">
        <f t="shared" si="59"/>
        <v/>
      </c>
      <c r="X53" s="98" t="str">
        <f t="shared" si="59"/>
        <v/>
      </c>
      <c r="Y53" s="98" t="str">
        <f t="shared" si="59"/>
        <v/>
      </c>
      <c r="Z53" s="98" t="str">
        <f t="shared" si="59"/>
        <v/>
      </c>
      <c r="AA53" s="98" t="str">
        <f t="shared" si="59"/>
        <v/>
      </c>
      <c r="AB53" s="98" t="str">
        <f t="shared" si="59"/>
        <v/>
      </c>
      <c r="AC53" s="98" t="str">
        <f t="shared" si="59"/>
        <v/>
      </c>
      <c r="AD53" s="98" t="str">
        <f t="shared" si="59"/>
        <v/>
      </c>
      <c r="AE53" s="99"/>
      <c r="AF53" s="100">
        <f t="shared" si="49"/>
        <v>0</v>
      </c>
      <c r="AG53" s="100">
        <f t="shared" si="50"/>
        <v>0</v>
      </c>
    </row>
    <row r="54" s="88" customFormat="1" customHeight="1" spans="1:33">
      <c r="A54" s="95"/>
      <c r="B54" s="95"/>
      <c r="C54" s="103"/>
      <c r="D54" s="98"/>
      <c r="E54" s="98"/>
      <c r="F54" s="104"/>
      <c r="G54" s="43"/>
      <c r="H54" s="98" t="str">
        <f t="shared" ref="H54:AD54" si="60">IF(OR($E54="",H$2=""),"",IF(TRIM(LEFT($E54,MIN(IFERROR(FIND("CDU",UPPER($E54)),999),IFERROR(FIND("BULK",UPPER($E54)),999),IFERROR(FIND("-",$E54),999),IFERROR(FIND("（",$E54),999))-1))=H$2,$F54,""))</f>
        <v/>
      </c>
      <c r="I54" s="98" t="str">
        <f t="shared" si="60"/>
        <v/>
      </c>
      <c r="J54" s="98" t="str">
        <f t="shared" si="60"/>
        <v/>
      </c>
      <c r="K54" s="98" t="str">
        <f t="shared" si="60"/>
        <v/>
      </c>
      <c r="L54" s="98" t="str">
        <f t="shared" si="60"/>
        <v/>
      </c>
      <c r="M54" s="98" t="str">
        <f t="shared" si="60"/>
        <v/>
      </c>
      <c r="N54" s="98" t="str">
        <f t="shared" si="60"/>
        <v/>
      </c>
      <c r="O54" s="98" t="str">
        <f t="shared" si="60"/>
        <v/>
      </c>
      <c r="P54" s="98" t="str">
        <f t="shared" si="60"/>
        <v/>
      </c>
      <c r="Q54" s="98" t="str">
        <f t="shared" si="60"/>
        <v/>
      </c>
      <c r="R54" s="98" t="str">
        <f t="shared" si="60"/>
        <v/>
      </c>
      <c r="S54" s="98" t="str">
        <f t="shared" si="60"/>
        <v/>
      </c>
      <c r="T54" s="98" t="str">
        <f t="shared" si="60"/>
        <v/>
      </c>
      <c r="U54" s="98" t="str">
        <f t="shared" si="60"/>
        <v/>
      </c>
      <c r="V54" s="98" t="str">
        <f t="shared" si="60"/>
        <v/>
      </c>
      <c r="W54" s="98" t="str">
        <f t="shared" si="60"/>
        <v/>
      </c>
      <c r="X54" s="98" t="str">
        <f t="shared" si="60"/>
        <v/>
      </c>
      <c r="Y54" s="98" t="str">
        <f t="shared" si="60"/>
        <v/>
      </c>
      <c r="Z54" s="98" t="str">
        <f t="shared" si="60"/>
        <v/>
      </c>
      <c r="AA54" s="98" t="str">
        <f t="shared" si="60"/>
        <v/>
      </c>
      <c r="AB54" s="98" t="str">
        <f t="shared" si="60"/>
        <v/>
      </c>
      <c r="AC54" s="98" t="str">
        <f t="shared" si="60"/>
        <v/>
      </c>
      <c r="AD54" s="98" t="str">
        <f t="shared" si="60"/>
        <v/>
      </c>
      <c r="AE54" s="99"/>
      <c r="AF54" s="100">
        <f t="shared" si="49"/>
        <v>0</v>
      </c>
      <c r="AG54" s="100">
        <f t="shared" si="50"/>
        <v>0</v>
      </c>
    </row>
    <row r="55" s="88" customFormat="1" customHeight="1" spans="1:33">
      <c r="A55" s="95"/>
      <c r="B55" s="95"/>
      <c r="C55" s="103"/>
      <c r="D55" s="98"/>
      <c r="E55" s="98"/>
      <c r="F55" s="104"/>
      <c r="G55" s="43"/>
      <c r="H55" s="98" t="str">
        <f t="shared" ref="H55:AD55" si="61">IF(OR($E55="",H$2=""),"",IF(TRIM(LEFT($E55,MIN(IFERROR(FIND("CDU",UPPER($E55)),999),IFERROR(FIND("BULK",UPPER($E55)),999),IFERROR(FIND("-",$E55),999),IFERROR(FIND("（",$E55),999))-1))=H$2,$F55,""))</f>
        <v/>
      </c>
      <c r="I55" s="98" t="str">
        <f t="shared" si="61"/>
        <v/>
      </c>
      <c r="J55" s="98" t="str">
        <f t="shared" si="61"/>
        <v/>
      </c>
      <c r="K55" s="98" t="str">
        <f t="shared" si="61"/>
        <v/>
      </c>
      <c r="L55" s="98" t="str">
        <f t="shared" si="61"/>
        <v/>
      </c>
      <c r="M55" s="98" t="str">
        <f t="shared" si="61"/>
        <v/>
      </c>
      <c r="N55" s="98" t="str">
        <f t="shared" si="61"/>
        <v/>
      </c>
      <c r="O55" s="98" t="str">
        <f t="shared" si="61"/>
        <v/>
      </c>
      <c r="P55" s="98" t="str">
        <f t="shared" si="61"/>
        <v/>
      </c>
      <c r="Q55" s="98" t="str">
        <f t="shared" si="61"/>
        <v/>
      </c>
      <c r="R55" s="98" t="str">
        <f t="shared" si="61"/>
        <v/>
      </c>
      <c r="S55" s="98" t="str">
        <f t="shared" si="61"/>
        <v/>
      </c>
      <c r="T55" s="98" t="str">
        <f t="shared" si="61"/>
        <v/>
      </c>
      <c r="U55" s="98" t="str">
        <f t="shared" si="61"/>
        <v/>
      </c>
      <c r="V55" s="98" t="str">
        <f t="shared" si="61"/>
        <v/>
      </c>
      <c r="W55" s="98" t="str">
        <f t="shared" si="61"/>
        <v/>
      </c>
      <c r="X55" s="98" t="str">
        <f t="shared" si="61"/>
        <v/>
      </c>
      <c r="Y55" s="98" t="str">
        <f t="shared" si="61"/>
        <v/>
      </c>
      <c r="Z55" s="98" t="str">
        <f t="shared" si="61"/>
        <v/>
      </c>
      <c r="AA55" s="98" t="str">
        <f t="shared" si="61"/>
        <v/>
      </c>
      <c r="AB55" s="98" t="str">
        <f t="shared" si="61"/>
        <v/>
      </c>
      <c r="AC55" s="98" t="str">
        <f t="shared" si="61"/>
        <v/>
      </c>
      <c r="AD55" s="98" t="str">
        <f t="shared" si="61"/>
        <v/>
      </c>
      <c r="AE55" s="99"/>
      <c r="AF55" s="100">
        <f t="shared" si="49"/>
        <v>0</v>
      </c>
      <c r="AG55" s="100">
        <f t="shared" si="50"/>
        <v>0</v>
      </c>
    </row>
    <row r="56" customHeight="1" spans="1:33">
      <c r="A56" s="95"/>
      <c r="B56" s="95"/>
      <c r="C56" s="103"/>
      <c r="D56" s="98"/>
      <c r="E56" s="98"/>
      <c r="F56" s="104"/>
      <c r="G56" s="98"/>
      <c r="H56" s="98" t="str">
        <f t="shared" ref="H56:AD56" si="62">IF(OR($E56="",H$2=""),"",IF(TRIM(LEFT($E56,MIN(IFERROR(FIND("CDU",UPPER($E56)),999),IFERROR(FIND("BULK",UPPER($E56)),999),IFERROR(FIND("-",$E56),999),IFERROR(FIND("（",$E56),999))-1))=H$2,$F56,""))</f>
        <v/>
      </c>
      <c r="I56" s="98" t="str">
        <f t="shared" si="62"/>
        <v/>
      </c>
      <c r="J56" s="98" t="str">
        <f t="shared" si="62"/>
        <v/>
      </c>
      <c r="K56" s="98" t="str">
        <f t="shared" si="62"/>
        <v/>
      </c>
      <c r="L56" s="98" t="str">
        <f t="shared" si="62"/>
        <v/>
      </c>
      <c r="M56" s="98" t="str">
        <f t="shared" si="62"/>
        <v/>
      </c>
      <c r="N56" s="98" t="str">
        <f t="shared" si="62"/>
        <v/>
      </c>
      <c r="O56" s="98" t="str">
        <f t="shared" si="62"/>
        <v/>
      </c>
      <c r="P56" s="98" t="str">
        <f t="shared" si="62"/>
        <v/>
      </c>
      <c r="Q56" s="98" t="str">
        <f t="shared" si="62"/>
        <v/>
      </c>
      <c r="R56" s="98" t="str">
        <f t="shared" si="62"/>
        <v/>
      </c>
      <c r="S56" s="98" t="str">
        <f t="shared" si="62"/>
        <v/>
      </c>
      <c r="T56" s="98" t="str">
        <f t="shared" si="62"/>
        <v/>
      </c>
      <c r="U56" s="98" t="str">
        <f t="shared" si="62"/>
        <v/>
      </c>
      <c r="V56" s="98" t="str">
        <f t="shared" si="62"/>
        <v/>
      </c>
      <c r="W56" s="98" t="str">
        <f t="shared" si="62"/>
        <v/>
      </c>
      <c r="X56" s="98" t="str">
        <f t="shared" si="62"/>
        <v/>
      </c>
      <c r="Y56" s="98" t="str">
        <f t="shared" si="62"/>
        <v/>
      </c>
      <c r="Z56" s="98" t="str">
        <f t="shared" si="62"/>
        <v/>
      </c>
      <c r="AA56" s="98" t="str">
        <f t="shared" si="62"/>
        <v/>
      </c>
      <c r="AB56" s="98" t="str">
        <f t="shared" si="62"/>
        <v/>
      </c>
      <c r="AC56" s="98" t="str">
        <f t="shared" si="62"/>
        <v/>
      </c>
      <c r="AD56" s="98" t="str">
        <f t="shared" si="62"/>
        <v/>
      </c>
      <c r="AE56" s="99"/>
      <c r="AF56" s="100">
        <f t="shared" si="49"/>
        <v>0</v>
      </c>
      <c r="AG56" s="100">
        <f t="shared" si="50"/>
        <v>0</v>
      </c>
    </row>
    <row r="57" s="91" customFormat="1" customHeight="1" spans="1:33">
      <c r="A57" s="105"/>
      <c r="B57" s="105"/>
      <c r="C57" s="106"/>
      <c r="D57" s="106"/>
      <c r="E57" s="106" t="s">
        <v>116</v>
      </c>
      <c r="F57" s="107">
        <f>SUM(F2:F56)</f>
        <v>103608</v>
      </c>
      <c r="G57" s="107">
        <f>F57-AE57</f>
        <v>0</v>
      </c>
      <c r="H57" s="107">
        <f t="shared" ref="H57:AE57" si="63">SUM(H3:H56)</f>
        <v>6504</v>
      </c>
      <c r="I57" s="107">
        <f t="shared" si="63"/>
        <v>9240</v>
      </c>
      <c r="J57" s="107">
        <f t="shared" si="63"/>
        <v>8244</v>
      </c>
      <c r="K57" s="107">
        <f t="shared" si="63"/>
        <v>3780</v>
      </c>
      <c r="L57" s="107">
        <f t="shared" si="63"/>
        <v>1602</v>
      </c>
      <c r="M57" s="107">
        <f t="shared" si="63"/>
        <v>4242</v>
      </c>
      <c r="N57" s="107">
        <f t="shared" si="63"/>
        <v>4200</v>
      </c>
      <c r="O57" s="107">
        <f t="shared" si="63"/>
        <v>3000</v>
      </c>
      <c r="P57" s="107">
        <f t="shared" si="63"/>
        <v>3000</v>
      </c>
      <c r="Q57" s="107">
        <f t="shared" si="63"/>
        <v>8640</v>
      </c>
      <c r="R57" s="107">
        <f t="shared" si="63"/>
        <v>1008</v>
      </c>
      <c r="S57" s="107">
        <f t="shared" si="63"/>
        <v>8640</v>
      </c>
      <c r="T57" s="107">
        <f t="shared" si="63"/>
        <v>7200</v>
      </c>
      <c r="U57" s="107">
        <f t="shared" si="63"/>
        <v>4800</v>
      </c>
      <c r="V57" s="107">
        <f t="shared" si="63"/>
        <v>2692</v>
      </c>
      <c r="W57" s="107">
        <f t="shared" si="63"/>
        <v>1008</v>
      </c>
      <c r="X57" s="107">
        <f t="shared" si="63"/>
        <v>5040</v>
      </c>
      <c r="Y57" s="107">
        <f t="shared" si="63"/>
        <v>9528</v>
      </c>
      <c r="Z57" s="107">
        <f t="shared" si="63"/>
        <v>1440</v>
      </c>
      <c r="AA57" s="107">
        <f t="shared" si="63"/>
        <v>1800</v>
      </c>
      <c r="AB57" s="107">
        <f t="shared" si="63"/>
        <v>8000</v>
      </c>
      <c r="AC57" s="107">
        <f t="shared" si="63"/>
        <v>0</v>
      </c>
      <c r="AD57" s="107">
        <f t="shared" si="63"/>
        <v>0</v>
      </c>
      <c r="AE57" s="108">
        <f>SUM(H57:AD57)</f>
        <v>103608</v>
      </c>
      <c r="AF57" s="108">
        <f>SUM(AF2:AF56)</f>
        <v>479791.52</v>
      </c>
      <c r="AG57" s="108">
        <f>SUM(AG2:AG56)</f>
        <v>3718384.28</v>
      </c>
    </row>
    <row r="58" customHeight="1" spans="1:33">
      <c r="F58" s="109"/>
    </row>
    <row r="60" customHeight="1" spans="1:33">
      <c r="A60" s="110"/>
      <c r="B60" s="110"/>
      <c r="C60" s="111"/>
      <c r="D60" s="112" t="s">
        <v>117</v>
      </c>
    </row>
    <row r="61" customHeight="1" spans="1:33">
      <c r="A61" s="113" t="s">
        <v>118</v>
      </c>
      <c r="B61" s="112">
        <f>AG57</f>
        <v>3718384.28</v>
      </c>
      <c r="C61" s="113" t="s">
        <v>118</v>
      </c>
      <c r="D61" s="112">
        <f>D62+D63</f>
        <v>3718384.28</v>
      </c>
    </row>
    <row r="62" customHeight="1" spans="1:33">
      <c r="A62" s="113" t="s">
        <v>119</v>
      </c>
      <c r="B62" s="112">
        <f>总排期!Z13</f>
        <v>397784.25</v>
      </c>
      <c r="C62" s="113" t="s">
        <v>119</v>
      </c>
      <c r="D62" s="112">
        <f>SUMIF(总排期!C:C,D60,总排期!Z:Z)</f>
        <v>397784.25</v>
      </c>
    </row>
    <row r="63" customHeight="1" spans="1:33">
      <c r="A63" s="113" t="s">
        <v>120</v>
      </c>
      <c r="B63" s="112">
        <f>已走货!Z51</f>
        <v>3320600.03</v>
      </c>
      <c r="C63" s="113" t="s">
        <v>121</v>
      </c>
      <c r="D63" s="112">
        <f>SUMIF(已走货!C:C,D60,已走货!Z:Z)</f>
        <v>3320600.03</v>
      </c>
    </row>
    <row r="64" customHeight="1" spans="1:33">
      <c r="A64" s="113"/>
      <c r="B64" s="112">
        <f>B61-B62-B63</f>
        <v>0</v>
      </c>
      <c r="C64" s="111"/>
      <c r="D64" s="111"/>
    </row>
    <row r="65" customHeight="1" spans="1:2">
      <c r="A65" s="114"/>
      <c r="B65" s="115"/>
    </row>
    <row r="66" customHeight="1" spans="1:2">
      <c r="A66" s="116" t="s">
        <v>122</v>
      </c>
      <c r="B66" s="117"/>
    </row>
    <row r="67" customHeight="1" spans="1:2">
      <c r="A67" s="118" t="s">
        <v>123</v>
      </c>
      <c r="B67" s="118" t="s">
        <v>124</v>
      </c>
    </row>
    <row r="68" customHeight="1" spans="1:2">
      <c r="A68" s="119" t="s">
        <v>125</v>
      </c>
      <c r="B68" s="119" t="s">
        <v>126</v>
      </c>
    </row>
    <row r="69" customHeight="1" spans="1:2">
      <c r="A69" s="120" t="s">
        <v>127</v>
      </c>
      <c r="B69" s="120" t="s">
        <v>128</v>
      </c>
    </row>
    <row r="70" customHeight="1" spans="1:2">
      <c r="A70" s="121" t="s">
        <v>129</v>
      </c>
      <c r="B70" s="121" t="s">
        <v>130</v>
      </c>
    </row>
    <row r="71" customHeight="1" spans="1:2">
      <c r="A71" s="122" t="s">
        <v>131</v>
      </c>
      <c r="B71" s="122" t="s">
        <v>132</v>
      </c>
    </row>
    <row r="72" customHeight="1" spans="1:2">
      <c r="A72" s="123" t="s">
        <v>133</v>
      </c>
      <c r="B72" s="123" t="s">
        <v>134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2:AG57" etc:filterBottomFollowUsedRange="0">
    <extLst/>
  </autoFilter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E13"/>
  <sheetViews>
    <sheetView workbookViewId="0">
      <pane xSplit="8" ySplit="1" topLeftCell="I17" activePane="bottomRight" state="frozen"/>
      <selection/>
      <selection pane="topRight"/>
      <selection pane="bottomLeft"/>
      <selection pane="bottomRight" activeCell="H18" sqref="H18:H23"/>
    </sheetView>
  </sheetViews>
  <sheetFormatPr defaultColWidth="9" defaultRowHeight="25" customHeight="1"/>
  <cols>
    <col min="1" max="1" width="12.6" style="46" customWidth="1"/>
    <col min="2" max="3" width="8.625" style="47" customWidth="1"/>
    <col min="4" max="7" width="12.625" style="47" customWidth="1"/>
    <col min="8" max="8" width="6.625" style="47" customWidth="1"/>
    <col min="9" max="10" width="5.625" style="47" customWidth="1"/>
    <col min="11" max="11" width="5.625" style="48" customWidth="1"/>
    <col min="12" max="14" width="12.625" style="49" customWidth="1"/>
    <col min="15" max="16" width="8.625" style="44" customWidth="1"/>
    <col min="17" max="18" width="12.625" style="49" customWidth="1"/>
    <col min="19" max="19" width="10.625" style="47" customWidth="1"/>
    <col min="20" max="20" width="10.625" style="47" hidden="1" customWidth="1"/>
    <col min="21" max="21" width="15.625" style="47" customWidth="1"/>
    <col min="22" max="22" width="10.625" style="47" hidden="1" customWidth="1"/>
    <col min="23" max="23" width="24.1" style="49" hidden="1" customWidth="1"/>
    <col min="24" max="24" width="8.625" style="50" customWidth="1"/>
    <col min="25" max="26" width="12.625" style="51" customWidth="1"/>
    <col min="27" max="27" width="8.625" style="52" customWidth="1"/>
    <col min="28" max="28" width="8.625" style="49" customWidth="1"/>
    <col min="29" max="29" width="9" style="44" hidden="1" customWidth="1"/>
    <col min="30" max="16384" width="9" style="44"/>
  </cols>
  <sheetData>
    <row r="1" s="44" customFormat="1" customHeight="1" spans="1:31">
      <c r="A1" s="53" t="s">
        <v>106</v>
      </c>
      <c r="B1" s="54" t="s">
        <v>135</v>
      </c>
      <c r="C1" s="54" t="s">
        <v>136</v>
      </c>
      <c r="D1" s="54" t="s">
        <v>108</v>
      </c>
      <c r="E1" s="54" t="s">
        <v>109</v>
      </c>
      <c r="F1" s="54" t="s">
        <v>110</v>
      </c>
      <c r="G1" s="43" t="s">
        <v>105</v>
      </c>
      <c r="H1" s="43" t="s">
        <v>111</v>
      </c>
      <c r="I1" s="43" t="s">
        <v>137</v>
      </c>
      <c r="J1" s="43" t="s">
        <v>138</v>
      </c>
      <c r="K1" s="55" t="s">
        <v>139</v>
      </c>
      <c r="L1" s="56" t="s">
        <v>140</v>
      </c>
      <c r="M1" s="56" t="s">
        <v>107</v>
      </c>
      <c r="N1" s="56" t="s">
        <v>141</v>
      </c>
      <c r="O1" s="54" t="s">
        <v>142</v>
      </c>
      <c r="P1" s="54" t="s">
        <v>143</v>
      </c>
      <c r="Q1" s="54" t="s">
        <v>144</v>
      </c>
      <c r="R1" s="56" t="s">
        <v>145</v>
      </c>
      <c r="S1" s="54" t="s">
        <v>146</v>
      </c>
      <c r="T1" s="54" t="s">
        <v>147</v>
      </c>
      <c r="U1" s="54" t="s">
        <v>148</v>
      </c>
      <c r="V1" s="54" t="s">
        <v>112</v>
      </c>
      <c r="W1" s="58" t="s">
        <v>149</v>
      </c>
      <c r="X1" s="59" t="s">
        <v>150</v>
      </c>
      <c r="Y1" s="60" t="s">
        <v>114</v>
      </c>
      <c r="Z1" s="60" t="s">
        <v>115</v>
      </c>
      <c r="AA1" s="61" t="s">
        <v>151</v>
      </c>
      <c r="AB1" s="58" t="s">
        <v>152</v>
      </c>
      <c r="AC1" s="44" t="s">
        <v>153</v>
      </c>
      <c r="AD1" s="44" t="s">
        <v>154</v>
      </c>
    </row>
    <row r="2" s="44" customFormat="1" customHeight="1" spans="1:31">
      <c r="A2" s="53">
        <v>46200</v>
      </c>
      <c r="B2" s="43" t="s">
        <v>155</v>
      </c>
      <c r="C2" s="62" t="s">
        <v>156</v>
      </c>
      <c r="D2" s="85" t="s">
        <v>63</v>
      </c>
      <c r="E2" s="43">
        <v>1000003832</v>
      </c>
      <c r="F2" s="67" t="s">
        <v>62</v>
      </c>
      <c r="G2" s="63" t="str">
        <f>VLOOKUP(F2,名称!A:F,3,FALSE)</f>
        <v>恐龙收藏盒</v>
      </c>
      <c r="H2" s="63">
        <v>1500</v>
      </c>
      <c r="I2" s="63">
        <f>VLOOKUP(F2,名称!A:F,5,0)</f>
        <v>0</v>
      </c>
      <c r="J2" s="63">
        <f>VLOOKUP(F2,名称!A:F,6,0)</f>
        <v>4</v>
      </c>
      <c r="K2" s="55">
        <f>H2/J2</f>
        <v>375</v>
      </c>
      <c r="L2" s="56">
        <v>46258</v>
      </c>
      <c r="M2" s="56">
        <f>L2-7</f>
        <v>46251</v>
      </c>
      <c r="N2" s="86" t="s">
        <v>157</v>
      </c>
      <c r="O2" s="54"/>
      <c r="P2" s="54"/>
      <c r="Q2" s="56"/>
      <c r="R2" s="56" t="s">
        <v>158</v>
      </c>
      <c r="S2" s="43"/>
      <c r="T2" s="43"/>
      <c r="U2" s="87" t="s">
        <v>159</v>
      </c>
      <c r="V2" s="43"/>
      <c r="W2" s="56"/>
      <c r="X2" s="59">
        <v>9.71</v>
      </c>
      <c r="Y2" s="64">
        <f>H2*X2</f>
        <v>14565</v>
      </c>
      <c r="Z2" s="64">
        <f>Y2*7.75</f>
        <v>112878.75</v>
      </c>
      <c r="AA2" s="65"/>
      <c r="AB2" s="56" t="s">
        <v>160</v>
      </c>
      <c r="AE2" s="44">
        <v>1720</v>
      </c>
    </row>
    <row r="3" s="44" customFormat="1" customHeight="1" spans="1:31">
      <c r="A3" s="53">
        <v>46200</v>
      </c>
      <c r="B3" s="43" t="s">
        <v>155</v>
      </c>
      <c r="C3" s="62" t="s">
        <v>156</v>
      </c>
      <c r="D3" s="85" t="s">
        <v>55</v>
      </c>
      <c r="E3" s="43">
        <v>1000003832</v>
      </c>
      <c r="F3" s="67" t="s">
        <v>54</v>
      </c>
      <c r="G3" s="63" t="str">
        <f>VLOOKUP(F3,名称!A:F,3,FALSE)</f>
        <v>10款海洋动物套装</v>
      </c>
      <c r="H3" s="63">
        <v>2520</v>
      </c>
      <c r="I3" s="63">
        <f>VLOOKUP(F3,名称!A:F,5,0)</f>
        <v>6</v>
      </c>
      <c r="J3" s="63">
        <f>VLOOKUP(F3,名称!A:F,6,0)</f>
        <v>12</v>
      </c>
      <c r="K3" s="55">
        <f>H3/J3</f>
        <v>210</v>
      </c>
      <c r="L3" s="56">
        <v>46258</v>
      </c>
      <c r="M3" s="56">
        <f>L3-7</f>
        <v>46251</v>
      </c>
      <c r="N3" s="56"/>
      <c r="O3" s="54"/>
      <c r="P3" s="54"/>
      <c r="Q3" s="56"/>
      <c r="R3" s="56" t="s">
        <v>158</v>
      </c>
      <c r="S3" s="43"/>
      <c r="T3" s="43"/>
      <c r="U3" s="87" t="s">
        <v>159</v>
      </c>
      <c r="V3" s="43"/>
      <c r="W3" s="56"/>
      <c r="X3" s="59">
        <v>6.79</v>
      </c>
      <c r="Y3" s="64">
        <f>H3*X3</f>
        <v>17110.8</v>
      </c>
      <c r="Z3" s="64">
        <f>Y3*7.75</f>
        <v>132608.7</v>
      </c>
      <c r="AA3" s="65"/>
      <c r="AB3" s="56" t="s">
        <v>161</v>
      </c>
      <c r="AE3" s="44">
        <v>1720</v>
      </c>
    </row>
    <row r="4" s="44" customFormat="1" customHeight="1" spans="1:31">
      <c r="A4" s="53">
        <v>46200</v>
      </c>
      <c r="B4" s="43" t="s">
        <v>155</v>
      </c>
      <c r="C4" s="62" t="s">
        <v>156</v>
      </c>
      <c r="D4" s="85" t="s">
        <v>47</v>
      </c>
      <c r="E4" s="43">
        <v>1000003832</v>
      </c>
      <c r="F4" s="67" t="s">
        <v>46</v>
      </c>
      <c r="G4" s="63" t="str">
        <f>VLOOKUP(F4,名称!A:F,3,FALSE)</f>
        <v>8款恐龙玩具</v>
      </c>
      <c r="H4" s="63">
        <v>2520</v>
      </c>
      <c r="I4" s="63">
        <f>VLOOKUP(F4,名称!A:F,5,0)</f>
        <v>9</v>
      </c>
      <c r="J4" s="63">
        <f>VLOOKUP(F4,名称!A:F,6,0)</f>
        <v>18</v>
      </c>
      <c r="K4" s="55">
        <f>H4/J4</f>
        <v>140</v>
      </c>
      <c r="L4" s="56">
        <v>46258</v>
      </c>
      <c r="M4" s="56">
        <f>L4-7</f>
        <v>46251</v>
      </c>
      <c r="N4" s="56"/>
      <c r="O4" s="54"/>
      <c r="P4" s="54"/>
      <c r="Q4" s="56"/>
      <c r="R4" s="56" t="s">
        <v>158</v>
      </c>
      <c r="S4" s="43"/>
      <c r="T4" s="43"/>
      <c r="U4" s="87" t="s">
        <v>159</v>
      </c>
      <c r="V4" s="43"/>
      <c r="W4" s="56"/>
      <c r="X4" s="59">
        <v>7.16</v>
      </c>
      <c r="Y4" s="64">
        <f>H4*X4</f>
        <v>18043.2</v>
      </c>
      <c r="Z4" s="64">
        <f>Y4*7.75</f>
        <v>139834.8</v>
      </c>
      <c r="AA4" s="65"/>
      <c r="AB4" s="56" t="s">
        <v>161</v>
      </c>
      <c r="AE4" s="44">
        <v>1720</v>
      </c>
    </row>
    <row r="5" s="44" customFormat="1" customHeight="1" spans="1:31">
      <c r="A5" s="53">
        <v>46219</v>
      </c>
      <c r="B5" s="43" t="s">
        <v>155</v>
      </c>
      <c r="C5" s="62" t="s">
        <v>156</v>
      </c>
      <c r="D5" s="67" t="s">
        <v>71</v>
      </c>
      <c r="E5" s="43">
        <v>1000003943</v>
      </c>
      <c r="F5" s="67" t="s">
        <v>70</v>
      </c>
      <c r="G5" s="63" t="str">
        <f>VLOOKUP(F5,名称!A:F,3,FALSE)</f>
        <v>8只小恐龙</v>
      </c>
      <c r="H5" s="63">
        <v>4000</v>
      </c>
      <c r="I5" s="63">
        <f>VLOOKUP(F5,名称!A:F,5,0)</f>
        <v>25</v>
      </c>
      <c r="J5" s="63">
        <f>VLOOKUP(F5,名称!A:F,6,0)</f>
        <v>100</v>
      </c>
      <c r="K5" s="55">
        <f>H5/J5</f>
        <v>40</v>
      </c>
      <c r="L5" s="86">
        <v>46275</v>
      </c>
      <c r="M5" s="56">
        <f>L5-7</f>
        <v>46268</v>
      </c>
      <c r="N5" s="56"/>
      <c r="O5" s="54"/>
      <c r="P5" s="54"/>
      <c r="Q5" s="56"/>
      <c r="R5" s="56" t="s">
        <v>158</v>
      </c>
      <c r="S5" s="43"/>
      <c r="T5" s="43"/>
      <c r="U5" s="87" t="s">
        <v>162</v>
      </c>
      <c r="V5" s="43"/>
      <c r="W5" s="56"/>
      <c r="X5" s="59">
        <v>0.21</v>
      </c>
      <c r="Y5" s="64">
        <f>H5*X5</f>
        <v>840</v>
      </c>
      <c r="Z5" s="64">
        <f>Y5*7.75</f>
        <v>6510</v>
      </c>
      <c r="AA5" s="65"/>
      <c r="AB5" s="56" t="s">
        <v>161</v>
      </c>
      <c r="AE5" s="44">
        <v>1730</v>
      </c>
    </row>
    <row r="6" s="44" customFormat="1" customHeight="1" spans="1:31">
      <c r="A6" s="53">
        <v>46219</v>
      </c>
      <c r="B6" s="43" t="s">
        <v>155</v>
      </c>
      <c r="C6" s="62" t="s">
        <v>156</v>
      </c>
      <c r="D6" s="67" t="s">
        <v>91</v>
      </c>
      <c r="E6" s="43">
        <v>1000003943</v>
      </c>
      <c r="F6" s="67" t="s">
        <v>90</v>
      </c>
      <c r="G6" s="63" t="str">
        <f>VLOOKUP(F6,名称!A:F,3,FALSE)</f>
        <v>小海龟</v>
      </c>
      <c r="H6" s="63">
        <v>4800</v>
      </c>
      <c r="I6" s="63">
        <f>VLOOKUP(F6,名称!A:F,5,0)</f>
        <v>3</v>
      </c>
      <c r="J6" s="63">
        <f>VLOOKUP(F6,名称!A:F,6,0)</f>
        <v>12</v>
      </c>
      <c r="K6" s="55">
        <f>H6/J6</f>
        <v>400</v>
      </c>
      <c r="L6" s="86">
        <v>46275</v>
      </c>
      <c r="M6" s="56">
        <f>L6-7</f>
        <v>46268</v>
      </c>
      <c r="N6" s="56"/>
      <c r="O6" s="54"/>
      <c r="P6" s="54"/>
      <c r="Q6" s="56"/>
      <c r="R6" s="56" t="s">
        <v>158</v>
      </c>
      <c r="S6" s="43"/>
      <c r="T6" s="43"/>
      <c r="U6" s="87" t="s">
        <v>162</v>
      </c>
      <c r="V6" s="43"/>
      <c r="W6" s="56"/>
      <c r="X6" s="59">
        <v>0.16</v>
      </c>
      <c r="Y6" s="64">
        <f>H6*X6</f>
        <v>768</v>
      </c>
      <c r="Z6" s="64">
        <f>Y6*7.75</f>
        <v>5952</v>
      </c>
      <c r="AA6" s="65"/>
      <c r="AB6" s="56" t="s">
        <v>161</v>
      </c>
      <c r="AE6" s="44">
        <v>1730</v>
      </c>
    </row>
    <row r="7" s="44" customFormat="1" customHeight="1" spans="1:31">
      <c r="A7" s="53"/>
      <c r="B7" s="62"/>
      <c r="C7" s="62"/>
      <c r="D7" s="58"/>
      <c r="E7" s="43"/>
      <c r="F7" s="43"/>
      <c r="G7" s="63"/>
      <c r="H7" s="63"/>
      <c r="I7" s="63"/>
      <c r="J7" s="63"/>
      <c r="K7" s="55"/>
      <c r="L7" s="56"/>
      <c r="M7" s="56"/>
      <c r="N7" s="56"/>
      <c r="O7" s="54"/>
      <c r="P7" s="54"/>
      <c r="Q7" s="56"/>
      <c r="R7" s="56"/>
      <c r="S7" s="43"/>
      <c r="T7" s="43"/>
      <c r="U7" s="43"/>
      <c r="V7" s="43"/>
      <c r="W7" s="56"/>
      <c r="X7" s="59"/>
      <c r="Y7" s="64">
        <f>H7*X7</f>
        <v>0</v>
      </c>
      <c r="Z7" s="64">
        <f>Y7*7.75</f>
        <v>0</v>
      </c>
      <c r="AA7" s="65"/>
      <c r="AB7" s="56"/>
    </row>
    <row r="8" s="44" customFormat="1" customHeight="1" spans="1:31">
      <c r="A8" s="53"/>
      <c r="B8" s="62"/>
      <c r="C8" s="62"/>
      <c r="D8" s="58"/>
      <c r="E8" s="43"/>
      <c r="F8" s="43"/>
      <c r="G8" s="63"/>
      <c r="H8" s="63"/>
      <c r="I8" s="63"/>
      <c r="J8" s="63"/>
      <c r="K8" s="55"/>
      <c r="L8" s="56"/>
      <c r="M8" s="56"/>
      <c r="N8" s="56"/>
      <c r="O8" s="54"/>
      <c r="P8" s="54"/>
      <c r="Q8" s="56"/>
      <c r="R8" s="56"/>
      <c r="S8" s="43"/>
      <c r="T8" s="43"/>
      <c r="U8" s="43"/>
      <c r="V8" s="43"/>
      <c r="W8" s="56"/>
      <c r="X8" s="59"/>
      <c r="Y8" s="64">
        <f>H8*X8</f>
        <v>0</v>
      </c>
      <c r="Z8" s="64">
        <f>Y8*7.75</f>
        <v>0</v>
      </c>
      <c r="AA8" s="65"/>
      <c r="AB8" s="56"/>
    </row>
    <row r="9" s="44" customFormat="1" customHeight="1" spans="1:31">
      <c r="A9" s="53"/>
      <c r="B9" s="62"/>
      <c r="C9" s="62"/>
      <c r="D9" s="58"/>
      <c r="E9" s="43"/>
      <c r="F9" s="43"/>
      <c r="G9" s="63"/>
      <c r="H9" s="63"/>
      <c r="I9" s="63"/>
      <c r="J9" s="63"/>
      <c r="K9" s="55"/>
      <c r="L9" s="56"/>
      <c r="M9" s="56"/>
      <c r="N9" s="56"/>
      <c r="O9" s="54"/>
      <c r="P9" s="54"/>
      <c r="Q9" s="56"/>
      <c r="R9" s="56"/>
      <c r="S9" s="43"/>
      <c r="T9" s="43"/>
      <c r="U9" s="43"/>
      <c r="V9" s="43"/>
      <c r="W9" s="56"/>
      <c r="X9" s="59"/>
      <c r="Y9" s="64">
        <f>H9*X9</f>
        <v>0</v>
      </c>
      <c r="Z9" s="64">
        <f>Y9*7.75</f>
        <v>0</v>
      </c>
      <c r="AA9" s="65"/>
      <c r="AB9" s="56"/>
    </row>
    <row r="10" s="44" customFormat="1" customHeight="1" spans="1:31">
      <c r="A10" s="53"/>
      <c r="B10" s="62"/>
      <c r="C10" s="62"/>
      <c r="D10" s="58"/>
      <c r="E10" s="43"/>
      <c r="F10" s="43"/>
      <c r="G10" s="63"/>
      <c r="H10" s="63"/>
      <c r="I10" s="63"/>
      <c r="J10" s="63"/>
      <c r="K10" s="55"/>
      <c r="L10" s="56"/>
      <c r="M10" s="56"/>
      <c r="N10" s="56"/>
      <c r="O10" s="54"/>
      <c r="P10" s="54"/>
      <c r="Q10" s="56"/>
      <c r="R10" s="56"/>
      <c r="S10" s="43"/>
      <c r="T10" s="43"/>
      <c r="U10" s="43"/>
      <c r="V10" s="43"/>
      <c r="W10" s="56"/>
      <c r="X10" s="59"/>
      <c r="Y10" s="64">
        <f>H10*X10</f>
        <v>0</v>
      </c>
      <c r="Z10" s="64">
        <f>Y10*7.75</f>
        <v>0</v>
      </c>
      <c r="AA10" s="65"/>
      <c r="AB10" s="56"/>
    </row>
    <row r="11" s="44" customFormat="1" customHeight="1" spans="1:31">
      <c r="A11" s="53"/>
      <c r="B11" s="62"/>
      <c r="C11" s="62"/>
      <c r="D11" s="58"/>
      <c r="E11" s="43"/>
      <c r="F11" s="43"/>
      <c r="G11" s="63"/>
      <c r="H11" s="63"/>
      <c r="I11" s="63"/>
      <c r="J11" s="63"/>
      <c r="K11" s="55"/>
      <c r="L11" s="56"/>
      <c r="M11" s="56"/>
      <c r="N11" s="56"/>
      <c r="O11" s="54"/>
      <c r="P11" s="54"/>
      <c r="Q11" s="56"/>
      <c r="R11" s="56"/>
      <c r="S11" s="43"/>
      <c r="T11" s="43"/>
      <c r="U11" s="43"/>
      <c r="V11" s="43"/>
      <c r="W11" s="56"/>
      <c r="X11" s="59"/>
      <c r="Y11" s="64">
        <f>H11*X11</f>
        <v>0</v>
      </c>
      <c r="Z11" s="64">
        <f>Y11*7.75</f>
        <v>0</v>
      </c>
      <c r="AA11" s="65"/>
      <c r="AB11" s="56"/>
    </row>
    <row r="12" s="44" customFormat="1" customHeight="1" spans="1:31">
      <c r="A12" s="53"/>
      <c r="B12" s="62"/>
      <c r="C12" s="62"/>
      <c r="D12" s="58"/>
      <c r="E12" s="43"/>
      <c r="F12" s="43"/>
      <c r="G12" s="63"/>
      <c r="H12" s="63"/>
      <c r="I12" s="63"/>
      <c r="J12" s="63"/>
      <c r="K12" s="55"/>
      <c r="L12" s="56"/>
      <c r="M12" s="56"/>
      <c r="N12" s="56"/>
      <c r="O12" s="54"/>
      <c r="P12" s="54"/>
      <c r="Q12" s="56"/>
      <c r="R12" s="56"/>
      <c r="S12" s="43"/>
      <c r="T12" s="43"/>
      <c r="U12" s="43"/>
      <c r="V12" s="43"/>
      <c r="W12" s="56"/>
      <c r="X12" s="59"/>
      <c r="Y12" s="64">
        <f>H12*X12</f>
        <v>0</v>
      </c>
      <c r="Z12" s="64">
        <f>Y12*7.75</f>
        <v>0</v>
      </c>
      <c r="AA12" s="65"/>
      <c r="AB12" s="56"/>
    </row>
    <row r="13" s="45" customFormat="1" customHeight="1" spans="1:31">
      <c r="A13" s="53"/>
      <c r="B13" s="43"/>
      <c r="C13" s="43"/>
      <c r="D13" s="58"/>
      <c r="E13" s="43"/>
      <c r="F13" s="43"/>
      <c r="G13" s="43" t="s">
        <v>163</v>
      </c>
      <c r="H13" s="43">
        <f>SUM(H2:H12)</f>
        <v>15340</v>
      </c>
      <c r="I13" s="43"/>
      <c r="J13" s="43"/>
      <c r="K13" s="43"/>
      <c r="L13" s="68"/>
      <c r="M13" s="68"/>
      <c r="N13" s="68"/>
      <c r="O13" s="58"/>
      <c r="P13" s="58"/>
      <c r="Q13" s="68"/>
      <c r="R13" s="68"/>
      <c r="S13" s="43"/>
      <c r="T13" s="43"/>
      <c r="U13" s="43"/>
      <c r="V13" s="43"/>
      <c r="W13" s="68"/>
      <c r="X13" s="59"/>
      <c r="Y13" s="60">
        <f>SUM(Y2:Y12)</f>
        <v>51327</v>
      </c>
      <c r="Z13" s="60">
        <f>SUM(Z2:Z12)</f>
        <v>397784.25</v>
      </c>
      <c r="AA13" s="61"/>
      <c r="AB13" s="68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AD13" etc:filterBottomFollowUsedRange="0">
    <extLst/>
  </autoFilter>
  <pageMargins left="0.75" right="0.75" top="1" bottom="1" header="0.5" footer="0.5"/>
  <pageSetup paperSize="9" scale="8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AE51"/>
  <sheetViews>
    <sheetView tabSelected="1" workbookViewId="0">
      <pane xSplit="8" ySplit="1" topLeftCell="I17" activePane="bottomRight" state="frozen"/>
      <selection/>
      <selection pane="topRight"/>
      <selection pane="bottomLeft"/>
      <selection pane="bottomRight" activeCell="V48" sqref="V48"/>
    </sheetView>
  </sheetViews>
  <sheetFormatPr defaultColWidth="9" defaultRowHeight="25" customHeight="1"/>
  <cols>
    <col min="1" max="1" width="12.6" style="46" customWidth="1"/>
    <col min="2" max="3" width="8.625" style="47" customWidth="1"/>
    <col min="4" max="7" width="12.625" style="47" customWidth="1"/>
    <col min="8" max="8" width="8.625" style="47" customWidth="1"/>
    <col min="9" max="10" width="5.625" style="47" customWidth="1"/>
    <col min="11" max="11" width="5.625" style="48" customWidth="1"/>
    <col min="12" max="12" width="12.625" style="49" hidden="1" customWidth="1"/>
    <col min="13" max="13" width="12.625" style="49" customWidth="1"/>
    <col min="14" max="14" width="12.625" style="49" hidden="1" customWidth="1"/>
    <col min="15" max="16" width="8.625" style="44" hidden="1" customWidth="1"/>
    <col min="17" max="17" width="12.625" style="49" customWidth="1"/>
    <col min="18" max="18" width="12.625" style="49" hidden="1" customWidth="1"/>
    <col min="19" max="21" width="10.625" style="47" hidden="1" customWidth="1"/>
    <col min="22" max="22" width="10.625" style="47" customWidth="1"/>
    <col min="23" max="23" width="20.625" style="49" customWidth="1"/>
    <col min="24" max="24" width="8.625" style="50" customWidth="1"/>
    <col min="25" max="26" width="12.625" style="51" customWidth="1"/>
    <col min="27" max="27" width="8.625" style="52" customWidth="1"/>
    <col min="28" max="28" width="8.625" style="49" customWidth="1"/>
    <col min="29" max="16384" width="9" style="44"/>
  </cols>
  <sheetData>
    <row r="1" s="44" customFormat="1" customHeight="1" spans="1:28">
      <c r="A1" s="53" t="s">
        <v>106</v>
      </c>
      <c r="B1" s="54" t="s">
        <v>135</v>
      </c>
      <c r="C1" s="54" t="s">
        <v>136</v>
      </c>
      <c r="D1" s="54" t="s">
        <v>108</v>
      </c>
      <c r="E1" s="54" t="s">
        <v>109</v>
      </c>
      <c r="F1" s="54" t="s">
        <v>110</v>
      </c>
      <c r="G1" s="43" t="s">
        <v>105</v>
      </c>
      <c r="H1" s="43" t="s">
        <v>111</v>
      </c>
      <c r="I1" s="43" t="s">
        <v>137</v>
      </c>
      <c r="J1" s="43" t="s">
        <v>138</v>
      </c>
      <c r="K1" s="55" t="s">
        <v>139</v>
      </c>
      <c r="L1" s="56" t="s">
        <v>140</v>
      </c>
      <c r="M1" s="57" t="s">
        <v>107</v>
      </c>
      <c r="N1" s="57" t="s">
        <v>141</v>
      </c>
      <c r="O1" s="54" t="s">
        <v>142</v>
      </c>
      <c r="P1" s="54" t="s">
        <v>143</v>
      </c>
      <c r="Q1" s="54" t="s">
        <v>144</v>
      </c>
      <c r="R1" s="56" t="s">
        <v>145</v>
      </c>
      <c r="S1" s="54" t="s">
        <v>146</v>
      </c>
      <c r="T1" s="54" t="s">
        <v>147</v>
      </c>
      <c r="U1" s="54" t="s">
        <v>148</v>
      </c>
      <c r="V1" s="54" t="s">
        <v>112</v>
      </c>
      <c r="W1" s="58" t="s">
        <v>149</v>
      </c>
      <c r="X1" s="59" t="s">
        <v>150</v>
      </c>
      <c r="Y1" s="60" t="s">
        <v>114</v>
      </c>
      <c r="Z1" s="60" t="s">
        <v>115</v>
      </c>
      <c r="AA1" s="61" t="s">
        <v>151</v>
      </c>
      <c r="AB1" s="58" t="s">
        <v>152</v>
      </c>
    </row>
    <row r="2" s="69" customFormat="1" customHeight="1" spans="1:28">
      <c r="A2" s="70">
        <v>45930</v>
      </c>
      <c r="B2" s="71" t="s">
        <v>155</v>
      </c>
      <c r="C2" s="72" t="s">
        <v>156</v>
      </c>
      <c r="D2" s="73" t="s">
        <v>87</v>
      </c>
      <c r="E2" s="71">
        <v>1000001583</v>
      </c>
      <c r="F2" s="73" t="s">
        <v>86</v>
      </c>
      <c r="G2" s="74" t="str">
        <f>VLOOKUP(F2,名称!A:F,3,FALSE)</f>
        <v>蝴蝶生长套装</v>
      </c>
      <c r="H2" s="74">
        <v>1440</v>
      </c>
      <c r="I2" s="74">
        <f>VLOOKUP(F2,名称!A:F,5,0)</f>
        <v>72</v>
      </c>
      <c r="J2" s="74">
        <f>VLOOKUP(F2,名称!A:F,6,0)</f>
        <v>288</v>
      </c>
      <c r="K2" s="75">
        <f t="shared" ref="K2:K10" si="0">H2/J2</f>
        <v>5</v>
      </c>
      <c r="L2" s="76">
        <v>45989</v>
      </c>
      <c r="M2" s="76">
        <v>45989</v>
      </c>
      <c r="N2" s="76"/>
      <c r="O2" s="77"/>
      <c r="P2" s="77"/>
      <c r="Q2" s="76"/>
      <c r="R2" s="76" t="s">
        <v>158</v>
      </c>
      <c r="S2" s="71" t="s">
        <v>164</v>
      </c>
      <c r="T2" s="71"/>
      <c r="U2" s="71" t="s">
        <v>165</v>
      </c>
      <c r="V2" s="71"/>
      <c r="W2" s="76" t="s">
        <v>166</v>
      </c>
      <c r="X2" s="78">
        <v>1.01</v>
      </c>
      <c r="Y2" s="79">
        <f t="shared" ref="Y2:Y33" si="1">H2*X2</f>
        <v>1454.4</v>
      </c>
      <c r="Z2" s="79">
        <f t="shared" ref="Z2:Z33" si="2">Y2*7.75</f>
        <v>11271.6</v>
      </c>
      <c r="AA2" s="80">
        <v>45944</v>
      </c>
      <c r="AB2" s="76" t="s">
        <v>161</v>
      </c>
    </row>
    <row r="3" s="69" customFormat="1" customHeight="1" spans="1:28">
      <c r="A3" s="70">
        <v>45910</v>
      </c>
      <c r="B3" s="71" t="s">
        <v>155</v>
      </c>
      <c r="C3" s="72" t="s">
        <v>156</v>
      </c>
      <c r="D3" s="73" t="s">
        <v>39</v>
      </c>
      <c r="E3" s="71">
        <v>1000001352</v>
      </c>
      <c r="F3" s="71" t="s">
        <v>38</v>
      </c>
      <c r="G3" s="74" t="str">
        <f>VLOOKUP(F3,名称!A:F,3,FALSE)</f>
        <v>巨型恐龙组1</v>
      </c>
      <c r="H3" s="74">
        <f>1532-340</f>
        <v>1192</v>
      </c>
      <c r="I3" s="74">
        <f>VLOOKUP(F3,名称!A:F,5,0)</f>
        <v>2</v>
      </c>
      <c r="J3" s="74">
        <f>VLOOKUP(F3,名称!A:F,6,0)</f>
        <v>4</v>
      </c>
      <c r="K3" s="75">
        <f t="shared" si="0"/>
        <v>298</v>
      </c>
      <c r="L3" s="76">
        <v>45995</v>
      </c>
      <c r="M3" s="76">
        <v>46003</v>
      </c>
      <c r="N3" s="76">
        <v>46043</v>
      </c>
      <c r="O3" s="77"/>
      <c r="P3" s="77" t="s">
        <v>167</v>
      </c>
      <c r="Q3" s="76"/>
      <c r="R3" s="76" t="s">
        <v>158</v>
      </c>
      <c r="S3" s="71" t="s">
        <v>164</v>
      </c>
      <c r="T3" s="71" t="str">
        <f>"第"&amp;外箱贴纸箱号!A33&amp;"箱至第"&amp;外箱贴纸箱号!B33&amp;"箱"</f>
        <v>第215335箱至第215507箱</v>
      </c>
      <c r="U3" s="71" t="s">
        <v>168</v>
      </c>
      <c r="V3" s="71"/>
      <c r="W3" s="76" t="s">
        <v>169</v>
      </c>
      <c r="X3" s="78">
        <v>11.5</v>
      </c>
      <c r="Y3" s="79">
        <f t="shared" si="1"/>
        <v>13708</v>
      </c>
      <c r="Z3" s="79">
        <f t="shared" si="2"/>
        <v>106237</v>
      </c>
      <c r="AA3" s="80">
        <v>45949</v>
      </c>
      <c r="AB3" s="76" t="s">
        <v>161</v>
      </c>
    </row>
    <row r="4" s="69" customFormat="1" customHeight="1" spans="1:28">
      <c r="A4" s="70">
        <v>45966</v>
      </c>
      <c r="B4" s="71" t="s">
        <v>155</v>
      </c>
      <c r="C4" s="72" t="s">
        <v>156</v>
      </c>
      <c r="D4" s="73" t="s">
        <v>59</v>
      </c>
      <c r="E4" s="71">
        <v>1000001880</v>
      </c>
      <c r="F4" s="71" t="s">
        <v>58</v>
      </c>
      <c r="G4" s="74" t="str">
        <f>VLOOKUP(F4,名称!A:F,3,FALSE)</f>
        <v>农场小动物</v>
      </c>
      <c r="H4" s="74">
        <v>2832</v>
      </c>
      <c r="I4" s="74">
        <f>VLOOKUP(F4,名称!A:F,5,0)</f>
        <v>6</v>
      </c>
      <c r="J4" s="74">
        <f>VLOOKUP(F4,名称!A:F,6,0)</f>
        <v>12</v>
      </c>
      <c r="K4" s="75">
        <f t="shared" si="0"/>
        <v>236</v>
      </c>
      <c r="L4" s="76">
        <v>46021</v>
      </c>
      <c r="M4" s="76">
        <v>45686</v>
      </c>
      <c r="N4" s="76">
        <v>46043</v>
      </c>
      <c r="O4" s="77"/>
      <c r="P4" s="77" t="s">
        <v>167</v>
      </c>
      <c r="Q4" s="76"/>
      <c r="R4" s="76" t="s">
        <v>158</v>
      </c>
      <c r="S4" s="71" t="s">
        <v>164</v>
      </c>
      <c r="T4" s="71"/>
      <c r="U4" s="71" t="s">
        <v>170</v>
      </c>
      <c r="V4" s="71"/>
      <c r="W4" s="76"/>
      <c r="X4" s="78">
        <v>7.38</v>
      </c>
      <c r="Y4" s="79">
        <f t="shared" si="1"/>
        <v>20900.16</v>
      </c>
      <c r="Z4" s="79">
        <f t="shared" si="2"/>
        <v>161976.24</v>
      </c>
      <c r="AA4" s="80">
        <v>45950</v>
      </c>
      <c r="AB4" s="76" t="s">
        <v>161</v>
      </c>
    </row>
    <row r="5" s="69" customFormat="1" customHeight="1" spans="1:28">
      <c r="A5" s="70">
        <v>45966</v>
      </c>
      <c r="B5" s="71" t="s">
        <v>155</v>
      </c>
      <c r="C5" s="72" t="s">
        <v>156</v>
      </c>
      <c r="D5" s="73" t="s">
        <v>63</v>
      </c>
      <c r="E5" s="71">
        <v>1000001879</v>
      </c>
      <c r="F5" s="71" t="s">
        <v>62</v>
      </c>
      <c r="G5" s="74" t="str">
        <f>VLOOKUP(F5,名称!A:F,3,FALSE)</f>
        <v>恐龙收藏盒</v>
      </c>
      <c r="H5" s="74">
        <v>752</v>
      </c>
      <c r="I5" s="74">
        <f>VLOOKUP(F5,名称!A:F,5,0)</f>
        <v>0</v>
      </c>
      <c r="J5" s="74">
        <f>VLOOKUP(F5,名称!A:F,6,0)</f>
        <v>4</v>
      </c>
      <c r="K5" s="75">
        <f t="shared" si="0"/>
        <v>188</v>
      </c>
      <c r="L5" s="76">
        <v>46036</v>
      </c>
      <c r="M5" s="76" t="s">
        <v>171</v>
      </c>
      <c r="N5" s="76" t="s">
        <v>172</v>
      </c>
      <c r="O5" s="77"/>
      <c r="P5" s="77"/>
      <c r="Q5" s="76"/>
      <c r="R5" s="76" t="s">
        <v>158</v>
      </c>
      <c r="S5" s="71" t="s">
        <v>164</v>
      </c>
      <c r="T5" s="71"/>
      <c r="U5" s="71" t="s">
        <v>173</v>
      </c>
      <c r="V5" s="71"/>
      <c r="W5" s="71" t="s">
        <v>166</v>
      </c>
      <c r="X5" s="78">
        <v>9.71</v>
      </c>
      <c r="Y5" s="79">
        <f t="shared" si="1"/>
        <v>7301.92</v>
      </c>
      <c r="Z5" s="79">
        <f t="shared" si="2"/>
        <v>56589.88</v>
      </c>
      <c r="AA5" s="80">
        <v>45957</v>
      </c>
      <c r="AB5" s="76" t="s">
        <v>161</v>
      </c>
    </row>
    <row r="6" s="69" customFormat="1" customHeight="1" spans="1:28">
      <c r="A6" s="70">
        <v>45966</v>
      </c>
      <c r="B6" s="71" t="s">
        <v>155</v>
      </c>
      <c r="C6" s="72" t="s">
        <v>156</v>
      </c>
      <c r="D6" s="73" t="s">
        <v>43</v>
      </c>
      <c r="E6" s="71">
        <v>1000001879</v>
      </c>
      <c r="F6" s="71" t="s">
        <v>42</v>
      </c>
      <c r="G6" s="74" t="str">
        <f>VLOOKUP(F6,名称!A:F,3,FALSE)</f>
        <v>巨型恐龙组2</v>
      </c>
      <c r="H6" s="74">
        <v>1500</v>
      </c>
      <c r="I6" s="74">
        <f>VLOOKUP(F6,名称!A:F,5,0)</f>
        <v>0</v>
      </c>
      <c r="J6" s="74">
        <f>VLOOKUP(F6,名称!A:F,6,0)</f>
        <v>4</v>
      </c>
      <c r="K6" s="75">
        <f t="shared" si="0"/>
        <v>375</v>
      </c>
      <c r="L6" s="76">
        <v>46036</v>
      </c>
      <c r="M6" s="76">
        <v>45693</v>
      </c>
      <c r="N6" s="76">
        <v>46052</v>
      </c>
      <c r="O6" s="77"/>
      <c r="P6" s="77" t="s">
        <v>167</v>
      </c>
      <c r="Q6" s="76"/>
      <c r="R6" s="76" t="s">
        <v>158</v>
      </c>
      <c r="S6" s="71" t="s">
        <v>164</v>
      </c>
      <c r="T6" s="71"/>
      <c r="U6" s="71" t="s">
        <v>173</v>
      </c>
      <c r="V6" s="71"/>
      <c r="W6" s="76"/>
      <c r="X6" s="78">
        <v>12</v>
      </c>
      <c r="Y6" s="79">
        <f t="shared" si="1"/>
        <v>18000</v>
      </c>
      <c r="Z6" s="79">
        <f t="shared" si="2"/>
        <v>139500</v>
      </c>
      <c r="AA6" s="80">
        <v>45957</v>
      </c>
      <c r="AB6" s="76" t="s">
        <v>161</v>
      </c>
    </row>
    <row r="7" s="69" customFormat="1" customHeight="1" spans="1:28">
      <c r="A7" s="70">
        <v>45972</v>
      </c>
      <c r="B7" s="71" t="s">
        <v>155</v>
      </c>
      <c r="C7" s="72" t="s">
        <v>156</v>
      </c>
      <c r="D7" s="73" t="s">
        <v>51</v>
      </c>
      <c r="E7" s="71">
        <v>1000002006</v>
      </c>
      <c r="F7" s="71" t="s">
        <v>50</v>
      </c>
      <c r="G7" s="74" t="str">
        <f>VLOOKUP(F7,名称!A:F,3,FALSE)</f>
        <v>8款野生动物套装</v>
      </c>
      <c r="H7" s="74">
        <v>1968</v>
      </c>
      <c r="I7" s="74">
        <f>VLOOKUP(F7,名称!A:F,5,0)</f>
        <v>6</v>
      </c>
      <c r="J7" s="74">
        <f>VLOOKUP(F7,名称!A:F,6,0)</f>
        <v>12</v>
      </c>
      <c r="K7" s="75">
        <f t="shared" si="0"/>
        <v>164</v>
      </c>
      <c r="L7" s="76">
        <v>46043</v>
      </c>
      <c r="M7" s="76">
        <f>L7-7</f>
        <v>46036</v>
      </c>
      <c r="N7" s="76">
        <v>46043</v>
      </c>
      <c r="O7" s="77"/>
      <c r="P7" s="77" t="s">
        <v>174</v>
      </c>
      <c r="Q7" s="76"/>
      <c r="R7" s="76" t="s">
        <v>158</v>
      </c>
      <c r="S7" s="71" t="s">
        <v>164</v>
      </c>
      <c r="T7" s="71"/>
      <c r="U7" s="71" t="s">
        <v>175</v>
      </c>
      <c r="V7" s="71"/>
      <c r="W7" s="76"/>
      <c r="X7" s="78">
        <v>7.34</v>
      </c>
      <c r="Y7" s="79">
        <f t="shared" si="1"/>
        <v>14445.12</v>
      </c>
      <c r="Z7" s="79">
        <f t="shared" si="2"/>
        <v>111949.68</v>
      </c>
      <c r="AA7" s="80">
        <v>45958</v>
      </c>
      <c r="AB7" s="76" t="s">
        <v>161</v>
      </c>
    </row>
    <row r="8" s="69" customFormat="1" customHeight="1" spans="1:28">
      <c r="A8" s="70">
        <v>45972</v>
      </c>
      <c r="B8" s="71" t="s">
        <v>155</v>
      </c>
      <c r="C8" s="72" t="s">
        <v>156</v>
      </c>
      <c r="D8" s="73" t="s">
        <v>55</v>
      </c>
      <c r="E8" s="71">
        <v>1000002006</v>
      </c>
      <c r="F8" s="71" t="s">
        <v>54</v>
      </c>
      <c r="G8" s="74" t="str">
        <f>VLOOKUP(F8,名称!A:F,3,FALSE)</f>
        <v>10款海洋动物套装</v>
      </c>
      <c r="H8" s="74">
        <v>2520</v>
      </c>
      <c r="I8" s="74">
        <f>VLOOKUP(F8,名称!A:F,5,0)</f>
        <v>6</v>
      </c>
      <c r="J8" s="74">
        <f>VLOOKUP(F8,名称!A:F,6,0)</f>
        <v>12</v>
      </c>
      <c r="K8" s="75">
        <f t="shared" si="0"/>
        <v>210</v>
      </c>
      <c r="L8" s="76">
        <v>46043</v>
      </c>
      <c r="M8" s="76">
        <f>L8-7</f>
        <v>46036</v>
      </c>
      <c r="N8" s="76">
        <v>46043</v>
      </c>
      <c r="O8" s="77"/>
      <c r="P8" s="77" t="s">
        <v>167</v>
      </c>
      <c r="Q8" s="76"/>
      <c r="R8" s="76" t="s">
        <v>158</v>
      </c>
      <c r="S8" s="71" t="s">
        <v>164</v>
      </c>
      <c r="T8" s="71"/>
      <c r="U8" s="71" t="s">
        <v>175</v>
      </c>
      <c r="V8" s="71"/>
      <c r="W8" s="76"/>
      <c r="X8" s="78">
        <v>7</v>
      </c>
      <c r="Y8" s="79">
        <f t="shared" si="1"/>
        <v>17640</v>
      </c>
      <c r="Z8" s="79">
        <f t="shared" si="2"/>
        <v>136710</v>
      </c>
      <c r="AA8" s="80">
        <v>45958</v>
      </c>
      <c r="AB8" s="76" t="s">
        <v>161</v>
      </c>
    </row>
    <row r="9" s="69" customFormat="1" customHeight="1" spans="1:28">
      <c r="A9" s="70">
        <v>45966</v>
      </c>
      <c r="B9" s="71" t="s">
        <v>155</v>
      </c>
      <c r="C9" s="72" t="s">
        <v>156</v>
      </c>
      <c r="D9" s="73" t="s">
        <v>59</v>
      </c>
      <c r="E9" s="71">
        <v>1000001880</v>
      </c>
      <c r="F9" s="71" t="s">
        <v>58</v>
      </c>
      <c r="G9" s="74" t="str">
        <f>VLOOKUP(F9,名称!A:F,3,FALSE)</f>
        <v>农场小动物</v>
      </c>
      <c r="H9" s="74">
        <f>2520+720-2832</f>
        <v>408</v>
      </c>
      <c r="I9" s="74">
        <f>VLOOKUP(F9,名称!A:F,5,0)</f>
        <v>6</v>
      </c>
      <c r="J9" s="74">
        <f>VLOOKUP(F9,名称!A:F,6,0)</f>
        <v>12</v>
      </c>
      <c r="K9" s="75">
        <f t="shared" si="0"/>
        <v>34</v>
      </c>
      <c r="L9" s="76">
        <v>46021</v>
      </c>
      <c r="M9" s="76">
        <v>45686</v>
      </c>
      <c r="N9" s="76">
        <v>46043</v>
      </c>
      <c r="O9" s="77"/>
      <c r="P9" s="77" t="s">
        <v>167</v>
      </c>
      <c r="Q9" s="76"/>
      <c r="R9" s="76" t="s">
        <v>158</v>
      </c>
      <c r="S9" s="71" t="s">
        <v>164</v>
      </c>
      <c r="T9" s="71"/>
      <c r="U9" s="71" t="s">
        <v>170</v>
      </c>
      <c r="V9" s="71"/>
      <c r="W9" s="76"/>
      <c r="X9" s="78">
        <v>7.38</v>
      </c>
      <c r="Y9" s="79">
        <f t="shared" si="1"/>
        <v>3011.04</v>
      </c>
      <c r="Z9" s="79">
        <f t="shared" si="2"/>
        <v>23335.56</v>
      </c>
      <c r="AA9" s="80">
        <v>45960</v>
      </c>
      <c r="AB9" s="76" t="s">
        <v>161</v>
      </c>
    </row>
    <row r="10" s="69" customFormat="1" customHeight="1" spans="1:28">
      <c r="A10" s="70">
        <v>45966</v>
      </c>
      <c r="B10" s="71" t="s">
        <v>155</v>
      </c>
      <c r="C10" s="72" t="s">
        <v>156</v>
      </c>
      <c r="D10" s="73" t="s">
        <v>47</v>
      </c>
      <c r="E10" s="71">
        <v>1000001880</v>
      </c>
      <c r="F10" s="71" t="s">
        <v>46</v>
      </c>
      <c r="G10" s="74" t="str">
        <f>VLOOKUP(F10,名称!A:F,3,FALSE)</f>
        <v>8款恐龙玩具</v>
      </c>
      <c r="H10" s="74">
        <f>2520+1080</f>
        <v>3600</v>
      </c>
      <c r="I10" s="74">
        <f>VLOOKUP(F10,名称!A:F,5,0)</f>
        <v>9</v>
      </c>
      <c r="J10" s="74">
        <f>VLOOKUP(F10,名称!A:F,6,0)</f>
        <v>18</v>
      </c>
      <c r="K10" s="75">
        <f t="shared" si="0"/>
        <v>200</v>
      </c>
      <c r="L10" s="76">
        <v>46021</v>
      </c>
      <c r="M10" s="76">
        <v>45686</v>
      </c>
      <c r="N10" s="76">
        <v>46043</v>
      </c>
      <c r="O10" s="77"/>
      <c r="P10" s="77" t="s">
        <v>167</v>
      </c>
      <c r="Q10" s="76"/>
      <c r="R10" s="76" t="s">
        <v>158</v>
      </c>
      <c r="S10" s="71" t="s">
        <v>164</v>
      </c>
      <c r="T10" s="71"/>
      <c r="U10" s="71" t="s">
        <v>170</v>
      </c>
      <c r="V10" s="71"/>
      <c r="W10" s="76"/>
      <c r="X10" s="78">
        <v>7.31</v>
      </c>
      <c r="Y10" s="79">
        <f t="shared" si="1"/>
        <v>26316</v>
      </c>
      <c r="Z10" s="79">
        <f t="shared" si="2"/>
        <v>203949</v>
      </c>
      <c r="AA10" s="80">
        <v>45960</v>
      </c>
      <c r="AB10" s="76" t="s">
        <v>161</v>
      </c>
    </row>
    <row r="11" s="69" customFormat="1" customHeight="1" spans="1:28">
      <c r="A11" s="70">
        <v>45981</v>
      </c>
      <c r="B11" s="71" t="s">
        <v>155</v>
      </c>
      <c r="C11" s="72" t="s">
        <v>156</v>
      </c>
      <c r="D11" s="73" t="s">
        <v>39</v>
      </c>
      <c r="E11" s="71">
        <v>1000002079</v>
      </c>
      <c r="F11" s="71" t="s">
        <v>38</v>
      </c>
      <c r="G11" s="74" t="str">
        <f>VLOOKUP(F11,名称!A:F,3,FALSE)</f>
        <v>巨型恐龙组1</v>
      </c>
      <c r="H11" s="74">
        <v>752</v>
      </c>
      <c r="I11" s="74">
        <f>VLOOKUP(F11,名称!A:F,5,0)</f>
        <v>2</v>
      </c>
      <c r="J11" s="74">
        <f>VLOOKUP(F11,名称!A:F,6,0)</f>
        <v>4</v>
      </c>
      <c r="K11" s="75">
        <f t="shared" ref="K11:K45" si="3">H11/J11</f>
        <v>188</v>
      </c>
      <c r="L11" s="76">
        <v>46065</v>
      </c>
      <c r="M11" s="76" t="s">
        <v>176</v>
      </c>
      <c r="N11" s="76" t="s">
        <v>172</v>
      </c>
      <c r="O11" s="77"/>
      <c r="P11" s="77"/>
      <c r="Q11" s="76"/>
      <c r="R11" s="76" t="s">
        <v>158</v>
      </c>
      <c r="S11" s="71" t="s">
        <v>164</v>
      </c>
      <c r="T11" s="71"/>
      <c r="U11" s="71" t="s">
        <v>177</v>
      </c>
      <c r="V11" s="71"/>
      <c r="W11" s="76"/>
      <c r="X11" s="78">
        <v>11.5</v>
      </c>
      <c r="Y11" s="79">
        <f t="shared" si="1"/>
        <v>8648</v>
      </c>
      <c r="Z11" s="79">
        <f t="shared" si="2"/>
        <v>67022</v>
      </c>
      <c r="AA11" s="80">
        <v>45961</v>
      </c>
      <c r="AB11" s="76" t="s">
        <v>161</v>
      </c>
    </row>
    <row r="12" s="69" customFormat="1" customHeight="1" spans="1:28">
      <c r="A12" s="70">
        <v>45981</v>
      </c>
      <c r="B12" s="71" t="s">
        <v>155</v>
      </c>
      <c r="C12" s="72" t="s">
        <v>156</v>
      </c>
      <c r="D12" s="73" t="s">
        <v>43</v>
      </c>
      <c r="E12" s="71">
        <v>1000002079</v>
      </c>
      <c r="F12" s="71" t="s">
        <v>42</v>
      </c>
      <c r="G12" s="74" t="str">
        <f>VLOOKUP(F12,名称!A:F,3,FALSE)</f>
        <v>巨型恐龙组2</v>
      </c>
      <c r="H12" s="74">
        <f>180+280+292</f>
        <v>752</v>
      </c>
      <c r="I12" s="74">
        <f>VLOOKUP(F12,名称!A:F,5,0)</f>
        <v>0</v>
      </c>
      <c r="J12" s="74">
        <f>VLOOKUP(F12,名称!A:F,6,0)</f>
        <v>4</v>
      </c>
      <c r="K12" s="75">
        <f t="shared" si="3"/>
        <v>188</v>
      </c>
      <c r="L12" s="76">
        <v>46065</v>
      </c>
      <c r="M12" s="76" t="s">
        <v>176</v>
      </c>
      <c r="N12" s="76" t="s">
        <v>172</v>
      </c>
      <c r="O12" s="77"/>
      <c r="P12" s="77"/>
      <c r="Q12" s="76"/>
      <c r="R12" s="76" t="s">
        <v>158</v>
      </c>
      <c r="S12" s="71" t="s">
        <v>164</v>
      </c>
      <c r="T12" s="71"/>
      <c r="U12" s="71" t="s">
        <v>177</v>
      </c>
      <c r="V12" s="71"/>
      <c r="W12" s="76"/>
      <c r="X12" s="78">
        <v>12</v>
      </c>
      <c r="Y12" s="79">
        <f t="shared" si="1"/>
        <v>9024</v>
      </c>
      <c r="Z12" s="79">
        <f t="shared" si="2"/>
        <v>69936</v>
      </c>
      <c r="AA12" s="80">
        <v>45961</v>
      </c>
      <c r="AB12" s="76" t="s">
        <v>161</v>
      </c>
    </row>
    <row r="13" s="69" customFormat="1" customHeight="1" spans="1:28">
      <c r="A13" s="70">
        <v>45981</v>
      </c>
      <c r="B13" s="71" t="s">
        <v>155</v>
      </c>
      <c r="C13" s="72" t="s">
        <v>156</v>
      </c>
      <c r="D13" s="73" t="s">
        <v>95</v>
      </c>
      <c r="E13" s="71">
        <v>1000002079</v>
      </c>
      <c r="F13" s="71" t="s">
        <v>94</v>
      </c>
      <c r="G13" s="74" t="str">
        <f>VLOOKUP(F13,名称!A:F,3,FALSE)</f>
        <v>恐龙冒险套装</v>
      </c>
      <c r="H13" s="74">
        <v>3000</v>
      </c>
      <c r="I13" s="74">
        <f>VLOOKUP(F13,名称!A:F,5,0)</f>
        <v>0</v>
      </c>
      <c r="J13" s="74">
        <f>VLOOKUP(F13,名称!A:F,6,0)</f>
        <v>4</v>
      </c>
      <c r="K13" s="75">
        <f t="shared" si="3"/>
        <v>750</v>
      </c>
      <c r="L13" s="76">
        <v>46065</v>
      </c>
      <c r="M13" s="76">
        <f>L13-7</f>
        <v>46058</v>
      </c>
      <c r="N13" s="76"/>
      <c r="O13" s="77"/>
      <c r="P13" s="77"/>
      <c r="Q13" s="76"/>
      <c r="R13" s="76" t="s">
        <v>158</v>
      </c>
      <c r="S13" s="71" t="s">
        <v>164</v>
      </c>
      <c r="T13" s="71"/>
      <c r="U13" s="71" t="s">
        <v>177</v>
      </c>
      <c r="V13" s="71"/>
      <c r="W13" s="76" t="s">
        <v>178</v>
      </c>
      <c r="X13" s="78">
        <v>4.26</v>
      </c>
      <c r="Y13" s="79">
        <f t="shared" si="1"/>
        <v>12780</v>
      </c>
      <c r="Z13" s="79">
        <f t="shared" si="2"/>
        <v>99045</v>
      </c>
      <c r="AA13" s="80">
        <v>45961</v>
      </c>
      <c r="AB13" s="76" t="s">
        <v>161</v>
      </c>
    </row>
    <row r="14" s="69" customFormat="1" customHeight="1" spans="1:28">
      <c r="A14" s="70">
        <v>45994</v>
      </c>
      <c r="B14" s="71" t="s">
        <v>155</v>
      </c>
      <c r="C14" s="72" t="s">
        <v>156</v>
      </c>
      <c r="D14" s="73" t="s">
        <v>99</v>
      </c>
      <c r="E14" s="71">
        <v>1000002184</v>
      </c>
      <c r="F14" s="71" t="s">
        <v>98</v>
      </c>
      <c r="G14" s="74" t="str">
        <f>VLOOKUP(F14,名称!A:F,3,FALSE)</f>
        <v>奇幻冒险背包</v>
      </c>
      <c r="H14" s="74">
        <v>3000</v>
      </c>
      <c r="I14" s="74">
        <f>VLOOKUP(F14,名称!A:F,5,0)</f>
        <v>0</v>
      </c>
      <c r="J14" s="74">
        <f>VLOOKUP(F14,名称!A:F,6,0)</f>
        <v>4</v>
      </c>
      <c r="K14" s="75">
        <f t="shared" si="3"/>
        <v>750</v>
      </c>
      <c r="L14" s="76">
        <v>46072</v>
      </c>
      <c r="M14" s="76">
        <v>46058</v>
      </c>
      <c r="N14" s="76">
        <v>46056</v>
      </c>
      <c r="O14" s="77"/>
      <c r="P14" s="77"/>
      <c r="Q14" s="76"/>
      <c r="R14" s="76" t="s">
        <v>158</v>
      </c>
      <c r="S14" s="71" t="s">
        <v>164</v>
      </c>
      <c r="T14" s="71"/>
      <c r="U14" s="71" t="s">
        <v>179</v>
      </c>
      <c r="V14" s="71"/>
      <c r="W14" s="76" t="s">
        <v>178</v>
      </c>
      <c r="X14" s="78">
        <v>4.87</v>
      </c>
      <c r="Y14" s="79">
        <f t="shared" si="1"/>
        <v>14610</v>
      </c>
      <c r="Z14" s="79">
        <f t="shared" si="2"/>
        <v>113227.5</v>
      </c>
      <c r="AA14" s="80">
        <v>45962</v>
      </c>
      <c r="AB14" s="76" t="s">
        <v>161</v>
      </c>
    </row>
    <row r="15" s="69" customFormat="1" customHeight="1" spans="1:28">
      <c r="A15" s="70">
        <v>45994</v>
      </c>
      <c r="B15" s="71" t="s">
        <v>155</v>
      </c>
      <c r="C15" s="72" t="s">
        <v>156</v>
      </c>
      <c r="D15" s="73" t="s">
        <v>75</v>
      </c>
      <c r="E15" s="71">
        <v>1000002184</v>
      </c>
      <c r="F15" s="71" t="s">
        <v>74</v>
      </c>
      <c r="G15" s="74" t="str">
        <f>VLOOKUP(F15,名称!A:F,3,FALSE)</f>
        <v>2颗小树</v>
      </c>
      <c r="H15" s="74">
        <v>1800</v>
      </c>
      <c r="I15" s="74">
        <f>VLOOKUP(F15,名称!A:F,5,0)</f>
        <v>30</v>
      </c>
      <c r="J15" s="74">
        <f>VLOOKUP(F15,名称!A:F,6,0)</f>
        <v>180</v>
      </c>
      <c r="K15" s="75">
        <f t="shared" si="3"/>
        <v>10</v>
      </c>
      <c r="L15" s="76">
        <v>46072</v>
      </c>
      <c r="M15" s="76">
        <f>L15-7</f>
        <v>46065</v>
      </c>
      <c r="N15" s="76"/>
      <c r="O15" s="77"/>
      <c r="P15" s="77"/>
      <c r="Q15" s="76"/>
      <c r="R15" s="76" t="s">
        <v>158</v>
      </c>
      <c r="S15" s="71" t="s">
        <v>164</v>
      </c>
      <c r="T15" s="71"/>
      <c r="U15" s="71" t="s">
        <v>179</v>
      </c>
      <c r="V15" s="71"/>
      <c r="W15" s="76"/>
      <c r="X15" s="78">
        <v>0.36</v>
      </c>
      <c r="Y15" s="79">
        <f t="shared" si="1"/>
        <v>648</v>
      </c>
      <c r="Z15" s="79">
        <f t="shared" si="2"/>
        <v>5022</v>
      </c>
      <c r="AA15" s="80">
        <v>45962</v>
      </c>
      <c r="AB15" s="76" t="s">
        <v>161</v>
      </c>
    </row>
    <row r="16" s="69" customFormat="1" customHeight="1" spans="1:28">
      <c r="A16" s="70">
        <v>45972</v>
      </c>
      <c r="B16" s="71" t="s">
        <v>155</v>
      </c>
      <c r="C16" s="72" t="s">
        <v>156</v>
      </c>
      <c r="D16" s="73" t="s">
        <v>35</v>
      </c>
      <c r="E16" s="71">
        <v>1000002006</v>
      </c>
      <c r="F16" s="71" t="s">
        <v>34</v>
      </c>
      <c r="G16" s="74" t="str">
        <f>VLOOKUP(F16,名称!A:F,3,FALSE)</f>
        <v>欧洲家庭</v>
      </c>
      <c r="H16" s="74">
        <v>1002</v>
      </c>
      <c r="I16" s="74">
        <f>VLOOKUP(F16,名称!A:F,5,0)</f>
        <v>0</v>
      </c>
      <c r="J16" s="74">
        <f>VLOOKUP(F16,名称!A:F,6,0)</f>
        <v>6</v>
      </c>
      <c r="K16" s="75">
        <f t="shared" si="3"/>
        <v>167</v>
      </c>
      <c r="L16" s="76">
        <v>46043</v>
      </c>
      <c r="M16" s="76" t="s">
        <v>180</v>
      </c>
      <c r="N16" s="76" t="s">
        <v>181</v>
      </c>
      <c r="O16" s="77"/>
      <c r="P16" s="77" t="s">
        <v>167</v>
      </c>
      <c r="Q16" s="76"/>
      <c r="R16" s="76" t="s">
        <v>158</v>
      </c>
      <c r="S16" s="71" t="s">
        <v>164</v>
      </c>
      <c r="T16" s="71"/>
      <c r="U16" s="71" t="s">
        <v>175</v>
      </c>
      <c r="V16" s="71"/>
      <c r="W16" s="76"/>
      <c r="X16" s="78">
        <v>4.92</v>
      </c>
      <c r="Y16" s="79">
        <f t="shared" si="1"/>
        <v>4929.84</v>
      </c>
      <c r="Z16" s="79">
        <f t="shared" si="2"/>
        <v>38206.26</v>
      </c>
      <c r="AA16" s="80">
        <v>45963</v>
      </c>
      <c r="AB16" s="76" t="s">
        <v>161</v>
      </c>
    </row>
    <row r="17" s="69" customFormat="1" customHeight="1" spans="1:28">
      <c r="A17" s="70">
        <v>45972</v>
      </c>
      <c r="B17" s="71" t="s">
        <v>155</v>
      </c>
      <c r="C17" s="72" t="s">
        <v>156</v>
      </c>
      <c r="D17" s="73" t="s">
        <v>23</v>
      </c>
      <c r="E17" s="71">
        <v>1000002006</v>
      </c>
      <c r="F17" s="71" t="s">
        <v>22</v>
      </c>
      <c r="G17" s="74" t="str">
        <f>VLOOKUP(F17,名称!A:F,3,FALSE)</f>
        <v>西班牙家庭</v>
      </c>
      <c r="H17" s="74">
        <v>1002</v>
      </c>
      <c r="I17" s="74">
        <f>VLOOKUP(F17,名称!A:F,5,0)</f>
        <v>0</v>
      </c>
      <c r="J17" s="74">
        <f>VLOOKUP(F17,名称!A:F,6,0)</f>
        <v>6</v>
      </c>
      <c r="K17" s="75">
        <f t="shared" si="3"/>
        <v>167</v>
      </c>
      <c r="L17" s="76">
        <v>46043</v>
      </c>
      <c r="M17" s="76" t="s">
        <v>182</v>
      </c>
      <c r="N17" s="76" t="s">
        <v>183</v>
      </c>
      <c r="O17" s="77"/>
      <c r="P17" s="77"/>
      <c r="Q17" s="76"/>
      <c r="R17" s="76" t="s">
        <v>158</v>
      </c>
      <c r="S17" s="71" t="s">
        <v>164</v>
      </c>
      <c r="T17" s="71"/>
      <c r="U17" s="71" t="s">
        <v>175</v>
      </c>
      <c r="V17" s="71"/>
      <c r="W17" s="76"/>
      <c r="X17" s="78">
        <v>4.92</v>
      </c>
      <c r="Y17" s="79">
        <f t="shared" si="1"/>
        <v>4929.84</v>
      </c>
      <c r="Z17" s="79">
        <f t="shared" si="2"/>
        <v>38206.26</v>
      </c>
      <c r="AA17" s="80">
        <v>45963</v>
      </c>
      <c r="AB17" s="76" t="s">
        <v>161</v>
      </c>
    </row>
    <row r="18" s="69" customFormat="1" customHeight="1" spans="1:28">
      <c r="A18" s="70">
        <v>45966</v>
      </c>
      <c r="B18" s="71" t="s">
        <v>155</v>
      </c>
      <c r="C18" s="72" t="s">
        <v>156</v>
      </c>
      <c r="D18" s="73" t="s">
        <v>31</v>
      </c>
      <c r="E18" s="71">
        <v>1000001879</v>
      </c>
      <c r="F18" s="71" t="s">
        <v>30</v>
      </c>
      <c r="G18" s="74" t="str">
        <f>VLOOKUP(F18,名称!A:F,3,FALSE)</f>
        <v>非洲家庭</v>
      </c>
      <c r="H18" s="74">
        <v>1602</v>
      </c>
      <c r="I18" s="74">
        <f>VLOOKUP(F18,名称!A:F,5,0)</f>
        <v>0</v>
      </c>
      <c r="J18" s="74">
        <f>VLOOKUP(F18,名称!A:F,6,0)</f>
        <v>6</v>
      </c>
      <c r="K18" s="75">
        <f t="shared" si="3"/>
        <v>267</v>
      </c>
      <c r="L18" s="76">
        <v>46036</v>
      </c>
      <c r="M18" s="76">
        <v>46104</v>
      </c>
      <c r="N18" s="76"/>
      <c r="O18" s="77"/>
      <c r="P18" s="77"/>
      <c r="Q18" s="76"/>
      <c r="R18" s="76" t="s">
        <v>158</v>
      </c>
      <c r="S18" s="71" t="s">
        <v>164</v>
      </c>
      <c r="T18" s="71"/>
      <c r="U18" s="71" t="s">
        <v>173</v>
      </c>
      <c r="V18" s="71"/>
      <c r="W18" s="71" t="s">
        <v>166</v>
      </c>
      <c r="X18" s="78">
        <v>4.72</v>
      </c>
      <c r="Y18" s="79">
        <f t="shared" si="1"/>
        <v>7561.44</v>
      </c>
      <c r="Z18" s="79">
        <f t="shared" si="2"/>
        <v>58601.16</v>
      </c>
      <c r="AA18" s="80">
        <v>45975</v>
      </c>
      <c r="AB18" s="76" t="s">
        <v>184</v>
      </c>
    </row>
    <row r="19" s="69" customFormat="1" customHeight="1" spans="1:28">
      <c r="A19" s="70">
        <v>46001</v>
      </c>
      <c r="B19" s="71" t="s">
        <v>155</v>
      </c>
      <c r="C19" s="72" t="s">
        <v>156</v>
      </c>
      <c r="D19" s="71" t="s">
        <v>11</v>
      </c>
      <c r="E19" s="71">
        <v>1000002361</v>
      </c>
      <c r="F19" s="73" t="s">
        <v>10</v>
      </c>
      <c r="G19" s="74" t="str">
        <f>VLOOKUP(F19,名称!A:F,3,FALSE)</f>
        <v>蝙蝠</v>
      </c>
      <c r="H19" s="74">
        <v>8640</v>
      </c>
      <c r="I19" s="74">
        <f>VLOOKUP(F19,名称!A:F,5,0)</f>
        <v>144</v>
      </c>
      <c r="J19" s="74">
        <f>VLOOKUP(F19,名称!A:F,6,0)</f>
        <v>864</v>
      </c>
      <c r="K19" s="75">
        <f t="shared" si="3"/>
        <v>10</v>
      </c>
      <c r="L19" s="76">
        <v>46076</v>
      </c>
      <c r="M19" s="76">
        <v>46094</v>
      </c>
      <c r="N19" s="76"/>
      <c r="O19" s="77"/>
      <c r="P19" s="77"/>
      <c r="Q19" s="76"/>
      <c r="R19" s="76" t="s">
        <v>158</v>
      </c>
      <c r="S19" s="71" t="s">
        <v>164</v>
      </c>
      <c r="T19" s="71"/>
      <c r="U19" s="71" t="s">
        <v>185</v>
      </c>
      <c r="V19" s="71"/>
      <c r="W19" s="76"/>
      <c r="X19" s="78">
        <v>0.15</v>
      </c>
      <c r="Y19" s="79">
        <f t="shared" si="1"/>
        <v>1296</v>
      </c>
      <c r="Z19" s="79">
        <f t="shared" si="2"/>
        <v>10044</v>
      </c>
      <c r="AA19" s="80">
        <v>45976</v>
      </c>
      <c r="AB19" s="76" t="s">
        <v>161</v>
      </c>
    </row>
    <row r="20" s="69" customFormat="1" customHeight="1" spans="1:28">
      <c r="A20" s="70">
        <v>46001</v>
      </c>
      <c r="B20" s="71" t="s">
        <v>155</v>
      </c>
      <c r="C20" s="72" t="s">
        <v>156</v>
      </c>
      <c r="D20" s="71" t="s">
        <v>71</v>
      </c>
      <c r="E20" s="71">
        <v>1000002361</v>
      </c>
      <c r="F20" s="73" t="s">
        <v>70</v>
      </c>
      <c r="G20" s="74" t="str">
        <f>VLOOKUP(F20,名称!A:F,3,FALSE)</f>
        <v>8只小恐龙</v>
      </c>
      <c r="H20" s="74">
        <v>4000</v>
      </c>
      <c r="I20" s="74">
        <f>VLOOKUP(F20,名称!A:F,5,0)</f>
        <v>25</v>
      </c>
      <c r="J20" s="74">
        <f>VLOOKUP(F20,名称!A:F,6,0)</f>
        <v>100</v>
      </c>
      <c r="K20" s="75">
        <f t="shared" si="3"/>
        <v>40</v>
      </c>
      <c r="L20" s="76">
        <v>46076</v>
      </c>
      <c r="M20" s="76">
        <v>46094</v>
      </c>
      <c r="N20" s="76"/>
      <c r="O20" s="77"/>
      <c r="P20" s="77"/>
      <c r="Q20" s="76"/>
      <c r="R20" s="76" t="s">
        <v>158</v>
      </c>
      <c r="S20" s="71" t="s">
        <v>164</v>
      </c>
      <c r="T20" s="71"/>
      <c r="U20" s="71" t="s">
        <v>185</v>
      </c>
      <c r="V20" s="71"/>
      <c r="W20" s="76" t="s">
        <v>186</v>
      </c>
      <c r="X20" s="78">
        <v>0.21</v>
      </c>
      <c r="Y20" s="79">
        <f t="shared" si="1"/>
        <v>840</v>
      </c>
      <c r="Z20" s="79">
        <f t="shared" si="2"/>
        <v>6510</v>
      </c>
      <c r="AA20" s="80">
        <v>45976</v>
      </c>
      <c r="AB20" s="76" t="s">
        <v>161</v>
      </c>
    </row>
    <row r="21" s="69" customFormat="1" customHeight="1" spans="1:28">
      <c r="A21" s="70">
        <v>46001</v>
      </c>
      <c r="B21" s="71" t="s">
        <v>155</v>
      </c>
      <c r="C21" s="72" t="s">
        <v>156</v>
      </c>
      <c r="D21" s="73" t="s">
        <v>19</v>
      </c>
      <c r="E21" s="71">
        <v>1000002361</v>
      </c>
      <c r="F21" s="71" t="s">
        <v>18</v>
      </c>
      <c r="G21" s="74" t="str">
        <f>VLOOKUP(F21,名称!A:F,3,FALSE)</f>
        <v>2只2寸小老虎</v>
      </c>
      <c r="H21" s="74">
        <v>4000</v>
      </c>
      <c r="I21" s="74">
        <f>VLOOKUP(F21,名称!A:F,5,0)</f>
        <v>50</v>
      </c>
      <c r="J21" s="74">
        <f>VLOOKUP(F21,名称!A:F,6,0)</f>
        <v>400</v>
      </c>
      <c r="K21" s="75">
        <f t="shared" si="3"/>
        <v>10</v>
      </c>
      <c r="L21" s="76">
        <v>46076</v>
      </c>
      <c r="M21" s="76">
        <v>46094</v>
      </c>
      <c r="N21" s="76"/>
      <c r="O21" s="77"/>
      <c r="P21" s="77"/>
      <c r="Q21" s="76"/>
      <c r="R21" s="76" t="s">
        <v>158</v>
      </c>
      <c r="S21" s="71" t="s">
        <v>164</v>
      </c>
      <c r="T21" s="71"/>
      <c r="U21" s="71" t="s">
        <v>185</v>
      </c>
      <c r="V21" s="71"/>
      <c r="W21" s="76" t="s">
        <v>187</v>
      </c>
      <c r="X21" s="78">
        <v>0.42</v>
      </c>
      <c r="Y21" s="79">
        <f t="shared" si="1"/>
        <v>1680</v>
      </c>
      <c r="Z21" s="79">
        <f t="shared" si="2"/>
        <v>13020</v>
      </c>
      <c r="AA21" s="80">
        <v>45976</v>
      </c>
      <c r="AB21" s="76" t="s">
        <v>161</v>
      </c>
    </row>
    <row r="22" s="69" customFormat="1" customHeight="1" spans="1:28">
      <c r="A22" s="70">
        <v>45840</v>
      </c>
      <c r="B22" s="71" t="s">
        <v>155</v>
      </c>
      <c r="C22" s="72" t="s">
        <v>156</v>
      </c>
      <c r="D22" s="73" t="s">
        <v>31</v>
      </c>
      <c r="E22" s="71">
        <v>1000000721</v>
      </c>
      <c r="F22" s="71" t="s">
        <v>30</v>
      </c>
      <c r="G22" s="74" t="str">
        <f>VLOOKUP(F22,名称!A:F,3,FALSE)</f>
        <v>非洲家庭</v>
      </c>
      <c r="H22" s="74">
        <f>1602-564</f>
        <v>1038</v>
      </c>
      <c r="I22" s="74">
        <f>VLOOKUP(F22,名称!A:F,5,0)</f>
        <v>0</v>
      </c>
      <c r="J22" s="74">
        <f>VLOOKUP(F22,名称!A:F,6,0)</f>
        <v>6</v>
      </c>
      <c r="K22" s="75">
        <f t="shared" si="3"/>
        <v>173</v>
      </c>
      <c r="L22" s="76">
        <v>45915</v>
      </c>
      <c r="M22" s="76">
        <v>46085</v>
      </c>
      <c r="N22" s="76"/>
      <c r="O22" s="77"/>
      <c r="P22" s="77"/>
      <c r="Q22" s="76"/>
      <c r="R22" s="76" t="s">
        <v>158</v>
      </c>
      <c r="S22" s="71" t="s">
        <v>164</v>
      </c>
      <c r="T22" s="71" t="str">
        <f>"第"&amp;外箱贴纸箱号!A29&amp;"箱至第"&amp;外箱贴纸箱号!B29&amp;"箱"</f>
        <v>第214273箱至第214539箱</v>
      </c>
      <c r="U22" s="76" t="s">
        <v>188</v>
      </c>
      <c r="V22" s="71"/>
      <c r="W22" s="76" t="s">
        <v>169</v>
      </c>
      <c r="X22" s="78">
        <v>4.72</v>
      </c>
      <c r="Y22" s="79">
        <f t="shared" si="1"/>
        <v>4899.36</v>
      </c>
      <c r="Z22" s="79">
        <f t="shared" si="2"/>
        <v>37970.04</v>
      </c>
      <c r="AA22" s="80">
        <v>45977</v>
      </c>
      <c r="AB22" s="76" t="s">
        <v>184</v>
      </c>
    </row>
    <row r="23" s="69" customFormat="1" customHeight="1" spans="1:28">
      <c r="A23" s="70">
        <v>45840</v>
      </c>
      <c r="B23" s="71" t="s">
        <v>155</v>
      </c>
      <c r="C23" s="72" t="s">
        <v>156</v>
      </c>
      <c r="D23" s="73" t="s">
        <v>35</v>
      </c>
      <c r="E23" s="71">
        <v>1000000721</v>
      </c>
      <c r="F23" s="71" t="s">
        <v>34</v>
      </c>
      <c r="G23" s="74" t="str">
        <f>VLOOKUP(F23,名称!A:F,3,FALSE)</f>
        <v>欧洲家庭</v>
      </c>
      <c r="H23" s="74">
        <f>1602-612</f>
        <v>990</v>
      </c>
      <c r="I23" s="74">
        <f>VLOOKUP(F23,名称!A:F,5,0)</f>
        <v>0</v>
      </c>
      <c r="J23" s="74">
        <f>VLOOKUP(F23,名称!A:F,6,0)</f>
        <v>6</v>
      </c>
      <c r="K23" s="75">
        <f t="shared" si="3"/>
        <v>165</v>
      </c>
      <c r="L23" s="76">
        <v>45915</v>
      </c>
      <c r="M23" s="76">
        <v>46104</v>
      </c>
      <c r="N23" s="76"/>
      <c r="O23" s="77"/>
      <c r="P23" s="77"/>
      <c r="Q23" s="76"/>
      <c r="R23" s="76" t="s">
        <v>158</v>
      </c>
      <c r="S23" s="71" t="s">
        <v>164</v>
      </c>
      <c r="T23" s="71" t="str">
        <f>"第"&amp;外箱贴纸箱号!A30&amp;"箱至第"&amp;外箱贴纸箱号!B30&amp;"箱"</f>
        <v>第214540箱至第214806箱</v>
      </c>
      <c r="U23" s="76" t="s">
        <v>188</v>
      </c>
      <c r="V23" s="71"/>
      <c r="W23" s="76" t="s">
        <v>169</v>
      </c>
      <c r="X23" s="78">
        <v>4.92</v>
      </c>
      <c r="Y23" s="79">
        <f t="shared" si="1"/>
        <v>4870.8</v>
      </c>
      <c r="Z23" s="79">
        <f t="shared" si="2"/>
        <v>37748.7</v>
      </c>
      <c r="AA23" s="80">
        <v>45977</v>
      </c>
      <c r="AB23" s="76" t="s">
        <v>184</v>
      </c>
    </row>
    <row r="24" s="69" customFormat="1" customHeight="1" spans="1:28">
      <c r="A24" s="70">
        <v>45910</v>
      </c>
      <c r="B24" s="71" t="s">
        <v>155</v>
      </c>
      <c r="C24" s="72" t="s">
        <v>156</v>
      </c>
      <c r="D24" s="73" t="s">
        <v>35</v>
      </c>
      <c r="E24" s="71">
        <v>1000001352</v>
      </c>
      <c r="F24" s="71" t="s">
        <v>34</v>
      </c>
      <c r="G24" s="74" t="str">
        <f>VLOOKUP(F24,名称!A:F,3,FALSE)</f>
        <v>欧洲家庭</v>
      </c>
      <c r="H24" s="74">
        <v>1602</v>
      </c>
      <c r="I24" s="74">
        <f>VLOOKUP(F24,名称!A:F,5,0)</f>
        <v>0</v>
      </c>
      <c r="J24" s="74">
        <f>VLOOKUP(F24,名称!A:F,6,0)</f>
        <v>6</v>
      </c>
      <c r="K24" s="75">
        <f t="shared" si="3"/>
        <v>267</v>
      </c>
      <c r="L24" s="76">
        <v>45995</v>
      </c>
      <c r="M24" s="76">
        <v>46104</v>
      </c>
      <c r="N24" s="76"/>
      <c r="O24" s="77"/>
      <c r="P24" s="77"/>
      <c r="Q24" s="76"/>
      <c r="R24" s="76" t="s">
        <v>158</v>
      </c>
      <c r="S24" s="71" t="s">
        <v>164</v>
      </c>
      <c r="T24" s="71" t="str">
        <f>"第"&amp;外箱贴纸箱号!A35&amp;"箱至第"&amp;外箱贴纸箱号!B35&amp;"箱"</f>
        <v>第215875箱至第216274箱</v>
      </c>
      <c r="U24" s="71" t="s">
        <v>168</v>
      </c>
      <c r="V24" s="71"/>
      <c r="W24" s="76" t="s">
        <v>166</v>
      </c>
      <c r="X24" s="78">
        <v>4.92</v>
      </c>
      <c r="Y24" s="79">
        <f t="shared" si="1"/>
        <v>7881.84</v>
      </c>
      <c r="Z24" s="79">
        <f t="shared" si="2"/>
        <v>61084.26</v>
      </c>
      <c r="AA24" s="80">
        <v>45978</v>
      </c>
      <c r="AB24" s="76" t="s">
        <v>184</v>
      </c>
    </row>
    <row r="25" s="69" customFormat="1" customHeight="1" spans="1:28">
      <c r="A25" s="70">
        <v>45966</v>
      </c>
      <c r="B25" s="71" t="s">
        <v>155</v>
      </c>
      <c r="C25" s="72" t="s">
        <v>156</v>
      </c>
      <c r="D25" s="73" t="s">
        <v>63</v>
      </c>
      <c r="E25" s="71">
        <v>1000001879</v>
      </c>
      <c r="F25" s="71" t="s">
        <v>62</v>
      </c>
      <c r="G25" s="74" t="str">
        <f>VLOOKUP(F25,名称!A:F,3,FALSE)</f>
        <v>恐龙收藏盒</v>
      </c>
      <c r="H25" s="74">
        <f>1500-752</f>
        <v>748</v>
      </c>
      <c r="I25" s="74">
        <f>VLOOKUP(F25,名称!A:F,5,0)</f>
        <v>0</v>
      </c>
      <c r="J25" s="74">
        <f>VLOOKUP(F25,名称!A:F,6,0)</f>
        <v>4</v>
      </c>
      <c r="K25" s="75">
        <f t="shared" si="3"/>
        <v>187</v>
      </c>
      <c r="L25" s="76">
        <v>46036</v>
      </c>
      <c r="M25" s="76" t="s">
        <v>171</v>
      </c>
      <c r="N25" s="76" t="s">
        <v>172</v>
      </c>
      <c r="O25" s="77"/>
      <c r="P25" s="77"/>
      <c r="Q25" s="76"/>
      <c r="R25" s="76" t="s">
        <v>158</v>
      </c>
      <c r="S25" s="71" t="s">
        <v>164</v>
      </c>
      <c r="T25" s="71"/>
      <c r="U25" s="71" t="s">
        <v>173</v>
      </c>
      <c r="V25" s="71"/>
      <c r="W25" s="71" t="s">
        <v>166</v>
      </c>
      <c r="X25" s="78">
        <v>9.71</v>
      </c>
      <c r="Y25" s="79">
        <f t="shared" si="1"/>
        <v>7263.08</v>
      </c>
      <c r="Z25" s="79">
        <f t="shared" si="2"/>
        <v>56288.87</v>
      </c>
      <c r="AA25" s="80">
        <v>45982</v>
      </c>
      <c r="AB25" s="76" t="s">
        <v>161</v>
      </c>
    </row>
    <row r="26" s="69" customFormat="1" customHeight="1" spans="1:28">
      <c r="A26" s="70">
        <v>45972</v>
      </c>
      <c r="B26" s="71" t="s">
        <v>155</v>
      </c>
      <c r="C26" s="72" t="s">
        <v>156</v>
      </c>
      <c r="D26" s="73" t="s">
        <v>35</v>
      </c>
      <c r="E26" s="71">
        <v>1000002006</v>
      </c>
      <c r="F26" s="71" t="s">
        <v>34</v>
      </c>
      <c r="G26" s="74" t="str">
        <f>VLOOKUP(F26,名称!A:F,3,FALSE)</f>
        <v>欧洲家庭</v>
      </c>
      <c r="H26" s="74">
        <f>1608-1002</f>
        <v>606</v>
      </c>
      <c r="I26" s="74">
        <f>VLOOKUP(F26,名称!A:F,5,0)</f>
        <v>0</v>
      </c>
      <c r="J26" s="74">
        <f>VLOOKUP(F26,名称!A:F,6,0)</f>
        <v>6</v>
      </c>
      <c r="K26" s="75">
        <f t="shared" si="3"/>
        <v>101</v>
      </c>
      <c r="L26" s="76">
        <v>46043</v>
      </c>
      <c r="M26" s="76" t="s">
        <v>180</v>
      </c>
      <c r="N26" s="76" t="s">
        <v>181</v>
      </c>
      <c r="O26" s="77"/>
      <c r="P26" s="77" t="s">
        <v>167</v>
      </c>
      <c r="Q26" s="76"/>
      <c r="R26" s="76" t="s">
        <v>158</v>
      </c>
      <c r="S26" s="71" t="s">
        <v>164</v>
      </c>
      <c r="T26" s="71"/>
      <c r="U26" s="71" t="s">
        <v>175</v>
      </c>
      <c r="V26" s="71"/>
      <c r="W26" s="76"/>
      <c r="X26" s="78">
        <v>4.92</v>
      </c>
      <c r="Y26" s="79">
        <f t="shared" si="1"/>
        <v>2981.52</v>
      </c>
      <c r="Z26" s="79">
        <f t="shared" si="2"/>
        <v>23106.78</v>
      </c>
      <c r="AA26" s="80">
        <v>45983</v>
      </c>
      <c r="AB26" s="76" t="s">
        <v>161</v>
      </c>
    </row>
    <row r="27" s="69" customFormat="1" customHeight="1" spans="1:28">
      <c r="A27" s="70">
        <v>45972</v>
      </c>
      <c r="B27" s="71" t="s">
        <v>155</v>
      </c>
      <c r="C27" s="72" t="s">
        <v>156</v>
      </c>
      <c r="D27" s="73" t="s">
        <v>27</v>
      </c>
      <c r="E27" s="71">
        <v>1000002006</v>
      </c>
      <c r="F27" s="71" t="s">
        <v>26</v>
      </c>
      <c r="G27" s="74" t="str">
        <f>VLOOKUP(F27,名称!A:F,3,FALSE)</f>
        <v>亚洲家庭</v>
      </c>
      <c r="H27" s="74">
        <v>1602</v>
      </c>
      <c r="I27" s="74">
        <f>VLOOKUP(F27,名称!A:F,5,0)</f>
        <v>0</v>
      </c>
      <c r="J27" s="74">
        <f>VLOOKUP(F27,名称!A:F,6,0)</f>
        <v>6</v>
      </c>
      <c r="K27" s="75">
        <f t="shared" si="3"/>
        <v>267</v>
      </c>
      <c r="L27" s="76">
        <v>46043</v>
      </c>
      <c r="M27" s="76">
        <v>46144</v>
      </c>
      <c r="N27" s="76"/>
      <c r="O27" s="77"/>
      <c r="P27" s="77"/>
      <c r="Q27" s="76"/>
      <c r="R27" s="76" t="s">
        <v>158</v>
      </c>
      <c r="S27" s="71" t="s">
        <v>164</v>
      </c>
      <c r="T27" s="71"/>
      <c r="U27" s="71" t="s">
        <v>175</v>
      </c>
      <c r="V27" s="71"/>
      <c r="W27" s="76"/>
      <c r="X27" s="78">
        <v>4.92</v>
      </c>
      <c r="Y27" s="79">
        <f t="shared" si="1"/>
        <v>7881.84</v>
      </c>
      <c r="Z27" s="79">
        <f t="shared" si="2"/>
        <v>61084.26</v>
      </c>
      <c r="AA27" s="80">
        <v>45983</v>
      </c>
      <c r="AB27" s="76" t="s">
        <v>161</v>
      </c>
    </row>
    <row r="28" s="69" customFormat="1" customHeight="1" spans="1:28">
      <c r="A28" s="70">
        <v>45972</v>
      </c>
      <c r="B28" s="71" t="s">
        <v>155</v>
      </c>
      <c r="C28" s="72" t="s">
        <v>156</v>
      </c>
      <c r="D28" s="73" t="s">
        <v>23</v>
      </c>
      <c r="E28" s="71">
        <v>1000002006</v>
      </c>
      <c r="F28" s="71" t="s">
        <v>22</v>
      </c>
      <c r="G28" s="74" t="str">
        <f>VLOOKUP(F28,名称!A:F,3,FALSE)</f>
        <v>西班牙家庭</v>
      </c>
      <c r="H28" s="74">
        <f>1602-1002</f>
        <v>600</v>
      </c>
      <c r="I28" s="74">
        <f>VLOOKUP(F28,名称!A:F,5,0)</f>
        <v>0</v>
      </c>
      <c r="J28" s="74">
        <f>VLOOKUP(F28,名称!A:F,6,0)</f>
        <v>6</v>
      </c>
      <c r="K28" s="75">
        <f t="shared" si="3"/>
        <v>100</v>
      </c>
      <c r="L28" s="76">
        <v>46043</v>
      </c>
      <c r="M28" s="76" t="s">
        <v>182</v>
      </c>
      <c r="N28" s="76" t="s">
        <v>183</v>
      </c>
      <c r="O28" s="77"/>
      <c r="P28" s="77"/>
      <c r="Q28" s="76"/>
      <c r="R28" s="76" t="s">
        <v>158</v>
      </c>
      <c r="S28" s="71" t="s">
        <v>164</v>
      </c>
      <c r="T28" s="71"/>
      <c r="U28" s="71" t="s">
        <v>175</v>
      </c>
      <c r="V28" s="71"/>
      <c r="W28" s="76"/>
      <c r="X28" s="78">
        <v>4.92</v>
      </c>
      <c r="Y28" s="79">
        <f t="shared" si="1"/>
        <v>2952</v>
      </c>
      <c r="Z28" s="79">
        <f t="shared" si="2"/>
        <v>22878</v>
      </c>
      <c r="AA28" s="80">
        <v>45983</v>
      </c>
      <c r="AB28" s="76" t="s">
        <v>161</v>
      </c>
    </row>
    <row r="29" s="69" customFormat="1" customHeight="1" spans="1:28">
      <c r="A29" s="70">
        <v>45972</v>
      </c>
      <c r="B29" s="71" t="s">
        <v>155</v>
      </c>
      <c r="C29" s="72" t="s">
        <v>156</v>
      </c>
      <c r="D29" s="73" t="s">
        <v>51</v>
      </c>
      <c r="E29" s="71">
        <v>1000002006</v>
      </c>
      <c r="F29" s="71" t="s">
        <v>50</v>
      </c>
      <c r="G29" s="74" t="str">
        <f>VLOOKUP(F29,名称!A:F,3,FALSE)</f>
        <v>8款野生动物套装</v>
      </c>
      <c r="H29" s="74">
        <f>2508-1968</f>
        <v>540</v>
      </c>
      <c r="I29" s="74">
        <f>VLOOKUP(F29,名称!A:F,5,0)</f>
        <v>6</v>
      </c>
      <c r="J29" s="74">
        <f>VLOOKUP(F29,名称!A:F,6,0)</f>
        <v>12</v>
      </c>
      <c r="K29" s="75">
        <f t="shared" si="3"/>
        <v>45</v>
      </c>
      <c r="L29" s="76">
        <v>46043</v>
      </c>
      <c r="M29" s="76">
        <f>L29-7</f>
        <v>46036</v>
      </c>
      <c r="N29" s="76">
        <v>46043</v>
      </c>
      <c r="O29" s="77"/>
      <c r="P29" s="77" t="s">
        <v>174</v>
      </c>
      <c r="Q29" s="76"/>
      <c r="R29" s="76" t="s">
        <v>158</v>
      </c>
      <c r="S29" s="71" t="s">
        <v>164</v>
      </c>
      <c r="T29" s="71"/>
      <c r="U29" s="71" t="s">
        <v>175</v>
      </c>
      <c r="V29" s="71"/>
      <c r="W29" s="76"/>
      <c r="X29" s="78">
        <v>7.34</v>
      </c>
      <c r="Y29" s="79">
        <f t="shared" si="1"/>
        <v>3963.6</v>
      </c>
      <c r="Z29" s="79">
        <f t="shared" si="2"/>
        <v>30717.9</v>
      </c>
      <c r="AA29" s="80">
        <v>45983</v>
      </c>
      <c r="AB29" s="76" t="s">
        <v>161</v>
      </c>
    </row>
    <row r="30" s="69" customFormat="1" customHeight="1" spans="1:28">
      <c r="A30" s="70">
        <v>45840</v>
      </c>
      <c r="B30" s="71" t="s">
        <v>155</v>
      </c>
      <c r="C30" s="72" t="s">
        <v>156</v>
      </c>
      <c r="D30" s="73" t="s">
        <v>23</v>
      </c>
      <c r="E30" s="71">
        <v>1000000721</v>
      </c>
      <c r="F30" s="71" t="s">
        <v>22</v>
      </c>
      <c r="G30" s="74" t="str">
        <f>VLOOKUP(F30,名称!A:F,3,FALSE)</f>
        <v>西班牙家庭</v>
      </c>
      <c r="H30" s="74">
        <f>1602-1026</f>
        <v>576</v>
      </c>
      <c r="I30" s="74">
        <f>VLOOKUP(F30,名称!A:F,5,0)</f>
        <v>0</v>
      </c>
      <c r="J30" s="74">
        <f>VLOOKUP(F30,名称!A:F,6,0)</f>
        <v>6</v>
      </c>
      <c r="K30" s="75">
        <f t="shared" si="3"/>
        <v>96</v>
      </c>
      <c r="L30" s="76">
        <v>45915</v>
      </c>
      <c r="M30" s="76">
        <v>46081</v>
      </c>
      <c r="N30" s="76"/>
      <c r="O30" s="77"/>
      <c r="P30" s="77"/>
      <c r="Q30" s="76"/>
      <c r="R30" s="76" t="s">
        <v>158</v>
      </c>
      <c r="S30" s="71" t="s">
        <v>164</v>
      </c>
      <c r="T30" s="71" t="str">
        <f>"第"&amp;外箱贴纸箱号!A31&amp;"箱至第"&amp;外箱贴纸箱号!B31&amp;"箱"</f>
        <v>第214807箱至第215073箱</v>
      </c>
      <c r="U30" s="76" t="s">
        <v>188</v>
      </c>
      <c r="V30" s="71"/>
      <c r="W30" s="76" t="s">
        <v>169</v>
      </c>
      <c r="X30" s="78">
        <v>4.92</v>
      </c>
      <c r="Y30" s="79">
        <f t="shared" si="1"/>
        <v>2833.92</v>
      </c>
      <c r="Z30" s="79">
        <f t="shared" si="2"/>
        <v>21962.88</v>
      </c>
      <c r="AA30" s="81">
        <v>45989</v>
      </c>
      <c r="AB30" s="76" t="s">
        <v>184</v>
      </c>
    </row>
    <row r="31" s="69" customFormat="1" customHeight="1" spans="1:28">
      <c r="A31" s="70">
        <v>45966</v>
      </c>
      <c r="B31" s="71" t="s">
        <v>155</v>
      </c>
      <c r="C31" s="72" t="s">
        <v>156</v>
      </c>
      <c r="D31" s="73" t="s">
        <v>51</v>
      </c>
      <c r="E31" s="71">
        <v>1000001880</v>
      </c>
      <c r="F31" s="71" t="s">
        <v>50</v>
      </c>
      <c r="G31" s="74" t="str">
        <f>VLOOKUP(F31,名称!A:F,3,FALSE)</f>
        <v>8款野生动物套装</v>
      </c>
      <c r="H31" s="74">
        <f>2508+720</f>
        <v>3228</v>
      </c>
      <c r="I31" s="74">
        <f>VLOOKUP(F31,名称!A:F,5,0)</f>
        <v>6</v>
      </c>
      <c r="J31" s="74">
        <f>VLOOKUP(F31,名称!A:F,6,0)</f>
        <v>12</v>
      </c>
      <c r="K31" s="75">
        <f t="shared" si="3"/>
        <v>269</v>
      </c>
      <c r="L31" s="76">
        <v>46021</v>
      </c>
      <c r="M31" s="76">
        <v>46144</v>
      </c>
      <c r="N31" s="76"/>
      <c r="O31" s="77"/>
      <c r="P31" s="77"/>
      <c r="Q31" s="76"/>
      <c r="R31" s="76" t="s">
        <v>158</v>
      </c>
      <c r="S31" s="71" t="s">
        <v>164</v>
      </c>
      <c r="T31" s="71"/>
      <c r="U31" s="71" t="s">
        <v>170</v>
      </c>
      <c r="V31" s="71"/>
      <c r="W31" s="71" t="s">
        <v>166</v>
      </c>
      <c r="X31" s="78">
        <v>7.34</v>
      </c>
      <c r="Y31" s="79">
        <f t="shared" si="1"/>
        <v>23693.52</v>
      </c>
      <c r="Z31" s="79">
        <f t="shared" si="2"/>
        <v>183624.78</v>
      </c>
      <c r="AA31" s="81">
        <v>45990</v>
      </c>
      <c r="AB31" s="76" t="s">
        <v>161</v>
      </c>
    </row>
    <row r="32" s="69" customFormat="1" customHeight="1" spans="1:28">
      <c r="A32" s="70">
        <v>45981</v>
      </c>
      <c r="B32" s="71" t="s">
        <v>155</v>
      </c>
      <c r="C32" s="72" t="s">
        <v>156</v>
      </c>
      <c r="D32" s="73" t="s">
        <v>43</v>
      </c>
      <c r="E32" s="71">
        <v>1000002079</v>
      </c>
      <c r="F32" s="71" t="s">
        <v>42</v>
      </c>
      <c r="G32" s="74" t="str">
        <f>VLOOKUP(F32,名称!A:F,3,FALSE)</f>
        <v>巨型恐龙组2</v>
      </c>
      <c r="H32" s="74">
        <f>1500-180-280-292</f>
        <v>748</v>
      </c>
      <c r="I32" s="74">
        <f>VLOOKUP(F32,名称!A:F,5,0)</f>
        <v>0</v>
      </c>
      <c r="J32" s="74">
        <f>VLOOKUP(F32,名称!A:F,6,0)</f>
        <v>4</v>
      </c>
      <c r="K32" s="75">
        <f t="shared" si="3"/>
        <v>187</v>
      </c>
      <c r="L32" s="76">
        <v>46065</v>
      </c>
      <c r="M32" s="76" t="s">
        <v>176</v>
      </c>
      <c r="N32" s="76" t="s">
        <v>172</v>
      </c>
      <c r="O32" s="77"/>
      <c r="P32" s="77"/>
      <c r="Q32" s="76"/>
      <c r="R32" s="76" t="s">
        <v>158</v>
      </c>
      <c r="S32" s="71" t="s">
        <v>164</v>
      </c>
      <c r="T32" s="71"/>
      <c r="U32" s="71" t="s">
        <v>177</v>
      </c>
      <c r="V32" s="71"/>
      <c r="W32" s="76"/>
      <c r="X32" s="78">
        <v>12</v>
      </c>
      <c r="Y32" s="79">
        <f t="shared" si="1"/>
        <v>8976</v>
      </c>
      <c r="Z32" s="79">
        <f t="shared" si="2"/>
        <v>69564</v>
      </c>
      <c r="AA32" s="81">
        <v>45991</v>
      </c>
      <c r="AB32" s="76" t="s">
        <v>161</v>
      </c>
    </row>
    <row r="33" s="69" customFormat="1" customHeight="1" spans="1:31">
      <c r="A33" s="70">
        <v>46129</v>
      </c>
      <c r="B33" s="71" t="s">
        <v>155</v>
      </c>
      <c r="C33" s="72" t="s">
        <v>156</v>
      </c>
      <c r="D33" s="73" t="s">
        <v>19</v>
      </c>
      <c r="E33" s="71">
        <v>1000003117</v>
      </c>
      <c r="F33" s="71" t="s">
        <v>18</v>
      </c>
      <c r="G33" s="74" t="str">
        <f>VLOOKUP(F33,名称!A:F,3,FALSE)</f>
        <v>2只2寸小老虎</v>
      </c>
      <c r="H33" s="74">
        <v>3200</v>
      </c>
      <c r="I33" s="74">
        <f>VLOOKUP(F33,名称!A:F,5,0)</f>
        <v>50</v>
      </c>
      <c r="J33" s="74">
        <f>VLOOKUP(F33,名称!A:F,6,0)</f>
        <v>400</v>
      </c>
      <c r="K33" s="75">
        <f t="shared" si="3"/>
        <v>8</v>
      </c>
      <c r="L33" s="76">
        <v>46186</v>
      </c>
      <c r="M33" s="76">
        <v>46186</v>
      </c>
      <c r="N33" s="76"/>
      <c r="O33" s="77"/>
      <c r="P33" s="77"/>
      <c r="Q33" s="76"/>
      <c r="R33" s="76" t="s">
        <v>158</v>
      </c>
      <c r="S33" s="71" t="s">
        <v>164</v>
      </c>
      <c r="T33" s="71"/>
      <c r="U33" s="71" t="s">
        <v>189</v>
      </c>
      <c r="V33" s="71"/>
      <c r="W33" s="76"/>
      <c r="X33" s="78">
        <v>0.41</v>
      </c>
      <c r="Y33" s="79">
        <f t="shared" si="1"/>
        <v>1312</v>
      </c>
      <c r="Z33" s="79">
        <f t="shared" si="2"/>
        <v>10168</v>
      </c>
      <c r="AA33" s="81">
        <v>45995</v>
      </c>
      <c r="AB33" s="76" t="s">
        <v>161</v>
      </c>
    </row>
    <row r="34" s="69" customFormat="1" customHeight="1" spans="1:31">
      <c r="A34" s="70">
        <v>46129</v>
      </c>
      <c r="B34" s="71" t="s">
        <v>155</v>
      </c>
      <c r="C34" s="72" t="s">
        <v>156</v>
      </c>
      <c r="D34" s="73" t="s">
        <v>31</v>
      </c>
      <c r="E34" s="71">
        <v>1000003117</v>
      </c>
      <c r="F34" s="71" t="s">
        <v>30</v>
      </c>
      <c r="G34" s="74" t="str">
        <f>VLOOKUP(F34,名称!A:F,3,FALSE)</f>
        <v>非洲家庭</v>
      </c>
      <c r="H34" s="74">
        <v>1602</v>
      </c>
      <c r="I34" s="74">
        <f>VLOOKUP(F34,名称!A:F,5,0)</f>
        <v>0</v>
      </c>
      <c r="J34" s="74">
        <f>VLOOKUP(F34,名称!A:F,6,0)</f>
        <v>6</v>
      </c>
      <c r="K34" s="75">
        <f t="shared" si="3"/>
        <v>267</v>
      </c>
      <c r="L34" s="76">
        <v>46186</v>
      </c>
      <c r="M34" s="76">
        <v>46186</v>
      </c>
      <c r="N34" s="76"/>
      <c r="O34" s="77"/>
      <c r="P34" s="77"/>
      <c r="Q34" s="76"/>
      <c r="R34" s="76" t="s">
        <v>158</v>
      </c>
      <c r="S34" s="71" t="s">
        <v>164</v>
      </c>
      <c r="T34" s="71"/>
      <c r="U34" s="71" t="s">
        <v>189</v>
      </c>
      <c r="V34" s="71"/>
      <c r="W34" s="76"/>
      <c r="X34" s="78">
        <v>4.58</v>
      </c>
      <c r="Y34" s="79">
        <f>H34*X34</f>
        <v>7337.16</v>
      </c>
      <c r="Z34" s="79">
        <f>Y34*7.75</f>
        <v>56862.99</v>
      </c>
      <c r="AA34" s="81">
        <v>45995</v>
      </c>
      <c r="AB34" s="76" t="s">
        <v>161</v>
      </c>
    </row>
    <row r="35" s="69" customFormat="1" customHeight="1" spans="1:31">
      <c r="A35" s="70">
        <v>46129</v>
      </c>
      <c r="B35" s="71" t="s">
        <v>155</v>
      </c>
      <c r="C35" s="72" t="s">
        <v>156</v>
      </c>
      <c r="D35" s="73" t="s">
        <v>7</v>
      </c>
      <c r="E35" s="71">
        <v>1000003117</v>
      </c>
      <c r="F35" s="71" t="s">
        <v>6</v>
      </c>
      <c r="G35" s="74" t="str">
        <f>VLOOKUP(F35,名称!A:F,3,FALSE)</f>
        <v>桶装野生动物</v>
      </c>
      <c r="H35" s="74">
        <v>1008</v>
      </c>
      <c r="I35" s="74">
        <f>VLOOKUP(F35,名称!A:F,5,0)</f>
        <v>6</v>
      </c>
      <c r="J35" s="74">
        <f>VLOOKUP(F35,名称!A:F,6,0)</f>
        <v>24</v>
      </c>
      <c r="K35" s="75">
        <f t="shared" si="3"/>
        <v>42</v>
      </c>
      <c r="L35" s="76">
        <v>46186</v>
      </c>
      <c r="M35" s="76">
        <v>46186</v>
      </c>
      <c r="N35" s="76"/>
      <c r="O35" s="77"/>
      <c r="P35" s="77"/>
      <c r="Q35" s="76"/>
      <c r="R35" s="76" t="s">
        <v>158</v>
      </c>
      <c r="S35" s="71" t="s">
        <v>164</v>
      </c>
      <c r="T35" s="71"/>
      <c r="U35" s="71" t="s">
        <v>189</v>
      </c>
      <c r="V35" s="71"/>
      <c r="W35" s="76"/>
      <c r="X35" s="78">
        <v>4.65</v>
      </c>
      <c r="Y35" s="79">
        <f>H35*X35</f>
        <v>4687.2</v>
      </c>
      <c r="Z35" s="79">
        <f>Y35*7.75</f>
        <v>36325.8</v>
      </c>
      <c r="AA35" s="81">
        <v>45995</v>
      </c>
      <c r="AB35" s="76" t="s">
        <v>161</v>
      </c>
    </row>
    <row r="36" s="69" customFormat="1" customHeight="1" spans="1:31">
      <c r="A36" s="70">
        <v>46129</v>
      </c>
      <c r="B36" s="71" t="s">
        <v>155</v>
      </c>
      <c r="C36" s="72" t="s">
        <v>156</v>
      </c>
      <c r="D36" s="73" t="s">
        <v>59</v>
      </c>
      <c r="E36" s="71">
        <v>1000003117</v>
      </c>
      <c r="F36" s="71" t="s">
        <v>58</v>
      </c>
      <c r="G36" s="74" t="str">
        <f>VLOOKUP(F36,名称!A:F,3,FALSE)</f>
        <v>农场小动物</v>
      </c>
      <c r="H36" s="74">
        <v>6000</v>
      </c>
      <c r="I36" s="74">
        <f>VLOOKUP(F36,名称!A:F,5,0)</f>
        <v>6</v>
      </c>
      <c r="J36" s="74">
        <f>VLOOKUP(F36,名称!A:F,6,0)</f>
        <v>12</v>
      </c>
      <c r="K36" s="75">
        <f t="shared" si="3"/>
        <v>500</v>
      </c>
      <c r="L36" s="76">
        <v>46186</v>
      </c>
      <c r="M36" s="76">
        <v>46186</v>
      </c>
      <c r="N36" s="76"/>
      <c r="O36" s="77"/>
      <c r="P36" s="77"/>
      <c r="Q36" s="76"/>
      <c r="R36" s="76" t="s">
        <v>158</v>
      </c>
      <c r="S36" s="71" t="s">
        <v>164</v>
      </c>
      <c r="T36" s="71"/>
      <c r="U36" s="71" t="s">
        <v>189</v>
      </c>
      <c r="V36" s="71"/>
      <c r="W36" s="76"/>
      <c r="X36" s="78">
        <v>7.38</v>
      </c>
      <c r="Y36" s="79">
        <f>H36*X36</f>
        <v>44280</v>
      </c>
      <c r="Z36" s="79">
        <f>Y36*7.75</f>
        <v>343170</v>
      </c>
      <c r="AA36" s="81">
        <v>45995</v>
      </c>
      <c r="AB36" s="76" t="s">
        <v>161</v>
      </c>
    </row>
    <row r="37" s="69" customFormat="1" customHeight="1" spans="1:31">
      <c r="A37" s="70">
        <v>46105</v>
      </c>
      <c r="B37" s="71" t="s">
        <v>155</v>
      </c>
      <c r="C37" s="72" t="s">
        <v>156</v>
      </c>
      <c r="D37" s="73" t="s">
        <v>95</v>
      </c>
      <c r="E37" s="71">
        <v>1000002790</v>
      </c>
      <c r="F37" s="71" t="s">
        <v>94</v>
      </c>
      <c r="G37" s="74" t="str">
        <f>VLOOKUP(F37,名称!A:F,3,FALSE)</f>
        <v>恐龙冒险套装</v>
      </c>
      <c r="H37" s="74">
        <v>3464</v>
      </c>
      <c r="I37" s="74">
        <f>VLOOKUP(F37,名称!A:F,5,0)</f>
        <v>0</v>
      </c>
      <c r="J37" s="74">
        <f>VLOOKUP(F37,名称!A:F,6,0)</f>
        <v>4</v>
      </c>
      <c r="K37" s="75">
        <f t="shared" si="3"/>
        <v>866</v>
      </c>
      <c r="L37" s="76">
        <v>46204</v>
      </c>
      <c r="M37" s="76">
        <v>46204</v>
      </c>
      <c r="N37" s="76">
        <v>46210</v>
      </c>
      <c r="O37" s="77"/>
      <c r="P37" s="82" t="s">
        <v>190</v>
      </c>
      <c r="Q37" s="76"/>
      <c r="R37" s="76" t="s">
        <v>158</v>
      </c>
      <c r="S37" s="71" t="s">
        <v>164</v>
      </c>
      <c r="T37" s="71"/>
      <c r="U37" s="71" t="s">
        <v>191</v>
      </c>
      <c r="V37" s="71"/>
      <c r="W37" s="76"/>
      <c r="X37" s="78">
        <v>4.26</v>
      </c>
      <c r="Y37" s="79">
        <f t="shared" ref="Y37:Y45" si="4">H37*X37</f>
        <v>14756.64</v>
      </c>
      <c r="Z37" s="79">
        <f t="shared" ref="Z37:Z45" si="5">Y37*7.75</f>
        <v>114363.96</v>
      </c>
      <c r="AA37" s="81">
        <v>45996</v>
      </c>
      <c r="AB37" s="76" t="s">
        <v>161</v>
      </c>
    </row>
    <row r="38" s="69" customFormat="1" customHeight="1" spans="1:31">
      <c r="A38" s="70">
        <v>46105</v>
      </c>
      <c r="B38" s="71" t="s">
        <v>155</v>
      </c>
      <c r="C38" s="72" t="s">
        <v>156</v>
      </c>
      <c r="D38" s="73" t="s">
        <v>99</v>
      </c>
      <c r="E38" s="71">
        <v>1000002790</v>
      </c>
      <c r="F38" s="71" t="s">
        <v>98</v>
      </c>
      <c r="G38" s="74" t="str">
        <f>VLOOKUP(F38,名称!A:F,3,FALSE)</f>
        <v>奇幻冒险背包</v>
      </c>
      <c r="H38" s="74">
        <v>3220</v>
      </c>
      <c r="I38" s="74">
        <f>VLOOKUP(F38,名称!A:F,5,0)</f>
        <v>0</v>
      </c>
      <c r="J38" s="74">
        <f>VLOOKUP(F38,名称!A:F,6,0)</f>
        <v>4</v>
      </c>
      <c r="K38" s="75">
        <f t="shared" si="3"/>
        <v>805</v>
      </c>
      <c r="L38" s="76">
        <v>46204</v>
      </c>
      <c r="M38" s="76">
        <v>46204</v>
      </c>
      <c r="N38" s="76">
        <v>46210</v>
      </c>
      <c r="O38" s="77"/>
      <c r="P38" s="82" t="s">
        <v>190</v>
      </c>
      <c r="Q38" s="76"/>
      <c r="R38" s="76" t="s">
        <v>158</v>
      </c>
      <c r="S38" s="71" t="s">
        <v>164</v>
      </c>
      <c r="T38" s="71"/>
      <c r="U38" s="71" t="s">
        <v>191</v>
      </c>
      <c r="V38" s="71"/>
      <c r="W38" s="76"/>
      <c r="X38" s="78">
        <v>4.87</v>
      </c>
      <c r="Y38" s="79">
        <f t="shared" si="4"/>
        <v>15681.4</v>
      </c>
      <c r="Z38" s="79">
        <f t="shared" si="5"/>
        <v>121530.85</v>
      </c>
      <c r="AA38" s="81">
        <v>45996</v>
      </c>
      <c r="AB38" s="76" t="s">
        <v>161</v>
      </c>
    </row>
    <row r="39" s="69" customFormat="1" customHeight="1" spans="1:31">
      <c r="A39" s="70">
        <v>46105</v>
      </c>
      <c r="B39" s="71" t="s">
        <v>155</v>
      </c>
      <c r="C39" s="72" t="s">
        <v>156</v>
      </c>
      <c r="D39" s="73" t="s">
        <v>99</v>
      </c>
      <c r="E39" s="71">
        <v>1000002790</v>
      </c>
      <c r="F39" s="71" t="s">
        <v>98</v>
      </c>
      <c r="G39" s="74" t="str">
        <f>VLOOKUP(F39,名称!A:F,3,FALSE)</f>
        <v>奇幻冒险背包</v>
      </c>
      <c r="H39" s="74">
        <v>284</v>
      </c>
      <c r="I39" s="74">
        <f>VLOOKUP(F39,名称!A:F,5,0)</f>
        <v>0</v>
      </c>
      <c r="J39" s="74">
        <f>VLOOKUP(F39,名称!A:F,6,0)</f>
        <v>4</v>
      </c>
      <c r="K39" s="75">
        <f t="shared" si="3"/>
        <v>71</v>
      </c>
      <c r="L39" s="76">
        <v>46204</v>
      </c>
      <c r="M39" s="76">
        <v>46204</v>
      </c>
      <c r="N39" s="76">
        <v>46210</v>
      </c>
      <c r="O39" s="77"/>
      <c r="P39" s="82" t="s">
        <v>190</v>
      </c>
      <c r="Q39" s="76"/>
      <c r="R39" s="76" t="s">
        <v>158</v>
      </c>
      <c r="S39" s="71" t="s">
        <v>164</v>
      </c>
      <c r="T39" s="71"/>
      <c r="U39" s="71" t="s">
        <v>191</v>
      </c>
      <c r="V39" s="71"/>
      <c r="W39" s="76"/>
      <c r="X39" s="78">
        <v>4.87</v>
      </c>
      <c r="Y39" s="79">
        <f t="shared" si="4"/>
        <v>1383.08</v>
      </c>
      <c r="Z39" s="79">
        <f t="shared" si="5"/>
        <v>10718.87</v>
      </c>
      <c r="AA39" s="81">
        <v>45997</v>
      </c>
      <c r="AB39" s="76" t="s">
        <v>161</v>
      </c>
    </row>
    <row r="40" s="69" customFormat="1" customHeight="1" spans="1:31">
      <c r="A40" s="70">
        <v>46105</v>
      </c>
      <c r="B40" s="71" t="s">
        <v>155</v>
      </c>
      <c r="C40" s="72" t="s">
        <v>156</v>
      </c>
      <c r="D40" s="73" t="s">
        <v>95</v>
      </c>
      <c r="E40" s="71">
        <v>1000002790</v>
      </c>
      <c r="F40" s="71" t="s">
        <v>94</v>
      </c>
      <c r="G40" s="74" t="str">
        <f>VLOOKUP(F40,名称!A:F,3,FALSE)</f>
        <v>恐龙冒险套装</v>
      </c>
      <c r="H40" s="74">
        <v>3064</v>
      </c>
      <c r="I40" s="74">
        <f>VLOOKUP(F40,名称!A:F,5,0)</f>
        <v>0</v>
      </c>
      <c r="J40" s="74">
        <f>VLOOKUP(F40,名称!A:F,6,0)</f>
        <v>4</v>
      </c>
      <c r="K40" s="75">
        <f t="shared" si="3"/>
        <v>766</v>
      </c>
      <c r="L40" s="76">
        <v>46204</v>
      </c>
      <c r="M40" s="76">
        <v>46204</v>
      </c>
      <c r="N40" s="76">
        <v>46210</v>
      </c>
      <c r="O40" s="77"/>
      <c r="P40" s="82" t="s">
        <v>190</v>
      </c>
      <c r="Q40" s="76"/>
      <c r="R40" s="76" t="s">
        <v>158</v>
      </c>
      <c r="S40" s="71" t="s">
        <v>164</v>
      </c>
      <c r="T40" s="71"/>
      <c r="U40" s="71" t="s">
        <v>191</v>
      </c>
      <c r="V40" s="71"/>
      <c r="W40" s="76"/>
      <c r="X40" s="78">
        <v>4.26</v>
      </c>
      <c r="Y40" s="79">
        <f t="shared" si="4"/>
        <v>13052.64</v>
      </c>
      <c r="Z40" s="79">
        <f t="shared" si="5"/>
        <v>101157.96</v>
      </c>
      <c r="AA40" s="81">
        <v>45997</v>
      </c>
      <c r="AB40" s="76" t="s">
        <v>161</v>
      </c>
    </row>
    <row r="41" s="69" customFormat="1" customHeight="1" spans="1:31">
      <c r="A41" s="70">
        <v>45910</v>
      </c>
      <c r="B41" s="71" t="s">
        <v>155</v>
      </c>
      <c r="C41" s="72" t="s">
        <v>156</v>
      </c>
      <c r="D41" s="73" t="s">
        <v>23</v>
      </c>
      <c r="E41" s="71">
        <v>1000001352</v>
      </c>
      <c r="F41" s="71" t="s">
        <v>22</v>
      </c>
      <c r="G41" s="74" t="str">
        <f>VLOOKUP(F41,名称!A:F,3,FALSE)</f>
        <v>西班牙家庭</v>
      </c>
      <c r="H41" s="74">
        <v>1602</v>
      </c>
      <c r="I41" s="74">
        <f>VLOOKUP(F41,名称!A:F,5,0)</f>
        <v>0</v>
      </c>
      <c r="J41" s="74">
        <f>VLOOKUP(F41,名称!A:F,6,0)</f>
        <v>6</v>
      </c>
      <c r="K41" s="75">
        <f t="shared" si="3"/>
        <v>267</v>
      </c>
      <c r="L41" s="76">
        <v>45995</v>
      </c>
      <c r="M41" s="76">
        <v>46104</v>
      </c>
      <c r="N41" s="76">
        <v>46210</v>
      </c>
      <c r="O41" s="77"/>
      <c r="P41" s="82" t="s">
        <v>190</v>
      </c>
      <c r="Q41" s="76"/>
      <c r="R41" s="76" t="s">
        <v>158</v>
      </c>
      <c r="S41" s="71" t="s">
        <v>164</v>
      </c>
      <c r="T41" s="71" t="str">
        <f>"第"&amp;外箱贴纸箱号!A36&amp;"箱至第"&amp;外箱贴纸箱号!B36&amp;"箱"</f>
        <v>第216275箱至第216684箱</v>
      </c>
      <c r="U41" s="71" t="s">
        <v>168</v>
      </c>
      <c r="V41" s="71"/>
      <c r="W41" s="76" t="s">
        <v>166</v>
      </c>
      <c r="X41" s="78">
        <v>4.92</v>
      </c>
      <c r="Y41" s="79">
        <f t="shared" si="4"/>
        <v>7881.84</v>
      </c>
      <c r="Z41" s="79">
        <f t="shared" si="5"/>
        <v>61084.26</v>
      </c>
      <c r="AA41" s="81">
        <v>45998</v>
      </c>
      <c r="AB41" s="76" t="s">
        <v>184</v>
      </c>
    </row>
    <row r="42" s="69" customFormat="1" customHeight="1" spans="1:31">
      <c r="A42" s="70">
        <v>45981</v>
      </c>
      <c r="B42" s="71" t="s">
        <v>155</v>
      </c>
      <c r="C42" s="72" t="s">
        <v>156</v>
      </c>
      <c r="D42" s="73" t="s">
        <v>39</v>
      </c>
      <c r="E42" s="71">
        <v>1000002079</v>
      </c>
      <c r="F42" s="71" t="s">
        <v>38</v>
      </c>
      <c r="G42" s="74" t="str">
        <f>VLOOKUP(F42,名称!A:F,3,FALSE)</f>
        <v>巨型恐龙组1</v>
      </c>
      <c r="H42" s="74">
        <f>1500-752</f>
        <v>748</v>
      </c>
      <c r="I42" s="74">
        <f>VLOOKUP(F42,名称!A:F,5,0)</f>
        <v>2</v>
      </c>
      <c r="J42" s="74">
        <f>VLOOKUP(F42,名称!A:F,6,0)</f>
        <v>4</v>
      </c>
      <c r="K42" s="75">
        <f t="shared" si="3"/>
        <v>187</v>
      </c>
      <c r="L42" s="76">
        <v>46065</v>
      </c>
      <c r="M42" s="83">
        <v>46233</v>
      </c>
      <c r="N42" s="76"/>
      <c r="O42" s="77"/>
      <c r="P42" s="77"/>
      <c r="Q42" s="76"/>
      <c r="R42" s="76" t="s">
        <v>158</v>
      </c>
      <c r="S42" s="71" t="s">
        <v>164</v>
      </c>
      <c r="T42" s="71"/>
      <c r="U42" s="71" t="s">
        <v>177</v>
      </c>
      <c r="V42" s="71"/>
      <c r="W42" s="76"/>
      <c r="X42" s="78">
        <v>11.5</v>
      </c>
      <c r="Y42" s="79">
        <f t="shared" si="4"/>
        <v>8602</v>
      </c>
      <c r="Z42" s="79">
        <f t="shared" si="5"/>
        <v>66665.5</v>
      </c>
      <c r="AA42" s="84">
        <v>46002</v>
      </c>
      <c r="AB42" s="76" t="s">
        <v>161</v>
      </c>
      <c r="AE42" s="69">
        <v>1720</v>
      </c>
    </row>
    <row r="43" s="69" customFormat="1" customHeight="1" spans="1:31">
      <c r="A43" s="70">
        <v>46161</v>
      </c>
      <c r="B43" s="71" t="s">
        <v>155</v>
      </c>
      <c r="C43" s="72" t="s">
        <v>156</v>
      </c>
      <c r="D43" s="73" t="s">
        <v>67</v>
      </c>
      <c r="E43" s="71">
        <v>1000003458</v>
      </c>
      <c r="F43" s="71" t="s">
        <v>66</v>
      </c>
      <c r="G43" s="74" t="str">
        <f>VLOOKUP(F43,名称!A:F,3,FALSE)</f>
        <v>26款动物套装</v>
      </c>
      <c r="H43" s="74">
        <v>1008</v>
      </c>
      <c r="I43" s="74">
        <f>VLOOKUP(F43,名称!A:F,5,0)</f>
        <v>0</v>
      </c>
      <c r="J43" s="74">
        <f>VLOOKUP(F43,名称!A:F,6,0)</f>
        <v>12</v>
      </c>
      <c r="K43" s="75">
        <f t="shared" si="3"/>
        <v>84</v>
      </c>
      <c r="L43" s="76">
        <v>46232</v>
      </c>
      <c r="M43" s="76">
        <f t="shared" ref="M43:M45" si="6">L43-7</f>
        <v>46225</v>
      </c>
      <c r="N43" s="76" t="s">
        <v>192</v>
      </c>
      <c r="O43" s="77"/>
      <c r="P43" s="77"/>
      <c r="Q43" s="76"/>
      <c r="R43" s="76" t="s">
        <v>158</v>
      </c>
      <c r="S43" s="71"/>
      <c r="T43" s="71"/>
      <c r="U43" s="71" t="s">
        <v>193</v>
      </c>
      <c r="V43" s="71"/>
      <c r="W43" s="76"/>
      <c r="X43" s="78">
        <v>5.45</v>
      </c>
      <c r="Y43" s="79">
        <f t="shared" si="4"/>
        <v>5493.6</v>
      </c>
      <c r="Z43" s="79">
        <f t="shared" si="5"/>
        <v>42575.4</v>
      </c>
      <c r="AA43" s="84">
        <v>46003</v>
      </c>
      <c r="AB43" s="76" t="s">
        <v>160</v>
      </c>
      <c r="AE43" s="69">
        <v>1720</v>
      </c>
    </row>
    <row r="44" s="69" customFormat="1" customHeight="1" spans="1:31">
      <c r="A44" s="70">
        <v>46161</v>
      </c>
      <c r="B44" s="71" t="s">
        <v>155</v>
      </c>
      <c r="C44" s="72" t="s">
        <v>156</v>
      </c>
      <c r="D44" s="73" t="s">
        <v>51</v>
      </c>
      <c r="E44" s="71">
        <v>1000003458</v>
      </c>
      <c r="F44" s="71" t="s">
        <v>50</v>
      </c>
      <c r="G44" s="74" t="str">
        <f>VLOOKUP(F44,名称!A:F,3,FALSE)</f>
        <v>8款野生动物套装</v>
      </c>
      <c r="H44" s="74">
        <v>2508</v>
      </c>
      <c r="I44" s="74">
        <f>VLOOKUP(F44,名称!A:F,5,0)</f>
        <v>6</v>
      </c>
      <c r="J44" s="74">
        <f>VLOOKUP(F44,名称!A:F,6,0)</f>
        <v>12</v>
      </c>
      <c r="K44" s="75">
        <f t="shared" si="3"/>
        <v>209</v>
      </c>
      <c r="L44" s="76">
        <v>46232</v>
      </c>
      <c r="M44" s="76">
        <f t="shared" si="6"/>
        <v>46225</v>
      </c>
      <c r="N44" s="76"/>
      <c r="O44" s="77"/>
      <c r="P44" s="77"/>
      <c r="Q44" s="76"/>
      <c r="R44" s="76" t="s">
        <v>158</v>
      </c>
      <c r="S44" s="71"/>
      <c r="T44" s="71"/>
      <c r="U44" s="71" t="s">
        <v>193</v>
      </c>
      <c r="V44" s="71"/>
      <c r="W44" s="76"/>
      <c r="X44" s="78">
        <v>7.19</v>
      </c>
      <c r="Y44" s="79">
        <f t="shared" si="4"/>
        <v>18032.52</v>
      </c>
      <c r="Z44" s="79">
        <f t="shared" si="5"/>
        <v>139752.03</v>
      </c>
      <c r="AA44" s="84">
        <v>46003</v>
      </c>
      <c r="AB44" s="76" t="s">
        <v>161</v>
      </c>
      <c r="AE44" s="69">
        <v>1720</v>
      </c>
    </row>
    <row r="45" s="69" customFormat="1" customHeight="1" spans="1:31">
      <c r="A45" s="70">
        <v>46161</v>
      </c>
      <c r="B45" s="71" t="s">
        <v>155</v>
      </c>
      <c r="C45" s="72" t="s">
        <v>156</v>
      </c>
      <c r="D45" s="73" t="s">
        <v>47</v>
      </c>
      <c r="E45" s="71">
        <v>1000003458</v>
      </c>
      <c r="F45" s="71" t="s">
        <v>46</v>
      </c>
      <c r="G45" s="74" t="str">
        <f>VLOOKUP(F45,名称!A:F,3,FALSE)</f>
        <v>8款恐龙玩具</v>
      </c>
      <c r="H45" s="74">
        <v>2520</v>
      </c>
      <c r="I45" s="74">
        <f>VLOOKUP(F45,名称!A:F,5,0)</f>
        <v>9</v>
      </c>
      <c r="J45" s="74">
        <f>VLOOKUP(F45,名称!A:F,6,0)</f>
        <v>18</v>
      </c>
      <c r="K45" s="75">
        <f t="shared" si="3"/>
        <v>140</v>
      </c>
      <c r="L45" s="76">
        <v>46232</v>
      </c>
      <c r="M45" s="76">
        <f t="shared" si="6"/>
        <v>46225</v>
      </c>
      <c r="N45" s="76"/>
      <c r="O45" s="77"/>
      <c r="P45" s="77"/>
      <c r="Q45" s="76"/>
      <c r="R45" s="76" t="s">
        <v>158</v>
      </c>
      <c r="S45" s="71"/>
      <c r="T45" s="71"/>
      <c r="U45" s="71" t="s">
        <v>193</v>
      </c>
      <c r="V45" s="71"/>
      <c r="W45" s="76"/>
      <c r="X45" s="78">
        <v>7.16</v>
      </c>
      <c r="Y45" s="79">
        <f t="shared" si="4"/>
        <v>18043.2</v>
      </c>
      <c r="Z45" s="79">
        <f t="shared" si="5"/>
        <v>139834.8</v>
      </c>
      <c r="AA45" s="84">
        <v>46003</v>
      </c>
      <c r="AB45" s="76" t="s">
        <v>161</v>
      </c>
      <c r="AE45" s="69">
        <v>1720</v>
      </c>
    </row>
    <row r="46" s="44" customFormat="1" customHeight="1" spans="1:31">
      <c r="A46" s="53"/>
      <c r="B46" s="62"/>
      <c r="C46" s="62"/>
      <c r="D46" s="43"/>
      <c r="E46" s="43"/>
      <c r="F46" s="43"/>
      <c r="G46" s="63"/>
      <c r="H46" s="63"/>
      <c r="I46" s="63"/>
      <c r="J46" s="63"/>
      <c r="K46" s="55"/>
      <c r="L46" s="56"/>
      <c r="M46" s="56"/>
      <c r="N46" s="56"/>
      <c r="O46" s="54"/>
      <c r="P46" s="54"/>
      <c r="Q46" s="56"/>
      <c r="R46" s="56"/>
      <c r="S46" s="43"/>
      <c r="T46" s="43"/>
      <c r="U46" s="43"/>
      <c r="V46" s="43"/>
      <c r="W46" s="56"/>
      <c r="X46" s="59"/>
      <c r="Y46" s="64">
        <f>H46*X46</f>
        <v>0</v>
      </c>
      <c r="Z46" s="64">
        <f>Y46*7.75</f>
        <v>0</v>
      </c>
      <c r="AA46" s="65"/>
      <c r="AB46" s="56"/>
    </row>
    <row r="47" s="44" customFormat="1" customHeight="1" spans="1:31">
      <c r="A47" s="53"/>
      <c r="B47" s="62"/>
      <c r="C47" s="62"/>
      <c r="D47" s="43"/>
      <c r="E47" s="43"/>
      <c r="F47" s="43"/>
      <c r="G47" s="63"/>
      <c r="H47" s="63"/>
      <c r="I47" s="63"/>
      <c r="J47" s="63"/>
      <c r="K47" s="55"/>
      <c r="L47" s="56"/>
      <c r="M47" s="56"/>
      <c r="N47" s="56"/>
      <c r="O47" s="54"/>
      <c r="P47" s="54"/>
      <c r="Q47" s="56"/>
      <c r="R47" s="56"/>
      <c r="S47" s="43"/>
      <c r="T47" s="43"/>
      <c r="U47" s="43"/>
      <c r="V47" s="43"/>
      <c r="W47" s="56"/>
      <c r="X47" s="59"/>
      <c r="Y47" s="64">
        <f>H47*X47</f>
        <v>0</v>
      </c>
      <c r="Z47" s="64">
        <f>Y47*7.75</f>
        <v>0</v>
      </c>
      <c r="AA47" s="65"/>
      <c r="AB47" s="56"/>
    </row>
    <row r="48" s="44" customFormat="1" customHeight="1" spans="1:31">
      <c r="A48" s="53"/>
      <c r="B48" s="62"/>
      <c r="C48" s="62"/>
      <c r="D48" s="43"/>
      <c r="E48" s="43"/>
      <c r="F48" s="43"/>
      <c r="G48" s="63"/>
      <c r="H48" s="63"/>
      <c r="I48" s="63"/>
      <c r="J48" s="63"/>
      <c r="K48" s="55"/>
      <c r="L48" s="56"/>
      <c r="M48" s="56"/>
      <c r="N48" s="56"/>
      <c r="O48" s="54"/>
      <c r="P48" s="54"/>
      <c r="Q48" s="56"/>
      <c r="R48" s="56"/>
      <c r="S48" s="43"/>
      <c r="T48" s="43"/>
      <c r="U48" s="43"/>
      <c r="V48" s="43"/>
      <c r="W48" s="56"/>
      <c r="X48" s="59"/>
      <c r="Y48" s="64">
        <f>H48*X48</f>
        <v>0</v>
      </c>
      <c r="Z48" s="64">
        <f>Y48*7.75</f>
        <v>0</v>
      </c>
      <c r="AA48" s="65"/>
      <c r="AB48" s="56"/>
    </row>
    <row r="49" s="44" customFormat="1" customHeight="1" spans="1:28">
      <c r="A49" s="53"/>
      <c r="B49" s="62"/>
      <c r="C49" s="62"/>
      <c r="D49" s="43"/>
      <c r="E49" s="43"/>
      <c r="F49" s="43"/>
      <c r="G49" s="63"/>
      <c r="H49" s="63"/>
      <c r="I49" s="63"/>
      <c r="J49" s="63"/>
      <c r="K49" s="55"/>
      <c r="L49" s="56"/>
      <c r="M49" s="56"/>
      <c r="N49" s="56"/>
      <c r="O49" s="54"/>
      <c r="P49" s="54"/>
      <c r="Q49" s="56"/>
      <c r="R49" s="56"/>
      <c r="S49" s="43"/>
      <c r="T49" s="43"/>
      <c r="U49" s="43"/>
      <c r="V49" s="43"/>
      <c r="W49" s="56"/>
      <c r="X49" s="59"/>
      <c r="Y49" s="64">
        <f>H49*X49</f>
        <v>0</v>
      </c>
      <c r="Z49" s="64">
        <f>Y49*7.75</f>
        <v>0</v>
      </c>
      <c r="AA49" s="65"/>
      <c r="AB49" s="56"/>
    </row>
    <row r="50" s="44" customFormat="1" customHeight="1" spans="1:28">
      <c r="A50" s="53"/>
      <c r="B50" s="62"/>
      <c r="C50" s="62"/>
      <c r="D50" s="43"/>
      <c r="E50" s="43"/>
      <c r="F50" s="43"/>
      <c r="G50" s="63"/>
      <c r="H50" s="63"/>
      <c r="I50" s="63"/>
      <c r="J50" s="63"/>
      <c r="K50" s="55"/>
      <c r="L50" s="56"/>
      <c r="M50" s="56"/>
      <c r="N50" s="56"/>
      <c r="O50" s="54"/>
      <c r="P50" s="54"/>
      <c r="Q50" s="56"/>
      <c r="R50" s="56"/>
      <c r="S50" s="43"/>
      <c r="T50" s="43"/>
      <c r="U50" s="43"/>
      <c r="V50" s="43"/>
      <c r="W50" s="56"/>
      <c r="X50" s="59"/>
      <c r="Y50" s="64">
        <f>H50*X50</f>
        <v>0</v>
      </c>
      <c r="Z50" s="64">
        <f>Y50*7.75</f>
        <v>0</v>
      </c>
      <c r="AA50" s="65"/>
      <c r="AB50" s="56"/>
    </row>
    <row r="51" s="45" customFormat="1" customHeight="1" spans="1:28">
      <c r="A51" s="53"/>
      <c r="B51" s="43"/>
      <c r="C51" s="43"/>
      <c r="D51" s="43"/>
      <c r="E51" s="43"/>
      <c r="F51" s="43"/>
      <c r="G51" s="43" t="s">
        <v>163</v>
      </c>
      <c r="H51" s="43">
        <f>SUM(H1:H50)</f>
        <v>88268</v>
      </c>
      <c r="I51" s="43"/>
      <c r="J51" s="43"/>
      <c r="K51" s="43">
        <f>SUM(K1:K50)</f>
        <v>10326</v>
      </c>
      <c r="L51" s="68"/>
      <c r="M51" s="68"/>
      <c r="N51" s="68"/>
      <c r="O51" s="58"/>
      <c r="P51" s="58"/>
      <c r="Q51" s="68"/>
      <c r="R51" s="68"/>
      <c r="S51" s="43"/>
      <c r="T51" s="43"/>
      <c r="U51" s="43"/>
      <c r="V51" s="43"/>
      <c r="W51" s="68"/>
      <c r="X51" s="59"/>
      <c r="Y51" s="60">
        <f>SUM(Y1:Y50)</f>
        <v>428464.52</v>
      </c>
      <c r="Z51" s="60">
        <f>SUM(Z1:Z50)</f>
        <v>3320600.03</v>
      </c>
      <c r="AA51" s="61"/>
      <c r="AB51" s="68"/>
    </row>
  </sheetData>
  <sheetProtection formatCells="0" formatColumns="0" formatRows="0" insertRows="0" insertColumns="0" insertHyperlinks="0" deleteColumns="0" deleteRows="0" sort="0" autoFilter="0" pivotTables="0"/>
  <protectedRanges>
    <protectedRange sqref="V11" name="Range1"/>
  </protectedRanges>
  <autoFilter xmlns:etc="http://www.wps.cn/officeDocument/2017/etCustomData" ref="A1:AD51" etc:filterBottomFollowUsedRange="0"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13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L10" sqref="L10"/>
    </sheetView>
  </sheetViews>
  <sheetFormatPr defaultColWidth="9" defaultRowHeight="25" customHeight="1"/>
  <cols>
    <col min="1" max="1" width="12.6" style="46" customWidth="1"/>
    <col min="2" max="2" width="12.625" style="47" customWidth="1"/>
    <col min="3" max="3" width="8.625" style="47" customWidth="1"/>
    <col min="4" max="7" width="12.625" style="47" customWidth="1"/>
    <col min="8" max="8" width="8.625" style="47" customWidth="1"/>
    <col min="9" max="10" width="5.625" style="47" customWidth="1"/>
    <col min="11" max="11" width="5.625" style="48" customWidth="1"/>
    <col min="12" max="13" width="12.625" style="49" customWidth="1"/>
    <col min="14" max="14" width="12.625" style="49" hidden="1" customWidth="1"/>
    <col min="15" max="16" width="8.625" style="44" hidden="1" customWidth="1"/>
    <col min="17" max="18" width="12.625" style="49" hidden="1" customWidth="1"/>
    <col min="19" max="22" width="10.625" style="47" hidden="1" customWidth="1"/>
    <col min="23" max="23" width="20.625" style="49" customWidth="1"/>
    <col min="24" max="24" width="8.625" style="50" customWidth="1"/>
    <col min="25" max="26" width="12.625" style="51" customWidth="1"/>
    <col min="27" max="27" width="8.625" style="52" customWidth="1"/>
    <col min="28" max="28" width="8.625" style="49" customWidth="1"/>
    <col min="29" max="16384" width="9" style="44"/>
  </cols>
  <sheetData>
    <row r="1" s="44" customFormat="1" customHeight="1" spans="1:28">
      <c r="A1" s="53" t="s">
        <v>106</v>
      </c>
      <c r="B1" s="54" t="s">
        <v>135</v>
      </c>
      <c r="C1" s="54" t="s">
        <v>136</v>
      </c>
      <c r="D1" s="54" t="s">
        <v>108</v>
      </c>
      <c r="E1" s="54" t="s">
        <v>109</v>
      </c>
      <c r="F1" s="54" t="s">
        <v>110</v>
      </c>
      <c r="G1" s="43" t="s">
        <v>105</v>
      </c>
      <c r="H1" s="43" t="s">
        <v>111</v>
      </c>
      <c r="I1" s="43" t="s">
        <v>137</v>
      </c>
      <c r="J1" s="43" t="s">
        <v>138</v>
      </c>
      <c r="K1" s="55" t="s">
        <v>139</v>
      </c>
      <c r="L1" s="56" t="s">
        <v>140</v>
      </c>
      <c r="M1" s="57" t="s">
        <v>107</v>
      </c>
      <c r="N1" s="57" t="s">
        <v>141</v>
      </c>
      <c r="O1" s="54" t="s">
        <v>142</v>
      </c>
      <c r="P1" s="54" t="s">
        <v>143</v>
      </c>
      <c r="Q1" s="54" t="s">
        <v>144</v>
      </c>
      <c r="R1" s="56" t="s">
        <v>145</v>
      </c>
      <c r="S1" s="54" t="s">
        <v>146</v>
      </c>
      <c r="T1" s="54" t="s">
        <v>194</v>
      </c>
      <c r="U1" s="54" t="s">
        <v>112</v>
      </c>
      <c r="V1" s="54" t="s">
        <v>148</v>
      </c>
      <c r="W1" s="58" t="s">
        <v>149</v>
      </c>
      <c r="X1" s="59" t="s">
        <v>150</v>
      </c>
      <c r="Y1" s="60" t="s">
        <v>114</v>
      </c>
      <c r="Z1" s="60" t="s">
        <v>115</v>
      </c>
      <c r="AA1" s="61" t="s">
        <v>151</v>
      </c>
      <c r="AB1" s="58" t="s">
        <v>152</v>
      </c>
    </row>
    <row r="2" s="44" customFormat="1" customHeight="1" spans="1:28">
      <c r="A2" s="53">
        <v>45614</v>
      </c>
      <c r="B2" s="62" t="s">
        <v>155</v>
      </c>
      <c r="C2" s="62" t="s">
        <v>156</v>
      </c>
      <c r="D2" s="43" t="s">
        <v>59</v>
      </c>
      <c r="E2" s="43"/>
      <c r="F2" s="43" t="s">
        <v>58</v>
      </c>
      <c r="G2" s="63" t="str">
        <f>VLOOKUP(F2,名称!A:F,3,FALSE)</f>
        <v>农场小动物</v>
      </c>
      <c r="H2" s="63">
        <f>5140-2520-2520-100</f>
        <v>0</v>
      </c>
      <c r="I2" s="63">
        <f>VLOOKUP(F2,名称!A:F,5,0)</f>
        <v>6</v>
      </c>
      <c r="J2" s="63">
        <f>VLOOKUP(F2,名称!A:F,6,0)</f>
        <v>12</v>
      </c>
      <c r="K2" s="55">
        <f t="shared" ref="K2:K8" si="0">H2/J2</f>
        <v>0</v>
      </c>
      <c r="L2" s="56"/>
      <c r="M2" s="56"/>
      <c r="N2" s="56"/>
      <c r="O2" s="54"/>
      <c r="P2" s="54"/>
      <c r="Q2" s="56"/>
      <c r="R2" s="56"/>
      <c r="S2" s="43"/>
      <c r="T2" s="43"/>
      <c r="U2" s="43"/>
      <c r="V2" s="43"/>
      <c r="W2" s="56"/>
      <c r="X2" s="59">
        <v>7.38</v>
      </c>
      <c r="Y2" s="64">
        <f t="shared" ref="Y2:Y12" si="1">H2*X2</f>
        <v>0</v>
      </c>
      <c r="Z2" s="64">
        <f t="shared" ref="Z2:Z12" si="2">Y2*7.75</f>
        <v>0</v>
      </c>
      <c r="AA2" s="65"/>
      <c r="AB2" s="56"/>
    </row>
    <row r="3" s="44" customFormat="1" customHeight="1" spans="1:28">
      <c r="A3" s="53">
        <v>45614</v>
      </c>
      <c r="B3" s="62" t="s">
        <v>155</v>
      </c>
      <c r="C3" s="62" t="s">
        <v>156</v>
      </c>
      <c r="D3" s="43" t="s">
        <v>43</v>
      </c>
      <c r="E3" s="43"/>
      <c r="F3" s="43" t="s">
        <v>42</v>
      </c>
      <c r="G3" s="63" t="str">
        <f>VLOOKUP(F3,名称!A:F,3,FALSE)</f>
        <v>巨型恐龙组2</v>
      </c>
      <c r="H3" s="63">
        <f>5000-1500-1500-1500-500</f>
        <v>0</v>
      </c>
      <c r="I3" s="63">
        <f>VLOOKUP(F3,名称!A:F,5,0)</f>
        <v>0</v>
      </c>
      <c r="J3" s="63">
        <f>VLOOKUP(F3,名称!A:F,6,0)</f>
        <v>4</v>
      </c>
      <c r="K3" s="55">
        <f t="shared" si="0"/>
        <v>0</v>
      </c>
      <c r="L3" s="56"/>
      <c r="M3" s="56"/>
      <c r="N3" s="56"/>
      <c r="O3" s="54"/>
      <c r="P3" s="54"/>
      <c r="Q3" s="56"/>
      <c r="R3" s="56"/>
      <c r="S3" s="43"/>
      <c r="T3" s="43"/>
      <c r="U3" s="43"/>
      <c r="V3" s="43"/>
      <c r="W3" s="56"/>
      <c r="X3" s="59">
        <v>12</v>
      </c>
      <c r="Y3" s="64">
        <f t="shared" si="1"/>
        <v>0</v>
      </c>
      <c r="Z3" s="64">
        <f t="shared" si="2"/>
        <v>0</v>
      </c>
      <c r="AA3" s="65"/>
      <c r="AB3" s="56"/>
    </row>
    <row r="4" s="44" customFormat="1" customHeight="1" spans="1:28">
      <c r="A4" s="53">
        <v>45614</v>
      </c>
      <c r="B4" s="62" t="s">
        <v>155</v>
      </c>
      <c r="C4" s="62" t="s">
        <v>156</v>
      </c>
      <c r="D4" s="43" t="s">
        <v>63</v>
      </c>
      <c r="E4" s="43"/>
      <c r="F4" s="43" t="s">
        <v>62</v>
      </c>
      <c r="G4" s="63" t="str">
        <f>VLOOKUP(F4,名称!A:F,3,FALSE)</f>
        <v>恐龙收藏盒</v>
      </c>
      <c r="H4" s="63">
        <f>5000-1500-1600-1500-400</f>
        <v>0</v>
      </c>
      <c r="I4" s="63">
        <f>VLOOKUP(F4,名称!A:F,5,0)</f>
        <v>0</v>
      </c>
      <c r="J4" s="63">
        <f>VLOOKUP(F4,名称!A:F,6,0)</f>
        <v>4</v>
      </c>
      <c r="K4" s="55">
        <f t="shared" si="0"/>
        <v>0</v>
      </c>
      <c r="L4" s="56"/>
      <c r="M4" s="56"/>
      <c r="N4" s="56"/>
      <c r="O4" s="54"/>
      <c r="P4" s="54"/>
      <c r="Q4" s="56"/>
      <c r="R4" s="56"/>
      <c r="S4" s="43"/>
      <c r="T4" s="43"/>
      <c r="U4" s="43"/>
      <c r="V4" s="43"/>
      <c r="W4" s="56"/>
      <c r="X4" s="59">
        <v>9.71</v>
      </c>
      <c r="Y4" s="64">
        <f t="shared" si="1"/>
        <v>0</v>
      </c>
      <c r="Z4" s="64">
        <f t="shared" si="2"/>
        <v>0</v>
      </c>
      <c r="AA4" s="65"/>
      <c r="AB4" s="56"/>
    </row>
    <row r="5" s="44" customFormat="1" customHeight="1" spans="1:28">
      <c r="A5" s="53">
        <v>45791</v>
      </c>
      <c r="B5" s="62" t="s">
        <v>155</v>
      </c>
      <c r="C5" s="62" t="s">
        <v>156</v>
      </c>
      <c r="D5" s="43" t="s">
        <v>39</v>
      </c>
      <c r="E5" s="43"/>
      <c r="F5" s="43" t="s">
        <v>38</v>
      </c>
      <c r="G5" s="63" t="str">
        <f>VLOOKUP(F5,名称!A:F,3,FALSE)</f>
        <v>巨型恐龙组1</v>
      </c>
      <c r="H5" s="63">
        <f>3000-1500-1500</f>
        <v>0</v>
      </c>
      <c r="I5" s="63">
        <f>VLOOKUP(F5,名称!A:F,5,0)</f>
        <v>2</v>
      </c>
      <c r="J5" s="63">
        <f>VLOOKUP(F5,名称!A:F,6,0)</f>
        <v>4</v>
      </c>
      <c r="K5" s="55">
        <f t="shared" si="0"/>
        <v>0</v>
      </c>
      <c r="L5" s="56"/>
      <c r="M5" s="56"/>
      <c r="N5" s="56"/>
      <c r="O5" s="54"/>
      <c r="P5" s="54"/>
      <c r="Q5" s="56"/>
      <c r="R5" s="56"/>
      <c r="S5" s="43"/>
      <c r="T5" s="43"/>
      <c r="U5" s="43"/>
      <c r="V5" s="43"/>
      <c r="W5" s="56"/>
      <c r="X5" s="59">
        <v>11.5</v>
      </c>
      <c r="Y5" s="64">
        <f t="shared" si="1"/>
        <v>0</v>
      </c>
      <c r="Z5" s="64">
        <f t="shared" si="2"/>
        <v>0</v>
      </c>
      <c r="AA5" s="65"/>
      <c r="AB5" s="56"/>
    </row>
    <row r="6" s="44" customFormat="1" customHeight="1" spans="1:28">
      <c r="A6" s="53">
        <v>45791</v>
      </c>
      <c r="B6" s="62" t="s">
        <v>155</v>
      </c>
      <c r="C6" s="62" t="s">
        <v>156</v>
      </c>
      <c r="D6" s="43" t="s">
        <v>55</v>
      </c>
      <c r="E6" s="43"/>
      <c r="F6" s="43" t="s">
        <v>54</v>
      </c>
      <c r="G6" s="63" t="str">
        <f>VLOOKUP(F6,名称!A:F,3,FALSE)</f>
        <v>10款海洋动物套装</v>
      </c>
      <c r="H6" s="63">
        <f>2520-2520</f>
        <v>0</v>
      </c>
      <c r="I6" s="63">
        <f>VLOOKUP(F6,名称!A:F,5,0)</f>
        <v>6</v>
      </c>
      <c r="J6" s="63">
        <f>VLOOKUP(F6,名称!A:F,6,0)</f>
        <v>12</v>
      </c>
      <c r="K6" s="55">
        <f t="shared" si="0"/>
        <v>0</v>
      </c>
      <c r="L6" s="56"/>
      <c r="M6" s="56"/>
      <c r="N6" s="56"/>
      <c r="O6" s="54"/>
      <c r="P6" s="54"/>
      <c r="Q6" s="56"/>
      <c r="R6" s="56"/>
      <c r="S6" s="43"/>
      <c r="T6" s="43"/>
      <c r="U6" s="43"/>
      <c r="V6" s="43"/>
      <c r="W6" s="56"/>
      <c r="X6" s="59">
        <v>7</v>
      </c>
      <c r="Y6" s="64">
        <f t="shared" si="1"/>
        <v>0</v>
      </c>
      <c r="Z6" s="64">
        <f t="shared" si="2"/>
        <v>0</v>
      </c>
      <c r="AA6" s="65"/>
      <c r="AB6" s="56"/>
    </row>
    <row r="7" s="44" customFormat="1" customHeight="1" spans="1:28">
      <c r="A7" s="53">
        <v>45841</v>
      </c>
      <c r="B7" s="62" t="s">
        <v>155</v>
      </c>
      <c r="C7" s="62" t="s">
        <v>156</v>
      </c>
      <c r="D7" s="43" t="s">
        <v>51</v>
      </c>
      <c r="E7" s="43"/>
      <c r="F7" s="43" t="s">
        <v>50</v>
      </c>
      <c r="G7" s="63" t="str">
        <f>VLOOKUP(F7,名称!A:F,3,FALSE)</f>
        <v>8款野生动物套装</v>
      </c>
      <c r="H7" s="63">
        <f>5016-2508-2508</f>
        <v>0</v>
      </c>
      <c r="I7" s="63">
        <f>VLOOKUP(F7,名称!A:F,5,0)</f>
        <v>6</v>
      </c>
      <c r="J7" s="63">
        <f>VLOOKUP(F7,名称!A:F,6,0)</f>
        <v>12</v>
      </c>
      <c r="K7" s="55">
        <f t="shared" si="0"/>
        <v>0</v>
      </c>
      <c r="L7" s="56"/>
      <c r="M7" s="56"/>
      <c r="N7" s="56"/>
      <c r="O7" s="54"/>
      <c r="P7" s="54"/>
      <c r="Q7" s="56"/>
      <c r="R7" s="56"/>
      <c r="S7" s="43"/>
      <c r="T7" s="43"/>
      <c r="U7" s="43"/>
      <c r="V7" s="43"/>
      <c r="W7" s="56"/>
      <c r="X7" s="59">
        <v>7.34</v>
      </c>
      <c r="Y7" s="64">
        <f t="shared" si="1"/>
        <v>0</v>
      </c>
      <c r="Z7" s="64">
        <f t="shared" si="2"/>
        <v>0</v>
      </c>
      <c r="AA7" s="65"/>
      <c r="AB7" s="56"/>
    </row>
    <row r="8" s="44" customFormat="1" customHeight="1" spans="1:28">
      <c r="A8" s="53">
        <v>45614</v>
      </c>
      <c r="B8" s="62" t="s">
        <v>155</v>
      </c>
      <c r="C8" s="62" t="s">
        <v>156</v>
      </c>
      <c r="D8" s="43" t="s">
        <v>47</v>
      </c>
      <c r="E8" s="43"/>
      <c r="F8" s="43" t="s">
        <v>46</v>
      </c>
      <c r="G8" s="63" t="str">
        <f>VLOOKUP(F8,名称!A:F,3,FALSE)</f>
        <v>8款恐龙玩具</v>
      </c>
      <c r="H8" s="63">
        <f>5140-2016-504-2520-100</f>
        <v>0</v>
      </c>
      <c r="I8" s="63">
        <f>VLOOKUP(F8,名称!A:F,5,0)</f>
        <v>9</v>
      </c>
      <c r="J8" s="63">
        <f>VLOOKUP(F8,名称!A:F,6,0)</f>
        <v>18</v>
      </c>
      <c r="K8" s="55">
        <f t="shared" si="0"/>
        <v>0</v>
      </c>
      <c r="L8" s="56"/>
      <c r="M8" s="56"/>
      <c r="N8" s="56"/>
      <c r="O8" s="54"/>
      <c r="P8" s="54"/>
      <c r="Q8" s="56"/>
      <c r="R8" s="56"/>
      <c r="S8" s="43"/>
      <c r="T8" s="43"/>
      <c r="U8" s="43"/>
      <c r="V8" s="43"/>
      <c r="W8" s="56"/>
      <c r="X8" s="59">
        <v>7.31</v>
      </c>
      <c r="Y8" s="64">
        <f t="shared" si="1"/>
        <v>0</v>
      </c>
      <c r="Z8" s="64">
        <f t="shared" si="2"/>
        <v>0</v>
      </c>
      <c r="AA8" s="65"/>
      <c r="AB8" s="56"/>
    </row>
    <row r="9" s="44" customFormat="1" customHeight="1" spans="1:28">
      <c r="A9" s="53"/>
      <c r="B9" s="62"/>
      <c r="C9" s="62"/>
      <c r="D9" s="43"/>
      <c r="E9" s="43"/>
      <c r="F9" s="43"/>
      <c r="G9" s="63"/>
      <c r="H9" s="63"/>
      <c r="I9" s="63"/>
      <c r="J9" s="63"/>
      <c r="K9" s="55"/>
      <c r="L9" s="56"/>
      <c r="M9" s="56"/>
      <c r="N9" s="56"/>
      <c r="O9" s="54"/>
      <c r="P9" s="54"/>
      <c r="Q9" s="56"/>
      <c r="R9" s="56"/>
      <c r="S9" s="43"/>
      <c r="T9" s="43"/>
      <c r="U9" s="43"/>
      <c r="V9" s="43"/>
      <c r="W9" s="56"/>
      <c r="X9" s="59"/>
      <c r="Y9" s="64">
        <f t="shared" si="1"/>
        <v>0</v>
      </c>
      <c r="Z9" s="64">
        <f t="shared" si="2"/>
        <v>0</v>
      </c>
      <c r="AA9" s="65"/>
      <c r="AB9" s="56"/>
    </row>
    <row r="10" s="44" customFormat="1" customHeight="1" spans="1:28">
      <c r="A10" s="53"/>
      <c r="B10" s="62"/>
      <c r="C10" s="62"/>
      <c r="D10" s="43"/>
      <c r="E10" s="43"/>
      <c r="F10" s="43"/>
      <c r="G10" s="63"/>
      <c r="H10" s="63"/>
      <c r="I10" s="63"/>
      <c r="J10" s="63"/>
      <c r="K10" s="55"/>
      <c r="L10" s="56"/>
      <c r="M10" s="56"/>
      <c r="N10" s="56"/>
      <c r="O10" s="54"/>
      <c r="P10" s="54"/>
      <c r="Q10" s="56"/>
      <c r="R10" s="56"/>
      <c r="S10" s="43"/>
      <c r="T10" s="43"/>
      <c r="U10" s="43"/>
      <c r="V10" s="43"/>
      <c r="W10" s="56"/>
      <c r="X10" s="59"/>
      <c r="Y10" s="64">
        <f t="shared" si="1"/>
        <v>0</v>
      </c>
      <c r="Z10" s="64">
        <f t="shared" si="2"/>
        <v>0</v>
      </c>
      <c r="AA10" s="65"/>
      <c r="AB10" s="56"/>
    </row>
    <row r="11" s="44" customFormat="1" customHeight="1" spans="1:28">
      <c r="A11" s="53"/>
      <c r="B11" s="62"/>
      <c r="C11" s="62"/>
      <c r="D11" s="43"/>
      <c r="E11" s="43"/>
      <c r="F11" s="43"/>
      <c r="G11" s="63"/>
      <c r="H11" s="63"/>
      <c r="I11" s="63"/>
      <c r="J11" s="63"/>
      <c r="K11" s="55"/>
      <c r="L11" s="56"/>
      <c r="M11" s="56"/>
      <c r="N11" s="56"/>
      <c r="O11" s="54"/>
      <c r="P11" s="54"/>
      <c r="Q11" s="56"/>
      <c r="R11" s="56"/>
      <c r="S11" s="43"/>
      <c r="T11" s="43"/>
      <c r="U11" s="43"/>
      <c r="V11" s="43"/>
      <c r="W11" s="56"/>
      <c r="X11" s="59"/>
      <c r="Y11" s="64">
        <f t="shared" si="1"/>
        <v>0</v>
      </c>
      <c r="Z11" s="64">
        <f t="shared" si="2"/>
        <v>0</v>
      </c>
      <c r="AA11" s="65"/>
      <c r="AB11" s="56"/>
    </row>
    <row r="12" s="44" customFormat="1" customHeight="1" spans="1:28">
      <c r="A12" s="53"/>
      <c r="B12" s="62"/>
      <c r="C12" s="62"/>
      <c r="D12" s="43"/>
      <c r="E12" s="43"/>
      <c r="F12" s="43"/>
      <c r="G12" s="63"/>
      <c r="H12" s="63"/>
      <c r="I12" s="63"/>
      <c r="J12" s="63"/>
      <c r="K12" s="55"/>
      <c r="L12" s="56"/>
      <c r="M12" s="56"/>
      <c r="N12" s="56"/>
      <c r="O12" s="54"/>
      <c r="P12" s="54"/>
      <c r="Q12" s="56"/>
      <c r="R12" s="56"/>
      <c r="S12" s="43"/>
      <c r="T12" s="43"/>
      <c r="U12" s="43"/>
      <c r="V12" s="43"/>
      <c r="W12" s="56"/>
      <c r="X12" s="59"/>
      <c r="Y12" s="64">
        <f t="shared" si="1"/>
        <v>0</v>
      </c>
      <c r="Z12" s="64">
        <f t="shared" si="2"/>
        <v>0</v>
      </c>
      <c r="AA12" s="65"/>
      <c r="AB12" s="56"/>
    </row>
    <row r="13" s="45" customFormat="1" customHeight="1" spans="1:28">
      <c r="A13" s="53"/>
      <c r="B13" s="43"/>
      <c r="C13" s="43"/>
      <c r="D13" s="43"/>
      <c r="E13" s="43"/>
      <c r="F13" s="43"/>
      <c r="G13" s="43" t="s">
        <v>163</v>
      </c>
      <c r="H13" s="43">
        <f>SUM(H2:H12)</f>
        <v>0</v>
      </c>
      <c r="I13" s="43"/>
      <c r="J13" s="43"/>
      <c r="K13" s="43">
        <f>SUM(K2:K12)</f>
        <v>0</v>
      </c>
      <c r="L13" s="68"/>
      <c r="M13" s="68"/>
      <c r="N13" s="68"/>
      <c r="O13" s="58"/>
      <c r="P13" s="58"/>
      <c r="Q13" s="68"/>
      <c r="R13" s="68"/>
      <c r="S13" s="43"/>
      <c r="T13" s="43"/>
      <c r="U13" s="43"/>
      <c r="V13" s="43"/>
      <c r="W13" s="68"/>
      <c r="X13" s="59"/>
      <c r="Y13" s="60">
        <f>SUM(Y2:Y12)</f>
        <v>0</v>
      </c>
      <c r="Z13" s="60">
        <f>SUM(Z2:Z12)</f>
        <v>0</v>
      </c>
      <c r="AA13" s="61"/>
      <c r="AB13" s="68"/>
    </row>
  </sheetData>
  <sheetProtection formatCells="0" formatColumns="0" formatRows="0" insertRows="0" insertColumns="0" insertHyperlinks="0" deleteColumns="0" deleteRows="0" sort="0" autoFilter="0" pivotTables="0"/>
  <protectedRanges>
    <protectedRange sqref="I2" name="Range1"/>
  </protectedRanges>
  <autoFilter xmlns:etc="http://www.wps.cn/officeDocument/2017/etCustomData" ref="A1:AB13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1"/>
  <sheetViews>
    <sheetView workbookViewId="0">
      <pane xSplit="8" ySplit="1" topLeftCell="I16" activePane="bottomRight" state="frozen"/>
      <selection/>
      <selection pane="topRight"/>
      <selection pane="bottomLeft"/>
      <selection pane="bottomRight" activeCell="H7" sqref="H7"/>
    </sheetView>
  </sheetViews>
  <sheetFormatPr defaultColWidth="9" defaultRowHeight="25" customHeight="1"/>
  <cols>
    <col min="1" max="1" width="12.6" style="46" customWidth="1"/>
    <col min="2" max="3" width="8.625" style="47" customWidth="1"/>
    <col min="4" max="7" width="12.625" style="47" customWidth="1"/>
    <col min="8" max="8" width="8.625" style="47" customWidth="1"/>
    <col min="9" max="10" width="5.625" style="47" customWidth="1"/>
    <col min="11" max="11" width="5.625" style="48" customWidth="1"/>
    <col min="12" max="13" width="12.625" style="49" customWidth="1"/>
    <col min="14" max="14" width="12.625" style="49" hidden="1" customWidth="1"/>
    <col min="15" max="16" width="8.625" style="44" hidden="1" customWidth="1"/>
    <col min="17" max="18" width="12.625" style="49" hidden="1" customWidth="1"/>
    <col min="19" max="22" width="10.625" style="47" hidden="1" customWidth="1"/>
    <col min="23" max="23" width="20.625" style="49" customWidth="1"/>
    <col min="24" max="24" width="8.625" style="50" customWidth="1"/>
    <col min="25" max="26" width="12.625" style="51" customWidth="1"/>
    <col min="27" max="27" width="8.625" style="52" customWidth="1"/>
    <col min="28" max="28" width="8.625" style="49" customWidth="1"/>
    <col min="29" max="16384" width="9" style="44"/>
  </cols>
  <sheetData>
    <row r="1" s="44" customFormat="1" customHeight="1" spans="1:28">
      <c r="A1" s="53" t="s">
        <v>106</v>
      </c>
      <c r="B1" s="54" t="s">
        <v>135</v>
      </c>
      <c r="C1" s="54" t="s">
        <v>136</v>
      </c>
      <c r="D1" s="54" t="s">
        <v>108</v>
      </c>
      <c r="E1" s="54" t="s">
        <v>109</v>
      </c>
      <c r="F1" s="54" t="s">
        <v>110</v>
      </c>
      <c r="G1" s="43" t="s">
        <v>105</v>
      </c>
      <c r="H1" s="43" t="s">
        <v>111</v>
      </c>
      <c r="I1" s="43" t="s">
        <v>137</v>
      </c>
      <c r="J1" s="43" t="s">
        <v>138</v>
      </c>
      <c r="K1" s="55" t="s">
        <v>139</v>
      </c>
      <c r="L1" s="56" t="s">
        <v>140</v>
      </c>
      <c r="M1" s="57" t="s">
        <v>107</v>
      </c>
      <c r="N1" s="57" t="s">
        <v>141</v>
      </c>
      <c r="O1" s="54" t="s">
        <v>142</v>
      </c>
      <c r="P1" s="54" t="s">
        <v>143</v>
      </c>
      <c r="Q1" s="54" t="s">
        <v>144</v>
      </c>
      <c r="R1" s="56" t="s">
        <v>145</v>
      </c>
      <c r="S1" s="54" t="s">
        <v>146</v>
      </c>
      <c r="T1" s="54" t="s">
        <v>194</v>
      </c>
      <c r="U1" s="54" t="s">
        <v>112</v>
      </c>
      <c r="V1" s="54" t="s">
        <v>148</v>
      </c>
      <c r="W1" s="58" t="s">
        <v>149</v>
      </c>
      <c r="X1" s="59" t="s">
        <v>150</v>
      </c>
      <c r="Y1" s="60" t="s">
        <v>114</v>
      </c>
      <c r="Z1" s="60" t="s">
        <v>115</v>
      </c>
      <c r="AA1" s="61" t="s">
        <v>151</v>
      </c>
      <c r="AB1" s="58" t="s">
        <v>152</v>
      </c>
    </row>
    <row r="2" s="44" customFormat="1" customHeight="1" spans="1:28">
      <c r="A2" s="53">
        <v>45614</v>
      </c>
      <c r="B2" s="62" t="s">
        <v>155</v>
      </c>
      <c r="C2" s="62" t="s">
        <v>156</v>
      </c>
      <c r="D2" s="43" t="s">
        <v>31</v>
      </c>
      <c r="E2" s="43"/>
      <c r="F2" s="43" t="s">
        <v>30</v>
      </c>
      <c r="G2" s="63" t="str">
        <f>VLOOKUP(F2,名称!A:F,3,FALSE)</f>
        <v>非洲家庭</v>
      </c>
      <c r="H2" s="63">
        <f>5000-1602-1602-1602</f>
        <v>194</v>
      </c>
      <c r="I2" s="63">
        <f>VLOOKUP(F2,名称!A:F,5,0)</f>
        <v>0</v>
      </c>
      <c r="J2" s="63">
        <f>VLOOKUP(F2,名称!A:F,6,0)</f>
        <v>6</v>
      </c>
      <c r="K2" s="55">
        <f t="shared" ref="K2:K15" si="0">H2/J2</f>
        <v>32.3333333333333</v>
      </c>
      <c r="L2" s="56"/>
      <c r="M2" s="56"/>
      <c r="N2" s="56"/>
      <c r="O2" s="54"/>
      <c r="P2" s="54"/>
      <c r="Q2" s="56"/>
      <c r="R2" s="56"/>
      <c r="S2" s="43"/>
      <c r="T2" s="43"/>
      <c r="U2" s="43"/>
      <c r="V2" s="43"/>
      <c r="W2" s="56"/>
      <c r="X2" s="59">
        <v>4.72</v>
      </c>
      <c r="Y2" s="64">
        <f t="shared" ref="Y2:Y20" si="1">H2*X2</f>
        <v>915.68</v>
      </c>
      <c r="Z2" s="64">
        <f t="shared" ref="Z2:Z20" si="2">Y2*7.75</f>
        <v>7096.52</v>
      </c>
      <c r="AA2" s="65"/>
      <c r="AB2" s="56" t="s">
        <v>161</v>
      </c>
    </row>
    <row r="3" s="44" customFormat="1" customHeight="1" spans="1:28">
      <c r="A3" s="53">
        <v>45614</v>
      </c>
      <c r="B3" s="62" t="s">
        <v>155</v>
      </c>
      <c r="C3" s="62" t="s">
        <v>156</v>
      </c>
      <c r="D3" s="43" t="s">
        <v>35</v>
      </c>
      <c r="E3" s="43"/>
      <c r="F3" s="43" t="s">
        <v>34</v>
      </c>
      <c r="G3" s="63" t="str">
        <f>VLOOKUP(F3,名称!A:F,3,FALSE)</f>
        <v>欧洲家庭</v>
      </c>
      <c r="H3" s="63">
        <f>5000-1602-1602-1602</f>
        <v>194</v>
      </c>
      <c r="I3" s="63">
        <f>VLOOKUP(F3,名称!A:F,5,0)</f>
        <v>0</v>
      </c>
      <c r="J3" s="63">
        <f>VLOOKUP(F3,名称!A:F,6,0)</f>
        <v>6</v>
      </c>
      <c r="K3" s="55">
        <f t="shared" si="0"/>
        <v>32.3333333333333</v>
      </c>
      <c r="L3" s="56"/>
      <c r="M3" s="56"/>
      <c r="N3" s="56"/>
      <c r="O3" s="54"/>
      <c r="P3" s="54"/>
      <c r="Q3" s="56"/>
      <c r="R3" s="56"/>
      <c r="S3" s="43"/>
      <c r="T3" s="43"/>
      <c r="U3" s="43"/>
      <c r="V3" s="43"/>
      <c r="W3" s="56"/>
      <c r="X3" s="59">
        <v>4.92</v>
      </c>
      <c r="Y3" s="64">
        <f t="shared" si="1"/>
        <v>954.48</v>
      </c>
      <c r="Z3" s="64">
        <f t="shared" si="2"/>
        <v>7397.22</v>
      </c>
      <c r="AA3" s="65"/>
      <c r="AB3" s="56" t="s">
        <v>161</v>
      </c>
    </row>
    <row r="4" s="44" customFormat="1" customHeight="1" spans="1:28">
      <c r="A4" s="53">
        <v>45614</v>
      </c>
      <c r="B4" s="62" t="s">
        <v>155</v>
      </c>
      <c r="C4" s="62" t="s">
        <v>156</v>
      </c>
      <c r="D4" s="43" t="s">
        <v>27</v>
      </c>
      <c r="E4" s="43"/>
      <c r="F4" s="43" t="s">
        <v>26</v>
      </c>
      <c r="G4" s="63" t="str">
        <f>VLOOKUP(F4,名称!A:F,3,FALSE)</f>
        <v>亚洲家庭</v>
      </c>
      <c r="H4" s="63">
        <f>5000-612-1602-990</f>
        <v>1796</v>
      </c>
      <c r="I4" s="63">
        <f>VLOOKUP(F4,名称!A:F,5,0)</f>
        <v>0</v>
      </c>
      <c r="J4" s="63">
        <f>VLOOKUP(F4,名称!A:F,6,0)</f>
        <v>6</v>
      </c>
      <c r="K4" s="55">
        <f t="shared" si="0"/>
        <v>299.333333333333</v>
      </c>
      <c r="L4" s="56"/>
      <c r="M4" s="56"/>
      <c r="N4" s="56"/>
      <c r="O4" s="54"/>
      <c r="P4" s="54"/>
      <c r="Q4" s="56"/>
      <c r="R4" s="56"/>
      <c r="S4" s="43"/>
      <c r="T4" s="43"/>
      <c r="U4" s="43"/>
      <c r="V4" s="43"/>
      <c r="W4" s="56"/>
      <c r="X4" s="59">
        <v>4.92</v>
      </c>
      <c r="Y4" s="64">
        <f t="shared" si="1"/>
        <v>8836.32</v>
      </c>
      <c r="Z4" s="64">
        <f t="shared" si="2"/>
        <v>68481.48</v>
      </c>
      <c r="AA4" s="65"/>
      <c r="AB4" s="56" t="s">
        <v>161</v>
      </c>
    </row>
    <row r="5" s="44" customFormat="1" customHeight="1" spans="1:28">
      <c r="A5" s="53">
        <v>45614</v>
      </c>
      <c r="B5" s="62" t="s">
        <v>155</v>
      </c>
      <c r="C5" s="62" t="s">
        <v>156</v>
      </c>
      <c r="D5" s="43" t="s">
        <v>23</v>
      </c>
      <c r="E5" s="43"/>
      <c r="F5" s="43" t="s">
        <v>22</v>
      </c>
      <c r="G5" s="63" t="str">
        <f>VLOOKUP(F5,名称!A:F,3,FALSE)</f>
        <v>西班牙家庭</v>
      </c>
      <c r="H5" s="63">
        <f>5000-1602-1602-1602</f>
        <v>194</v>
      </c>
      <c r="I5" s="63">
        <f>VLOOKUP(F5,名称!A:F,5,0)</f>
        <v>0</v>
      </c>
      <c r="J5" s="63">
        <f>VLOOKUP(F5,名称!A:F,6,0)</f>
        <v>6</v>
      </c>
      <c r="K5" s="55">
        <f t="shared" si="0"/>
        <v>32.3333333333333</v>
      </c>
      <c r="L5" s="56"/>
      <c r="M5" s="56"/>
      <c r="N5" s="56"/>
      <c r="O5" s="54"/>
      <c r="P5" s="54"/>
      <c r="Q5" s="56"/>
      <c r="R5" s="56"/>
      <c r="S5" s="43"/>
      <c r="T5" s="43"/>
      <c r="U5" s="43"/>
      <c r="V5" s="43"/>
      <c r="W5" s="56"/>
      <c r="X5" s="59">
        <v>4.92</v>
      </c>
      <c r="Y5" s="64">
        <f t="shared" si="1"/>
        <v>954.48</v>
      </c>
      <c r="Z5" s="64">
        <f t="shared" si="2"/>
        <v>7397.22</v>
      </c>
      <c r="AA5" s="65"/>
      <c r="AB5" s="56" t="s">
        <v>161</v>
      </c>
    </row>
    <row r="6" s="44" customFormat="1" customHeight="1" spans="1:28">
      <c r="A6" s="53">
        <v>45614</v>
      </c>
      <c r="B6" s="62" t="s">
        <v>155</v>
      </c>
      <c r="C6" s="62" t="s">
        <v>156</v>
      </c>
      <c r="D6" s="43" t="s">
        <v>99</v>
      </c>
      <c r="E6" s="43"/>
      <c r="F6" s="43" t="s">
        <v>98</v>
      </c>
      <c r="G6" s="63" t="str">
        <f>VLOOKUP(F6,名称!A:F,3,FALSE)</f>
        <v>奇幻冒险背包</v>
      </c>
      <c r="H6" s="63">
        <f>6100-1700-1300</f>
        <v>3100</v>
      </c>
      <c r="I6" s="63">
        <f>VLOOKUP(F6,名称!A:F,5,0)</f>
        <v>0</v>
      </c>
      <c r="J6" s="63">
        <f>VLOOKUP(F6,名称!A:F,6,0)</f>
        <v>4</v>
      </c>
      <c r="K6" s="55">
        <f t="shared" si="0"/>
        <v>775</v>
      </c>
      <c r="L6" s="56"/>
      <c r="M6" s="56"/>
      <c r="N6" s="56"/>
      <c r="O6" s="54"/>
      <c r="P6" s="54"/>
      <c r="Q6" s="56"/>
      <c r="R6" s="56"/>
      <c r="S6" s="43"/>
      <c r="T6" s="43"/>
      <c r="U6" s="43"/>
      <c r="V6" s="43"/>
      <c r="W6" s="56"/>
      <c r="X6" s="59">
        <v>12.82</v>
      </c>
      <c r="Y6" s="64">
        <f t="shared" si="1"/>
        <v>39742</v>
      </c>
      <c r="Z6" s="64">
        <f t="shared" si="2"/>
        <v>308000.5</v>
      </c>
      <c r="AA6" s="65"/>
      <c r="AB6" s="56"/>
    </row>
    <row r="7" s="44" customFormat="1" customHeight="1" spans="1:28">
      <c r="A7" s="53">
        <v>45614</v>
      </c>
      <c r="B7" s="62" t="s">
        <v>155</v>
      </c>
      <c r="C7" s="62" t="s">
        <v>156</v>
      </c>
      <c r="D7" s="43" t="s">
        <v>67</v>
      </c>
      <c r="E7" s="43"/>
      <c r="F7" s="43" t="s">
        <v>66</v>
      </c>
      <c r="G7" s="63" t="str">
        <f>VLOOKUP(F7,名称!A:F,3,FALSE)</f>
        <v>26款动物套装</v>
      </c>
      <c r="H7" s="63">
        <f>5140-1008</f>
        <v>4132</v>
      </c>
      <c r="I7" s="63">
        <f>VLOOKUP(F7,名称!A:F,5,0)</f>
        <v>0</v>
      </c>
      <c r="J7" s="63">
        <f>VLOOKUP(F7,名称!A:F,6,0)</f>
        <v>12</v>
      </c>
      <c r="K7" s="55">
        <f t="shared" si="0"/>
        <v>344.333333333333</v>
      </c>
      <c r="L7" s="56"/>
      <c r="M7" s="56"/>
      <c r="N7" s="56"/>
      <c r="O7" s="54"/>
      <c r="P7" s="54"/>
      <c r="Q7" s="56"/>
      <c r="R7" s="56"/>
      <c r="S7" s="43"/>
      <c r="T7" s="43"/>
      <c r="U7" s="43"/>
      <c r="V7" s="43"/>
      <c r="W7" s="56"/>
      <c r="X7" s="59">
        <v>5.45</v>
      </c>
      <c r="Y7" s="64">
        <f t="shared" si="1"/>
        <v>22519.4</v>
      </c>
      <c r="Z7" s="64">
        <f t="shared" si="2"/>
        <v>174525.35</v>
      </c>
      <c r="AA7" s="65"/>
      <c r="AB7" s="56"/>
    </row>
    <row r="8" s="44" customFormat="1" customHeight="1" spans="1:28">
      <c r="A8" s="53">
        <v>45791</v>
      </c>
      <c r="B8" s="62" t="s">
        <v>155</v>
      </c>
      <c r="C8" s="62" t="s">
        <v>156</v>
      </c>
      <c r="D8" s="43" t="s">
        <v>7</v>
      </c>
      <c r="E8" s="43"/>
      <c r="F8" s="43" t="s">
        <v>6</v>
      </c>
      <c r="G8" s="63" t="str">
        <f>VLOOKUP(F8,名称!A:F,3,FALSE)</f>
        <v>桶装野生动物</v>
      </c>
      <c r="H8" s="63">
        <f>4032-1008</f>
        <v>3024</v>
      </c>
      <c r="I8" s="63">
        <f>VLOOKUP(F8,名称!A:F,5,0)</f>
        <v>6</v>
      </c>
      <c r="J8" s="63">
        <f>VLOOKUP(F8,名称!A:F,6,0)</f>
        <v>24</v>
      </c>
      <c r="K8" s="55">
        <f t="shared" si="0"/>
        <v>126</v>
      </c>
      <c r="L8" s="56"/>
      <c r="M8" s="56"/>
      <c r="N8" s="56"/>
      <c r="O8" s="54"/>
      <c r="P8" s="54"/>
      <c r="Q8" s="56"/>
      <c r="R8" s="56"/>
      <c r="S8" s="43"/>
      <c r="T8" s="43"/>
      <c r="U8" s="43"/>
      <c r="V8" s="43"/>
      <c r="W8" s="56"/>
      <c r="X8" s="59">
        <v>4.65</v>
      </c>
      <c r="Y8" s="64">
        <f t="shared" si="1"/>
        <v>14061.6</v>
      </c>
      <c r="Z8" s="64">
        <f t="shared" si="2"/>
        <v>108977.4</v>
      </c>
      <c r="AA8" s="65"/>
      <c r="AB8" s="56"/>
    </row>
    <row r="9" s="44" customFormat="1" customHeight="1" spans="1:28">
      <c r="A9" s="53">
        <v>45863</v>
      </c>
      <c r="B9" s="62" t="s">
        <v>155</v>
      </c>
      <c r="C9" s="62" t="s">
        <v>156</v>
      </c>
      <c r="D9" s="43" t="s">
        <v>27</v>
      </c>
      <c r="E9" s="43"/>
      <c r="F9" s="43" t="s">
        <v>26</v>
      </c>
      <c r="G9" s="63" t="str">
        <f>VLOOKUP(F9,名称!A:F,3,FALSE)</f>
        <v>亚洲家庭</v>
      </c>
      <c r="H9" s="63">
        <v>2202</v>
      </c>
      <c r="I9" s="63">
        <f>VLOOKUP(F9,名称!A:F,5,0)</f>
        <v>0</v>
      </c>
      <c r="J9" s="63">
        <f>VLOOKUP(F9,名称!A:F,6,0)</f>
        <v>6</v>
      </c>
      <c r="K9" s="55">
        <f t="shared" si="0"/>
        <v>367</v>
      </c>
      <c r="L9" s="56"/>
      <c r="M9" s="56"/>
      <c r="N9" s="56"/>
      <c r="O9" s="54"/>
      <c r="P9" s="54"/>
      <c r="Q9" s="56"/>
      <c r="R9" s="56"/>
      <c r="S9" s="43"/>
      <c r="T9" s="43"/>
      <c r="U9" s="43"/>
      <c r="V9" s="43"/>
      <c r="W9" s="56"/>
      <c r="X9" s="59">
        <v>4.92</v>
      </c>
      <c r="Y9" s="64">
        <f t="shared" si="1"/>
        <v>10833.84</v>
      </c>
      <c r="Z9" s="64">
        <f t="shared" si="2"/>
        <v>83962.26</v>
      </c>
      <c r="AA9" s="65"/>
      <c r="AB9" s="56"/>
    </row>
    <row r="10" s="44" customFormat="1" customHeight="1" spans="1:28">
      <c r="A10" s="53">
        <v>45863</v>
      </c>
      <c r="B10" s="62" t="s">
        <v>155</v>
      </c>
      <c r="C10" s="62" t="s">
        <v>156</v>
      </c>
      <c r="D10" s="43" t="s">
        <v>55</v>
      </c>
      <c r="E10" s="43"/>
      <c r="F10" s="43" t="s">
        <v>54</v>
      </c>
      <c r="G10" s="63" t="str">
        <f>VLOOKUP(F10,名称!A:F,3,FALSE)</f>
        <v>10款海洋动物套装</v>
      </c>
      <c r="H10" s="66">
        <f>4920</f>
        <v>4920</v>
      </c>
      <c r="I10" s="63">
        <f>VLOOKUP(F10,名称!A:F,5,0)</f>
        <v>6</v>
      </c>
      <c r="J10" s="63">
        <f>VLOOKUP(F10,名称!A:F,6,0)</f>
        <v>12</v>
      </c>
      <c r="K10" s="55">
        <f t="shared" si="0"/>
        <v>410</v>
      </c>
      <c r="L10" s="56"/>
      <c r="M10" s="56"/>
      <c r="N10" s="56"/>
      <c r="O10" s="54"/>
      <c r="P10" s="54"/>
      <c r="Q10" s="56"/>
      <c r="R10" s="56"/>
      <c r="S10" s="43"/>
      <c r="T10" s="43"/>
      <c r="U10" s="43"/>
      <c r="V10" s="43"/>
      <c r="W10" s="56"/>
      <c r="X10" s="59">
        <v>7</v>
      </c>
      <c r="Y10" s="64">
        <f t="shared" si="1"/>
        <v>34440</v>
      </c>
      <c r="Z10" s="64">
        <f t="shared" si="2"/>
        <v>266910</v>
      </c>
      <c r="AA10" s="65"/>
      <c r="AB10" s="56"/>
    </row>
    <row r="11" s="44" customFormat="1" customHeight="1" spans="1:28">
      <c r="A11" s="53">
        <v>45901</v>
      </c>
      <c r="B11" s="62" t="s">
        <v>155</v>
      </c>
      <c r="C11" s="62" t="s">
        <v>156</v>
      </c>
      <c r="D11" s="43" t="s">
        <v>99</v>
      </c>
      <c r="E11" s="43"/>
      <c r="F11" s="43" t="s">
        <v>98</v>
      </c>
      <c r="G11" s="63" t="str">
        <f>VLOOKUP(F11,名称!A:F,3,FALSE)</f>
        <v>奇幻冒险背包</v>
      </c>
      <c r="H11" s="63">
        <f>6500-1500-284-3220</f>
        <v>1496</v>
      </c>
      <c r="I11" s="63">
        <f>VLOOKUP(F11,名称!A:F,5,0)</f>
        <v>0</v>
      </c>
      <c r="J11" s="63">
        <f>VLOOKUP(F11,名称!A:F,6,0)</f>
        <v>4</v>
      </c>
      <c r="K11" s="55">
        <f t="shared" si="0"/>
        <v>374</v>
      </c>
      <c r="L11" s="56"/>
      <c r="M11" s="56"/>
      <c r="N11" s="56"/>
      <c r="O11" s="54"/>
      <c r="P11" s="54"/>
      <c r="Q11" s="56"/>
      <c r="R11" s="56"/>
      <c r="S11" s="43"/>
      <c r="T11" s="43"/>
      <c r="U11" s="43"/>
      <c r="V11" s="43"/>
      <c r="W11" s="56"/>
      <c r="X11" s="59">
        <v>12.82</v>
      </c>
      <c r="Y11" s="64">
        <f t="shared" si="1"/>
        <v>19178.72</v>
      </c>
      <c r="Z11" s="64">
        <f t="shared" si="2"/>
        <v>148635.08</v>
      </c>
      <c r="AA11" s="65"/>
      <c r="AB11" s="56"/>
    </row>
    <row r="12" s="44" customFormat="1" customHeight="1" spans="1:28">
      <c r="A12" s="53">
        <v>45930</v>
      </c>
      <c r="B12" s="43" t="s">
        <v>155</v>
      </c>
      <c r="C12" s="62" t="s">
        <v>156</v>
      </c>
      <c r="D12" s="58" t="s">
        <v>87</v>
      </c>
      <c r="E12" s="43"/>
      <c r="F12" s="58" t="s">
        <v>86</v>
      </c>
      <c r="G12" s="63" t="str">
        <f>VLOOKUP(F12,名称!A:F,3,FALSE)</f>
        <v>蝴蝶生长套装</v>
      </c>
      <c r="H12" s="63">
        <f>4320-1440</f>
        <v>2880</v>
      </c>
      <c r="I12" s="63">
        <f>VLOOKUP(F12,名称!A:F,5,0)</f>
        <v>72</v>
      </c>
      <c r="J12" s="63">
        <f>VLOOKUP(F12,名称!A:F,6,0)</f>
        <v>288</v>
      </c>
      <c r="K12" s="55">
        <f t="shared" si="0"/>
        <v>10</v>
      </c>
      <c r="L12" s="56"/>
      <c r="M12" s="56"/>
      <c r="N12" s="56"/>
      <c r="O12" s="54"/>
      <c r="P12" s="54"/>
      <c r="Q12" s="56"/>
      <c r="R12" s="56"/>
      <c r="S12" s="43"/>
      <c r="T12" s="43"/>
      <c r="U12" s="43"/>
      <c r="V12" s="43"/>
      <c r="W12" s="56"/>
      <c r="X12" s="59">
        <v>1.01</v>
      </c>
      <c r="Y12" s="64">
        <f t="shared" si="1"/>
        <v>2908.8</v>
      </c>
      <c r="Z12" s="64">
        <f t="shared" si="2"/>
        <v>22543.2</v>
      </c>
      <c r="AA12" s="65"/>
      <c r="AB12" s="56" t="s">
        <v>161</v>
      </c>
    </row>
    <row r="13" s="44" customFormat="1" customHeight="1" spans="1:28">
      <c r="A13" s="53">
        <v>46204</v>
      </c>
      <c r="B13" s="43" t="s">
        <v>155</v>
      </c>
      <c r="C13" s="62" t="s">
        <v>156</v>
      </c>
      <c r="D13" s="67" t="s">
        <v>63</v>
      </c>
      <c r="E13" s="43"/>
      <c r="F13" s="67" t="s">
        <v>62</v>
      </c>
      <c r="G13" s="63" t="str">
        <f>VLOOKUP(F13,名称!A:F,3,FALSE)</f>
        <v>恐龙收藏盒</v>
      </c>
      <c r="H13" s="63">
        <f>4500-1500</f>
        <v>3000</v>
      </c>
      <c r="I13" s="63">
        <f>VLOOKUP(F13,名称!A:F,5,0)</f>
        <v>0</v>
      </c>
      <c r="J13" s="63">
        <f>VLOOKUP(F13,名称!A:F,6,0)</f>
        <v>4</v>
      </c>
      <c r="K13" s="55">
        <f t="shared" si="0"/>
        <v>750</v>
      </c>
      <c r="L13" s="56"/>
      <c r="M13" s="56"/>
      <c r="N13" s="56"/>
      <c r="O13" s="54"/>
      <c r="P13" s="54"/>
      <c r="Q13" s="56"/>
      <c r="R13" s="56"/>
      <c r="S13" s="43"/>
      <c r="T13" s="43"/>
      <c r="U13" s="43"/>
      <c r="V13" s="43"/>
      <c r="W13" s="56"/>
      <c r="X13" s="59">
        <v>9.71</v>
      </c>
      <c r="Y13" s="64">
        <f t="shared" si="1"/>
        <v>29130</v>
      </c>
      <c r="Z13" s="64">
        <f t="shared" si="2"/>
        <v>225757.5</v>
      </c>
      <c r="AA13" s="65"/>
      <c r="AB13" s="56"/>
    </row>
    <row r="14" s="44" customFormat="1" customHeight="1" spans="1:28">
      <c r="A14" s="53">
        <v>46204</v>
      </c>
      <c r="B14" s="43" t="s">
        <v>155</v>
      </c>
      <c r="C14" s="62" t="s">
        <v>156</v>
      </c>
      <c r="D14" s="67" t="s">
        <v>55</v>
      </c>
      <c r="E14" s="43"/>
      <c r="F14" s="67" t="s">
        <v>54</v>
      </c>
      <c r="G14" s="63" t="str">
        <f>VLOOKUP(F14,名称!A:F,3,FALSE)</f>
        <v>10款海洋动物套装</v>
      </c>
      <c r="H14" s="63">
        <f>5040-2520</f>
        <v>2520</v>
      </c>
      <c r="I14" s="63">
        <f>VLOOKUP(F14,名称!A:F,5,0)</f>
        <v>6</v>
      </c>
      <c r="J14" s="63">
        <f>VLOOKUP(F14,名称!A:F,6,0)</f>
        <v>12</v>
      </c>
      <c r="K14" s="55">
        <f t="shared" si="0"/>
        <v>210</v>
      </c>
      <c r="L14" s="56"/>
      <c r="M14" s="56"/>
      <c r="N14" s="56"/>
      <c r="O14" s="54"/>
      <c r="P14" s="54"/>
      <c r="Q14" s="56"/>
      <c r="R14" s="56"/>
      <c r="S14" s="43"/>
      <c r="T14" s="43"/>
      <c r="U14" s="43"/>
      <c r="V14" s="43"/>
      <c r="W14" s="56"/>
      <c r="X14" s="59">
        <v>6.79</v>
      </c>
      <c r="Y14" s="64">
        <f t="shared" si="1"/>
        <v>17110.8</v>
      </c>
      <c r="Z14" s="64">
        <f t="shared" si="2"/>
        <v>132608.7</v>
      </c>
      <c r="AA14" s="65"/>
      <c r="AB14" s="56"/>
    </row>
    <row r="15" s="44" customFormat="1" customHeight="1" spans="1:28">
      <c r="A15" s="53">
        <v>46204</v>
      </c>
      <c r="B15" s="43" t="s">
        <v>155</v>
      </c>
      <c r="C15" s="62" t="s">
        <v>156</v>
      </c>
      <c r="D15" s="67" t="s">
        <v>47</v>
      </c>
      <c r="E15" s="43"/>
      <c r="F15" s="67" t="s">
        <v>46</v>
      </c>
      <c r="G15" s="63" t="str">
        <f>VLOOKUP(F15,名称!A:F,3,FALSE)</f>
        <v>8款恐龙玩具</v>
      </c>
      <c r="H15" s="63">
        <f>5040-2520</f>
        <v>2520</v>
      </c>
      <c r="I15" s="63">
        <f>VLOOKUP(F15,名称!A:F,5,0)</f>
        <v>9</v>
      </c>
      <c r="J15" s="63">
        <f>VLOOKUP(F15,名称!A:F,6,0)</f>
        <v>18</v>
      </c>
      <c r="K15" s="55">
        <f t="shared" si="0"/>
        <v>140</v>
      </c>
      <c r="L15" s="56"/>
      <c r="M15" s="56"/>
      <c r="N15" s="56"/>
      <c r="O15" s="54"/>
      <c r="P15" s="54"/>
      <c r="Q15" s="56"/>
      <c r="R15" s="56"/>
      <c r="S15" s="43"/>
      <c r="T15" s="43"/>
      <c r="U15" s="43"/>
      <c r="V15" s="43"/>
      <c r="W15" s="56"/>
      <c r="X15" s="59">
        <v>7.16</v>
      </c>
      <c r="Y15" s="64">
        <f t="shared" si="1"/>
        <v>18043.2</v>
      </c>
      <c r="Z15" s="64">
        <f t="shared" si="2"/>
        <v>139834.8</v>
      </c>
      <c r="AA15" s="65"/>
      <c r="AB15" s="56"/>
    </row>
    <row r="16" s="44" customFormat="1" customHeight="1" spans="1:28">
      <c r="A16" s="53"/>
      <c r="B16" s="43"/>
      <c r="C16" s="62"/>
      <c r="D16" s="43"/>
      <c r="E16" s="43"/>
      <c r="F16" s="43"/>
      <c r="G16" s="63"/>
      <c r="H16" s="63"/>
      <c r="I16" s="63"/>
      <c r="J16" s="63"/>
      <c r="K16" s="55"/>
      <c r="L16" s="56"/>
      <c r="M16" s="56"/>
      <c r="N16" s="56"/>
      <c r="O16" s="54"/>
      <c r="P16" s="54"/>
      <c r="Q16" s="56"/>
      <c r="R16" s="56"/>
      <c r="S16" s="43"/>
      <c r="T16" s="43"/>
      <c r="U16" s="43"/>
      <c r="V16" s="43"/>
      <c r="W16" s="56"/>
      <c r="X16" s="59"/>
      <c r="Y16" s="64">
        <f t="shared" si="1"/>
        <v>0</v>
      </c>
      <c r="Z16" s="64">
        <f t="shared" si="2"/>
        <v>0</v>
      </c>
      <c r="AA16" s="65"/>
      <c r="AB16" s="56"/>
    </row>
    <row r="17" s="44" customFormat="1" customHeight="1" spans="1:28">
      <c r="A17" s="53"/>
      <c r="B17" s="62"/>
      <c r="C17" s="62"/>
      <c r="D17" s="43"/>
      <c r="E17" s="43"/>
      <c r="F17" s="43"/>
      <c r="G17" s="63"/>
      <c r="H17" s="63"/>
      <c r="I17" s="63"/>
      <c r="J17" s="63"/>
      <c r="K17" s="55"/>
      <c r="L17" s="56"/>
      <c r="M17" s="56"/>
      <c r="N17" s="56"/>
      <c r="O17" s="54"/>
      <c r="P17" s="54"/>
      <c r="Q17" s="56"/>
      <c r="R17" s="56"/>
      <c r="S17" s="43"/>
      <c r="T17" s="43"/>
      <c r="U17" s="43"/>
      <c r="V17" s="43"/>
      <c r="W17" s="56"/>
      <c r="X17" s="59"/>
      <c r="Y17" s="64">
        <f t="shared" si="1"/>
        <v>0</v>
      </c>
      <c r="Z17" s="64">
        <f t="shared" si="2"/>
        <v>0</v>
      </c>
      <c r="AA17" s="65"/>
      <c r="AB17" s="56"/>
    </row>
    <row r="18" s="44" customFormat="1" customHeight="1" spans="1:28">
      <c r="A18" s="53"/>
      <c r="B18" s="62"/>
      <c r="C18" s="62"/>
      <c r="D18" s="43"/>
      <c r="E18" s="43"/>
      <c r="F18" s="43"/>
      <c r="G18" s="63"/>
      <c r="H18" s="63"/>
      <c r="I18" s="63"/>
      <c r="J18" s="63"/>
      <c r="K18" s="55"/>
      <c r="L18" s="56"/>
      <c r="M18" s="56"/>
      <c r="N18" s="56"/>
      <c r="O18" s="54"/>
      <c r="P18" s="54"/>
      <c r="Q18" s="56"/>
      <c r="R18" s="56"/>
      <c r="S18" s="43"/>
      <c r="T18" s="43"/>
      <c r="U18" s="43"/>
      <c r="V18" s="43"/>
      <c r="W18" s="56"/>
      <c r="X18" s="59"/>
      <c r="Y18" s="64">
        <f t="shared" si="1"/>
        <v>0</v>
      </c>
      <c r="Z18" s="64">
        <f t="shared" si="2"/>
        <v>0</v>
      </c>
      <c r="AA18" s="65"/>
      <c r="AB18" s="56"/>
    </row>
    <row r="19" s="44" customFormat="1" customHeight="1" spans="1:28">
      <c r="A19" s="53"/>
      <c r="B19" s="62"/>
      <c r="C19" s="62"/>
      <c r="D19" s="43"/>
      <c r="E19" s="43"/>
      <c r="F19" s="43"/>
      <c r="G19" s="63"/>
      <c r="H19" s="63"/>
      <c r="I19" s="63"/>
      <c r="J19" s="63"/>
      <c r="K19" s="55"/>
      <c r="L19" s="56"/>
      <c r="M19" s="56"/>
      <c r="N19" s="56"/>
      <c r="O19" s="54"/>
      <c r="P19" s="54"/>
      <c r="Q19" s="56"/>
      <c r="R19" s="56"/>
      <c r="S19" s="43"/>
      <c r="T19" s="43"/>
      <c r="U19" s="43"/>
      <c r="V19" s="43"/>
      <c r="W19" s="56"/>
      <c r="X19" s="59"/>
      <c r="Y19" s="64">
        <f t="shared" si="1"/>
        <v>0</v>
      </c>
      <c r="Z19" s="64">
        <f t="shared" si="2"/>
        <v>0</v>
      </c>
      <c r="AA19" s="65"/>
      <c r="AB19" s="56"/>
    </row>
    <row r="20" s="44" customFormat="1" customHeight="1" spans="1:28">
      <c r="A20" s="53"/>
      <c r="B20" s="62"/>
      <c r="C20" s="62"/>
      <c r="D20" s="43"/>
      <c r="E20" s="43"/>
      <c r="F20" s="43"/>
      <c r="G20" s="63"/>
      <c r="H20" s="63"/>
      <c r="I20" s="63"/>
      <c r="J20" s="63"/>
      <c r="K20" s="55"/>
      <c r="L20" s="56"/>
      <c r="M20" s="56"/>
      <c r="N20" s="56"/>
      <c r="O20" s="54"/>
      <c r="P20" s="54"/>
      <c r="Q20" s="56"/>
      <c r="R20" s="56"/>
      <c r="S20" s="43"/>
      <c r="T20" s="43"/>
      <c r="U20" s="43"/>
      <c r="V20" s="43"/>
      <c r="W20" s="56"/>
      <c r="X20" s="59"/>
      <c r="Y20" s="64">
        <f t="shared" si="1"/>
        <v>0</v>
      </c>
      <c r="Z20" s="64">
        <f t="shared" si="2"/>
        <v>0</v>
      </c>
      <c r="AA20" s="65"/>
      <c r="AB20" s="56"/>
    </row>
    <row r="21" s="45" customFormat="1" customHeight="1" spans="1:28">
      <c r="A21" s="53"/>
      <c r="B21" s="43"/>
      <c r="C21" s="43"/>
      <c r="D21" s="43"/>
      <c r="E21" s="43"/>
      <c r="F21" s="43"/>
      <c r="G21" s="43" t="s">
        <v>163</v>
      </c>
      <c r="H21" s="43">
        <f>SUM(H2:H20)</f>
        <v>32172</v>
      </c>
      <c r="I21" s="43"/>
      <c r="J21" s="43"/>
      <c r="K21" s="43">
        <f>SUM(K2:K20)</f>
        <v>3902.66666666667</v>
      </c>
      <c r="L21" s="68"/>
      <c r="M21" s="68"/>
      <c r="N21" s="68"/>
      <c r="O21" s="58"/>
      <c r="P21" s="58"/>
      <c r="Q21" s="68"/>
      <c r="R21" s="68"/>
      <c r="S21" s="43"/>
      <c r="T21" s="43"/>
      <c r="U21" s="43"/>
      <c r="V21" s="43"/>
      <c r="W21" s="68"/>
      <c r="X21" s="59"/>
      <c r="Y21" s="60">
        <f>SUM(Y2:Y20)</f>
        <v>219629.32</v>
      </c>
      <c r="Z21" s="60">
        <f>SUM(Z2:Z20)</f>
        <v>1702127.23</v>
      </c>
      <c r="AA21" s="61"/>
      <c r="AB21" s="68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AB21" etc:filterBottomFollowUsedRange="0">
    <extLst/>
  </autoFilter>
  <pageMargins left="0.75" right="0.75" top="1" bottom="1" header="0.5" footer="0.5"/>
  <pageSetup paperSize="9" orientation="portrait"/>
  <headerFooter/>
  <ignoredErrors>
    <ignoredError sqref="H6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"/>
  <sheetViews>
    <sheetView zoomScale="145" zoomScaleNormal="145" topLeftCell="A58" workbookViewId="0">
      <selection activeCell="H77" sqref="H77"/>
    </sheetView>
  </sheetViews>
  <sheetFormatPr defaultColWidth="9" defaultRowHeight="14.25"/>
  <cols>
    <col min="1" max="1" width="7.84166666666667" customWidth="1"/>
    <col min="2" max="2" width="8.79166666666667" customWidth="1"/>
    <col min="3" max="3" width="12.625" customWidth="1"/>
    <col min="4" max="4" width="10.6" customWidth="1"/>
    <col min="5" max="5" width="10.0833333333333" customWidth="1"/>
    <col min="6" max="6" width="13" customWidth="1"/>
    <col min="7" max="7" width="27.875" customWidth="1"/>
    <col min="8" max="8" width="10.425" customWidth="1"/>
    <col min="9" max="9" width="11" customWidth="1"/>
    <col min="10" max="10" width="9.73333333333333" customWidth="1"/>
    <col min="11" max="11" width="12.0666666666667" customWidth="1"/>
    <col min="12" max="12" width="7.49166666666667" customWidth="1"/>
    <col min="13" max="13" width="10.175" customWidth="1"/>
  </cols>
  <sheetData>
    <row r="1" s="1" customFormat="1" ht="26.25" spans="1:13">
      <c r="A1" s="4" t="s">
        <v>195</v>
      </c>
      <c r="B1" s="4" t="s">
        <v>196</v>
      </c>
      <c r="C1" s="5" t="s">
        <v>197</v>
      </c>
      <c r="D1" s="5" t="s">
        <v>198</v>
      </c>
      <c r="E1" s="5" t="s">
        <v>199</v>
      </c>
      <c r="F1" s="5" t="s">
        <v>200</v>
      </c>
      <c r="G1" s="5" t="s">
        <v>201</v>
      </c>
      <c r="H1" s="5" t="s">
        <v>202</v>
      </c>
      <c r="I1" s="5" t="s">
        <v>203</v>
      </c>
      <c r="J1" s="5" t="s">
        <v>204</v>
      </c>
      <c r="K1" s="5" t="s">
        <v>205</v>
      </c>
      <c r="L1" s="5" t="s">
        <v>206</v>
      </c>
      <c r="M1" s="5" t="s">
        <v>207</v>
      </c>
    </row>
    <row r="2" customFormat="1" ht="15" spans="1:13">
      <c r="A2" s="6">
        <v>208138</v>
      </c>
      <c r="B2" s="6">
        <f>A2+E2-1</f>
        <v>208562</v>
      </c>
      <c r="C2" s="7" t="s">
        <v>99</v>
      </c>
      <c r="D2" s="8" t="str">
        <f>VLOOKUP(C2,[1]ref!A:D,2,FALSE)</f>
        <v>HH393</v>
      </c>
      <c r="E2" s="9">
        <f t="shared" ref="E2:E60" si="0">L2/H2</f>
        <v>425</v>
      </c>
      <c r="F2" s="10">
        <f>VLOOKUP(D2,[1]ref!B:D,2,FALSE)</f>
        <v>633682140063</v>
      </c>
      <c r="G2" s="10" t="str">
        <f>VLOOKUP(D2,[1]ref!B:D,3,FALSE)</f>
        <v>FANTASY ADVENTURE SET</v>
      </c>
      <c r="H2" s="10">
        <f>VLOOKUP(D2,[1]ref!B:E,4,FALSE)</f>
        <v>4</v>
      </c>
      <c r="I2" s="11" t="s">
        <v>208</v>
      </c>
      <c r="J2" s="7"/>
      <c r="K2" s="12">
        <v>45660</v>
      </c>
      <c r="L2" s="13">
        <v>1700</v>
      </c>
      <c r="M2" s="14" t="s">
        <v>209</v>
      </c>
    </row>
    <row r="3" customFormat="1" spans="1:13">
      <c r="A3" s="15">
        <f t="shared" ref="A3:A38" si="1">B2+1</f>
        <v>208563</v>
      </c>
      <c r="B3" s="15">
        <f t="shared" ref="B3:B38" si="2">B2+E3</f>
        <v>208887</v>
      </c>
      <c r="C3" s="16" t="s">
        <v>99</v>
      </c>
      <c r="D3" s="17" t="str">
        <f>VLOOKUP(C3,[1]ref!A:D,2,FALSE)</f>
        <v>HH393</v>
      </c>
      <c r="E3" s="18">
        <f t="shared" si="0"/>
        <v>325</v>
      </c>
      <c r="F3" s="19">
        <f>VLOOKUP(D3,[1]ref!B:D,2,FALSE)</f>
        <v>633682140063</v>
      </c>
      <c r="G3" s="19" t="str">
        <f>VLOOKUP(D3,[1]ref!B:D,3,FALSE)</f>
        <v>FANTASY ADVENTURE SET</v>
      </c>
      <c r="H3" s="19">
        <f>VLOOKUP(D3,[1]ref!B:E,4,FALSE)</f>
        <v>4</v>
      </c>
      <c r="I3" s="20" t="s">
        <v>210</v>
      </c>
      <c r="J3" s="16"/>
      <c r="K3" s="21">
        <v>45661</v>
      </c>
      <c r="L3" s="13">
        <v>1300</v>
      </c>
      <c r="M3" s="14" t="s">
        <v>209</v>
      </c>
    </row>
    <row r="4" customFormat="1" spans="1:13">
      <c r="A4" s="15">
        <f t="shared" si="1"/>
        <v>208888</v>
      </c>
      <c r="B4" s="15">
        <f t="shared" si="2"/>
        <v>209097</v>
      </c>
      <c r="C4" s="16" t="s">
        <v>59</v>
      </c>
      <c r="D4" s="17" t="str">
        <f>VLOOKUP(C4,[1]ref!A:D,2,FALSE)</f>
        <v>RA367</v>
      </c>
      <c r="E4" s="18">
        <f t="shared" si="0"/>
        <v>210</v>
      </c>
      <c r="F4" s="19">
        <f>VLOOKUP(D4,[1]ref!B:D,2,FALSE)</f>
        <v>754046835101</v>
      </c>
      <c r="G4" s="19" t="str">
        <f>VLOOKUP(D4,[1]ref!B:D,3,FALSE)</f>
        <v>BEST-BUY FARM ANIMAL SET</v>
      </c>
      <c r="H4" s="19">
        <f>VLOOKUP(D4,[1]ref!B:E,4,FALSE)</f>
        <v>12</v>
      </c>
      <c r="I4" s="20" t="s">
        <v>211</v>
      </c>
      <c r="J4" s="16"/>
      <c r="K4" s="21">
        <v>45661</v>
      </c>
      <c r="L4" s="13">
        <v>2520</v>
      </c>
      <c r="M4" s="14" t="s">
        <v>209</v>
      </c>
    </row>
    <row r="5" customFormat="1" spans="1:13">
      <c r="A5" s="15">
        <f t="shared" si="1"/>
        <v>209098</v>
      </c>
      <c r="B5" s="15">
        <f t="shared" si="2"/>
        <v>209306</v>
      </c>
      <c r="C5" s="16" t="s">
        <v>51</v>
      </c>
      <c r="D5" s="17" t="str">
        <f>VLOOKUP(C5,[1]ref!A:D,2,FALSE)</f>
        <v>RA362</v>
      </c>
      <c r="E5" s="18">
        <f t="shared" si="0"/>
        <v>209</v>
      </c>
      <c r="F5" s="19">
        <f>VLOOKUP(D5,[1]ref!B:D,2,FALSE)</f>
        <v>500000080779</v>
      </c>
      <c r="G5" s="19" t="str">
        <f>VLOOKUP(D5,[1]ref!B:D,3,FALSE)</f>
        <v>SOFT WILD ANIMALS SET</v>
      </c>
      <c r="H5" s="19">
        <f>VLOOKUP(D5,[1]ref!B:E,4,FALSE)</f>
        <v>12</v>
      </c>
      <c r="I5" s="20" t="s">
        <v>211</v>
      </c>
      <c r="J5" s="16"/>
      <c r="K5" s="21">
        <v>45661</v>
      </c>
      <c r="L5" s="13">
        <v>2508</v>
      </c>
      <c r="M5" s="14" t="s">
        <v>209</v>
      </c>
    </row>
    <row r="6" customFormat="1" spans="1:13">
      <c r="A6" s="15">
        <f t="shared" si="1"/>
        <v>209307</v>
      </c>
      <c r="B6" s="15">
        <f t="shared" si="2"/>
        <v>209408</v>
      </c>
      <c r="C6" s="16" t="s">
        <v>27</v>
      </c>
      <c r="D6" s="17" t="str">
        <f>VLOOKUP(C6,[1]ref!A:D,2,FALSE)</f>
        <v>HH993</v>
      </c>
      <c r="E6" s="18">
        <f t="shared" si="0"/>
        <v>102</v>
      </c>
      <c r="F6" s="19">
        <f>VLOOKUP(D6,[1]ref!B:D,2,FALSE)</f>
        <v>633682112879</v>
      </c>
      <c r="G6" s="19" t="str">
        <f>VLOOKUP(D6,[1]ref!B:D,3,FALSE)</f>
        <v>ASIAN SOFT FAMILY SET </v>
      </c>
      <c r="H6" s="19">
        <f>VLOOKUP(D6,[1]ref!B:E,4,FALSE)</f>
        <v>6</v>
      </c>
      <c r="I6" s="20" t="s">
        <v>211</v>
      </c>
      <c r="J6" s="16"/>
      <c r="K6" s="21">
        <v>45661</v>
      </c>
      <c r="L6" s="13">
        <f>1602-990</f>
        <v>612</v>
      </c>
      <c r="M6" s="14" t="s">
        <v>209</v>
      </c>
    </row>
    <row r="7" customFormat="1" spans="1:13">
      <c r="A7" s="15">
        <f t="shared" si="1"/>
        <v>209409</v>
      </c>
      <c r="B7" s="15">
        <f t="shared" si="2"/>
        <v>209783</v>
      </c>
      <c r="C7" s="16" t="s">
        <v>63</v>
      </c>
      <c r="D7" s="17" t="str">
        <f>VLOOKUP(C7,[1]ref!A:D,2,FALSE)</f>
        <v>DC346</v>
      </c>
      <c r="E7" s="18">
        <f t="shared" si="0"/>
        <v>375</v>
      </c>
      <c r="F7" s="19">
        <f>VLOOKUP(D7,[1]ref!B:D,2,FALSE)</f>
        <v>500000248797</v>
      </c>
      <c r="G7" s="19" t="str">
        <f>VLOOKUP(D7,[1]ref!B:D,3,FALSE)</f>
        <v>CLASSIC DINOSAUR COLLECTION</v>
      </c>
      <c r="H7" s="19">
        <f>VLOOKUP(D7,[1]ref!B:E,4,FALSE)</f>
        <v>4</v>
      </c>
      <c r="I7" s="20" t="s">
        <v>211</v>
      </c>
      <c r="J7" s="16"/>
      <c r="K7" s="21">
        <v>45687</v>
      </c>
      <c r="L7" s="13">
        <v>1500</v>
      </c>
      <c r="M7" s="14" t="s">
        <v>209</v>
      </c>
    </row>
    <row r="8" customFormat="1" spans="1:13">
      <c r="A8" s="15">
        <f t="shared" si="1"/>
        <v>209784</v>
      </c>
      <c r="B8" s="15">
        <f t="shared" si="2"/>
        <v>210158</v>
      </c>
      <c r="C8" s="16" t="s">
        <v>43</v>
      </c>
      <c r="D8" s="17" t="str">
        <f>VLOOKUP(C8,[1]ref!A:D,2,FALSE)</f>
        <v>GS675</v>
      </c>
      <c r="E8" s="18">
        <f t="shared" si="0"/>
        <v>375</v>
      </c>
      <c r="F8" s="19">
        <f>VLOOKUP(D8,[1]ref!B:D,2,FALSE)</f>
        <v>500000080748</v>
      </c>
      <c r="G8" s="19" t="str">
        <f>VLOOKUP(D8,[1]ref!B:D,3,FALSE)</f>
        <v>SOFT DINOSAURS - 2</v>
      </c>
      <c r="H8" s="19">
        <f>VLOOKUP(D8,[1]ref!B:E,4,FALSE)</f>
        <v>4</v>
      </c>
      <c r="I8" s="20" t="s">
        <v>212</v>
      </c>
      <c r="J8" s="16"/>
      <c r="K8" s="21">
        <v>45687</v>
      </c>
      <c r="L8" s="13">
        <v>1500</v>
      </c>
      <c r="M8" s="14" t="s">
        <v>209</v>
      </c>
    </row>
    <row r="9" customFormat="1" spans="1:13">
      <c r="A9" s="15">
        <f t="shared" si="1"/>
        <v>210159</v>
      </c>
      <c r="B9" s="15">
        <f t="shared" si="2"/>
        <v>210270</v>
      </c>
      <c r="C9" s="16" t="s">
        <v>47</v>
      </c>
      <c r="D9" s="17" t="str">
        <f>VLOOKUP(C9,[1]ref!A:D,2,FALSE)</f>
        <v>RA369</v>
      </c>
      <c r="E9" s="18">
        <f t="shared" si="0"/>
        <v>112</v>
      </c>
      <c r="F9" s="19">
        <f>VLOOKUP(D9,[1]ref!B:D,2,FALSE)</f>
        <v>500000080762</v>
      </c>
      <c r="G9" s="19" t="str">
        <f>VLOOKUP(D9,[1]ref!B:D,3,FALSE)</f>
        <v>SOFT &amp; SQUEEZY DINOSAURS</v>
      </c>
      <c r="H9" s="19">
        <f>VLOOKUP(D9,[1]ref!B:E,4,FALSE)</f>
        <v>18</v>
      </c>
      <c r="I9" s="20" t="s">
        <v>212</v>
      </c>
      <c r="J9" s="16"/>
      <c r="K9" s="22">
        <v>45660</v>
      </c>
      <c r="L9" s="13">
        <f>2520-504</f>
        <v>2016</v>
      </c>
      <c r="M9" s="14" t="s">
        <v>209</v>
      </c>
    </row>
    <row r="10" customFormat="1" spans="1:13">
      <c r="A10" s="15">
        <f t="shared" si="1"/>
        <v>210271</v>
      </c>
      <c r="B10" s="15">
        <f t="shared" si="2"/>
        <v>210537</v>
      </c>
      <c r="C10" s="16" t="s">
        <v>31</v>
      </c>
      <c r="D10" s="17" t="str">
        <f>VLOOKUP(C10,[1]ref!A:D,2,FALSE)</f>
        <v>HH991</v>
      </c>
      <c r="E10" s="18">
        <f t="shared" si="0"/>
        <v>267</v>
      </c>
      <c r="F10" s="19">
        <f>VLOOKUP(D10,[1]ref!B:D,2,FALSE)</f>
        <v>633682111193</v>
      </c>
      <c r="G10" s="19" t="str">
        <f>VLOOKUP(D10,[1]ref!B:D,3,FALSE)</f>
        <v>BLACK SOFT FAMILY SET  </v>
      </c>
      <c r="H10" s="19">
        <f>VLOOKUP(D10,[1]ref!B:E,4,FALSE)</f>
        <v>6</v>
      </c>
      <c r="I10" s="20" t="s">
        <v>213</v>
      </c>
      <c r="J10" s="16"/>
      <c r="K10" s="22">
        <v>45688</v>
      </c>
      <c r="L10" s="13">
        <v>1602</v>
      </c>
      <c r="M10" s="14" t="s">
        <v>209</v>
      </c>
    </row>
    <row r="11" customFormat="1" spans="1:13">
      <c r="A11" s="15">
        <f t="shared" si="1"/>
        <v>210538</v>
      </c>
      <c r="B11" s="15">
        <f t="shared" si="2"/>
        <v>210804</v>
      </c>
      <c r="C11" s="16" t="s">
        <v>35</v>
      </c>
      <c r="D11" s="17" t="str">
        <f>VLOOKUP(C11,[1]ref!A:D,2,FALSE)</f>
        <v>HH992</v>
      </c>
      <c r="E11" s="18">
        <f t="shared" si="0"/>
        <v>267</v>
      </c>
      <c r="F11" s="19">
        <f>VLOOKUP(D11,[1]ref!B:D,2,FALSE)</f>
        <v>633682112619</v>
      </c>
      <c r="G11" s="19" t="str">
        <f>VLOOKUP(D11,[1]ref!B:D,3,FALSE)</f>
        <v>WHITE SOFT FAMILY SET </v>
      </c>
      <c r="H11" s="19">
        <f>VLOOKUP(D11,[1]ref!B:E,4,FALSE)</f>
        <v>6</v>
      </c>
      <c r="I11" s="20" t="s">
        <v>213</v>
      </c>
      <c r="J11" s="16"/>
      <c r="K11" s="22">
        <v>45688</v>
      </c>
      <c r="L11" s="13">
        <v>1602</v>
      </c>
      <c r="M11" s="14" t="s">
        <v>209</v>
      </c>
    </row>
    <row r="12" customFormat="1" spans="1:13">
      <c r="A12" s="15">
        <f t="shared" si="1"/>
        <v>210805</v>
      </c>
      <c r="B12" s="15">
        <f t="shared" si="2"/>
        <v>211071</v>
      </c>
      <c r="C12" s="16" t="s">
        <v>27</v>
      </c>
      <c r="D12" s="17" t="str">
        <f>VLOOKUP(C12,[1]ref!A:D,2,FALSE)</f>
        <v>HH993</v>
      </c>
      <c r="E12" s="18">
        <f t="shared" si="0"/>
        <v>267</v>
      </c>
      <c r="F12" s="19">
        <f>VLOOKUP(D12,[1]ref!B:D,2,FALSE)</f>
        <v>633682112879</v>
      </c>
      <c r="G12" s="19" t="str">
        <f>VLOOKUP(D12,[1]ref!B:D,3,FALSE)</f>
        <v>ASIAN SOFT FAMILY SET </v>
      </c>
      <c r="H12" s="19">
        <f>VLOOKUP(D12,[1]ref!B:E,4,FALSE)</f>
        <v>6</v>
      </c>
      <c r="I12" s="20" t="s">
        <v>213</v>
      </c>
      <c r="J12" s="16"/>
      <c r="K12" s="22">
        <v>45688</v>
      </c>
      <c r="L12" s="13">
        <v>1602</v>
      </c>
      <c r="M12" s="14" t="s">
        <v>209</v>
      </c>
    </row>
    <row r="13" customFormat="1" spans="1:13">
      <c r="A13" s="15">
        <f t="shared" si="1"/>
        <v>211072</v>
      </c>
      <c r="B13" s="15">
        <f t="shared" si="2"/>
        <v>211338</v>
      </c>
      <c r="C13" s="16" t="s">
        <v>23</v>
      </c>
      <c r="D13" s="17" t="str">
        <f>VLOOKUP(C13,[1]ref!A:D,2,FALSE)</f>
        <v>HH994</v>
      </c>
      <c r="E13" s="18">
        <f t="shared" si="0"/>
        <v>267</v>
      </c>
      <c r="F13" s="19">
        <f>VLOOKUP(D13,[1]ref!B:D,2,FALSE)</f>
        <v>633682113012</v>
      </c>
      <c r="G13" s="19" t="str">
        <f>VLOOKUP(D13,[1]ref!B:D,3,FALSE)</f>
        <v>HISPANIC SOFT FAMILY SET</v>
      </c>
      <c r="H13" s="19">
        <f>VLOOKUP(D13,[1]ref!B:E,4,FALSE)</f>
        <v>6</v>
      </c>
      <c r="I13" s="20" t="s">
        <v>213</v>
      </c>
      <c r="J13" s="16"/>
      <c r="K13" s="22">
        <v>45688</v>
      </c>
      <c r="L13" s="13">
        <v>1602</v>
      </c>
      <c r="M13" s="14" t="s">
        <v>209</v>
      </c>
    </row>
    <row r="14" customFormat="1" spans="1:13">
      <c r="A14" s="15">
        <f t="shared" si="1"/>
        <v>211339</v>
      </c>
      <c r="B14" s="15">
        <f t="shared" si="2"/>
        <v>211547</v>
      </c>
      <c r="C14" s="16" t="s">
        <v>51</v>
      </c>
      <c r="D14" s="17" t="str">
        <f>VLOOKUP(C14,[1]ref!A:D,2,FALSE)</f>
        <v>RA362</v>
      </c>
      <c r="E14" s="18">
        <f t="shared" si="0"/>
        <v>209</v>
      </c>
      <c r="F14" s="19">
        <f>VLOOKUP(D14,[1]ref!B:D,2,FALSE)</f>
        <v>500000080779</v>
      </c>
      <c r="G14" s="19" t="str">
        <f>VLOOKUP(D14,[1]ref!B:D,3,FALSE)</f>
        <v>SOFT WILD ANIMALS SET</v>
      </c>
      <c r="H14" s="19">
        <f>VLOOKUP(D14,[1]ref!B:E,4,FALSE)</f>
        <v>12</v>
      </c>
      <c r="I14" s="20" t="s">
        <v>213</v>
      </c>
      <c r="J14" s="16"/>
      <c r="K14" s="22">
        <v>45688</v>
      </c>
      <c r="L14" s="13">
        <v>2508</v>
      </c>
      <c r="M14" s="14" t="s">
        <v>209</v>
      </c>
    </row>
    <row r="15" customFormat="1" spans="1:13">
      <c r="A15" s="15">
        <f t="shared" si="1"/>
        <v>211548</v>
      </c>
      <c r="B15" s="15">
        <f t="shared" si="2"/>
        <v>211631</v>
      </c>
      <c r="C15" s="16" t="s">
        <v>67</v>
      </c>
      <c r="D15" s="17" t="str">
        <f>VLOOKUP(C15,[1]ref!A:D,2,FALSE)</f>
        <v>LC630</v>
      </c>
      <c r="E15" s="18">
        <f t="shared" si="0"/>
        <v>84</v>
      </c>
      <c r="F15" s="19">
        <f>VLOOKUP(D15,[1]ref!B:D,2,FALSE)</f>
        <v>633682141084</v>
      </c>
      <c r="G15" s="19" t="str">
        <f>VLOOKUP(D15,[1]ref!B:D,3,FALSE)</f>
        <v>ANIMAL PLAYSET</v>
      </c>
      <c r="H15" s="19">
        <f>VLOOKUP(D15,[1]ref!B:E,4,FALSE)</f>
        <v>12</v>
      </c>
      <c r="I15" s="20" t="s">
        <v>213</v>
      </c>
      <c r="J15" s="16"/>
      <c r="K15" s="22">
        <v>45688</v>
      </c>
      <c r="L15" s="13">
        <v>1008</v>
      </c>
      <c r="M15" s="14" t="s">
        <v>209</v>
      </c>
    </row>
    <row r="16" s="2" customFormat="1" spans="1:13">
      <c r="A16" s="23">
        <f t="shared" si="1"/>
        <v>211632</v>
      </c>
      <c r="B16" s="23">
        <f t="shared" si="2"/>
        <v>211641</v>
      </c>
      <c r="C16" s="16" t="s">
        <v>11</v>
      </c>
      <c r="D16" s="17" t="str">
        <f>VLOOKUP(C16,[1]ref!A:D,2,FALSE)</f>
        <v>142BT</v>
      </c>
      <c r="E16" s="18">
        <f t="shared" si="0"/>
        <v>10</v>
      </c>
      <c r="F16" s="24">
        <f>VLOOKUP(D16,[1]ref!B:D,2,FALSE)</f>
        <v>754046108304</v>
      </c>
      <c r="G16" s="24" t="str">
        <f>VLOOKUP(D16,[1]ref!B:D,3,FALSE)</f>
        <v>5.5"PVC BLACK BAT</v>
      </c>
      <c r="H16" s="24">
        <f>VLOOKUP(D16,[1]ref!B:E,4,FALSE)</f>
        <v>864</v>
      </c>
      <c r="I16" s="25" t="s">
        <v>214</v>
      </c>
      <c r="J16" s="16"/>
      <c r="K16" s="22">
        <v>45761</v>
      </c>
      <c r="L16" s="13">
        <v>8640</v>
      </c>
      <c r="M16" s="14" t="s">
        <v>209</v>
      </c>
    </row>
    <row r="17" s="2" customFormat="1" spans="1:13">
      <c r="A17" s="23">
        <f t="shared" si="1"/>
        <v>211642</v>
      </c>
      <c r="B17" s="23">
        <f t="shared" si="2"/>
        <v>211647</v>
      </c>
      <c r="C17" s="16" t="s">
        <v>19</v>
      </c>
      <c r="D17" s="17" t="str">
        <f>VLOOKUP(C17,[1]ref!A:D,2,FALSE)</f>
        <v>682TC</v>
      </c>
      <c r="E17" s="18">
        <f t="shared" si="0"/>
        <v>6</v>
      </c>
      <c r="F17" s="24">
        <f>VLOOKUP(D17,[1]ref!B:D,2,FALSE)</f>
        <v>754046006822</v>
      </c>
      <c r="G17" s="24" t="str">
        <f>VLOOKUP(D17,[1]ref!B:D,3,FALSE)</f>
        <v>TIGER CUBS</v>
      </c>
      <c r="H17" s="24">
        <f>VLOOKUP(D17,[1]ref!B:E,4,FALSE)</f>
        <v>400</v>
      </c>
      <c r="I17" s="25" t="s">
        <v>214</v>
      </c>
      <c r="J17" s="16"/>
      <c r="K17" s="22">
        <v>45761</v>
      </c>
      <c r="L17" s="13">
        <v>2400</v>
      </c>
      <c r="M17" s="14" t="s">
        <v>209</v>
      </c>
    </row>
    <row r="18" s="2" customFormat="1" spans="1:13">
      <c r="A18" s="23">
        <f t="shared" si="1"/>
        <v>211648</v>
      </c>
      <c r="B18" s="23">
        <f t="shared" si="2"/>
        <v>211651</v>
      </c>
      <c r="C18" s="16" t="s">
        <v>91</v>
      </c>
      <c r="D18" s="17" t="str">
        <f>VLOOKUP(C18,[1]ref!A:D,2,FALSE)</f>
        <v>856T1</v>
      </c>
      <c r="E18" s="18">
        <f t="shared" si="0"/>
        <v>4</v>
      </c>
      <c r="F18" s="24">
        <f>VLOOKUP(D18,[1]ref!B:D,2,FALSE)</f>
        <v>754046532406</v>
      </c>
      <c r="G18" s="24" t="str">
        <f>VLOOKUP(D18,[1]ref!B:D,3,FALSE)</f>
        <v>SMALL TURTLES </v>
      </c>
      <c r="H18" s="24">
        <f>VLOOKUP(D18,[1]ref!B:E,4,FALSE)</f>
        <v>1200</v>
      </c>
      <c r="I18" s="25" t="s">
        <v>214</v>
      </c>
      <c r="J18" s="16"/>
      <c r="K18" s="22">
        <v>45761</v>
      </c>
      <c r="L18" s="13">
        <v>4800</v>
      </c>
      <c r="M18" s="14" t="s">
        <v>209</v>
      </c>
    </row>
    <row r="19" customFormat="1" spans="1:13">
      <c r="A19" s="26">
        <f t="shared" si="1"/>
        <v>211652</v>
      </c>
      <c r="B19" s="26">
        <f t="shared" si="2"/>
        <v>211816</v>
      </c>
      <c r="C19" s="27" t="s">
        <v>27</v>
      </c>
      <c r="D19" s="28" t="str">
        <f>VLOOKUP(C19,[1]ref!A:D,2,FALSE)</f>
        <v>HH993</v>
      </c>
      <c r="E19" s="18">
        <f t="shared" si="0"/>
        <v>165</v>
      </c>
      <c r="F19" s="29">
        <f>VLOOKUP(D19,[1]ref!B:D,2,FALSE)</f>
        <v>633682112879</v>
      </c>
      <c r="G19" s="29" t="str">
        <f>VLOOKUP(D19,[1]ref!B:D,3,FALSE)</f>
        <v>ASIAN SOFT FAMILY SET </v>
      </c>
      <c r="H19" s="29">
        <f>VLOOKUP(D19,[1]ref!B:E,4,FALSE)</f>
        <v>6</v>
      </c>
      <c r="I19" s="30" t="s">
        <v>211</v>
      </c>
      <c r="J19" s="16"/>
      <c r="K19" s="22">
        <v>45761</v>
      </c>
      <c r="L19" s="13">
        <v>990</v>
      </c>
      <c r="M19" s="14" t="s">
        <v>209</v>
      </c>
    </row>
    <row r="20" customFormat="1" spans="1:13">
      <c r="A20" s="26">
        <f t="shared" si="1"/>
        <v>211817</v>
      </c>
      <c r="B20" s="26">
        <f t="shared" si="2"/>
        <v>212191</v>
      </c>
      <c r="C20" s="27" t="s">
        <v>39</v>
      </c>
      <c r="D20" s="28" t="str">
        <f>VLOOKUP(C20,[1]ref!A:D,2,FALSE)</f>
        <v>GS673</v>
      </c>
      <c r="E20" s="18">
        <f t="shared" si="0"/>
        <v>375</v>
      </c>
      <c r="F20" s="29" t="str">
        <f>VLOOKUP(D20,[1]ref!B:D,2,FALSE)</f>
        <v>007492000068</v>
      </c>
      <c r="G20" s="29" t="str">
        <f>VLOOKUP(D20,[1]ref!B:D,3,FALSE)</f>
        <v>SOFT DINOSAURS - 1</v>
      </c>
      <c r="H20" s="29">
        <f>VLOOKUP(D20,[1]ref!B:E,4,FALSE)</f>
        <v>4</v>
      </c>
      <c r="I20" s="30">
        <v>1000000271</v>
      </c>
      <c r="J20" s="16"/>
      <c r="K20" s="22">
        <v>45761</v>
      </c>
      <c r="L20" s="13">
        <v>1500</v>
      </c>
      <c r="M20" s="14" t="s">
        <v>209</v>
      </c>
    </row>
    <row r="21" customFormat="1" spans="1:13">
      <c r="A21" s="26">
        <f t="shared" si="1"/>
        <v>212192</v>
      </c>
      <c r="B21" s="26">
        <f t="shared" si="2"/>
        <v>212566</v>
      </c>
      <c r="C21" s="27" t="s">
        <v>43</v>
      </c>
      <c r="D21" s="28" t="str">
        <f>VLOOKUP(C21,[1]ref!A:D,2,FALSE)</f>
        <v>GS675</v>
      </c>
      <c r="E21" s="18">
        <f t="shared" si="0"/>
        <v>375</v>
      </c>
      <c r="F21" s="29">
        <f>VLOOKUP(D21,[1]ref!B:D,2,FALSE)</f>
        <v>500000080748</v>
      </c>
      <c r="G21" s="29" t="str">
        <f>VLOOKUP(D21,[1]ref!B:D,3,FALSE)</f>
        <v>SOFT DINOSAURS - 2</v>
      </c>
      <c r="H21" s="29">
        <f>VLOOKUP(D21,[1]ref!B:E,4,FALSE)</f>
        <v>4</v>
      </c>
      <c r="I21" s="30">
        <v>1000000271</v>
      </c>
      <c r="J21" s="16"/>
      <c r="K21" s="22">
        <v>45761</v>
      </c>
      <c r="L21" s="13">
        <v>1500</v>
      </c>
      <c r="M21" s="14" t="s">
        <v>209</v>
      </c>
    </row>
    <row r="22" customFormat="1" spans="1:13">
      <c r="A22" s="26">
        <f t="shared" si="1"/>
        <v>212567</v>
      </c>
      <c r="B22" s="26">
        <f t="shared" si="2"/>
        <v>212608</v>
      </c>
      <c r="C22" s="27" t="s">
        <v>7</v>
      </c>
      <c r="D22" s="28" t="str">
        <f>VLOOKUP(C22,[1]ref!A:D,2,FALSE)</f>
        <v>LM986</v>
      </c>
      <c r="E22" s="18">
        <f t="shared" si="0"/>
        <v>42</v>
      </c>
      <c r="F22" s="29">
        <f>VLOOKUP(D22,[1]ref!B:D,2,FALSE)</f>
        <v>633682136417</v>
      </c>
      <c r="G22" s="29" t="str">
        <f>VLOOKUP(D22,[1]ref!B:D,3,FALSE)</f>
        <v>WILD ANIMAL COUNTERS</v>
      </c>
      <c r="H22" s="29">
        <f>VLOOKUP(D22,[1]ref!B:E,4,FALSE)</f>
        <v>24</v>
      </c>
      <c r="I22" s="30">
        <v>1000000271</v>
      </c>
      <c r="J22" s="16"/>
      <c r="K22" s="22">
        <v>45761</v>
      </c>
      <c r="L22" s="13">
        <v>1008</v>
      </c>
      <c r="M22" s="14" t="s">
        <v>209</v>
      </c>
    </row>
    <row r="23" customFormat="1" spans="1:13">
      <c r="A23" s="26">
        <f t="shared" si="1"/>
        <v>212609</v>
      </c>
      <c r="B23" s="26">
        <f t="shared" si="2"/>
        <v>212818</v>
      </c>
      <c r="C23" s="27" t="s">
        <v>55</v>
      </c>
      <c r="D23" s="28" t="str">
        <f>VLOOKUP(C23,[1]ref!A:D,2,FALSE)</f>
        <v>RA368</v>
      </c>
      <c r="E23" s="18">
        <f t="shared" si="0"/>
        <v>210</v>
      </c>
      <c r="F23" s="29">
        <f>VLOOKUP(D23,[1]ref!B:D,2,FALSE)</f>
        <v>500000080786</v>
      </c>
      <c r="G23" s="29" t="str">
        <f>VLOOKUP(D23,[1]ref!B:D,3,FALSE)</f>
        <v>SOFT OCEAN ANIMALS SET</v>
      </c>
      <c r="H23" s="29">
        <f>VLOOKUP(D23,[1]ref!B:E,4,FALSE)</f>
        <v>12</v>
      </c>
      <c r="I23" s="30">
        <v>1000000271</v>
      </c>
      <c r="J23" s="16"/>
      <c r="K23" s="22">
        <v>45761</v>
      </c>
      <c r="L23" s="13">
        <v>2520</v>
      </c>
      <c r="M23" s="14" t="s">
        <v>209</v>
      </c>
    </row>
    <row r="24" customFormat="1" spans="1:13">
      <c r="A24" s="15">
        <f t="shared" si="1"/>
        <v>212819</v>
      </c>
      <c r="B24" s="15">
        <f t="shared" si="2"/>
        <v>212846</v>
      </c>
      <c r="C24" s="16" t="s">
        <v>47</v>
      </c>
      <c r="D24" s="17" t="str">
        <f>VLOOKUP(C24,[1]ref!A:D,2,FALSE)</f>
        <v>RA369</v>
      </c>
      <c r="E24" s="18">
        <f t="shared" si="0"/>
        <v>28</v>
      </c>
      <c r="F24" s="19">
        <f>VLOOKUP(D24,[1]ref!B:D,2,FALSE)</f>
        <v>500000080762</v>
      </c>
      <c r="G24" s="19" t="str">
        <f>VLOOKUP(D24,[1]ref!B:D,3,FALSE)</f>
        <v>SOFT &amp; SQUEEZY DINOSAURS</v>
      </c>
      <c r="H24" s="19">
        <f>VLOOKUP(D24,[1]ref!B:E,4,FALSE)</f>
        <v>18</v>
      </c>
      <c r="I24" s="20" t="s">
        <v>212</v>
      </c>
      <c r="J24" s="16"/>
      <c r="K24" s="22">
        <v>45761</v>
      </c>
      <c r="L24" s="13">
        <v>504</v>
      </c>
      <c r="M24" s="14" t="s">
        <v>209</v>
      </c>
    </row>
    <row r="25" customFormat="1" spans="1:13">
      <c r="A25" s="15">
        <f t="shared" si="1"/>
        <v>212847</v>
      </c>
      <c r="B25" s="15">
        <f t="shared" si="2"/>
        <v>213361</v>
      </c>
      <c r="C25" s="16" t="s">
        <v>95</v>
      </c>
      <c r="D25" s="17" t="str">
        <f>VLOOKUP(C25,[1]ref!A:D,2,FALSE)</f>
        <v>HH429</v>
      </c>
      <c r="E25" s="18">
        <f t="shared" si="0"/>
        <v>515</v>
      </c>
      <c r="F25" s="19">
        <f>VLOOKUP(D25,[1]ref!B:D,2,FALSE)</f>
        <v>633682032085</v>
      </c>
      <c r="G25" s="19" t="str">
        <f>VLOOKUP(D25,[1]ref!B:D,3,FALSE)</f>
        <v>DINOSAURS ADVENTURE SET</v>
      </c>
      <c r="H25" s="19">
        <f>VLOOKUP(D25,[1]ref!B:E,4,FALSE)</f>
        <v>4</v>
      </c>
      <c r="I25" s="20">
        <v>1000000520</v>
      </c>
      <c r="J25" s="16"/>
      <c r="K25" s="22">
        <v>45761</v>
      </c>
      <c r="L25" s="13">
        <v>2060</v>
      </c>
      <c r="M25" s="14" t="s">
        <v>209</v>
      </c>
    </row>
    <row r="26" customFormat="1" spans="1:13">
      <c r="A26" s="15">
        <f t="shared" si="1"/>
        <v>213362</v>
      </c>
      <c r="B26" s="15">
        <f t="shared" si="2"/>
        <v>213571</v>
      </c>
      <c r="C26" s="16" t="s">
        <v>59</v>
      </c>
      <c r="D26" s="17" t="str">
        <f>VLOOKUP(C26,[1]ref!A:D,2,FALSE)</f>
        <v>RA367</v>
      </c>
      <c r="E26" s="18">
        <f t="shared" si="0"/>
        <v>210</v>
      </c>
      <c r="F26" s="19">
        <f>VLOOKUP(D26,[1]ref!B:D,2,FALSE)</f>
        <v>754046835101</v>
      </c>
      <c r="G26" s="19" t="str">
        <f>VLOOKUP(D26,[1]ref!B:D,3,FALSE)</f>
        <v>BEST-BUY FARM ANIMAL SET</v>
      </c>
      <c r="H26" s="19">
        <f>VLOOKUP(D26,[1]ref!B:E,4,FALSE)</f>
        <v>12</v>
      </c>
      <c r="I26" s="20">
        <v>1000000520</v>
      </c>
      <c r="J26" s="16"/>
      <c r="K26" s="21">
        <v>45661</v>
      </c>
      <c r="L26" s="13">
        <v>2520</v>
      </c>
      <c r="M26" s="14" t="s">
        <v>209</v>
      </c>
    </row>
    <row r="27" customFormat="1" spans="1:13">
      <c r="A27" s="15">
        <f t="shared" si="1"/>
        <v>213572</v>
      </c>
      <c r="B27" s="15">
        <f t="shared" si="2"/>
        <v>213932</v>
      </c>
      <c r="C27" s="16" t="s">
        <v>95</v>
      </c>
      <c r="D27" s="17" t="str">
        <f>VLOOKUP(C27,[1]ref!A:D,2,FALSE)</f>
        <v>HH429</v>
      </c>
      <c r="E27" s="18">
        <f t="shared" si="0"/>
        <v>361</v>
      </c>
      <c r="F27" s="19">
        <f>VLOOKUP(D27,[1]ref!B:D,2,FALSE)</f>
        <v>633682032085</v>
      </c>
      <c r="G27" s="19" t="str">
        <f>VLOOKUP(D27,[1]ref!B:D,3,FALSE)</f>
        <v>DINOSAURS ADVENTURE SET</v>
      </c>
      <c r="H27" s="19">
        <f>VLOOKUP(D27,[1]ref!B:E,4,FALSE)</f>
        <v>4</v>
      </c>
      <c r="I27" s="20">
        <v>1000000521</v>
      </c>
      <c r="J27" s="16"/>
      <c r="K27" s="22">
        <v>45761</v>
      </c>
      <c r="L27" s="13">
        <v>1444</v>
      </c>
      <c r="M27" s="14" t="s">
        <v>209</v>
      </c>
    </row>
    <row r="28" customFormat="1" spans="1:13">
      <c r="A28" s="15">
        <f t="shared" si="1"/>
        <v>213933</v>
      </c>
      <c r="B28" s="15">
        <f t="shared" si="2"/>
        <v>214272</v>
      </c>
      <c r="C28" s="16" t="s">
        <v>59</v>
      </c>
      <c r="D28" s="17" t="str">
        <f>VLOOKUP(C28,[1]ref!A:D,2,FALSE)</f>
        <v>RA367</v>
      </c>
      <c r="E28" s="18">
        <f t="shared" si="0"/>
        <v>340</v>
      </c>
      <c r="F28" s="19">
        <f>VLOOKUP(D28,[1]ref!B:D,2,FALSE)</f>
        <v>754046835101</v>
      </c>
      <c r="G28" s="19" t="str">
        <f>VLOOKUP(D28,[1]ref!B:D,3,FALSE)</f>
        <v>BEST-BUY FARM ANIMAL SET</v>
      </c>
      <c r="H28" s="19">
        <f>VLOOKUP(D28,[1]ref!B:E,4,FALSE)</f>
        <v>12</v>
      </c>
      <c r="I28" s="20">
        <v>1000000521</v>
      </c>
      <c r="J28" s="16"/>
      <c r="K28" s="21">
        <v>45661</v>
      </c>
      <c r="L28" s="13">
        <v>4080</v>
      </c>
      <c r="M28" s="14" t="s">
        <v>209</v>
      </c>
    </row>
    <row r="29" customFormat="1" spans="1:13">
      <c r="A29" s="15">
        <f t="shared" si="1"/>
        <v>214273</v>
      </c>
      <c r="B29" s="15">
        <f t="shared" si="2"/>
        <v>214539</v>
      </c>
      <c r="C29" s="16" t="s">
        <v>31</v>
      </c>
      <c r="D29" s="17" t="str">
        <f>VLOOKUP(C29,[1]ref!A:D,2,FALSE)</f>
        <v>HH991</v>
      </c>
      <c r="E29" s="18">
        <f t="shared" si="0"/>
        <v>267</v>
      </c>
      <c r="F29" s="19">
        <f>VLOOKUP(D29,[1]ref!B:D,2,FALSE)</f>
        <v>633682111193</v>
      </c>
      <c r="G29" s="19" t="str">
        <f>VLOOKUP(D29,[1]ref!B:D,3,FALSE)</f>
        <v>BLACK SOFT FAMILY SET  </v>
      </c>
      <c r="H29" s="19">
        <f>VLOOKUP(D29,[1]ref!B:E,4,FALSE)</f>
        <v>6</v>
      </c>
      <c r="I29" s="20">
        <v>1000000721</v>
      </c>
      <c r="J29" s="16"/>
      <c r="K29" s="22">
        <v>45688</v>
      </c>
      <c r="L29" s="13">
        <v>1602</v>
      </c>
      <c r="M29" s="14" t="s">
        <v>209</v>
      </c>
    </row>
    <row r="30" customFormat="1" spans="1:13">
      <c r="A30" s="15">
        <f t="shared" si="1"/>
        <v>214540</v>
      </c>
      <c r="B30" s="15">
        <f t="shared" si="2"/>
        <v>214806</v>
      </c>
      <c r="C30" s="16" t="s">
        <v>35</v>
      </c>
      <c r="D30" s="17" t="str">
        <f>VLOOKUP(C30,[1]ref!A:D,2,FALSE)</f>
        <v>HH992</v>
      </c>
      <c r="E30" s="18">
        <f t="shared" si="0"/>
        <v>267</v>
      </c>
      <c r="F30" s="19">
        <f>VLOOKUP(D30,[1]ref!B:D,2,FALSE)</f>
        <v>633682112619</v>
      </c>
      <c r="G30" s="19" t="str">
        <f>VLOOKUP(D30,[1]ref!B:D,3,FALSE)</f>
        <v>WHITE SOFT FAMILY SET </v>
      </c>
      <c r="H30" s="19">
        <f>VLOOKUP(D30,[1]ref!B:E,4,FALSE)</f>
        <v>6</v>
      </c>
      <c r="I30" s="20">
        <v>1000000721</v>
      </c>
      <c r="J30" s="16"/>
      <c r="K30" s="22">
        <v>45688</v>
      </c>
      <c r="L30" s="13">
        <v>1602</v>
      </c>
      <c r="M30" s="14" t="s">
        <v>209</v>
      </c>
    </row>
    <row r="31" customFormat="1" spans="1:13">
      <c r="A31" s="15">
        <f t="shared" si="1"/>
        <v>214807</v>
      </c>
      <c r="B31" s="15">
        <f t="shared" si="2"/>
        <v>215073</v>
      </c>
      <c r="C31" s="16" t="s">
        <v>23</v>
      </c>
      <c r="D31" s="17" t="str">
        <f>VLOOKUP(C31,[1]ref!A:D,2,FALSE)</f>
        <v>HH994</v>
      </c>
      <c r="E31" s="18">
        <f t="shared" si="0"/>
        <v>267</v>
      </c>
      <c r="F31" s="19">
        <f>VLOOKUP(D31,[1]ref!B:D,2,FALSE)</f>
        <v>633682113012</v>
      </c>
      <c r="G31" s="19" t="str">
        <f>VLOOKUP(D31,[1]ref!B:D,3,FALSE)</f>
        <v>HISPANIC SOFT FAMILY SET</v>
      </c>
      <c r="H31" s="19">
        <f>VLOOKUP(D31,[1]ref!B:E,4,FALSE)</f>
        <v>6</v>
      </c>
      <c r="I31" s="20">
        <v>1000000721</v>
      </c>
      <c r="J31" s="16"/>
      <c r="K31" s="22">
        <v>45688</v>
      </c>
      <c r="L31" s="13">
        <v>1602</v>
      </c>
      <c r="M31" s="14" t="s">
        <v>209</v>
      </c>
    </row>
    <row r="32" customFormat="1" spans="1:13">
      <c r="A32" s="15">
        <f t="shared" si="1"/>
        <v>215074</v>
      </c>
      <c r="B32" s="15">
        <f t="shared" si="2"/>
        <v>215334</v>
      </c>
      <c r="C32" s="16" t="s">
        <v>51</v>
      </c>
      <c r="D32" s="17" t="str">
        <f>VLOOKUP(C32,[1]ref!A:D,2,FALSE)</f>
        <v>RA362</v>
      </c>
      <c r="E32" s="18">
        <f t="shared" si="0"/>
        <v>261</v>
      </c>
      <c r="F32" s="19">
        <f>VLOOKUP(D32,[1]ref!B:D,2,FALSE)</f>
        <v>500000080779</v>
      </c>
      <c r="G32" s="19" t="str">
        <f>VLOOKUP(D32,[1]ref!B:D,3,FALSE)</f>
        <v>SOFT WILD ANIMALS SET</v>
      </c>
      <c r="H32" s="19">
        <f>VLOOKUP(D32,[1]ref!B:E,4,FALSE)</f>
        <v>12</v>
      </c>
      <c r="I32" s="20">
        <v>1000000721</v>
      </c>
      <c r="J32" s="16"/>
      <c r="K32" s="22">
        <v>45688</v>
      </c>
      <c r="L32" s="13">
        <v>3132</v>
      </c>
      <c r="M32" s="14" t="s">
        <v>209</v>
      </c>
    </row>
    <row r="33" customFormat="1" spans="1:13">
      <c r="A33" s="15">
        <f t="shared" si="1"/>
        <v>215335</v>
      </c>
      <c r="B33" s="15">
        <f t="shared" si="2"/>
        <v>215507</v>
      </c>
      <c r="C33" s="16" t="s">
        <v>47</v>
      </c>
      <c r="D33" s="17" t="str">
        <f>VLOOKUP(C33,[1]ref!A:D,2,FALSE)</f>
        <v>RA369</v>
      </c>
      <c r="E33" s="18">
        <f t="shared" si="0"/>
        <v>173</v>
      </c>
      <c r="F33" s="19">
        <f>VLOOKUP(D33,[1]ref!B:D,2,FALSE)</f>
        <v>500000080762</v>
      </c>
      <c r="G33" s="19" t="str">
        <f>VLOOKUP(D33,[1]ref!B:D,3,FALSE)</f>
        <v>SOFT &amp; SQUEEZY DINOSAURS</v>
      </c>
      <c r="H33" s="19">
        <f>VLOOKUP(D33,[1]ref!B:E,4,FALSE)</f>
        <v>18</v>
      </c>
      <c r="I33" s="20">
        <v>1000000721</v>
      </c>
      <c r="J33" s="16"/>
      <c r="K33" s="22">
        <v>45761</v>
      </c>
      <c r="L33" s="13">
        <v>3114</v>
      </c>
      <c r="M33" s="14" t="s">
        <v>209</v>
      </c>
    </row>
    <row r="34" s="2" customFormat="1" spans="1:13">
      <c r="A34" s="23">
        <f t="shared" si="1"/>
        <v>215508</v>
      </c>
      <c r="B34" s="23">
        <f t="shared" si="2"/>
        <v>215874</v>
      </c>
      <c r="C34" s="16" t="s">
        <v>27</v>
      </c>
      <c r="D34" s="17" t="str">
        <f>VLOOKUP(C34,[1]ref!A:D,2,FALSE)</f>
        <v>HH993</v>
      </c>
      <c r="E34" s="18">
        <f t="shared" si="0"/>
        <v>367</v>
      </c>
      <c r="F34" s="24">
        <f>VLOOKUP(D34,[1]ref!B:D,2,FALSE)</f>
        <v>633682112879</v>
      </c>
      <c r="G34" s="24" t="str">
        <f>VLOOKUP(D34,[1]ref!B:D,3,FALSE)</f>
        <v>ASIAN SOFT FAMILY SET </v>
      </c>
      <c r="H34" s="24">
        <f>VLOOKUP(D34,[1]ref!B:E,4,FALSE)</f>
        <v>6</v>
      </c>
      <c r="I34" s="25">
        <v>1000000908</v>
      </c>
      <c r="J34" s="16"/>
      <c r="K34" s="22">
        <v>45761</v>
      </c>
      <c r="L34" s="13">
        <v>2202</v>
      </c>
      <c r="M34" s="14" t="s">
        <v>209</v>
      </c>
    </row>
    <row r="35" customFormat="1" spans="1:13">
      <c r="A35" s="15">
        <f t="shared" si="1"/>
        <v>215875</v>
      </c>
      <c r="B35" s="15">
        <f t="shared" si="2"/>
        <v>216274</v>
      </c>
      <c r="C35" s="16" t="s">
        <v>63</v>
      </c>
      <c r="D35" s="17" t="str">
        <f>VLOOKUP(C35,[1]ref!A:D,2,FALSE)</f>
        <v>DC346</v>
      </c>
      <c r="E35" s="18">
        <f t="shared" si="0"/>
        <v>400</v>
      </c>
      <c r="F35" s="19">
        <f>VLOOKUP(D35,[1]ref!B:D,2,FALSE)</f>
        <v>500000248797</v>
      </c>
      <c r="G35" s="19" t="str">
        <f>VLOOKUP(D35,[1]ref!B:D,3,FALSE)</f>
        <v>CLASSIC DINOSAUR COLLECTION</v>
      </c>
      <c r="H35" s="19">
        <f>VLOOKUP(D35,[1]ref!B:E,4,FALSE)</f>
        <v>4</v>
      </c>
      <c r="I35" s="20">
        <v>1000000908</v>
      </c>
      <c r="J35" s="16"/>
      <c r="K35" s="21">
        <v>45687</v>
      </c>
      <c r="L35" s="13">
        <v>1600</v>
      </c>
      <c r="M35" s="14" t="s">
        <v>209</v>
      </c>
    </row>
    <row r="36" s="2" customFormat="1" spans="1:13">
      <c r="A36" s="23">
        <f t="shared" si="1"/>
        <v>216275</v>
      </c>
      <c r="B36" s="23">
        <f t="shared" si="2"/>
        <v>216684</v>
      </c>
      <c r="C36" s="16" t="s">
        <v>55</v>
      </c>
      <c r="D36" s="17" t="str">
        <f>VLOOKUP(C36,[1]ref!A:D,2,FALSE)</f>
        <v>RA368</v>
      </c>
      <c r="E36" s="18">
        <f t="shared" si="0"/>
        <v>410</v>
      </c>
      <c r="F36" s="24">
        <f>VLOOKUP(D36,[1]ref!B:D,2,FALSE)</f>
        <v>500000080786</v>
      </c>
      <c r="G36" s="24" t="str">
        <f>VLOOKUP(D36,[1]ref!B:D,3,FALSE)</f>
        <v>SOFT OCEAN ANIMALS SET</v>
      </c>
      <c r="H36" s="24">
        <f>VLOOKUP(D36,[1]ref!B:E,4,FALSE)</f>
        <v>12</v>
      </c>
      <c r="I36" s="25">
        <v>1000000908</v>
      </c>
      <c r="J36" s="16"/>
      <c r="K36" s="22">
        <v>45761</v>
      </c>
      <c r="L36" s="13">
        <v>4920</v>
      </c>
      <c r="M36" s="14" t="s">
        <v>209</v>
      </c>
    </row>
    <row r="37" s="2" customFormat="1" spans="1:13">
      <c r="A37" s="23">
        <f t="shared" si="1"/>
        <v>216685</v>
      </c>
      <c r="B37" s="23">
        <f t="shared" si="2"/>
        <v>216689</v>
      </c>
      <c r="C37" s="16" t="s">
        <v>87</v>
      </c>
      <c r="D37" s="17" t="str">
        <f>VLOOKUP(C37,[1]ref!A:D,2,FALSE)</f>
        <v>376MM</v>
      </c>
      <c r="E37" s="18">
        <f t="shared" si="0"/>
        <v>5</v>
      </c>
      <c r="F37" s="24">
        <f>VLOOKUP(D37,[1]ref!B:D,2,FALSE)</f>
        <v>754046003760</v>
      </c>
      <c r="G37" s="24" t="str">
        <f>VLOOKUP(D37,[1]ref!B:D,3,FALSE)</f>
        <v>BUTTERFLY LIFE CYCLE</v>
      </c>
      <c r="H37" s="24">
        <f>VLOOKUP(D37,[1]ref!B:E,4,FALSE)</f>
        <v>288</v>
      </c>
      <c r="I37" s="25">
        <v>1000001583</v>
      </c>
      <c r="J37" s="16"/>
      <c r="K37" s="22">
        <v>45761</v>
      </c>
      <c r="L37" s="13">
        <v>1440</v>
      </c>
      <c r="M37" s="14" t="s">
        <v>209</v>
      </c>
    </row>
    <row r="38" s="2" customFormat="1" spans="1:13">
      <c r="A38" s="31">
        <f t="shared" ref="A38:A75" si="3">B37+1</f>
        <v>216690</v>
      </c>
      <c r="B38" s="31">
        <f t="shared" ref="B38:B75" si="4">B37+E38</f>
        <v>217072</v>
      </c>
      <c r="C38" s="32" t="s">
        <v>39</v>
      </c>
      <c r="D38" s="33" t="str">
        <f>VLOOKUP(C38,[1]ref!A:D,2,FALSE)</f>
        <v>GS673</v>
      </c>
      <c r="E38" s="34">
        <f t="shared" si="0"/>
        <v>383</v>
      </c>
      <c r="F38" s="35" t="str">
        <f>VLOOKUP(D38,[1]ref!B:D,2,FALSE)</f>
        <v>007492000068</v>
      </c>
      <c r="G38" s="35" t="str">
        <f>VLOOKUP(D38,[1]ref!B:D,3,FALSE)</f>
        <v>SOFT DINOSAURS - 1</v>
      </c>
      <c r="H38" s="35">
        <f>VLOOKUP(D38,[1]ref!B:E,4,FALSE)</f>
        <v>4</v>
      </c>
      <c r="I38" s="36">
        <v>1000001352</v>
      </c>
      <c r="J38" s="32"/>
      <c r="K38" s="22">
        <v>45985</v>
      </c>
      <c r="L38" s="13">
        <v>1532</v>
      </c>
      <c r="M38" s="14" t="s">
        <v>209</v>
      </c>
    </row>
    <row r="39" s="2" customFormat="1" spans="1:13">
      <c r="A39" s="31">
        <f t="shared" si="3"/>
        <v>217073</v>
      </c>
      <c r="B39" s="31">
        <f t="shared" si="4"/>
        <v>217447</v>
      </c>
      <c r="C39" s="32" t="s">
        <v>43</v>
      </c>
      <c r="D39" s="33" t="str">
        <f>VLOOKUP(C39,[1]ref!A:D,2,FALSE)</f>
        <v>GS675</v>
      </c>
      <c r="E39" s="34">
        <f t="shared" si="0"/>
        <v>375</v>
      </c>
      <c r="F39" s="35">
        <f>VLOOKUP(D39,[1]ref!B:D,2,FALSE)</f>
        <v>500000080748</v>
      </c>
      <c r="G39" s="35" t="str">
        <f>VLOOKUP(D39,[1]ref!B:D,3,FALSE)</f>
        <v>SOFT DINOSAURS - 2</v>
      </c>
      <c r="H39" s="35">
        <f>VLOOKUP(D39,[1]ref!B:E,4,FALSE)</f>
        <v>4</v>
      </c>
      <c r="I39" s="36">
        <v>1000001352</v>
      </c>
      <c r="J39" s="32"/>
      <c r="K39" s="22">
        <v>45985</v>
      </c>
      <c r="L39" s="13">
        <v>1500</v>
      </c>
      <c r="M39" s="14" t="s">
        <v>209</v>
      </c>
    </row>
    <row r="40" s="2" customFormat="1" spans="1:13">
      <c r="A40" s="31">
        <f t="shared" si="3"/>
        <v>217448</v>
      </c>
      <c r="B40" s="31">
        <f t="shared" si="4"/>
        <v>217714</v>
      </c>
      <c r="C40" s="32" t="s">
        <v>35</v>
      </c>
      <c r="D40" s="33" t="str">
        <f>VLOOKUP(C40,[1]ref!A:D,2,FALSE)</f>
        <v>HH992</v>
      </c>
      <c r="E40" s="34">
        <f t="shared" si="0"/>
        <v>267</v>
      </c>
      <c r="F40" s="35">
        <f>VLOOKUP(D40,[1]ref!B:D,2,FALSE)</f>
        <v>633682112619</v>
      </c>
      <c r="G40" s="35" t="str">
        <f>VLOOKUP(D40,[1]ref!B:D,3,FALSE)</f>
        <v>WHITE SOFT FAMILY SET </v>
      </c>
      <c r="H40" s="35">
        <f>VLOOKUP(D40,[1]ref!B:E,4,FALSE)</f>
        <v>6</v>
      </c>
      <c r="I40" s="36">
        <v>1000001352</v>
      </c>
      <c r="J40" s="32"/>
      <c r="K40" s="22">
        <v>45688</v>
      </c>
      <c r="L40" s="13">
        <v>1602</v>
      </c>
      <c r="M40" s="14" t="s">
        <v>209</v>
      </c>
    </row>
    <row r="41" s="2" customFormat="1" spans="1:13">
      <c r="A41" s="31">
        <f t="shared" si="3"/>
        <v>217715</v>
      </c>
      <c r="B41" s="31">
        <f t="shared" si="4"/>
        <v>217981</v>
      </c>
      <c r="C41" s="32" t="s">
        <v>23</v>
      </c>
      <c r="D41" s="33" t="str">
        <f>VLOOKUP(C41,[1]ref!A:D,2,FALSE)</f>
        <v>HH994</v>
      </c>
      <c r="E41" s="34">
        <f t="shared" si="0"/>
        <v>267</v>
      </c>
      <c r="F41" s="35">
        <f>VLOOKUP(D41,[1]ref!B:D,2,FALSE)</f>
        <v>633682113012</v>
      </c>
      <c r="G41" s="35" t="str">
        <f>VLOOKUP(D41,[1]ref!B:D,3,FALSE)</f>
        <v>HISPANIC SOFT FAMILY SET</v>
      </c>
      <c r="H41" s="35">
        <f>VLOOKUP(D41,[1]ref!B:E,4,FALSE)</f>
        <v>6</v>
      </c>
      <c r="I41" s="36">
        <v>1000001352</v>
      </c>
      <c r="J41" s="32"/>
      <c r="K41" s="22">
        <v>45688</v>
      </c>
      <c r="L41" s="13">
        <v>1602</v>
      </c>
      <c r="M41" s="14" t="s">
        <v>209</v>
      </c>
    </row>
    <row r="42" s="2" customFormat="1" spans="1:13">
      <c r="A42" s="31">
        <f t="shared" si="3"/>
        <v>217982</v>
      </c>
      <c r="B42" s="31">
        <f t="shared" si="4"/>
        <v>218023</v>
      </c>
      <c r="C42" s="32" t="s">
        <v>7</v>
      </c>
      <c r="D42" s="33" t="str">
        <f>VLOOKUP(C42,[1]ref!A:D,2,FALSE)</f>
        <v>LM986</v>
      </c>
      <c r="E42" s="34">
        <f t="shared" si="0"/>
        <v>42</v>
      </c>
      <c r="F42" s="35">
        <f>VLOOKUP(D42,[1]ref!B:D,2,FALSE)</f>
        <v>633682136417</v>
      </c>
      <c r="G42" s="35" t="str">
        <f>VLOOKUP(D42,[1]ref!B:D,3,FALSE)</f>
        <v>WILD ANIMAL COUNTERS</v>
      </c>
      <c r="H42" s="35">
        <f>VLOOKUP(D42,[1]ref!B:E,4,FALSE)</f>
        <v>24</v>
      </c>
      <c r="I42" s="36">
        <v>1000001352</v>
      </c>
      <c r="J42" s="32"/>
      <c r="K42" s="22">
        <v>45761</v>
      </c>
      <c r="L42" s="13">
        <v>1008</v>
      </c>
      <c r="M42" s="14" t="s">
        <v>209</v>
      </c>
    </row>
    <row r="43" s="2" customFormat="1" spans="1:13">
      <c r="A43" s="31">
        <f t="shared" si="3"/>
        <v>218024</v>
      </c>
      <c r="B43" s="31">
        <f t="shared" si="4"/>
        <v>218398</v>
      </c>
      <c r="C43" s="32" t="s">
        <v>63</v>
      </c>
      <c r="D43" s="33" t="str">
        <f>VLOOKUP(C43,[1]ref!A:D,2,FALSE)</f>
        <v>DC346</v>
      </c>
      <c r="E43" s="34">
        <f t="shared" si="0"/>
        <v>375</v>
      </c>
      <c r="F43" s="35">
        <f>VLOOKUP(D43,[1]ref!B:D,2,FALSE)</f>
        <v>500000248797</v>
      </c>
      <c r="G43" s="35" t="str">
        <f>VLOOKUP(D43,[1]ref!B:D,3,FALSE)</f>
        <v>CLASSIC DINOSAUR COLLECTION</v>
      </c>
      <c r="H43" s="35">
        <f>VLOOKUP(D43,[1]ref!B:E,4,FALSE)</f>
        <v>4</v>
      </c>
      <c r="I43" s="36">
        <v>1000001879</v>
      </c>
      <c r="J43" s="32"/>
      <c r="K43" s="21">
        <v>45687</v>
      </c>
      <c r="L43" s="13">
        <v>1500</v>
      </c>
      <c r="M43" s="14" t="s">
        <v>209</v>
      </c>
    </row>
    <row r="44" s="2" customFormat="1" spans="1:13">
      <c r="A44" s="31">
        <f t="shared" si="3"/>
        <v>218399</v>
      </c>
      <c r="B44" s="31">
        <f t="shared" si="4"/>
        <v>218773</v>
      </c>
      <c r="C44" s="32" t="s">
        <v>43</v>
      </c>
      <c r="D44" s="33" t="str">
        <f>VLOOKUP(C44,[1]ref!A:D,2,FALSE)</f>
        <v>GS675</v>
      </c>
      <c r="E44" s="34">
        <f t="shared" si="0"/>
        <v>375</v>
      </c>
      <c r="F44" s="35">
        <f>VLOOKUP(D44,[1]ref!B:D,2,FALSE)</f>
        <v>500000080748</v>
      </c>
      <c r="G44" s="35" t="str">
        <f>VLOOKUP(D44,[1]ref!B:D,3,FALSE)</f>
        <v>SOFT DINOSAURS - 2</v>
      </c>
      <c r="H44" s="35">
        <f>VLOOKUP(D44,[1]ref!B:E,4,FALSE)</f>
        <v>4</v>
      </c>
      <c r="I44" s="36">
        <v>1000001879</v>
      </c>
      <c r="J44" s="32"/>
      <c r="K44" s="22">
        <v>45985</v>
      </c>
      <c r="L44" s="13">
        <v>1500</v>
      </c>
      <c r="M44" s="14" t="s">
        <v>209</v>
      </c>
    </row>
    <row r="45" customFormat="1" spans="1:13">
      <c r="A45" s="31">
        <f t="shared" si="3"/>
        <v>218774</v>
      </c>
      <c r="B45" s="31">
        <f t="shared" si="4"/>
        <v>219040</v>
      </c>
      <c r="C45" s="32" t="s">
        <v>31</v>
      </c>
      <c r="D45" s="33" t="str">
        <f>VLOOKUP(C45,[1]ref!A:D,2,FALSE)</f>
        <v>HH991</v>
      </c>
      <c r="E45" s="34">
        <f t="shared" si="0"/>
        <v>267</v>
      </c>
      <c r="F45" s="35">
        <f>VLOOKUP(D45,[1]ref!B:D,2,FALSE)</f>
        <v>633682111193</v>
      </c>
      <c r="G45" s="35" t="str">
        <f>VLOOKUP(D45,[1]ref!B:D,3,FALSE)</f>
        <v>BLACK SOFT FAMILY SET  </v>
      </c>
      <c r="H45" s="35">
        <f>VLOOKUP(D45,[1]ref!B:E,4,FALSE)</f>
        <v>6</v>
      </c>
      <c r="I45" s="36">
        <v>1000001879</v>
      </c>
      <c r="J45" s="32"/>
      <c r="K45" s="22">
        <v>45688</v>
      </c>
      <c r="L45" s="13">
        <v>1602</v>
      </c>
      <c r="M45" s="14" t="s">
        <v>209</v>
      </c>
    </row>
    <row r="46" s="3" customFormat="1" spans="1:13">
      <c r="A46" s="26">
        <f t="shared" si="3"/>
        <v>219041</v>
      </c>
      <c r="B46" s="26">
        <f t="shared" si="4"/>
        <v>219309</v>
      </c>
      <c r="C46" s="27" t="s">
        <v>51</v>
      </c>
      <c r="D46" s="28" t="str">
        <f>VLOOKUP(C46,[1]ref!A:D,2,FALSE)</f>
        <v>RA362</v>
      </c>
      <c r="E46" s="37">
        <f t="shared" si="0"/>
        <v>269</v>
      </c>
      <c r="F46" s="29">
        <f>VLOOKUP(D46,[1]ref!B:D,2,FALSE)</f>
        <v>500000080779</v>
      </c>
      <c r="G46" s="29" t="str">
        <f>VLOOKUP(D46,[1]ref!B:D,3,FALSE)</f>
        <v>SOFT WILD ANIMALS SET</v>
      </c>
      <c r="H46" s="29">
        <f>VLOOKUP(D46,[1]ref!B:E,4,FALSE)</f>
        <v>12</v>
      </c>
      <c r="I46" s="30">
        <v>1000001880</v>
      </c>
      <c r="J46" s="27"/>
      <c r="K46" s="38">
        <v>45688</v>
      </c>
      <c r="L46" s="39">
        <v>3228</v>
      </c>
      <c r="M46" s="40" t="s">
        <v>209</v>
      </c>
    </row>
    <row r="47" customFormat="1" spans="1:13">
      <c r="A47" s="31">
        <f t="shared" si="3"/>
        <v>219310</v>
      </c>
      <c r="B47" s="31">
        <f t="shared" si="4"/>
        <v>219579</v>
      </c>
      <c r="C47" s="32" t="s">
        <v>59</v>
      </c>
      <c r="D47" s="33" t="str">
        <f>VLOOKUP(C47,[1]ref!A:D,2,FALSE)</f>
        <v>RA367</v>
      </c>
      <c r="E47" s="34">
        <f t="shared" si="0"/>
        <v>270</v>
      </c>
      <c r="F47" s="35">
        <f>VLOOKUP(D47,[1]ref!B:D,2,FALSE)</f>
        <v>754046835101</v>
      </c>
      <c r="G47" s="35" t="str">
        <f>VLOOKUP(D47,[1]ref!B:D,3,FALSE)</f>
        <v>BEST-BUY FARM ANIMAL SET</v>
      </c>
      <c r="H47" s="35">
        <f>VLOOKUP(D47,[1]ref!B:E,4,FALSE)</f>
        <v>12</v>
      </c>
      <c r="I47" s="36">
        <v>1000001880</v>
      </c>
      <c r="J47" s="32"/>
      <c r="K47" s="21">
        <v>45661</v>
      </c>
      <c r="L47" s="13">
        <v>3240</v>
      </c>
      <c r="M47" s="14" t="s">
        <v>209</v>
      </c>
    </row>
    <row r="48" customFormat="1" spans="1:13">
      <c r="A48" s="31">
        <f t="shared" si="3"/>
        <v>219580</v>
      </c>
      <c r="B48" s="31">
        <f t="shared" si="4"/>
        <v>219779</v>
      </c>
      <c r="C48" s="32" t="s">
        <v>47</v>
      </c>
      <c r="D48" s="33" t="str">
        <f>VLOOKUP(C48,[1]ref!A:D,2,FALSE)</f>
        <v>RA369</v>
      </c>
      <c r="E48" s="34">
        <f t="shared" si="0"/>
        <v>200</v>
      </c>
      <c r="F48" s="35">
        <f>VLOOKUP(D48,[1]ref!B:D,2,FALSE)</f>
        <v>500000080762</v>
      </c>
      <c r="G48" s="35" t="str">
        <f>VLOOKUP(D48,[1]ref!B:D,3,FALSE)</f>
        <v>SOFT &amp; SQUEEZY DINOSAURS</v>
      </c>
      <c r="H48" s="35">
        <f>VLOOKUP(D48,[1]ref!B:E,4,FALSE)</f>
        <v>18</v>
      </c>
      <c r="I48" s="36">
        <v>1000001880</v>
      </c>
      <c r="J48" s="32"/>
      <c r="K48" s="22">
        <v>45761</v>
      </c>
      <c r="L48" s="13">
        <v>3600</v>
      </c>
      <c r="M48" s="14" t="s">
        <v>209</v>
      </c>
    </row>
    <row r="49" s="2" customFormat="1" spans="1:13">
      <c r="A49" s="31">
        <f t="shared" si="3"/>
        <v>219780</v>
      </c>
      <c r="B49" s="31">
        <f t="shared" si="4"/>
        <v>220047</v>
      </c>
      <c r="C49" s="32" t="s">
        <v>35</v>
      </c>
      <c r="D49" s="33" t="str">
        <f>VLOOKUP(C49,[1]ref!A:D,2,FALSE)</f>
        <v>HH992</v>
      </c>
      <c r="E49" s="34">
        <f t="shared" si="0"/>
        <v>268</v>
      </c>
      <c r="F49" s="35">
        <f>VLOOKUP(D49,[1]ref!B:D,2,FALSE)</f>
        <v>633682112619</v>
      </c>
      <c r="G49" s="35" t="str">
        <f>VLOOKUP(D49,[1]ref!B:D,3,FALSE)</f>
        <v>WHITE SOFT FAMILY SET </v>
      </c>
      <c r="H49" s="35">
        <f>VLOOKUP(D49,[1]ref!B:E,4,FALSE)</f>
        <v>6</v>
      </c>
      <c r="I49" s="41">
        <v>1000002006</v>
      </c>
      <c r="J49" s="32"/>
      <c r="K49" s="22">
        <v>45688</v>
      </c>
      <c r="L49" s="13">
        <v>1608</v>
      </c>
      <c r="M49" s="14" t="s">
        <v>209</v>
      </c>
    </row>
    <row r="50" s="3" customFormat="1" spans="1:13">
      <c r="A50" s="26">
        <f t="shared" si="3"/>
        <v>220048</v>
      </c>
      <c r="B50" s="26">
        <f t="shared" si="4"/>
        <v>220314</v>
      </c>
      <c r="C50" s="27" t="s">
        <v>27</v>
      </c>
      <c r="D50" s="28" t="str">
        <f>VLOOKUP(C50,[1]ref!A:D,2,FALSE)</f>
        <v>HH993</v>
      </c>
      <c r="E50" s="37">
        <f t="shared" si="0"/>
        <v>267</v>
      </c>
      <c r="F50" s="29">
        <f>VLOOKUP(D50,[1]ref!B:D,2,FALSE)</f>
        <v>633682112879</v>
      </c>
      <c r="G50" s="29" t="str">
        <f>VLOOKUP(D50,[1]ref!B:D,3,FALSE)</f>
        <v>ASIAN SOFT FAMILY SET </v>
      </c>
      <c r="H50" s="29">
        <f>VLOOKUP(D50,[1]ref!B:E,4,FALSE)</f>
        <v>6</v>
      </c>
      <c r="I50" s="42">
        <v>1000002006</v>
      </c>
      <c r="J50" s="27"/>
      <c r="K50" s="38">
        <v>45761</v>
      </c>
      <c r="L50" s="39">
        <v>1602</v>
      </c>
      <c r="M50" s="40" t="s">
        <v>209</v>
      </c>
    </row>
    <row r="51" s="2" customFormat="1" spans="1:13">
      <c r="A51" s="31">
        <f t="shared" si="3"/>
        <v>220315</v>
      </c>
      <c r="B51" s="31">
        <f t="shared" si="4"/>
        <v>220581</v>
      </c>
      <c r="C51" s="32" t="s">
        <v>23</v>
      </c>
      <c r="D51" s="33" t="str">
        <f>VLOOKUP(C51,[1]ref!A:D,2,FALSE)</f>
        <v>HH994</v>
      </c>
      <c r="E51" s="34">
        <f t="shared" si="0"/>
        <v>267</v>
      </c>
      <c r="F51" s="35">
        <f>VLOOKUP(D51,[1]ref!B:D,2,FALSE)</f>
        <v>633682113012</v>
      </c>
      <c r="G51" s="35" t="str">
        <f>VLOOKUP(D51,[1]ref!B:D,3,FALSE)</f>
        <v>HISPANIC SOFT FAMILY SET</v>
      </c>
      <c r="H51" s="35">
        <f>VLOOKUP(D51,[1]ref!B:E,4,FALSE)</f>
        <v>6</v>
      </c>
      <c r="I51" s="41">
        <v>1000002006</v>
      </c>
      <c r="J51" s="32"/>
      <c r="K51" s="22">
        <v>45688</v>
      </c>
      <c r="L51" s="13">
        <v>1602</v>
      </c>
      <c r="M51" s="14" t="s">
        <v>209</v>
      </c>
    </row>
    <row r="52" customFormat="1" spans="1:13">
      <c r="A52" s="31">
        <f t="shared" si="3"/>
        <v>220582</v>
      </c>
      <c r="B52" s="31">
        <f t="shared" si="4"/>
        <v>220790</v>
      </c>
      <c r="C52" s="32" t="s">
        <v>51</v>
      </c>
      <c r="D52" s="33" t="str">
        <f>VLOOKUP(C52,[1]ref!A:D,2,FALSE)</f>
        <v>RA362</v>
      </c>
      <c r="E52" s="34">
        <f t="shared" si="0"/>
        <v>209</v>
      </c>
      <c r="F52" s="35">
        <f>VLOOKUP(D52,[1]ref!B:D,2,FALSE)</f>
        <v>500000080779</v>
      </c>
      <c r="G52" s="35" t="str">
        <f>VLOOKUP(D52,[1]ref!B:D,3,FALSE)</f>
        <v>SOFT WILD ANIMALS SET</v>
      </c>
      <c r="H52" s="35">
        <f>VLOOKUP(D52,[1]ref!B:E,4,FALSE)</f>
        <v>12</v>
      </c>
      <c r="I52" s="41">
        <v>1000002006</v>
      </c>
      <c r="J52" s="32"/>
      <c r="K52" s="22">
        <v>45688</v>
      </c>
      <c r="L52" s="13">
        <v>2508</v>
      </c>
      <c r="M52" s="14" t="s">
        <v>209</v>
      </c>
    </row>
    <row r="53" s="2" customFormat="1" spans="1:13">
      <c r="A53" s="31">
        <f t="shared" si="3"/>
        <v>220791</v>
      </c>
      <c r="B53" s="31">
        <f t="shared" si="4"/>
        <v>221000</v>
      </c>
      <c r="C53" s="32" t="s">
        <v>55</v>
      </c>
      <c r="D53" s="33" t="str">
        <f>VLOOKUP(C53,[1]ref!A:D,2,FALSE)</f>
        <v>RA368</v>
      </c>
      <c r="E53" s="34">
        <f t="shared" si="0"/>
        <v>210</v>
      </c>
      <c r="F53" s="35">
        <f>VLOOKUP(D53,[1]ref!B:D,2,FALSE)</f>
        <v>500000080786</v>
      </c>
      <c r="G53" s="35" t="str">
        <f>VLOOKUP(D53,[1]ref!B:D,3,FALSE)</f>
        <v>SOFT OCEAN ANIMALS SET</v>
      </c>
      <c r="H53" s="35">
        <f>VLOOKUP(D53,[1]ref!B:E,4,FALSE)</f>
        <v>12</v>
      </c>
      <c r="I53" s="41">
        <v>1000002006</v>
      </c>
      <c r="J53" s="32"/>
      <c r="K53" s="22">
        <v>45761</v>
      </c>
      <c r="L53" s="13">
        <v>2520</v>
      </c>
      <c r="M53" s="14" t="s">
        <v>209</v>
      </c>
    </row>
    <row r="54" s="2" customFormat="1" spans="1:13">
      <c r="A54" s="31">
        <f t="shared" si="3"/>
        <v>221001</v>
      </c>
      <c r="B54" s="31">
        <f t="shared" si="4"/>
        <v>221375</v>
      </c>
      <c r="C54" s="32" t="s">
        <v>39</v>
      </c>
      <c r="D54" s="33" t="str">
        <f>VLOOKUP(C54,[1]ref!A:D,2,FALSE)</f>
        <v>GS673</v>
      </c>
      <c r="E54" s="34">
        <f t="shared" si="0"/>
        <v>375</v>
      </c>
      <c r="F54" s="35" t="str">
        <f>VLOOKUP(D54,[1]ref!B:D,2,FALSE)</f>
        <v>007492000068</v>
      </c>
      <c r="G54" s="35" t="str">
        <f>VLOOKUP(D54,[1]ref!B:D,3,FALSE)</f>
        <v>SOFT DINOSAURS - 1</v>
      </c>
      <c r="H54" s="35">
        <f>VLOOKUP(D54,[1]ref!B:E,4,FALSE)</f>
        <v>4</v>
      </c>
      <c r="I54" s="36">
        <v>1000002079</v>
      </c>
      <c r="J54" s="32"/>
      <c r="K54" s="22">
        <v>45985</v>
      </c>
      <c r="L54" s="13">
        <v>1500</v>
      </c>
      <c r="M54" s="14" t="s">
        <v>209</v>
      </c>
    </row>
    <row r="55" s="2" customFormat="1" spans="1:13">
      <c r="A55" s="31">
        <f t="shared" si="3"/>
        <v>221376</v>
      </c>
      <c r="B55" s="31">
        <f t="shared" si="4"/>
        <v>221750</v>
      </c>
      <c r="C55" s="32" t="s">
        <v>43</v>
      </c>
      <c r="D55" s="33" t="str">
        <f>VLOOKUP(C55,[1]ref!A:D,2,FALSE)</f>
        <v>GS675</v>
      </c>
      <c r="E55" s="34">
        <f t="shared" si="0"/>
        <v>375</v>
      </c>
      <c r="F55" s="35">
        <f>VLOOKUP(D55,[1]ref!B:D,2,FALSE)</f>
        <v>500000080748</v>
      </c>
      <c r="G55" s="35" t="str">
        <f>VLOOKUP(D55,[1]ref!B:D,3,FALSE)</f>
        <v>SOFT DINOSAURS - 2</v>
      </c>
      <c r="H55" s="35">
        <f>VLOOKUP(D55,[1]ref!B:E,4,FALSE)</f>
        <v>4</v>
      </c>
      <c r="I55" s="36">
        <v>1000002079</v>
      </c>
      <c r="J55" s="32"/>
      <c r="K55" s="22">
        <v>45985</v>
      </c>
      <c r="L55" s="13">
        <v>1500</v>
      </c>
      <c r="M55" s="14" t="s">
        <v>209</v>
      </c>
    </row>
    <row r="56" customFormat="1" spans="1:13">
      <c r="A56" s="31">
        <f t="shared" si="3"/>
        <v>221751</v>
      </c>
      <c r="B56" s="31">
        <f t="shared" si="4"/>
        <v>222500</v>
      </c>
      <c r="C56" s="32" t="s">
        <v>95</v>
      </c>
      <c r="D56" s="33" t="str">
        <f>VLOOKUP(C56,[1]ref!A:D,2,FALSE)</f>
        <v>HH429</v>
      </c>
      <c r="E56" s="34">
        <f t="shared" si="0"/>
        <v>750</v>
      </c>
      <c r="F56" s="35">
        <f>VLOOKUP(D56,[1]ref!B:D,2,FALSE)</f>
        <v>633682032085</v>
      </c>
      <c r="G56" s="35" t="str">
        <f>VLOOKUP(D56,[1]ref!B:D,3,FALSE)</f>
        <v>DINOSAURS ADVENTURE SET</v>
      </c>
      <c r="H56" s="35">
        <f>VLOOKUP(D56,[1]ref!B:E,4,FALSE)</f>
        <v>4</v>
      </c>
      <c r="I56" s="36">
        <v>1000000521</v>
      </c>
      <c r="J56" s="32"/>
      <c r="K56" s="22">
        <v>45761</v>
      </c>
      <c r="L56" s="13">
        <v>3000</v>
      </c>
      <c r="M56" s="14" t="s">
        <v>209</v>
      </c>
    </row>
    <row r="57" customFormat="1" spans="1:13">
      <c r="A57" s="15">
        <f t="shared" si="3"/>
        <v>222501</v>
      </c>
      <c r="B57" s="15">
        <f t="shared" si="4"/>
        <v>223250</v>
      </c>
      <c r="C57" s="16" t="s">
        <v>99</v>
      </c>
      <c r="D57" s="17" t="str">
        <f>VLOOKUP(C57,[1]ref!A:D,2,FALSE)</f>
        <v>HH393</v>
      </c>
      <c r="E57" s="18">
        <f t="shared" si="0"/>
        <v>750</v>
      </c>
      <c r="F57" s="19">
        <f>VLOOKUP(D57,[1]ref!B:D,2,FALSE)</f>
        <v>633682140063</v>
      </c>
      <c r="G57" s="19" t="str">
        <f>VLOOKUP(D57,[1]ref!B:D,3,FALSE)</f>
        <v>FANTASY ADVENTURE SET</v>
      </c>
      <c r="H57" s="19">
        <f>VLOOKUP(D57,[1]ref!B:E,4,FALSE)</f>
        <v>4</v>
      </c>
      <c r="I57" s="20" t="s">
        <v>210</v>
      </c>
      <c r="J57" s="16"/>
      <c r="K57" s="21">
        <v>45661</v>
      </c>
      <c r="L57" s="13">
        <v>3000</v>
      </c>
      <c r="M57" s="14" t="s">
        <v>209</v>
      </c>
    </row>
    <row r="58" s="2" customFormat="1" spans="1:13">
      <c r="A58" s="31">
        <f t="shared" si="3"/>
        <v>223251</v>
      </c>
      <c r="B58" s="31">
        <f t="shared" si="4"/>
        <v>223625</v>
      </c>
      <c r="C58" s="32" t="s">
        <v>63</v>
      </c>
      <c r="D58" s="33" t="str">
        <f>VLOOKUP(C58,[1]ref!A:D,2,FALSE)</f>
        <v>DC346</v>
      </c>
      <c r="E58" s="34">
        <f t="shared" si="0"/>
        <v>375</v>
      </c>
      <c r="F58" s="35">
        <f>VLOOKUP(D58,[1]ref!B:D,2,FALSE)</f>
        <v>500000248797</v>
      </c>
      <c r="G58" s="35" t="str">
        <f>VLOOKUP(D58,[1]ref!B:D,3,FALSE)</f>
        <v>CLASSIC DINOSAUR COLLECTION</v>
      </c>
      <c r="H58" s="35">
        <f>VLOOKUP(D58,[1]ref!B:E,4,FALSE)</f>
        <v>4</v>
      </c>
      <c r="I58" s="36">
        <v>1000001879</v>
      </c>
      <c r="J58" s="32"/>
      <c r="K58" s="21">
        <v>45687</v>
      </c>
      <c r="L58" s="13">
        <v>1500</v>
      </c>
      <c r="M58" s="14" t="s">
        <v>209</v>
      </c>
    </row>
    <row r="59" customFormat="1" spans="1:13">
      <c r="A59" s="31">
        <f t="shared" si="3"/>
        <v>223626</v>
      </c>
      <c r="B59" s="31">
        <f t="shared" si="4"/>
        <v>223635</v>
      </c>
      <c r="C59" s="32" t="s">
        <v>75</v>
      </c>
      <c r="D59" s="32" t="s">
        <v>74</v>
      </c>
      <c r="E59" s="34">
        <f t="shared" si="0"/>
        <v>10</v>
      </c>
      <c r="F59" s="35">
        <v>75404612460</v>
      </c>
      <c r="G59" s="35" t="str">
        <f>VLOOKUP(D59,[1]ref!B:D,3,FALSE)</f>
        <v>SET OF 2 SMALL OAK TREES</v>
      </c>
      <c r="H59" s="35">
        <v>180</v>
      </c>
      <c r="I59" s="36">
        <v>1000002184</v>
      </c>
      <c r="J59" s="32"/>
      <c r="K59" s="22">
        <v>46065</v>
      </c>
      <c r="L59" s="13">
        <v>1800</v>
      </c>
      <c r="M59" s="14" t="s">
        <v>209</v>
      </c>
    </row>
    <row r="60" customFormat="1" spans="1:13">
      <c r="A60" s="31">
        <f t="shared" si="3"/>
        <v>223636</v>
      </c>
      <c r="B60" s="31">
        <f t="shared" si="4"/>
        <v>223686</v>
      </c>
      <c r="C60" s="32" t="s">
        <v>95</v>
      </c>
      <c r="D60" s="33" t="str">
        <f>VLOOKUP(C60,[1]ref!A:D,2,FALSE)</f>
        <v>HH429</v>
      </c>
      <c r="E60" s="34">
        <v>51</v>
      </c>
      <c r="F60" s="35">
        <f>VLOOKUP(D60,[1]ref!B:D,2,FALSE)</f>
        <v>633682032085</v>
      </c>
      <c r="G60" s="35" t="str">
        <f>VLOOKUP(D60,[1]ref!B:D,3,FALSE)</f>
        <v>DINOSAURS ADVENTURE SET</v>
      </c>
      <c r="H60" s="35">
        <f>VLOOKUP(D60,[1]ref!B:E,4,FALSE)</f>
        <v>4</v>
      </c>
      <c r="I60" s="36">
        <v>1000000521</v>
      </c>
      <c r="J60" s="32"/>
      <c r="K60" s="22">
        <v>45761</v>
      </c>
      <c r="L60" s="13">
        <v>3000</v>
      </c>
      <c r="M60" s="14" t="s">
        <v>209</v>
      </c>
    </row>
    <row r="61" s="2" customFormat="1" spans="1:13">
      <c r="A61" s="31">
        <f t="shared" si="3"/>
        <v>223687</v>
      </c>
      <c r="B61" s="31">
        <f t="shared" si="4"/>
        <v>223782</v>
      </c>
      <c r="C61" s="32" t="s">
        <v>23</v>
      </c>
      <c r="D61" s="33" t="str">
        <f>VLOOKUP(C61,[1]ref!A:D,2,FALSE)</f>
        <v>HH994</v>
      </c>
      <c r="E61" s="34">
        <f t="shared" ref="E61:E75" si="5">L61/H61</f>
        <v>96</v>
      </c>
      <c r="F61" s="35">
        <f>VLOOKUP(D61,[1]ref!B:D,2,FALSE)</f>
        <v>633682113012</v>
      </c>
      <c r="G61" s="35" t="str">
        <f>VLOOKUP(D61,[1]ref!B:D,3,FALSE)</f>
        <v>HISPANIC SOFT FAMILY SET</v>
      </c>
      <c r="H61" s="35">
        <f>VLOOKUP(D61,[1]ref!B:E,4,FALSE)</f>
        <v>6</v>
      </c>
      <c r="I61" s="41">
        <v>1000000721</v>
      </c>
      <c r="J61" s="32"/>
      <c r="K61" s="22">
        <v>45688</v>
      </c>
      <c r="L61" s="13">
        <v>576</v>
      </c>
      <c r="M61" s="14" t="s">
        <v>209</v>
      </c>
    </row>
    <row r="62" s="2" customFormat="1" spans="1:13">
      <c r="A62" s="31">
        <f t="shared" si="3"/>
        <v>223783</v>
      </c>
      <c r="B62" s="31">
        <f t="shared" si="4"/>
        <v>224049</v>
      </c>
      <c r="C62" s="32" t="s">
        <v>23</v>
      </c>
      <c r="D62" s="33" t="str">
        <f>VLOOKUP(C62,[1]ref!A:D,2,FALSE)</f>
        <v>HH994</v>
      </c>
      <c r="E62" s="34">
        <f t="shared" si="5"/>
        <v>267</v>
      </c>
      <c r="F62" s="35">
        <f>VLOOKUP(D62,[1]ref!B:D,2,FALSE)</f>
        <v>633682113012</v>
      </c>
      <c r="G62" s="35" t="str">
        <f>VLOOKUP(D62,[1]ref!B:D,3,FALSE)</f>
        <v>HISPANIC SOFT FAMILY SET</v>
      </c>
      <c r="H62" s="35">
        <f>VLOOKUP(D62,[1]ref!B:E,4,FALSE)</f>
        <v>6</v>
      </c>
      <c r="I62" s="41">
        <v>1000001352</v>
      </c>
      <c r="J62" s="32"/>
      <c r="K62" s="22">
        <v>45688</v>
      </c>
      <c r="L62" s="13">
        <v>1602</v>
      </c>
      <c r="M62" s="14" t="s">
        <v>209</v>
      </c>
    </row>
    <row r="63" s="2" customFormat="1" spans="1:13">
      <c r="A63" s="31">
        <f t="shared" si="3"/>
        <v>224050</v>
      </c>
      <c r="B63" s="31">
        <f t="shared" si="4"/>
        <v>224149</v>
      </c>
      <c r="C63" s="32" t="s">
        <v>23</v>
      </c>
      <c r="D63" s="33" t="str">
        <f>VLOOKUP(C63,[1]ref!A:D,2,FALSE)</f>
        <v>HH994</v>
      </c>
      <c r="E63" s="34">
        <f t="shared" si="5"/>
        <v>100</v>
      </c>
      <c r="F63" s="35">
        <f>VLOOKUP(D63,[1]ref!B:D,2,FALSE)</f>
        <v>633682113012</v>
      </c>
      <c r="G63" s="35" t="str">
        <f>VLOOKUP(D63,[1]ref!B:D,3,FALSE)</f>
        <v>HISPANIC SOFT FAMILY SET</v>
      </c>
      <c r="H63" s="35">
        <f>VLOOKUP(D63,[1]ref!B:E,4,FALSE)</f>
        <v>6</v>
      </c>
      <c r="I63" s="41">
        <v>1000002006</v>
      </c>
      <c r="J63" s="32"/>
      <c r="K63" s="22">
        <v>45688</v>
      </c>
      <c r="L63" s="13">
        <v>600</v>
      </c>
      <c r="M63" s="14" t="s">
        <v>209</v>
      </c>
    </row>
    <row r="64" s="2" customFormat="1" spans="1:13">
      <c r="A64" s="23">
        <f t="shared" si="3"/>
        <v>224150</v>
      </c>
      <c r="B64" s="23">
        <f t="shared" si="4"/>
        <v>224159</v>
      </c>
      <c r="C64" s="16" t="s">
        <v>11</v>
      </c>
      <c r="D64" s="17" t="str">
        <f>VLOOKUP(C64,[1]ref!A:D,2,FALSE)</f>
        <v>142BT</v>
      </c>
      <c r="E64" s="18">
        <f t="shared" si="5"/>
        <v>10</v>
      </c>
      <c r="F64" s="24">
        <f>VLOOKUP(D64,[1]ref!B:D,2,FALSE)</f>
        <v>754046108304</v>
      </c>
      <c r="G64" s="24" t="str">
        <f>VLOOKUP(D64,[1]ref!B:D,3,FALSE)</f>
        <v>5.5"PVC BLACK BAT</v>
      </c>
      <c r="H64" s="24">
        <f>VLOOKUP(D64,[1]ref!B:E,4,FALSE)</f>
        <v>864</v>
      </c>
      <c r="I64" s="41">
        <v>1000002361</v>
      </c>
      <c r="J64" s="16"/>
      <c r="K64" s="22">
        <v>45761</v>
      </c>
      <c r="L64" s="13">
        <v>8640</v>
      </c>
      <c r="M64" s="14" t="s">
        <v>209</v>
      </c>
    </row>
    <row r="65" s="2" customFormat="1" spans="1:13">
      <c r="A65" s="23">
        <f t="shared" si="3"/>
        <v>224160</v>
      </c>
      <c r="B65" s="23">
        <f t="shared" si="4"/>
        <v>224169</v>
      </c>
      <c r="C65" s="16" t="s">
        <v>19</v>
      </c>
      <c r="D65" s="17" t="str">
        <f>VLOOKUP(C65,[1]ref!A:D,2,FALSE)</f>
        <v>682TC</v>
      </c>
      <c r="E65" s="18">
        <f t="shared" si="5"/>
        <v>10</v>
      </c>
      <c r="F65" s="24">
        <f>VLOOKUP(D65,[1]ref!B:D,2,FALSE)</f>
        <v>754046006822</v>
      </c>
      <c r="G65" s="24" t="str">
        <f>VLOOKUP(D65,[1]ref!B:D,3,FALSE)</f>
        <v>TIGER CUBS</v>
      </c>
      <c r="H65" s="24">
        <f>VLOOKUP(D65,[1]ref!B:E,4,FALSE)</f>
        <v>400</v>
      </c>
      <c r="I65" s="25">
        <v>1000002361</v>
      </c>
      <c r="J65" s="16"/>
      <c r="K65" s="22">
        <v>45761</v>
      </c>
      <c r="L65" s="13">
        <v>4000</v>
      </c>
      <c r="M65" s="14" t="s">
        <v>209</v>
      </c>
    </row>
    <row r="66" s="2" customFormat="1" spans="1:13">
      <c r="A66" s="23">
        <f t="shared" si="3"/>
        <v>224170</v>
      </c>
      <c r="B66" s="23">
        <f t="shared" si="4"/>
        <v>224209</v>
      </c>
      <c r="C66" s="16" t="s">
        <v>71</v>
      </c>
      <c r="D66" s="17" t="str">
        <f>VLOOKUP(C66,[1]ref!A:D,2,FALSE)</f>
        <v>154DS</v>
      </c>
      <c r="E66" s="18">
        <f t="shared" si="5"/>
        <v>40</v>
      </c>
      <c r="F66" s="24">
        <f>VLOOKUP(D66,[1]ref!B:D,2,FALSE)</f>
        <v>754046001117</v>
      </c>
      <c r="G66" s="24" t="s">
        <v>73</v>
      </c>
      <c r="H66" s="24">
        <v>100</v>
      </c>
      <c r="I66" s="25">
        <v>1000002361</v>
      </c>
      <c r="J66" s="16"/>
      <c r="K66" s="22">
        <v>45761</v>
      </c>
      <c r="L66" s="13">
        <v>4000</v>
      </c>
      <c r="M66" s="14" t="s">
        <v>209</v>
      </c>
    </row>
    <row r="67" customFormat="1" spans="1:13">
      <c r="A67" s="15">
        <f t="shared" si="3"/>
        <v>224210</v>
      </c>
      <c r="B67" s="15">
        <f t="shared" si="4"/>
        <v>225085</v>
      </c>
      <c r="C67" s="16" t="s">
        <v>99</v>
      </c>
      <c r="D67" s="17" t="str">
        <f>VLOOKUP(C67,[1]ref!A:D,2,FALSE)</f>
        <v>HH393</v>
      </c>
      <c r="E67" s="18">
        <f t="shared" si="5"/>
        <v>876</v>
      </c>
      <c r="F67" s="19">
        <f>VLOOKUP(D67,[1]ref!B:D,2,FALSE)</f>
        <v>633682140063</v>
      </c>
      <c r="G67" s="19" t="str">
        <f>VLOOKUP(D67,[1]ref!B:D,3,FALSE)</f>
        <v>FANTASY ADVENTURE SET</v>
      </c>
      <c r="H67" s="19">
        <f>VLOOKUP(D67,[1]ref!B:E,4,FALSE)</f>
        <v>4</v>
      </c>
      <c r="I67" s="43">
        <v>1000002790</v>
      </c>
      <c r="J67" s="16"/>
      <c r="K67" s="21">
        <v>45661</v>
      </c>
      <c r="L67" s="13">
        <v>3504</v>
      </c>
      <c r="M67" s="14" t="s">
        <v>209</v>
      </c>
    </row>
    <row r="68" customFormat="1" spans="1:13">
      <c r="A68" s="31">
        <f t="shared" si="3"/>
        <v>225086</v>
      </c>
      <c r="B68" s="31">
        <f t="shared" si="4"/>
        <v>226717</v>
      </c>
      <c r="C68" s="32" t="s">
        <v>95</v>
      </c>
      <c r="D68" s="33" t="str">
        <f>VLOOKUP(C68,[1]ref!A:D,2,FALSE)</f>
        <v>HH429</v>
      </c>
      <c r="E68" s="18">
        <f t="shared" si="5"/>
        <v>1632</v>
      </c>
      <c r="F68" s="35">
        <f>VLOOKUP(D68,[1]ref!B:D,2,FALSE)</f>
        <v>633682032085</v>
      </c>
      <c r="G68" s="35" t="str">
        <f>VLOOKUP(D68,[1]ref!B:D,3,FALSE)</f>
        <v>DINOSAURS ADVENTURE SET</v>
      </c>
      <c r="H68" s="35">
        <f>VLOOKUP(D68,[1]ref!B:E,4,FALSE)</f>
        <v>4</v>
      </c>
      <c r="I68" s="43">
        <v>1000002790</v>
      </c>
      <c r="J68" s="32"/>
      <c r="K68" s="22">
        <v>45761</v>
      </c>
      <c r="L68" s="13">
        <v>6528</v>
      </c>
      <c r="M68" s="14" t="s">
        <v>209</v>
      </c>
    </row>
    <row r="69" s="3" customFormat="1" spans="1:13">
      <c r="A69" s="26">
        <f t="shared" si="3"/>
        <v>226718</v>
      </c>
      <c r="B69" s="26">
        <f t="shared" si="4"/>
        <v>226904</v>
      </c>
      <c r="C69" s="27" t="s">
        <v>39</v>
      </c>
      <c r="D69" s="28" t="str">
        <f>VLOOKUP(C69,[1]ref!A:D,2,FALSE)</f>
        <v>GS673</v>
      </c>
      <c r="E69" s="37">
        <f t="shared" si="5"/>
        <v>187</v>
      </c>
      <c r="F69" s="29" t="str">
        <f>VLOOKUP(D69,[1]ref!B:D,2,FALSE)</f>
        <v>007492000068</v>
      </c>
      <c r="G69" s="29" t="str">
        <f>VLOOKUP(D69,[1]ref!B:D,3,FALSE)</f>
        <v>SOFT DINOSAURS - 1</v>
      </c>
      <c r="H69" s="29">
        <f>VLOOKUP(D69,[1]ref!B:E,4,FALSE)</f>
        <v>4</v>
      </c>
      <c r="I69" s="30">
        <v>1000002079</v>
      </c>
      <c r="J69" s="27"/>
      <c r="K69" s="38">
        <v>45985</v>
      </c>
      <c r="L69" s="39">
        <v>748</v>
      </c>
      <c r="M69" s="40" t="s">
        <v>209</v>
      </c>
    </row>
    <row r="70" s="3" customFormat="1" spans="1:13">
      <c r="A70" s="26">
        <f t="shared" si="3"/>
        <v>226905</v>
      </c>
      <c r="B70" s="26">
        <f t="shared" si="4"/>
        <v>227091</v>
      </c>
      <c r="C70" s="27" t="s">
        <v>43</v>
      </c>
      <c r="D70" s="28" t="str">
        <f>VLOOKUP(C70,[1]ref!A:D,2,FALSE)</f>
        <v>GS675</v>
      </c>
      <c r="E70" s="37">
        <f t="shared" si="5"/>
        <v>187</v>
      </c>
      <c r="F70" s="29">
        <f>VLOOKUP(D70,[1]ref!B:D,2,FALSE)</f>
        <v>500000080748</v>
      </c>
      <c r="G70" s="29" t="str">
        <f>VLOOKUP(D70,[1]ref!B:D,3,FALSE)</f>
        <v>SOFT DINOSAURS - 2</v>
      </c>
      <c r="H70" s="29">
        <f>VLOOKUP(D70,[1]ref!B:E,4,FALSE)</f>
        <v>4</v>
      </c>
      <c r="I70" s="30">
        <v>1000002079</v>
      </c>
      <c r="J70" s="27"/>
      <c r="K70" s="38">
        <v>45985</v>
      </c>
      <c r="L70" s="39">
        <v>748</v>
      </c>
      <c r="M70" s="40" t="s">
        <v>209</v>
      </c>
    </row>
    <row r="71" s="3" customFormat="1" ht="16" customHeight="1" spans="1:13">
      <c r="A71" s="26">
        <f t="shared" si="3"/>
        <v>227092</v>
      </c>
      <c r="B71" s="26">
        <f t="shared" si="4"/>
        <v>227192</v>
      </c>
      <c r="C71" s="27" t="s">
        <v>35</v>
      </c>
      <c r="D71" s="28" t="str">
        <f>VLOOKUP(C71,[1]ref!A:D,2,FALSE)</f>
        <v>HH992</v>
      </c>
      <c r="E71" s="37">
        <f t="shared" si="5"/>
        <v>101</v>
      </c>
      <c r="F71" s="29">
        <f>VLOOKUP(D71,[1]ref!B:D,2,FALSE)</f>
        <v>633682112619</v>
      </c>
      <c r="G71" s="29" t="str">
        <f>VLOOKUP(D71,[1]ref!B:D,3,FALSE)</f>
        <v>WHITE SOFT FAMILY SET </v>
      </c>
      <c r="H71" s="29">
        <f>VLOOKUP(D71,[1]ref!B:E,4,FALSE)</f>
        <v>6</v>
      </c>
      <c r="I71" s="30">
        <v>1000002006</v>
      </c>
      <c r="J71" s="27"/>
      <c r="K71" s="38">
        <v>45688</v>
      </c>
      <c r="L71" s="39">
        <v>606</v>
      </c>
      <c r="M71" s="40" t="s">
        <v>209</v>
      </c>
    </row>
    <row r="72" s="3" customFormat="1" spans="1:13">
      <c r="A72" s="26">
        <f t="shared" si="3"/>
        <v>227193</v>
      </c>
      <c r="B72" s="26">
        <f t="shared" si="4"/>
        <v>227292</v>
      </c>
      <c r="C72" s="27" t="s">
        <v>23</v>
      </c>
      <c r="D72" s="28" t="str">
        <f>VLOOKUP(C72,[1]ref!A:D,2,FALSE)</f>
        <v>HH994</v>
      </c>
      <c r="E72" s="37">
        <f t="shared" si="5"/>
        <v>100</v>
      </c>
      <c r="F72" s="29">
        <f>VLOOKUP(D72,[1]ref!B:D,2,FALSE)</f>
        <v>633682113012</v>
      </c>
      <c r="G72" s="29" t="str">
        <f>VLOOKUP(D72,[1]ref!B:D,3,FALSE)</f>
        <v>HISPANIC SOFT FAMILY SET</v>
      </c>
      <c r="H72" s="29">
        <f>VLOOKUP(D72,[1]ref!B:E,4,FALSE)</f>
        <v>6</v>
      </c>
      <c r="I72" s="30">
        <v>1000002006</v>
      </c>
      <c r="J72" s="27"/>
      <c r="K72" s="38">
        <v>45688</v>
      </c>
      <c r="L72" s="39">
        <v>600</v>
      </c>
      <c r="M72" s="40" t="s">
        <v>209</v>
      </c>
    </row>
    <row r="73" s="3" customFormat="1" spans="1:13">
      <c r="A73" s="26">
        <f t="shared" si="3"/>
        <v>227293</v>
      </c>
      <c r="B73" s="26">
        <f t="shared" si="4"/>
        <v>227559</v>
      </c>
      <c r="C73" s="27" t="s">
        <v>31</v>
      </c>
      <c r="D73" s="28" t="str">
        <f>VLOOKUP(C73,[1]ref!A:D,2,FALSE)</f>
        <v>HH991</v>
      </c>
      <c r="E73" s="37">
        <f t="shared" si="5"/>
        <v>267</v>
      </c>
      <c r="F73" s="29">
        <f>VLOOKUP(D73,[1]ref!B:D,2,FALSE)</f>
        <v>633682111193</v>
      </c>
      <c r="G73" s="29" t="str">
        <f>VLOOKUP(D73,[1]ref!B:D,3,FALSE)</f>
        <v>BLACK SOFT FAMILY SET  </v>
      </c>
      <c r="H73" s="29">
        <f>VLOOKUP(D73,[1]ref!B:E,4,FALSE)</f>
        <v>6</v>
      </c>
      <c r="I73" s="30">
        <v>1000003117</v>
      </c>
      <c r="J73" s="27"/>
      <c r="K73" s="38">
        <v>45688</v>
      </c>
      <c r="L73" s="39">
        <v>1602</v>
      </c>
      <c r="M73" s="40" t="s">
        <v>209</v>
      </c>
    </row>
    <row r="74" s="3" customFormat="1" spans="1:13">
      <c r="A74" s="26">
        <f t="shared" si="3"/>
        <v>227560</v>
      </c>
      <c r="B74" s="26">
        <f t="shared" si="4"/>
        <v>227567</v>
      </c>
      <c r="C74" s="27" t="s">
        <v>19</v>
      </c>
      <c r="D74" s="28" t="str">
        <f>VLOOKUP(C74,[1]ref!A:D,2,FALSE)</f>
        <v>682TC</v>
      </c>
      <c r="E74" s="37">
        <f t="shared" si="5"/>
        <v>8</v>
      </c>
      <c r="F74" s="29">
        <f>VLOOKUP(D74,[1]ref!B:D,2,FALSE)</f>
        <v>754046006822</v>
      </c>
      <c r="G74" s="29" t="str">
        <f>VLOOKUP(D74,[1]ref!B:D,3,FALSE)</f>
        <v>TIGER CUBS</v>
      </c>
      <c r="H74" s="29">
        <f>VLOOKUP(D74,[1]ref!B:E,4,FALSE)</f>
        <v>400</v>
      </c>
      <c r="I74" s="30">
        <v>1000003117</v>
      </c>
      <c r="J74" s="27"/>
      <c r="K74" s="38">
        <v>45761</v>
      </c>
      <c r="L74" s="39">
        <v>3200</v>
      </c>
      <c r="M74" s="40" t="s">
        <v>209</v>
      </c>
    </row>
    <row r="75" s="3" customFormat="1" spans="1:13">
      <c r="A75" s="26">
        <f t="shared" si="3"/>
        <v>227568</v>
      </c>
      <c r="B75" s="26">
        <f t="shared" si="4"/>
        <v>227834</v>
      </c>
      <c r="C75" s="27" t="s">
        <v>23</v>
      </c>
      <c r="D75" s="28" t="str">
        <f>VLOOKUP(C75,[1]ref!A:D,2,FALSE)</f>
        <v>HH994</v>
      </c>
      <c r="E75" s="37">
        <f t="shared" si="5"/>
        <v>267</v>
      </c>
      <c r="F75" s="29">
        <f>VLOOKUP(D75,[1]ref!B:D,2,FALSE)</f>
        <v>633682113012</v>
      </c>
      <c r="G75" s="29" t="str">
        <f>VLOOKUP(D75,[1]ref!B:D,3,FALSE)</f>
        <v>HISPANIC SOFT FAMILY SET</v>
      </c>
      <c r="H75" s="29">
        <f>VLOOKUP(D75,[1]ref!B:E,4,FALSE)</f>
        <v>6</v>
      </c>
      <c r="I75" s="30">
        <v>1000001352</v>
      </c>
      <c r="J75" s="27"/>
      <c r="K75" s="38">
        <v>45688</v>
      </c>
      <c r="L75" s="39">
        <v>1602</v>
      </c>
      <c r="M75" s="40" t="s">
        <v>209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M75" etc:filterBottomFollowUsedRange="0">
    <extLst/>
  </autoFilter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 otherUserPermission="edit"/>
  <rangeList sheetStid="47" master="" otherUserPermission="visible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</arrUserId>
  </rangeList>
  <rangeList sheetStid="45" master="" otherUserPermission="visible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</arrUserId>
  </rangeList>
  <rangeList sheetStid="52" master="" otherUserPermission="visible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</arrUserId>
  </rangeList>
  <rangeList sheetStid="53" master="" otherUserPermission="visible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</arrUserId>
  </rangeList>
  <rangeList sheetStid="51" master="" otherUserPermission="visible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</arrUserId>
  </rangeList>
  <rangeList sheetStid="55" master="" otherUserPermission="visible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</arrUserId>
  </rangeList>
</allowEditUser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53">
    <commentChains s:ref="H3" rgbClr="FF0000">
      <unresolved>
        <commentChain chainId="3437f17b02a56f55b5e3d6aefc40228e80fe6c2d">
          <item id="bb7abaa96206cbfd5d8bdc7f67d22aa74dba3d99" isNormal="1">
            <s:text>
              <s:r>
                <s:t xml:space="preserve">Administrator:
转1500PCS到PO：CBE593
转1500PCS到PO：1000000271
转1500PCS到PO：1000001352</s:t>
              </s:r>
            </s:text>
          </item>
        </commentChain>
      </unresolved>
      <resolved/>
    </commentChains>
    <commentChains s:ref="H5" rgbClr="FF0000">
      <unresolved>
        <commentChain chainId="e48d85efade0cb84252a80d8f4623d7892044ec7">
          <item id="3388eb720ff0161f0bdf510cc4a57c349bdd821d" isNormal="1">
            <s:text>
              <s:r>
                <s:t xml:space="preserve">Administrator:
转1500PCS到：1000000271
转1500PCS到：1000001352</s:t>
              </s:r>
            </s:text>
          </item>
        </commentChain>
      </unresolved>
      <resolved/>
    </commentChains>
  </commentList>
  <commentList sheetStid="51">
    <commentChains s:ref="H3" rgbClr="FF0000">
      <unresolved>
        <commentChain chainId="9ebf7e1b9612b2d6ff867936316a541d0034a0c8">
          <item id="92b5ab05fc32f08efdc31420806ae4e210c4077d" isNormal="1">
            <s:text>
              <s:r>
                <s:t xml:space="preserve">Administrator:
转1602PCS到：KAR929
转1602PCS到：1000000721
转1602PCS到：1000001352</s:t>
              </s:r>
            </s:text>
          </item>
        </commentChain>
      </unresolved>
      <resolved/>
    </commentChains>
    <commentChains s:ref="H5" rgbClr="FF0000">
      <unresolved>
        <commentChain chainId="744c20b0150faf2fa56c480acb0d43b1b2196c85">
          <item id="61277bf5e94eed6afe5561ce3e2d02d6080300d9" isNormal="1">
            <s:text>
              <s:r>
                <s:t xml:space="preserve">Administrator:
转1602PCS到：KAR929
转1602PCS到：1000000721
转1602PCS到：1000001352</s:t>
              </s:r>
            </s:text>
          </item>
        </commentChain>
      </unresolved>
      <resolved/>
    </commentChains>
    <commentChains s:ref="H8" rgbClr="FF0000">
      <unresolved>
        <commentChain chainId="8e9b342f321e7fdd85004fdc6ed6095d9da721a0">
          <item id="910f0c7dabd9920a43fa3d8314411d27ecfe10fc" isNormal="1">
            <s:text>
              <s:r>
                <s:t xml:space="preserve">Administrator:
转1008PCS到：1000001352</s:t>
              </s:r>
            </s:text>
          </item>
        </commentChain>
      </unresolved>
      <resolved/>
    </commentChains>
    <commentChains s:ref="H13" rgbClr="FF0000">
      <unresolved>
        <commentChain chainId="cb900faf9ef9f5b6c568438e19c0b86c738b28de">
          <item id="388ec0c9e08e532b70ffa944d32217553de58408" userID="1475148402" userName="sara" dateTime="2026-07-01T07:41:26" isNormal="0">
            <s:text>
              <s:r>
                <s:t xml:space="preserve">1500PCS转入1000003832</s:t>
              </s:r>
            </s:text>
          </item>
        </commentChain>
      </unresolved>
      <resolved/>
    </commentChains>
    <commentChains s:ref="H14" rgbClr="FF0000">
      <unresolved>
        <commentChain chainId="fcc64a8d4851b7fad66f3f13943849d6b3dc9ff8">
          <item id="99cc695fdf2aa8932f44abf1c4e269610de9da86" userID="1475148402" userName="sara" dateTime="2026-07-01T07:41:31" isNormal="0">
            <s:text>
              <s:r>
                <s:t xml:space="preserve">2520PCS转入1000003832</s:t>
              </s:r>
            </s:text>
          </item>
        </commentChain>
      </unresolved>
      <resolved/>
    </commentChains>
    <commentChains s:ref="H15" rgbClr="FF0000">
      <unresolved>
        <commentChain chainId="7fa72a68283b67c27e75f42da2efa4c57eddd8ce">
          <item id="4beba27d54e8a10f598b36d5986b8feda9d8b656" userID="1475148402" userName="sara" dateTime="2026-07-01T07:41:38" isNormal="0">
            <s:text>
              <s:r>
                <s:t xml:space="preserve">2520PCS转入1000003832</s:t>
              </s:r>
            </s:text>
          </item>
        </commentChain>
      </unresolved>
      <resolved/>
    </commentChains>
  </commentList>
</comments>
</file>

<file path=customXml/item3.xml><?xml version="1.0" encoding="utf-8"?>
<woProps xmlns="https://web.wps.cn/et/2018/main" xmlns:s="http://schemas.openxmlformats.org/spreadsheetml/2006/main">
  <woSheetsProps>
    <woSheetProps sheetStid="48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52" interlineOnOff="0" interlineColor="0" isDbSheet="0" isDashBoardSheet="0" isDbDashBoardSheet="0" isFlexPaperSheet="0">
      <cellprotection/>
      <appEtDbRelations/>
    </woSheetProps>
    <woSheetProps sheetStid="53" interlineOnOff="0" interlineColor="0" isDbSheet="0" isDashBoardSheet="0" isDbDashBoardSheet="0" isFlexPaperSheet="0">
      <cellprotection/>
      <appEtDbRelations/>
    </woSheetProps>
    <woSheetProps sheetStid="51" interlineOnOff="0" interlineColor="0" isDbSheet="0" isDashBoardSheet="0" isDbDashBoardSheet="0" isFlexPaperSheet="0">
      <cellprotection/>
      <appEtDbRelations/>
    </woSheetProps>
    <woSheetProps sheetStid="55" interlineOnOff="0" interlineColor="0" isDbSheet="0" isDashBoardSheet="0" isDbDashBoardSheet="0" isFlexPaperSheet="0">
      <cellprotection/>
      <appEtDbRelations/>
    </woSheetProps>
  </woSheetsProps>
  <woBookProps>
    <bookSettings fileId="531717903423" isFilterShared="1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48"/>
  <pixelatorList sheetStid="47"/>
  <pixelatorList sheetStid="45"/>
  <pixelatorList sheetStid="52"/>
  <pixelatorList sheetStid="53"/>
  <pixelatorList sheetStid="51"/>
  <pixelatorList sheetStid="55"/>
  <pixelatorList sheetStid="56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名称</vt:lpstr>
      <vt:lpstr>总接单</vt:lpstr>
      <vt:lpstr>总排期</vt:lpstr>
      <vt:lpstr>已走货</vt:lpstr>
      <vt:lpstr>取消单</vt:lpstr>
      <vt:lpstr>MA</vt:lpstr>
      <vt:lpstr>外箱贴纸箱号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张宇婕</cp:lastModifiedBy>
  <dcterms:created xsi:type="dcterms:W3CDTF">1996-12-28T17:32:00Z</dcterms:created>
  <cp:lastPrinted>2018-12-25T01:58:00Z</cp:lastPrinted>
  <dcterms:modified xsi:type="dcterms:W3CDTF">2026-06-26T16:51:00Z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ICV">
    <vt:lpwstr>3B3A2AC3DD744DE58CACD202E25E762A_13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