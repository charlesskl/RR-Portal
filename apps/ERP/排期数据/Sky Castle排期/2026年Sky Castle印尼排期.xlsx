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CCA"/>
  <workbookPr/>
  <bookViews>
    <workbookView windowWidth="27945" windowHeight="11925" tabRatio="923" firstSheet="1" activeTab="2"/>
  </bookViews>
  <sheets>
    <sheet name="名称" sheetId="48" state="hidden" r:id="rId1"/>
    <sheet name="总接单" sheetId="47" r:id="rId2"/>
    <sheet name="总排期" sheetId="45" r:id="rId3"/>
    <sheet name="已走货" sheetId="58" r:id="rId4"/>
    <sheet name="取消单" sheetId="57" r:id="rId5"/>
    <sheet name="汇总" sheetId="56" r:id="rId6"/>
  </sheets>
  <externalReferences>
    <externalReference r:id="rId8"/>
  </externalReferences>
  <definedNames>
    <definedName name="_xlnm._FilterDatabase" localSheetId="0" hidden="1">名称!$A$1:$C$42</definedName>
    <definedName name="_xlnm._FilterDatabase" localSheetId="1" hidden="1">总接单!$A$2:$T$17</definedName>
    <definedName name="_xlnm._FilterDatabase" localSheetId="2" hidden="1">总排期!$A$2:$BD$11</definedName>
    <definedName name="_xlnm._FilterDatabase" localSheetId="3" hidden="1">已走货!$A$2:$BD$13</definedName>
    <definedName name="_xlnm._FilterDatabase" localSheetId="4" hidden="1">取消单!$A$2:$BD$10</definedName>
    <definedName name="_xlnm._FilterDatabase" localSheetId="5" hidden="1">汇总!$A$1:$I$8</definedName>
    <definedName name="_xlnm.Print_Area" localSheetId="2">总排期!$A$1:$AZ$1</definedName>
    <definedName name="_xlnm.Print_Area" localSheetId="4">取消单!$A$1:$AZ$1</definedName>
    <definedName name="_xlnm.Print_Area" localSheetId="3">已走货!$A$1:$AZ$1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V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湖南：HN
华嘉：HJ
润展：RZ
河源：HY
华登：HD</t>
        </r>
      </text>
    </comment>
    <comment ref="AL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例子如果是2024年7月31日生产，日期码为 I212RRKK 格式讲解
I 固定不变
212 为一年的第212天，正好7月31日为这一年的212天
RR 公司代码
KK 工厂代码（如果是东莞生产就是DG）
</t>
        </r>
      </text>
    </comment>
  </commentList>
</comments>
</file>

<file path=xl/comments2.xml><?xml version="1.0" encoding="utf-8"?>
<comments xmlns="http://schemas.openxmlformats.org/spreadsheetml/2006/main">
  <authors>
    <author>DELL</author>
  </authors>
  <commentList>
    <comment ref="V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湖南：HN
华嘉：HJ
润展：RZ
河源：HY
华登：HD</t>
        </r>
      </text>
    </comment>
    <comment ref="AL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例子如果是2024年7月31日生产，日期码为 I212RRKK 格式讲解
I 固定不变
212 为一年的第212天，正好7月31日为这一年的212天
RR 公司代码
KK 工厂代码（如果是东莞生产就是DG）
</t>
        </r>
      </text>
    </comment>
  </commentList>
</comments>
</file>

<file path=xl/comments3.xml><?xml version="1.0" encoding="utf-8"?>
<comments xmlns="http://schemas.openxmlformats.org/spreadsheetml/2006/main">
  <authors>
    <author>DELL</author>
  </authors>
  <commentList>
    <comment ref="V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湖南：HN
华嘉：HJ
润展：RZ
河源：HY
华登：HD</t>
        </r>
      </text>
    </comment>
    <comment ref="AL1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例子如果是2024年7月31日生产，日期码为 I212RRKK 格式讲解
I 固定不变
212 为一年的第212天，正好7月31日为这一年的212天
RR 公司代码
KK 工厂代码（如果是东莞生产就是DG）
</t>
        </r>
      </text>
    </comment>
  </commentList>
</comments>
</file>

<file path=xl/sharedStrings.xml><?xml version="1.0" encoding="utf-8"?>
<sst xmlns="http://schemas.openxmlformats.org/spreadsheetml/2006/main" count="480" uniqueCount="147">
  <si>
    <t>货号</t>
  </si>
  <si>
    <t>贴纸用量</t>
  </si>
  <si>
    <t>装箱数</t>
  </si>
  <si>
    <t>SR000</t>
  </si>
  <si>
    <t>SR100</t>
  </si>
  <si>
    <t>SR100CDU-16</t>
  </si>
  <si>
    <t>SR100CDU-24</t>
  </si>
  <si>
    <t>SR101CDU</t>
  </si>
  <si>
    <t>SR160</t>
  </si>
  <si>
    <t>SR200</t>
  </si>
  <si>
    <t>SR200CO</t>
  </si>
  <si>
    <t>SR300</t>
  </si>
  <si>
    <t>SR460</t>
  </si>
  <si>
    <t>SR600</t>
  </si>
  <si>
    <t>SR100CDU-9</t>
  </si>
  <si>
    <t>SR100-</t>
  </si>
  <si>
    <t>密封盒</t>
  </si>
  <si>
    <t>SR200-</t>
  </si>
  <si>
    <t>SR001</t>
  </si>
  <si>
    <t>SR102C</t>
  </si>
  <si>
    <t>SR102CDU-16</t>
  </si>
  <si>
    <t>SR201C</t>
  </si>
  <si>
    <t>SR301C</t>
  </si>
  <si>
    <t>JS300</t>
  </si>
  <si>
    <t>SR103</t>
  </si>
  <si>
    <t>SR103CDU-12</t>
  </si>
  <si>
    <t>JS100</t>
  </si>
  <si>
    <t>SR130</t>
  </si>
  <si>
    <t>SR430</t>
  </si>
  <si>
    <t>SR102CDU-24</t>
  </si>
  <si>
    <t>SR102CDU-9</t>
  </si>
  <si>
    <t>SR201</t>
  </si>
  <si>
    <t>SR301</t>
  </si>
  <si>
    <t>SR400CDU-6</t>
  </si>
  <si>
    <t>SR102</t>
  </si>
  <si>
    <t>SR400</t>
  </si>
  <si>
    <t>SR320</t>
  </si>
  <si>
    <t>SR130CDU-24</t>
  </si>
  <si>
    <t>SR103CDU-24</t>
  </si>
  <si>
    <t>SR020</t>
  </si>
  <si>
    <t>SR160CDU-12</t>
  </si>
  <si>
    <t>SR201C-CDU-5</t>
  </si>
  <si>
    <t>SR130CDU-12</t>
  </si>
  <si>
    <t>SR370</t>
  </si>
  <si>
    <t>产品名称</t>
  </si>
  <si>
    <t>接单期</t>
  </si>
  <si>
    <t>出货期</t>
  </si>
  <si>
    <t>CUSTOMER PO</t>
  </si>
  <si>
    <t>PO号</t>
  </si>
  <si>
    <t>数量</t>
  </si>
  <si>
    <t>包装版本</t>
  </si>
  <si>
    <t>单价USD</t>
  </si>
  <si>
    <t>金额USD</t>
  </si>
  <si>
    <t>金额HKD</t>
  </si>
  <si>
    <t>JAZ292848</t>
  </si>
  <si>
    <t>PO0000208</t>
  </si>
  <si>
    <t>第二代美文版</t>
  </si>
  <si>
    <t>JAZ292849</t>
  </si>
  <si>
    <t>PO0000209</t>
  </si>
  <si>
    <t>PO0000446</t>
  </si>
  <si>
    <t>合计：</t>
  </si>
  <si>
    <r>
      <rPr>
        <b/>
        <sz val="9"/>
        <color rgb="FFFF0000"/>
        <rFont val="宋体"/>
        <charset val="134"/>
      </rPr>
      <t>美国</t>
    </r>
  </si>
  <si>
    <r>
      <rPr>
        <b/>
        <sz val="9"/>
        <color rgb="FFFF0000"/>
        <rFont val="宋体"/>
        <charset val="134"/>
      </rPr>
      <t>总接单：</t>
    </r>
  </si>
  <si>
    <t>总排期：</t>
  </si>
  <si>
    <t>已走货：</t>
  </si>
  <si>
    <t>已出货：</t>
  </si>
  <si>
    <t>以下标注内容区分识别备注：</t>
  </si>
  <si>
    <t>类型</t>
  </si>
  <si>
    <t>内容</t>
  </si>
  <si>
    <t>黄色填充</t>
  </si>
  <si>
    <t>新加单或更改</t>
  </si>
  <si>
    <t>粉色填充</t>
  </si>
  <si>
    <t>扣单/转单</t>
  </si>
  <si>
    <t>蓝色字体</t>
  </si>
  <si>
    <t>已经完成订单</t>
  </si>
  <si>
    <t>粉色字体</t>
  </si>
  <si>
    <t>已经出货</t>
  </si>
  <si>
    <t>红色字体</t>
  </si>
  <si>
    <t>取消单</t>
  </si>
  <si>
    <t>提醒追客箱唛</t>
  </si>
  <si>
    <t>客名</t>
  </si>
  <si>
    <t>国家</t>
  </si>
  <si>
    <t>总贴纸用量</t>
  </si>
  <si>
    <t>外箱</t>
  </si>
  <si>
    <t>总箱数</t>
  </si>
  <si>
    <t>客PO期（订单）</t>
  </si>
  <si>
    <t>RR回复出货期</t>
  </si>
  <si>
    <t>TMAX验货期</t>
  </si>
  <si>
    <t>TMAX验货结果</t>
  </si>
  <si>
    <t>第三方QC验货期</t>
  </si>
  <si>
    <t>第三方验货结果</t>
  </si>
  <si>
    <t>船期SO</t>
  </si>
  <si>
    <t>生产车间</t>
  </si>
  <si>
    <t>彩盒/外箱贴纸</t>
  </si>
  <si>
    <t>箱唛/时间</t>
  </si>
  <si>
    <t>吸塑</t>
  </si>
  <si>
    <t>收藏指南/说明书</t>
  </si>
  <si>
    <t>彩盒/CDU/底纸</t>
  </si>
  <si>
    <t>笔记本</t>
  </si>
  <si>
    <t>收缩膜/胶袋</t>
  </si>
  <si>
    <t>是否已签板</t>
  </si>
  <si>
    <t>日期码</t>
  </si>
  <si>
    <t>备注</t>
  </si>
  <si>
    <t>发票号</t>
  </si>
  <si>
    <t>发票日期</t>
  </si>
  <si>
    <t>是否入系统</t>
  </si>
  <si>
    <t>TMAX跟单</t>
  </si>
  <si>
    <t>RR跟单</t>
  </si>
  <si>
    <t>内部PO</t>
  </si>
  <si>
    <t>谭凤娟仓库物料交期</t>
  </si>
  <si>
    <t>邹琼珍仓库物料交期</t>
  </si>
  <si>
    <t>黄艳华仓库物料交期</t>
  </si>
  <si>
    <t>彭又君仓库纸箱交期</t>
  </si>
  <si>
    <t>送回数量</t>
  </si>
  <si>
    <t>欠数</t>
  </si>
  <si>
    <t>仓库位置</t>
  </si>
  <si>
    <t>做货是否需要</t>
  </si>
  <si>
    <t>是否收到</t>
  </si>
  <si>
    <t>客提供档案时间</t>
  </si>
  <si>
    <t>提供给客确认时间</t>
  </si>
  <si>
    <t>确认时间</t>
  </si>
  <si>
    <t>做货要求</t>
  </si>
  <si>
    <t>做货版本</t>
  </si>
  <si>
    <t>彩盒/CDU(版本）</t>
  </si>
  <si>
    <t>彩盒底纸</t>
  </si>
  <si>
    <t>Jazwares- INVENTORY DOM</t>
  </si>
  <si>
    <t>美国</t>
  </si>
  <si>
    <t>欠</t>
  </si>
  <si>
    <t>/</t>
  </si>
  <si>
    <t>OK</t>
  </si>
  <si>
    <t>通用美文版</t>
  </si>
  <si>
    <t>I272RRKK</t>
  </si>
  <si>
    <t>J钩吸塑</t>
  </si>
  <si>
    <t>第二代美文版底纸烫金</t>
  </si>
  <si>
    <t>JAZWARES - OSIRIS INC</t>
  </si>
  <si>
    <t>CFS CUT: 8/17-8/19 (16:00)</t>
  </si>
  <si>
    <t>合计</t>
  </si>
  <si>
    <t>Sky Castle Toys</t>
  </si>
  <si>
    <t>印度尼西亚</t>
  </si>
  <si>
    <t>USSC041</t>
  </si>
  <si>
    <t>YN</t>
  </si>
  <si>
    <t>USSC042</t>
  </si>
  <si>
    <t>第二代彩盒底纸烫金</t>
  </si>
  <si>
    <t>接单</t>
  </si>
  <si>
    <t>排期</t>
  </si>
  <si>
    <t>走货</t>
  </si>
  <si>
    <t>相差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</si>
</sst>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.00_ ;[Red]\-0.00\ "/>
    <numFmt numFmtId="178" formatCode="yyyy/m/d&quot;周&quot;aaa"/>
    <numFmt numFmtId="179" formatCode="m&quot;月&quot;d&quot;日&quot;;@"/>
    <numFmt numFmtId="180" formatCode="0.000_ ;[Red]\-0.000\ "/>
    <numFmt numFmtId="181" formatCode="yyyy/m/d;@"/>
    <numFmt numFmtId="182" formatCode="m&quot;月&quot;d&quot;日&quot;\(aaa\)"/>
    <numFmt numFmtId="183" formatCode="0_ ;[Red]\-0\ "/>
  </numFmts>
  <fonts count="46">
    <font>
      <sz val="12"/>
      <name val="宋体"/>
      <charset val="134"/>
    </font>
    <font>
      <sz val="12"/>
      <name val="Times New Roman"/>
      <charset val="134"/>
    </font>
    <font>
      <sz val="9"/>
      <name val="宋体"/>
      <charset val="134"/>
      <scheme val="major"/>
    </font>
    <font>
      <sz val="9"/>
      <color rgb="FFFF0000"/>
      <name val="宋体"/>
      <charset val="134"/>
      <scheme val="major"/>
    </font>
    <font>
      <b/>
      <sz val="9"/>
      <color rgb="FFFF0000"/>
      <name val="宋体"/>
      <charset val="134"/>
      <scheme val="major"/>
    </font>
    <font>
      <sz val="9"/>
      <name val="宋体"/>
      <charset val="134"/>
    </font>
    <font>
      <sz val="9"/>
      <color rgb="FFFF0000"/>
      <name val="宋体"/>
      <charset val="134"/>
    </font>
    <font>
      <sz val="9"/>
      <color rgb="FF1B1BFB"/>
      <name val="宋体"/>
      <charset val="134"/>
    </font>
    <font>
      <sz val="9"/>
      <color rgb="FFFF00FF"/>
      <name val="宋体"/>
      <charset val="134"/>
      <scheme val="major"/>
    </font>
    <font>
      <b/>
      <sz val="10"/>
      <color rgb="FFFF0000"/>
      <name val="Times New Roman"/>
      <charset val="134"/>
    </font>
    <font>
      <b/>
      <sz val="10"/>
      <color rgb="FF000000"/>
      <name val="Times New Roman"/>
      <charset val="134"/>
    </font>
    <font>
      <sz val="9"/>
      <color rgb="FFFF00FF"/>
      <name val="宋体"/>
      <charset val="134"/>
    </font>
    <font>
      <sz val="9"/>
      <color rgb="FF000000"/>
      <name val="宋体"/>
      <charset val="134"/>
    </font>
    <font>
      <b/>
      <sz val="9"/>
      <color rgb="FFFF0000"/>
      <name val="宋体"/>
      <charset val="134"/>
    </font>
    <font>
      <sz val="12"/>
      <color rgb="FFFF0000"/>
      <name val="宋体"/>
      <charset val="134"/>
    </font>
    <font>
      <sz val="9"/>
      <name val="Times New Roman"/>
      <charset val="134"/>
    </font>
    <font>
      <b/>
      <sz val="9"/>
      <color rgb="FFFF0000"/>
      <name val="Times New Roman"/>
      <charset val="134"/>
    </font>
    <font>
      <b/>
      <sz val="9"/>
      <name val="宋体"/>
      <charset val="134"/>
    </font>
    <font>
      <sz val="9"/>
      <color rgb="FF0000FF"/>
      <name val="宋体"/>
      <charset val="134"/>
      <scheme val="major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sz val="10"/>
      <color indexed="8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CA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6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4" borderId="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8" applyNumberFormat="0" applyAlignment="0" applyProtection="0">
      <alignment vertical="center"/>
    </xf>
    <xf numFmtId="0" fontId="31" fillId="6" borderId="9" applyNumberFormat="0" applyAlignment="0" applyProtection="0">
      <alignment vertical="center"/>
    </xf>
    <xf numFmtId="0" fontId="32" fillId="6" borderId="8" applyNumberFormat="0" applyAlignment="0" applyProtection="0">
      <alignment vertical="center"/>
    </xf>
    <xf numFmtId="0" fontId="33" fillId="7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176" fontId="0" fillId="0" borderId="0"/>
    <xf numFmtId="0" fontId="0" fillId="0" borderId="0" applyProtection="0"/>
    <xf numFmtId="0" fontId="21" fillId="0" borderId="0">
      <alignment vertical="center"/>
    </xf>
    <xf numFmtId="0" fontId="41" fillId="0" borderId="0"/>
    <xf numFmtId="0" fontId="21" fillId="0" borderId="0">
      <alignment vertical="center"/>
    </xf>
    <xf numFmtId="0" fontId="42" fillId="0" borderId="0"/>
    <xf numFmtId="0" fontId="0" fillId="0" borderId="0" applyProtection="0"/>
    <xf numFmtId="0" fontId="0" fillId="0" borderId="0"/>
    <xf numFmtId="176" fontId="0" fillId="0" borderId="0"/>
    <xf numFmtId="176" fontId="0" fillId="0" borderId="0"/>
    <xf numFmtId="0" fontId="0" fillId="0" borderId="0"/>
    <xf numFmtId="0" fontId="1" fillId="0" borderId="0"/>
    <xf numFmtId="176" fontId="0" fillId="0" borderId="0"/>
    <xf numFmtId="0" fontId="0" fillId="0" borderId="0" applyProtection="0"/>
    <xf numFmtId="0" fontId="0" fillId="0" borderId="0" applyProtection="0"/>
    <xf numFmtId="176" fontId="0" fillId="0" borderId="0"/>
    <xf numFmtId="0" fontId="0" fillId="0" borderId="0" applyProtection="0"/>
    <xf numFmtId="0" fontId="0" fillId="0" borderId="0" applyProtection="0"/>
    <xf numFmtId="0" fontId="0" fillId="0" borderId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3" fillId="0" borderId="0">
      <alignment vertical="top"/>
    </xf>
    <xf numFmtId="0" fontId="0" fillId="0" borderId="0"/>
  </cellStyleXfs>
  <cellXfs count="15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8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/>
    </xf>
    <xf numFmtId="179" fontId="2" fillId="0" borderId="0" xfId="0" applyNumberFormat="1" applyFont="1" applyFill="1" applyBorder="1" applyAlignment="1" applyProtection="1">
      <alignment horizontal="center" vertical="center" wrapText="1"/>
    </xf>
    <xf numFmtId="180" fontId="2" fillId="0" borderId="0" xfId="0" applyNumberFormat="1" applyFont="1" applyFill="1" applyBorder="1" applyAlignment="1" applyProtection="1">
      <alignment horizontal="center" vertical="center" wrapText="1"/>
    </xf>
    <xf numFmtId="177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 wrapText="1" shrinkToFit="1"/>
    </xf>
    <xf numFmtId="181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Border="1"/>
    <xf numFmtId="178" fontId="5" fillId="0" borderId="1" xfId="0" applyNumberFormat="1" applyFont="1" applyFill="1" applyBorder="1" applyAlignment="1" applyProtection="1">
      <alignment horizontal="center" vertical="center" wrapText="1" shrinkToFit="1"/>
    </xf>
    <xf numFmtId="178" fontId="6" fillId="0" borderId="2" xfId="0" applyNumberFormat="1" applyFont="1" applyFill="1" applyBorder="1" applyAlignment="1" applyProtection="1">
      <alignment horizontal="center" vertical="center" wrapText="1" shrinkToFit="1"/>
    </xf>
    <xf numFmtId="0" fontId="2" fillId="0" borderId="2" xfId="0" applyFont="1" applyFill="1" applyBorder="1" applyAlignment="1" applyProtection="1">
      <alignment horizontal="center" vertical="center" wrapText="1"/>
    </xf>
    <xf numFmtId="178" fontId="7" fillId="0" borderId="1" xfId="0" applyNumberFormat="1" applyFont="1" applyFill="1" applyBorder="1" applyAlignment="1" applyProtection="1">
      <alignment horizontal="center" vertical="center" wrapText="1" shrinkToFit="1"/>
    </xf>
    <xf numFmtId="178" fontId="2" fillId="0" borderId="1" xfId="0" applyNumberFormat="1" applyFont="1" applyFill="1" applyBorder="1" applyAlignment="1" applyProtection="1">
      <alignment horizontal="center" vertical="center" wrapText="1" shrinkToFit="1"/>
    </xf>
    <xf numFmtId="178" fontId="5" fillId="0" borderId="2" xfId="0" applyNumberFormat="1" applyFont="1" applyFill="1" applyBorder="1" applyAlignment="1" applyProtection="1">
      <alignment horizontal="center" vertical="center" wrapText="1" shrinkToFit="1"/>
    </xf>
    <xf numFmtId="179" fontId="2" fillId="0" borderId="1" xfId="0" applyNumberFormat="1" applyFont="1" applyFill="1" applyBorder="1" applyAlignment="1" applyProtection="1">
      <alignment horizontal="center" vertical="center" wrapText="1" shrinkToFi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178" fontId="6" fillId="0" borderId="3" xfId="0" applyNumberFormat="1" applyFont="1" applyFill="1" applyBorder="1" applyAlignment="1" applyProtection="1">
      <alignment horizontal="center" vertical="center" wrapText="1" shrinkToFit="1"/>
    </xf>
    <xf numFmtId="0" fontId="2" fillId="0" borderId="3" xfId="0" applyFont="1" applyFill="1" applyBorder="1" applyAlignment="1" applyProtection="1">
      <alignment horizontal="center" vertical="center" wrapText="1"/>
    </xf>
    <xf numFmtId="178" fontId="5" fillId="0" borderId="3" xfId="0" applyNumberFormat="1" applyFont="1" applyFill="1" applyBorder="1" applyAlignment="1" applyProtection="1">
      <alignment horizontal="center" vertical="center" wrapText="1" shrinkToFit="1"/>
    </xf>
    <xf numFmtId="178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182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 shrinkToFit="1"/>
    </xf>
    <xf numFmtId="0" fontId="3" fillId="0" borderId="1" xfId="0" applyNumberFormat="1" applyFont="1" applyFill="1" applyBorder="1" applyAlignment="1" applyProtection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 applyProtection="1">
      <alignment horizontal="center" vertical="center" wrapText="1" shrinkToFit="1"/>
    </xf>
    <xf numFmtId="179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180" fontId="3" fillId="0" borderId="1" xfId="0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181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NumberFormat="1" applyFont="1" applyFill="1" applyBorder="1" applyAlignment="1" applyProtection="1">
      <alignment horizontal="center" vertical="center"/>
    </xf>
    <xf numFmtId="58" fontId="4" fillId="0" borderId="1" xfId="0" applyNumberFormat="1" applyFont="1" applyFill="1" applyBorder="1" applyAlignment="1" applyProtection="1">
      <alignment horizontal="center" vertical="center"/>
    </xf>
    <xf numFmtId="178" fontId="2" fillId="0" borderId="1" xfId="0" applyNumberFormat="1" applyFont="1" applyFill="1" applyBorder="1" applyAlignment="1" applyProtection="1">
      <alignment horizontal="center" vertical="center" wrapText="1"/>
    </xf>
    <xf numFmtId="182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 shrinkToFit="1"/>
    </xf>
    <xf numFmtId="0" fontId="2" fillId="0" borderId="1" xfId="0" applyNumberFormat="1" applyFont="1" applyFill="1" applyBorder="1" applyAlignment="1" applyProtection="1">
      <alignment horizontal="center" vertical="center" wrapText="1" shrinkToFit="1"/>
    </xf>
    <xf numFmtId="0" fontId="2" fillId="0" borderId="1" xfId="0" applyNumberFormat="1" applyFont="1" applyFill="1" applyBorder="1" applyAlignment="1">
      <alignment horizontal="center" vertical="center" wrapText="1" shrinkToFit="1"/>
    </xf>
    <xf numFmtId="0" fontId="2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 applyProtection="1">
      <alignment horizontal="center" vertical="center" wrapText="1"/>
    </xf>
    <xf numFmtId="180" fontId="2" fillId="0" borderId="1" xfId="0" applyNumberFormat="1" applyFont="1" applyFill="1" applyBorder="1" applyAlignment="1" applyProtection="1">
      <alignment horizontal="center" vertical="center" wrapText="1"/>
    </xf>
    <xf numFmtId="177" fontId="2" fillId="0" borderId="1" xfId="0" applyNumberFormat="1" applyFont="1" applyFill="1" applyBorder="1" applyAlignment="1" applyProtection="1">
      <alignment horizontal="center" vertical="center" wrapText="1"/>
    </xf>
    <xf numFmtId="181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Fill="1" applyBorder="1" applyAlignment="1" applyProtection="1">
      <alignment horizontal="center" vertical="center"/>
    </xf>
    <xf numFmtId="178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177" fontId="2" fillId="0" borderId="1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 wrapText="1" shrinkToFit="1"/>
    </xf>
    <xf numFmtId="0" fontId="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182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 shrinkToFit="1"/>
    </xf>
    <xf numFmtId="0" fontId="8" fillId="0" borderId="1" xfId="0" applyNumberFormat="1" applyFont="1" applyFill="1" applyBorder="1" applyAlignment="1" applyProtection="1">
      <alignment horizontal="center" vertical="center" wrapText="1" shrinkToFit="1"/>
    </xf>
    <xf numFmtId="0" fontId="8" fillId="0" borderId="1" xfId="0" applyNumberFormat="1" applyFont="1" applyFill="1" applyBorder="1" applyAlignment="1">
      <alignment horizontal="center" vertical="center" wrapText="1" shrinkToFit="1"/>
    </xf>
    <xf numFmtId="0" fontId="8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 applyProtection="1">
      <alignment horizontal="center" vertical="center" wrapText="1" shrinkToFit="1"/>
    </xf>
    <xf numFmtId="58" fontId="8" fillId="0" borderId="1" xfId="0" applyNumberFormat="1" applyFont="1" applyFill="1" applyBorder="1" applyAlignment="1" applyProtection="1">
      <alignment horizontal="center" vertical="center" wrapText="1"/>
    </xf>
    <xf numFmtId="179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180" fontId="8" fillId="0" borderId="1" xfId="0" applyNumberFormat="1" applyFont="1" applyFill="1" applyBorder="1" applyAlignment="1" applyProtection="1">
      <alignment horizontal="center" vertical="center" wrapText="1"/>
    </xf>
    <xf numFmtId="177" fontId="8" fillId="0" borderId="1" xfId="0" applyNumberFormat="1" applyFont="1" applyFill="1" applyBorder="1" applyAlignment="1" applyProtection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78" fontId="10" fillId="0" borderId="4" xfId="0" applyNumberFormat="1" applyFont="1" applyBorder="1" applyAlignment="1">
      <alignment horizontal="center" vertical="center" shrinkToFit="1"/>
    </xf>
    <xf numFmtId="181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/>
    <xf numFmtId="0" fontId="12" fillId="0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182" fontId="12" fillId="0" borderId="1" xfId="0" applyNumberFormat="1" applyFont="1" applyFill="1" applyBorder="1" applyAlignment="1" applyProtection="1">
      <alignment horizontal="center" vertical="center" wrapText="1"/>
    </xf>
    <xf numFmtId="178" fontId="2" fillId="2" borderId="1" xfId="0" applyNumberFormat="1" applyFont="1" applyFill="1" applyBorder="1" applyAlignment="1" applyProtection="1">
      <alignment horizontal="center" vertical="center" wrapText="1"/>
    </xf>
    <xf numFmtId="58" fontId="2" fillId="0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/>
    <xf numFmtId="0" fontId="0" fillId="0" borderId="0" xfId="0" applyFont="1"/>
    <xf numFmtId="178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 wrapText="1"/>
    </xf>
    <xf numFmtId="177" fontId="5" fillId="0" borderId="0" xfId="0" applyNumberFormat="1" applyFont="1" applyFill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shrinkToFit="1"/>
    </xf>
    <xf numFmtId="178" fontId="5" fillId="0" borderId="1" xfId="0" applyNumberFormat="1" applyFont="1" applyFill="1" applyBorder="1" applyAlignment="1">
      <alignment horizontal="center" vertical="center" wrapText="1" shrinkToFit="1"/>
    </xf>
    <xf numFmtId="178" fontId="2" fillId="0" borderId="1" xfId="0" applyNumberFormat="1" applyFont="1" applyFill="1" applyBorder="1" applyAlignment="1">
      <alignment horizontal="center" vertical="center" wrapText="1" shrinkToFit="1"/>
    </xf>
    <xf numFmtId="180" fontId="2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180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13" fillId="0" borderId="1" xfId="0" applyNumberFormat="1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183" fontId="13" fillId="0" borderId="0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 wrapText="1"/>
    </xf>
    <xf numFmtId="177" fontId="16" fillId="0" borderId="0" xfId="0" applyNumberFormat="1" applyFont="1" applyFill="1" applyBorder="1" applyAlignment="1">
      <alignment horizontal="center" vertical="center" wrapText="1"/>
    </xf>
    <xf numFmtId="178" fontId="16" fillId="0" borderId="0" xfId="0" applyNumberFormat="1" applyFont="1" applyFill="1" applyBorder="1" applyAlignment="1">
      <alignment horizontal="right" vertical="center" wrapText="1"/>
    </xf>
    <xf numFmtId="178" fontId="13" fillId="0" borderId="0" xfId="0" applyNumberFormat="1" applyFont="1" applyFill="1" applyBorder="1" applyAlignment="1">
      <alignment horizontal="right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80" fontId="6" fillId="0" borderId="0" xfId="0" applyNumberFormat="1" applyFont="1" applyFill="1" applyAlignment="1">
      <alignment horizontal="center" vertical="center" wrapText="1"/>
    </xf>
    <xf numFmtId="177" fontId="6" fillId="0" borderId="0" xfId="0" applyNumberFormat="1" applyFont="1" applyFill="1" applyAlignment="1">
      <alignment horizontal="center" vertical="center" wrapText="1"/>
    </xf>
    <xf numFmtId="178" fontId="17" fillId="0" borderId="0" xfId="0" applyNumberFormat="1" applyFont="1" applyFill="1" applyBorder="1" applyAlignment="1">
      <alignment horizontal="right" vertical="center" wrapText="1"/>
    </xf>
    <xf numFmtId="177" fontId="17" fillId="0" borderId="0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Alignment="1">
      <alignment horizontal="left" vertical="center"/>
    </xf>
    <xf numFmtId="178" fontId="2" fillId="0" borderId="0" xfId="0" applyNumberFormat="1" applyFont="1" applyFill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</xf>
    <xf numFmtId="178" fontId="18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</cellXfs>
  <cellStyles count="9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2 3 3" xfId="50"/>
    <cellStyle name="常规 6" xfId="51"/>
    <cellStyle name="Normal_Book1_INVOICE (Tray 2+ 3) 2003070091&amp;031212" xfId="52"/>
    <cellStyle name="常规 5 2" xfId="53"/>
    <cellStyle name="_ET_STYLE_NoName_00_" xfId="54"/>
    <cellStyle name="常规 2 5" xfId="55"/>
    <cellStyle name="样式 1 2 2" xfId="56"/>
    <cellStyle name="常规 2 2 2" xfId="57"/>
    <cellStyle name="常规 2 2 3" xfId="58"/>
    <cellStyle name="样式 1 2 3" xfId="59"/>
    <cellStyle name="Normal 2" xfId="60"/>
    <cellStyle name="常规 2 2" xfId="61"/>
    <cellStyle name="常规 2 3" xfId="62"/>
    <cellStyle name="常规 2 3 2" xfId="63"/>
    <cellStyle name="常规 2" xfId="64"/>
    <cellStyle name="常规 2 3 2 2" xfId="65"/>
    <cellStyle name="常规 2 4" xfId="66"/>
    <cellStyle name="常规 2 4 2" xfId="67"/>
    <cellStyle name="常规 3" xfId="68"/>
    <cellStyle name="常规 3 2" xfId="69"/>
    <cellStyle name="常规 3 2 2" xfId="70"/>
    <cellStyle name="常规 3 3" xfId="71"/>
    <cellStyle name="常规 4" xfId="72"/>
    <cellStyle name="常规 4 2" xfId="73"/>
    <cellStyle name="常规 4 2 2" xfId="74"/>
    <cellStyle name="常规 4 3" xfId="75"/>
    <cellStyle name="常规 5" xfId="76"/>
    <cellStyle name="常规_2014年Basic Concepts合同评审表(3)" xfId="77"/>
    <cellStyle name="常规_Sheet3" xfId="78"/>
    <cellStyle name="常规_排期" xfId="79"/>
    <cellStyle name="千位分隔 2" xfId="80"/>
    <cellStyle name="千位分隔 2 2" xfId="81"/>
    <cellStyle name="千位分隔 2 2 2" xfId="82"/>
    <cellStyle name="千位分隔 2 4" xfId="83"/>
    <cellStyle name="千位分隔 2 2 2 2" xfId="84"/>
    <cellStyle name="千位分隔 2 2 3" xfId="85"/>
    <cellStyle name="千位分隔 2 3" xfId="86"/>
    <cellStyle name="千位分隔 2 3 2" xfId="87"/>
    <cellStyle name="样式 1" xfId="88"/>
    <cellStyle name="样式 1 2" xfId="89"/>
    <cellStyle name="样式 1 2 2 2" xfId="90"/>
    <cellStyle name="样式 1 3" xfId="91"/>
    <cellStyle name="样式 1 3 2" xfId="92"/>
    <cellStyle name="样式 1 4" xfId="93"/>
    <cellStyle name="常规_内部明细" xfId="94"/>
    <cellStyle name="常规_成品库存总表_成品库存表1" xfId="9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1552D1"/>
      <color rgb="00FAE5F8"/>
      <color rgb="00E82EE6"/>
      <color rgb="000000FF"/>
      <color rgb="001B1BFB"/>
      <color rgb="00FF0000"/>
      <color rgb="00ECA7E6"/>
      <color rgb="00000000"/>
      <color rgb="00FF00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03" dbFileVersion="0" changeLogVersion="0">
    <open main="79" threadCnt="1"/>
    <sheetInfos>
      <sheetInfo cellCmpFml="0" sheetStid="48">
        <open main="1" threadCnt="1"/>
      </sheetInfo>
      <sheetInfo cellCmpFml="23" sheetStid="47">
        <open main="2" threadCnt="1"/>
      </sheetInfo>
      <sheetInfo cellCmpFml="23" sheetStid="45">
        <open main="24" threadCnt="1"/>
      </sheetInfo>
      <sheetInfo cellCmpFml="19" sheetStid="58">
        <open main="4" threadCnt="1"/>
      </sheetInfo>
      <sheetInfo cellCmpFml="22" sheetStid="57">
        <open main="4" threadCnt="1"/>
      </sheetInfo>
      <sheetInfo cellCmpFml="16" sheetStid="56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schemas.openxmlformats.org/officeDocument/2006/relationships/styles" Target="styles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6&#24180;Sky&#160;Castle&#25490;&#26399;5-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名称"/>
      <sheetName val="总接单"/>
      <sheetName val="一二代排期"/>
      <sheetName val="三代排期"/>
      <sheetName val="蛋糕系列"/>
      <sheetName val="已走货"/>
      <sheetName val="MA"/>
      <sheetName val="取消单"/>
      <sheetName val="汇总"/>
    </sheetNames>
    <sheetDataSet>
      <sheetData sheetId="0">
        <row r="1">
          <cell r="A1" t="str">
            <v>货号</v>
          </cell>
          <cell r="B1" t="str">
            <v>贴纸用量</v>
          </cell>
          <cell r="C1" t="str">
            <v>装箱数</v>
          </cell>
          <cell r="D1" t="str">
            <v>系列</v>
          </cell>
          <cell r="E1" t="str">
            <v>名称</v>
          </cell>
        </row>
        <row r="2">
          <cell r="A2" t="str">
            <v>SR000</v>
          </cell>
          <cell r="B2">
            <v>3</v>
          </cell>
          <cell r="C2">
            <v>360</v>
          </cell>
          <cell r="D2" t="str">
            <v>二代</v>
          </cell>
        </row>
        <row r="3">
          <cell r="A3" t="str">
            <v>SR100</v>
          </cell>
          <cell r="B3">
            <v>7</v>
          </cell>
          <cell r="C3">
            <v>12</v>
          </cell>
          <cell r="D3" t="str">
            <v>二代</v>
          </cell>
        </row>
        <row r="4">
          <cell r="A4" t="str">
            <v>SR100CDU-16</v>
          </cell>
          <cell r="B4">
            <v>7</v>
          </cell>
          <cell r="C4">
            <v>16</v>
          </cell>
          <cell r="D4" t="str">
            <v>二代</v>
          </cell>
        </row>
        <row r="5">
          <cell r="A5" t="str">
            <v>SR100CDU-24</v>
          </cell>
          <cell r="B5">
            <v>7</v>
          </cell>
          <cell r="C5">
            <v>24</v>
          </cell>
          <cell r="D5" t="str">
            <v>二代</v>
          </cell>
        </row>
        <row r="6">
          <cell r="A6" t="str">
            <v>SR101CDU</v>
          </cell>
          <cell r="B6">
            <v>5</v>
          </cell>
          <cell r="C6">
            <v>24</v>
          </cell>
          <cell r="D6" t="str">
            <v>二代</v>
          </cell>
        </row>
        <row r="7">
          <cell r="A7" t="str">
            <v>SR160</v>
          </cell>
          <cell r="B7">
            <v>5</v>
          </cell>
          <cell r="C7">
            <v>24</v>
          </cell>
          <cell r="D7" t="str">
            <v>二代</v>
          </cell>
        </row>
        <row r="8">
          <cell r="A8" t="str">
            <v>SR200</v>
          </cell>
          <cell r="B8">
            <v>12</v>
          </cell>
          <cell r="C8">
            <v>6</v>
          </cell>
          <cell r="D8" t="str">
            <v>二代</v>
          </cell>
        </row>
        <row r="9">
          <cell r="A9" t="str">
            <v>SR200CO</v>
          </cell>
          <cell r="B9">
            <v>12</v>
          </cell>
          <cell r="C9">
            <v>6</v>
          </cell>
          <cell r="D9" t="str">
            <v>二代</v>
          </cell>
        </row>
        <row r="10">
          <cell r="A10" t="str">
            <v>SR300</v>
          </cell>
          <cell r="B10">
            <v>32</v>
          </cell>
          <cell r="C10">
            <v>4</v>
          </cell>
          <cell r="D10" t="str">
            <v>二代</v>
          </cell>
        </row>
        <row r="11">
          <cell r="A11" t="str">
            <v>SR460</v>
          </cell>
          <cell r="B11">
            <v>12</v>
          </cell>
          <cell r="C11">
            <v>6</v>
          </cell>
          <cell r="D11" t="str">
            <v>二代</v>
          </cell>
        </row>
        <row r="12">
          <cell r="A12" t="str">
            <v>SR600</v>
          </cell>
          <cell r="B12">
            <v>16</v>
          </cell>
          <cell r="C12">
            <v>6</v>
          </cell>
          <cell r="D12" t="str">
            <v>二代</v>
          </cell>
        </row>
        <row r="13">
          <cell r="A13" t="str">
            <v>SR100CDU-9</v>
          </cell>
          <cell r="B13">
            <v>7</v>
          </cell>
          <cell r="C13">
            <v>9</v>
          </cell>
          <cell r="D13" t="str">
            <v>二代</v>
          </cell>
        </row>
        <row r="14">
          <cell r="A14" t="str">
            <v>SR100-</v>
          </cell>
          <cell r="B14">
            <v>7</v>
          </cell>
          <cell r="C14">
            <v>144</v>
          </cell>
          <cell r="D14" t="str">
            <v>二代</v>
          </cell>
          <cell r="E14" t="str">
            <v>密封盒</v>
          </cell>
        </row>
        <row r="15">
          <cell r="A15" t="str">
            <v>SR200-</v>
          </cell>
          <cell r="B15">
            <v>12</v>
          </cell>
          <cell r="C15">
            <v>24</v>
          </cell>
          <cell r="D15" t="str">
            <v>二代</v>
          </cell>
          <cell r="E15" t="str">
            <v>密封盒</v>
          </cell>
        </row>
        <row r="16">
          <cell r="A16" t="str">
            <v>SR001</v>
          </cell>
          <cell r="B16">
            <v>3</v>
          </cell>
          <cell r="C16">
            <v>250</v>
          </cell>
          <cell r="D16" t="str">
            <v>二代</v>
          </cell>
        </row>
        <row r="17">
          <cell r="A17" t="str">
            <v>SR102C</v>
          </cell>
          <cell r="B17">
            <v>10</v>
          </cell>
          <cell r="C17">
            <v>16</v>
          </cell>
          <cell r="D17" t="str">
            <v>二代</v>
          </cell>
        </row>
        <row r="18">
          <cell r="A18" t="str">
            <v>SR102CDU-16</v>
          </cell>
          <cell r="B18">
            <v>7</v>
          </cell>
          <cell r="C18">
            <v>16</v>
          </cell>
          <cell r="D18" t="str">
            <v>二代</v>
          </cell>
        </row>
        <row r="19">
          <cell r="A19" t="str">
            <v>SR201C</v>
          </cell>
          <cell r="B19">
            <v>15</v>
          </cell>
          <cell r="C19">
            <v>6</v>
          </cell>
          <cell r="D19" t="str">
            <v>二代</v>
          </cell>
        </row>
        <row r="20">
          <cell r="A20" t="str">
            <v>SR301C</v>
          </cell>
          <cell r="B20">
            <v>35</v>
          </cell>
          <cell r="C20">
            <v>4</v>
          </cell>
          <cell r="D20" t="str">
            <v>二代</v>
          </cell>
        </row>
        <row r="21">
          <cell r="A21" t="str">
            <v>JS300</v>
          </cell>
          <cell r="B21">
            <v>3</v>
          </cell>
          <cell r="C21">
            <v>12</v>
          </cell>
          <cell r="D21" t="str">
            <v>二代</v>
          </cell>
        </row>
        <row r="22">
          <cell r="A22" t="str">
            <v>SR103</v>
          </cell>
          <cell r="B22">
            <v>5</v>
          </cell>
          <cell r="C22">
            <v>24</v>
          </cell>
          <cell r="D22" t="str">
            <v>二代</v>
          </cell>
        </row>
        <row r="23">
          <cell r="A23" t="str">
            <v>SR103CDU-12</v>
          </cell>
          <cell r="B23">
            <v>5</v>
          </cell>
          <cell r="C23">
            <v>12</v>
          </cell>
          <cell r="D23" t="str">
            <v>二代</v>
          </cell>
        </row>
        <row r="24">
          <cell r="A24" t="str">
            <v>JS100</v>
          </cell>
          <cell r="B24">
            <v>24</v>
          </cell>
          <cell r="C24">
            <v>24</v>
          </cell>
          <cell r="D24" t="str">
            <v>二代</v>
          </cell>
        </row>
        <row r="25">
          <cell r="A25" t="str">
            <v>SR130</v>
          </cell>
          <cell r="B25">
            <v>5</v>
          </cell>
          <cell r="C25">
            <v>24</v>
          </cell>
          <cell r="D25" t="str">
            <v>二代</v>
          </cell>
        </row>
        <row r="26">
          <cell r="A26" t="str">
            <v>SR430</v>
          </cell>
          <cell r="B26">
            <v>12</v>
          </cell>
          <cell r="C26">
            <v>6</v>
          </cell>
          <cell r="D26" t="str">
            <v>二代</v>
          </cell>
        </row>
        <row r="27">
          <cell r="A27" t="str">
            <v>SR102CDU-24</v>
          </cell>
          <cell r="B27">
            <v>7</v>
          </cell>
          <cell r="C27">
            <v>24</v>
          </cell>
          <cell r="D27" t="str">
            <v>二代</v>
          </cell>
        </row>
        <row r="28">
          <cell r="A28" t="str">
            <v>SR102CDU-9</v>
          </cell>
          <cell r="B28">
            <v>7</v>
          </cell>
          <cell r="C28">
            <v>9</v>
          </cell>
          <cell r="D28" t="str">
            <v>二代</v>
          </cell>
        </row>
        <row r="29">
          <cell r="A29" t="str">
            <v>SR201</v>
          </cell>
          <cell r="B29">
            <v>12</v>
          </cell>
          <cell r="C29">
            <v>6</v>
          </cell>
          <cell r="D29" t="str">
            <v>二代</v>
          </cell>
        </row>
        <row r="30">
          <cell r="A30" t="str">
            <v>SR301</v>
          </cell>
          <cell r="B30">
            <v>32</v>
          </cell>
          <cell r="C30">
            <v>4</v>
          </cell>
          <cell r="D30" t="str">
            <v>二代</v>
          </cell>
        </row>
        <row r="31">
          <cell r="A31" t="str">
            <v>SR400CDU-6</v>
          </cell>
          <cell r="B31">
            <v>12</v>
          </cell>
          <cell r="C31">
            <v>6</v>
          </cell>
          <cell r="D31" t="str">
            <v>二代</v>
          </cell>
        </row>
        <row r="32">
          <cell r="A32" t="str">
            <v>SR102</v>
          </cell>
          <cell r="B32">
            <v>7</v>
          </cell>
          <cell r="C32">
            <v>12</v>
          </cell>
          <cell r="D32" t="str">
            <v>二代</v>
          </cell>
        </row>
        <row r="33">
          <cell r="A33" t="str">
            <v>SR400</v>
          </cell>
          <cell r="B33">
            <v>12</v>
          </cell>
          <cell r="C33">
            <v>6</v>
          </cell>
          <cell r="D33" t="str">
            <v>二代</v>
          </cell>
        </row>
        <row r="34">
          <cell r="A34" t="str">
            <v>SR320</v>
          </cell>
          <cell r="B34">
            <v>50</v>
          </cell>
          <cell r="C34">
            <v>2</v>
          </cell>
          <cell r="D34" t="str">
            <v>二代</v>
          </cell>
        </row>
        <row r="35">
          <cell r="A35" t="str">
            <v>SR130CDU-24</v>
          </cell>
          <cell r="B35">
            <v>5</v>
          </cell>
          <cell r="C35">
            <v>24</v>
          </cell>
          <cell r="D35" t="str">
            <v>二代</v>
          </cell>
        </row>
        <row r="36">
          <cell r="A36" t="str">
            <v>SR103CDU-24</v>
          </cell>
          <cell r="B36">
            <v>5</v>
          </cell>
          <cell r="C36">
            <v>24</v>
          </cell>
          <cell r="D36" t="str">
            <v>二代</v>
          </cell>
        </row>
        <row r="37">
          <cell r="A37" t="str">
            <v>SR020</v>
          </cell>
          <cell r="B37">
            <v>5</v>
          </cell>
          <cell r="C37">
            <v>360</v>
          </cell>
          <cell r="D37" t="str">
            <v>二代</v>
          </cell>
        </row>
        <row r="38">
          <cell r="A38" t="str">
            <v>SR160CDU-12</v>
          </cell>
          <cell r="B38">
            <v>5</v>
          </cell>
          <cell r="C38">
            <v>12</v>
          </cell>
          <cell r="D38" t="str">
            <v>二代</v>
          </cell>
        </row>
        <row r="39">
          <cell r="A39" t="str">
            <v>SR201C-CDU-5</v>
          </cell>
          <cell r="B39">
            <v>15</v>
          </cell>
          <cell r="C39">
            <v>5</v>
          </cell>
          <cell r="D39" t="str">
            <v>二代</v>
          </cell>
        </row>
        <row r="40">
          <cell r="A40" t="str">
            <v>SR130CDU-12</v>
          </cell>
          <cell r="B40">
            <v>5</v>
          </cell>
          <cell r="C40">
            <v>12</v>
          </cell>
          <cell r="D40" t="str">
            <v>二代</v>
          </cell>
        </row>
        <row r="41">
          <cell r="A41" t="str">
            <v>SR370</v>
          </cell>
          <cell r="B41">
            <v>50</v>
          </cell>
          <cell r="C41">
            <v>4</v>
          </cell>
          <cell r="D41" t="str">
            <v>二代</v>
          </cell>
        </row>
        <row r="42">
          <cell r="A42" t="str">
            <v>JC120CDU-18</v>
          </cell>
          <cell r="B42">
            <v>0</v>
          </cell>
          <cell r="C42">
            <v>18</v>
          </cell>
          <cell r="D42" t="str">
            <v>蛋糕</v>
          </cell>
        </row>
        <row r="43">
          <cell r="A43" t="str">
            <v>JC140</v>
          </cell>
          <cell r="B43">
            <v>0</v>
          </cell>
          <cell r="C43">
            <v>4</v>
          </cell>
          <cell r="D43" t="str">
            <v>蛋糕</v>
          </cell>
        </row>
        <row r="44">
          <cell r="A44" t="str">
            <v>JS100CDU-24</v>
          </cell>
        </row>
        <row r="44">
          <cell r="C44">
            <v>24</v>
          </cell>
          <cell r="D44" t="str">
            <v>二代</v>
          </cell>
        </row>
        <row r="45">
          <cell r="A45" t="str">
            <v>JS100CDU-9</v>
          </cell>
        </row>
        <row r="45">
          <cell r="C45">
            <v>9</v>
          </cell>
          <cell r="D45" t="str">
            <v>二代</v>
          </cell>
        </row>
        <row r="46">
          <cell r="A46" t="str">
            <v>SR1023CDU-16</v>
          </cell>
          <cell r="B46">
            <v>7</v>
          </cell>
          <cell r="C46">
            <v>16</v>
          </cell>
          <cell r="D46" t="str">
            <v>三代</v>
          </cell>
        </row>
        <row r="47">
          <cell r="A47" t="str">
            <v>SR102C-CDU-16</v>
          </cell>
          <cell r="B47">
            <v>10</v>
          </cell>
          <cell r="C47">
            <v>16</v>
          </cell>
          <cell r="D47" t="str">
            <v>二代</v>
          </cell>
        </row>
        <row r="48">
          <cell r="A48" t="str">
            <v>SR102-F-EC</v>
          </cell>
          <cell r="B48">
            <v>7</v>
          </cell>
          <cell r="C48">
            <v>144</v>
          </cell>
          <cell r="D48" t="str">
            <v>二代</v>
          </cell>
        </row>
        <row r="49">
          <cell r="A49" t="str">
            <v>SR1033CDU-24</v>
          </cell>
          <cell r="B49">
            <v>5</v>
          </cell>
          <cell r="C49">
            <v>24</v>
          </cell>
          <cell r="D49" t="str">
            <v>三代</v>
          </cell>
        </row>
        <row r="50">
          <cell r="A50" t="str">
            <v>SR1602CDU-12</v>
          </cell>
          <cell r="B50">
            <v>5</v>
          </cell>
          <cell r="C50">
            <v>12</v>
          </cell>
          <cell r="D50" t="str">
            <v>三代</v>
          </cell>
        </row>
        <row r="51">
          <cell r="A51" t="str">
            <v>SR1602CDU-24</v>
          </cell>
          <cell r="B51">
            <v>5</v>
          </cell>
          <cell r="C51">
            <v>24</v>
          </cell>
          <cell r="D51" t="str">
            <v>三代</v>
          </cell>
        </row>
        <row r="52">
          <cell r="A52" t="str">
            <v>SR160CDU-24</v>
          </cell>
          <cell r="B52">
            <v>5</v>
          </cell>
          <cell r="C52">
            <v>24</v>
          </cell>
          <cell r="D52" t="str">
            <v>二代</v>
          </cell>
        </row>
        <row r="53">
          <cell r="A53" t="str">
            <v>SR1802CDU-24</v>
          </cell>
          <cell r="B53">
            <v>5</v>
          </cell>
          <cell r="C53">
            <v>24</v>
          </cell>
          <cell r="D53" t="str">
            <v>三代</v>
          </cell>
        </row>
        <row r="54">
          <cell r="A54" t="str">
            <v>SR180CDU-24</v>
          </cell>
          <cell r="B54">
            <v>5</v>
          </cell>
          <cell r="C54">
            <v>24</v>
          </cell>
          <cell r="D54" t="str">
            <v>二代</v>
          </cell>
        </row>
        <row r="55">
          <cell r="A55" t="str">
            <v>SR181CDU-24</v>
          </cell>
          <cell r="B55">
            <v>5</v>
          </cell>
          <cell r="C55">
            <v>24</v>
          </cell>
          <cell r="D55" t="str">
            <v>二代</v>
          </cell>
        </row>
        <row r="56">
          <cell r="A56" t="str">
            <v>SR2013</v>
          </cell>
          <cell r="B56">
            <v>12</v>
          </cell>
          <cell r="C56">
            <v>6</v>
          </cell>
          <cell r="D56" t="str">
            <v>三代</v>
          </cell>
        </row>
        <row r="57">
          <cell r="A57" t="str">
            <v>SR2013BULK-6</v>
          </cell>
          <cell r="B57">
            <v>12</v>
          </cell>
          <cell r="C57">
            <v>6</v>
          </cell>
          <cell r="D57" t="str">
            <v>三代</v>
          </cell>
        </row>
        <row r="58">
          <cell r="A58" t="str">
            <v>SR3013</v>
          </cell>
          <cell r="B58">
            <v>32</v>
          </cell>
          <cell r="C58">
            <v>4</v>
          </cell>
          <cell r="D58" t="str">
            <v>三代</v>
          </cell>
        </row>
        <row r="59">
          <cell r="A59" t="str">
            <v>SR320（蓝绿版）</v>
          </cell>
          <cell r="B59">
            <v>50</v>
          </cell>
          <cell r="C59">
            <v>2</v>
          </cell>
          <cell r="D59" t="str">
            <v>二代</v>
          </cell>
        </row>
        <row r="60">
          <cell r="A60" t="str">
            <v>SR3203BULK-2</v>
          </cell>
          <cell r="B60">
            <v>50</v>
          </cell>
          <cell r="C60">
            <v>2</v>
          </cell>
          <cell r="D60" t="str">
            <v>三代</v>
          </cell>
        </row>
        <row r="61">
          <cell r="A61" t="str">
            <v>SR3703</v>
          </cell>
          <cell r="B61">
            <v>50</v>
          </cell>
          <cell r="C61">
            <v>4</v>
          </cell>
          <cell r="D61" t="str">
            <v>三代</v>
          </cell>
        </row>
        <row r="62">
          <cell r="A62" t="str">
            <v>SR4003CDU-12</v>
          </cell>
          <cell r="B62">
            <v>12</v>
          </cell>
          <cell r="C62">
            <v>12</v>
          </cell>
          <cell r="D62" t="str">
            <v>三代</v>
          </cell>
        </row>
        <row r="63">
          <cell r="A63" t="str">
            <v>SR400CDU-12</v>
          </cell>
          <cell r="B63">
            <v>12</v>
          </cell>
          <cell r="C63">
            <v>12</v>
          </cell>
          <cell r="D63" t="str">
            <v>二代</v>
          </cell>
        </row>
        <row r="64">
          <cell r="A64" t="str">
            <v>SR430CDU-12</v>
          </cell>
          <cell r="B64">
            <v>12</v>
          </cell>
          <cell r="C64">
            <v>12</v>
          </cell>
          <cell r="D64" t="str">
            <v>二代</v>
          </cell>
        </row>
        <row r="65">
          <cell r="A65" t="str">
            <v>SR430CDU-6</v>
          </cell>
          <cell r="B65">
            <v>12</v>
          </cell>
          <cell r="C65">
            <v>6</v>
          </cell>
          <cell r="D65" t="str">
            <v>二代</v>
          </cell>
        </row>
        <row r="66">
          <cell r="A66" t="str">
            <v>SR430-ECOMM-C1</v>
          </cell>
          <cell r="B66">
            <v>12</v>
          </cell>
          <cell r="C66">
            <v>96</v>
          </cell>
          <cell r="D66" t="str">
            <v>二代</v>
          </cell>
        </row>
        <row r="67">
          <cell r="A67" t="str">
            <v>SR430-ECOMM-C2</v>
          </cell>
          <cell r="B67">
            <v>12</v>
          </cell>
          <cell r="C67">
            <v>96</v>
          </cell>
          <cell r="D67" t="str">
            <v>二代</v>
          </cell>
        </row>
        <row r="68">
          <cell r="A68" t="str">
            <v>SR430-ECOMM-C3</v>
          </cell>
          <cell r="B68">
            <v>12</v>
          </cell>
          <cell r="C68">
            <v>96</v>
          </cell>
          <cell r="D68" t="str">
            <v>二代</v>
          </cell>
        </row>
        <row r="69">
          <cell r="A69" t="str">
            <v>SR460CDU-12</v>
          </cell>
          <cell r="B69">
            <v>12</v>
          </cell>
          <cell r="C69">
            <v>12</v>
          </cell>
          <cell r="D69" t="str">
            <v>二代</v>
          </cell>
        </row>
        <row r="70">
          <cell r="A70" t="str">
            <v>SR460CDU-6</v>
          </cell>
          <cell r="B70">
            <v>12</v>
          </cell>
          <cell r="C70">
            <v>6</v>
          </cell>
          <cell r="D70" t="str">
            <v>二代</v>
          </cell>
        </row>
        <row r="71">
          <cell r="A71" t="str">
            <v>SR460-EC</v>
          </cell>
          <cell r="B71">
            <v>12</v>
          </cell>
          <cell r="C71">
            <v>96</v>
          </cell>
          <cell r="D71" t="str">
            <v>二代</v>
          </cell>
        </row>
        <row r="72">
          <cell r="A72" t="str">
            <v>SR600CDU-6</v>
          </cell>
          <cell r="B72">
            <v>16</v>
          </cell>
          <cell r="C72">
            <v>6</v>
          </cell>
          <cell r="D72" t="str">
            <v>二代</v>
          </cell>
        </row>
        <row r="73">
          <cell r="A73" t="str">
            <v>SR8003CDU-12</v>
          </cell>
          <cell r="B73">
            <v>5</v>
          </cell>
          <cell r="C73">
            <v>12</v>
          </cell>
          <cell r="D73" t="str">
            <v>三代</v>
          </cell>
        </row>
        <row r="74">
          <cell r="A74" t="str">
            <v>SR8003CDU-18</v>
          </cell>
          <cell r="B74">
            <v>5</v>
          </cell>
          <cell r="C74">
            <v>18</v>
          </cell>
          <cell r="D74" t="str">
            <v>三代</v>
          </cell>
        </row>
        <row r="75">
          <cell r="A75" t="str">
            <v>SR8003CDU-24</v>
          </cell>
          <cell r="B75">
            <v>5</v>
          </cell>
          <cell r="C75">
            <v>24</v>
          </cell>
          <cell r="D75" t="str">
            <v>三代</v>
          </cell>
        </row>
        <row r="76">
          <cell r="A76" t="str">
            <v>SRAP131CDU-24</v>
          </cell>
          <cell r="B76">
            <v>5</v>
          </cell>
          <cell r="C76">
            <v>24</v>
          </cell>
          <cell r="D76" t="str">
            <v>三代</v>
          </cell>
        </row>
        <row r="77">
          <cell r="A77" t="str">
            <v>SRAP431CDU-12</v>
          </cell>
          <cell r="B77">
            <v>12</v>
          </cell>
          <cell r="C77">
            <v>12</v>
          </cell>
          <cell r="D77" t="str">
            <v>三代</v>
          </cell>
        </row>
        <row r="78">
          <cell r="A78" t="str">
            <v>SRMC103CDU-24</v>
          </cell>
          <cell r="B78">
            <v>5</v>
          </cell>
          <cell r="C78">
            <v>24</v>
          </cell>
          <cell r="D78" t="str">
            <v>三代</v>
          </cell>
        </row>
        <row r="79">
          <cell r="A79" t="str">
            <v>SRMC201</v>
          </cell>
          <cell r="B79">
            <v>12</v>
          </cell>
          <cell r="C79">
            <v>6</v>
          </cell>
          <cell r="D79" t="str">
            <v>三代</v>
          </cell>
        </row>
        <row r="80">
          <cell r="A80" t="str">
            <v>SRMC400CDU-6</v>
          </cell>
          <cell r="B80">
            <v>12</v>
          </cell>
          <cell r="C80">
            <v>6</v>
          </cell>
          <cell r="D80" t="str">
            <v>三代</v>
          </cell>
        </row>
        <row r="81">
          <cell r="A81" t="str">
            <v>SRSM102</v>
          </cell>
          <cell r="B81">
            <v>7</v>
          </cell>
          <cell r="C81">
            <v>16</v>
          </cell>
          <cell r="D81" t="str">
            <v>三代</v>
          </cell>
        </row>
        <row r="82">
          <cell r="A82" t="str">
            <v>SRSM102CDU-16</v>
          </cell>
          <cell r="B82">
            <v>7</v>
          </cell>
          <cell r="C82">
            <v>16</v>
          </cell>
          <cell r="D82" t="str">
            <v>三代</v>
          </cell>
        </row>
        <row r="83">
          <cell r="A83" t="str">
            <v>SRSM103CDU-12</v>
          </cell>
          <cell r="B83">
            <v>5</v>
          </cell>
          <cell r="C83">
            <v>12</v>
          </cell>
          <cell r="D83" t="str">
            <v>三代</v>
          </cell>
        </row>
        <row r="84">
          <cell r="A84" t="str">
            <v>SRSM103CDU-24</v>
          </cell>
          <cell r="B84">
            <v>5</v>
          </cell>
          <cell r="C84">
            <v>24</v>
          </cell>
          <cell r="D84" t="str">
            <v>三代</v>
          </cell>
        </row>
        <row r="85">
          <cell r="A85" t="str">
            <v>SRSM301</v>
          </cell>
          <cell r="B85">
            <v>32</v>
          </cell>
          <cell r="C85">
            <v>4</v>
          </cell>
          <cell r="D85" t="str">
            <v>三代</v>
          </cell>
        </row>
        <row r="86">
          <cell r="A86" t="str">
            <v>SRTD103CDU-12</v>
          </cell>
          <cell r="B86">
            <v>5</v>
          </cell>
          <cell r="C86">
            <v>12</v>
          </cell>
          <cell r="D86" t="str">
            <v>三代</v>
          </cell>
        </row>
        <row r="87">
          <cell r="A87" t="str">
            <v>SRTD103CDU-24</v>
          </cell>
          <cell r="B87">
            <v>5</v>
          </cell>
          <cell r="C87">
            <v>24</v>
          </cell>
          <cell r="D87" t="str">
            <v>三代</v>
          </cell>
        </row>
        <row r="88">
          <cell r="A88" t="str">
            <v>SRTD400CDU-12</v>
          </cell>
          <cell r="B88">
            <v>12</v>
          </cell>
          <cell r="C88">
            <v>12</v>
          </cell>
          <cell r="D88" t="str">
            <v>三代</v>
          </cell>
        </row>
        <row r="89">
          <cell r="A89" t="str">
            <v>SR1023CDU-24</v>
          </cell>
          <cell r="B89">
            <v>7</v>
          </cell>
          <cell r="C89">
            <v>24</v>
          </cell>
          <cell r="D89" t="str">
            <v>三代</v>
          </cell>
        </row>
        <row r="90">
          <cell r="A90" t="str">
            <v>JS3003CDU-12</v>
          </cell>
        </row>
        <row r="90">
          <cell r="C90">
            <v>12</v>
          </cell>
          <cell r="D90" t="str">
            <v>三代</v>
          </cell>
        </row>
        <row r="91">
          <cell r="A91" t="str">
            <v>SR3203</v>
          </cell>
          <cell r="B91">
            <v>50</v>
          </cell>
          <cell r="C91">
            <v>2</v>
          </cell>
          <cell r="D91" t="str">
            <v>三代</v>
          </cell>
        </row>
        <row r="92">
          <cell r="A92" t="str">
            <v>SR1033CDU-12</v>
          </cell>
          <cell r="B92">
            <v>5</v>
          </cell>
          <cell r="C92">
            <v>12</v>
          </cell>
          <cell r="D92" t="str">
            <v>三代</v>
          </cell>
        </row>
        <row r="93">
          <cell r="A93" t="str">
            <v>SR1023CDU-9</v>
          </cell>
          <cell r="B93">
            <v>7</v>
          </cell>
          <cell r="C93">
            <v>9</v>
          </cell>
          <cell r="D93" t="str">
            <v>三代</v>
          </cell>
        </row>
        <row r="94">
          <cell r="A94" t="str">
            <v>SRAP4302CDU-6</v>
          </cell>
          <cell r="B94">
            <v>12</v>
          </cell>
          <cell r="C94">
            <v>6</v>
          </cell>
          <cell r="D94" t="str">
            <v>三代</v>
          </cell>
        </row>
        <row r="95">
          <cell r="A95" t="str">
            <v>SR1802CDU-12</v>
          </cell>
          <cell r="B95">
            <v>5</v>
          </cell>
          <cell r="C95">
            <v>12</v>
          </cell>
          <cell r="D95" t="str">
            <v>三代</v>
          </cell>
        </row>
        <row r="96">
          <cell r="A96" t="str">
            <v>JC120CDU-9</v>
          </cell>
        </row>
        <row r="96">
          <cell r="C96">
            <v>9</v>
          </cell>
          <cell r="D96" t="str">
            <v>蛋糕</v>
          </cell>
        </row>
        <row r="97">
          <cell r="A97" t="str">
            <v>SR2013CDU-5</v>
          </cell>
          <cell r="B97">
            <v>12</v>
          </cell>
          <cell r="C97">
            <v>5</v>
          </cell>
          <cell r="D97" t="str">
            <v>三代</v>
          </cell>
        </row>
        <row r="98">
          <cell r="A98" t="str">
            <v>SRBFF3703</v>
          </cell>
          <cell r="B98">
            <v>50</v>
          </cell>
          <cell r="C98">
            <v>4</v>
          </cell>
          <cell r="D98" t="str">
            <v>三代</v>
          </cell>
        </row>
        <row r="99">
          <cell r="A99" t="str">
            <v>JS1003CDU-24</v>
          </cell>
        </row>
        <row r="99">
          <cell r="C99">
            <v>24</v>
          </cell>
          <cell r="D99" t="str">
            <v>三代</v>
          </cell>
        </row>
        <row r="100">
          <cell r="A100" t="str">
            <v>JSSM100CDU-24</v>
          </cell>
        </row>
        <row r="100">
          <cell r="C100">
            <v>24</v>
          </cell>
          <cell r="D100" t="str">
            <v>三代</v>
          </cell>
        </row>
        <row r="101">
          <cell r="A101" t="str">
            <v>SR3203BULK-2（浅蓝色）</v>
          </cell>
          <cell r="B101">
            <v>50</v>
          </cell>
          <cell r="C101">
            <v>2</v>
          </cell>
          <cell r="D101" t="str">
            <v>三代</v>
          </cell>
        </row>
        <row r="102">
          <cell r="A102" t="str">
            <v>SR3203（浅蓝色）</v>
          </cell>
          <cell r="B102">
            <v>50</v>
          </cell>
          <cell r="C102">
            <v>2</v>
          </cell>
          <cell r="D102" t="str">
            <v>三代</v>
          </cell>
        </row>
        <row r="103">
          <cell r="A103" t="str">
            <v>SR4602CDU-6</v>
          </cell>
          <cell r="B103">
            <v>12</v>
          </cell>
          <cell r="C103">
            <v>6</v>
          </cell>
          <cell r="D103" t="str">
            <v>三代</v>
          </cell>
        </row>
        <row r="104">
          <cell r="A104" t="str">
            <v>JS1003CDU-9</v>
          </cell>
        </row>
        <row r="104">
          <cell r="C104">
            <v>9</v>
          </cell>
          <cell r="D104" t="str">
            <v>三代</v>
          </cell>
        </row>
        <row r="105">
          <cell r="A105" t="str">
            <v>SRSM102CDU-9</v>
          </cell>
          <cell r="B105">
            <v>7</v>
          </cell>
          <cell r="C105">
            <v>9</v>
          </cell>
          <cell r="D105" t="str">
            <v>三代</v>
          </cell>
        </row>
        <row r="106">
          <cell r="A106" t="str">
            <v>SR4602CDU-12</v>
          </cell>
          <cell r="B106">
            <v>12</v>
          </cell>
          <cell r="C106">
            <v>12</v>
          </cell>
          <cell r="D106" t="str">
            <v>三代</v>
          </cell>
        </row>
        <row r="107">
          <cell r="A107" t="str">
            <v>SRAP3202</v>
          </cell>
          <cell r="B107">
            <v>50</v>
          </cell>
          <cell r="C107">
            <v>2</v>
          </cell>
          <cell r="D107" t="str">
            <v>三代</v>
          </cell>
        </row>
        <row r="108">
          <cell r="A108" t="str">
            <v>SRMC302</v>
          </cell>
        </row>
        <row r="108">
          <cell r="C108">
            <v>4</v>
          </cell>
          <cell r="D108" t="str">
            <v>三代</v>
          </cell>
        </row>
        <row r="109">
          <cell r="A109" t="str">
            <v>SRAP1302CDU-24</v>
          </cell>
          <cell r="B109">
            <v>5</v>
          </cell>
          <cell r="C109">
            <v>24</v>
          </cell>
          <cell r="D109" t="str">
            <v>三代</v>
          </cell>
        </row>
        <row r="110">
          <cell r="A110" t="str">
            <v>SRAP8002SC-72</v>
          </cell>
          <cell r="B110">
            <v>5</v>
          </cell>
          <cell r="C110">
            <v>72</v>
          </cell>
          <cell r="D110" t="str">
            <v>三代</v>
          </cell>
        </row>
        <row r="111">
          <cell r="A111" t="str">
            <v>SR1023</v>
          </cell>
          <cell r="B111">
            <v>7</v>
          </cell>
          <cell r="C111">
            <v>12</v>
          </cell>
          <cell r="D111" t="str">
            <v>三代</v>
          </cell>
        </row>
        <row r="112">
          <cell r="A112" t="str">
            <v>SRMC400CDU-12</v>
          </cell>
          <cell r="B112">
            <v>12</v>
          </cell>
          <cell r="C112">
            <v>12</v>
          </cell>
          <cell r="D112" t="str">
            <v>三代</v>
          </cell>
        </row>
        <row r="113">
          <cell r="A113" t="str">
            <v>JC100CDU-24</v>
          </cell>
        </row>
        <row r="113">
          <cell r="C113">
            <v>24</v>
          </cell>
          <cell r="D113" t="str">
            <v>蛋糕</v>
          </cell>
        </row>
        <row r="114">
          <cell r="A114" t="str">
            <v>SRAE101CDU-12</v>
          </cell>
        </row>
        <row r="114">
          <cell r="C114">
            <v>12</v>
          </cell>
          <cell r="D114" t="str">
            <v>三代</v>
          </cell>
        </row>
        <row r="115">
          <cell r="A115" t="str">
            <v>SRAP4302CDU-12</v>
          </cell>
          <cell r="B115">
            <v>12</v>
          </cell>
          <cell r="C115">
            <v>12</v>
          </cell>
          <cell r="D115" t="str">
            <v>三代</v>
          </cell>
        </row>
        <row r="116">
          <cell r="A116" t="str">
            <v>SR3203-COFP</v>
          </cell>
          <cell r="B116">
            <v>50</v>
          </cell>
          <cell r="C116">
            <v>40</v>
          </cell>
          <cell r="D116" t="str">
            <v>三代</v>
          </cell>
        </row>
        <row r="117">
          <cell r="A117" t="str">
            <v>SR3703QP-12</v>
          </cell>
          <cell r="B117">
            <v>50</v>
          </cell>
          <cell r="C117">
            <v>12</v>
          </cell>
          <cell r="D117" t="str">
            <v>三代</v>
          </cell>
        </row>
        <row r="118">
          <cell r="A118" t="str">
            <v>SRSM400CDU-12</v>
          </cell>
        </row>
        <row r="118">
          <cell r="C118">
            <v>12</v>
          </cell>
          <cell r="D118" t="str">
            <v>三代</v>
          </cell>
        </row>
        <row r="119">
          <cell r="A119" t="str">
            <v>JC120-ECOMM-2PK-A</v>
          </cell>
        </row>
        <row r="119">
          <cell r="C119">
            <v>36</v>
          </cell>
          <cell r="D119" t="str">
            <v>蛋糕</v>
          </cell>
        </row>
        <row r="120">
          <cell r="A120" t="str">
            <v>JC120-ECOMM-2PK-B</v>
          </cell>
        </row>
        <row r="120">
          <cell r="C120">
            <v>36</v>
          </cell>
          <cell r="D120" t="str">
            <v>蛋糕</v>
          </cell>
        </row>
        <row r="121">
          <cell r="A121" t="str">
            <v>JC120-ECOMM-2PK-C</v>
          </cell>
        </row>
        <row r="121">
          <cell r="C121">
            <v>36</v>
          </cell>
          <cell r="D121" t="str">
            <v>蛋糕</v>
          </cell>
        </row>
        <row r="122">
          <cell r="A122" t="str">
            <v>JS6003-ECOMM-A</v>
          </cell>
        </row>
        <row r="122">
          <cell r="C122">
            <v>12</v>
          </cell>
          <cell r="D122" t="str">
            <v>三代</v>
          </cell>
        </row>
        <row r="123">
          <cell r="A123" t="str">
            <v>JS6003-ECOMM-B</v>
          </cell>
        </row>
        <row r="123">
          <cell r="C123">
            <v>12</v>
          </cell>
          <cell r="D123" t="str">
            <v>三代</v>
          </cell>
        </row>
        <row r="124">
          <cell r="A124" t="str">
            <v>JS6003-ECOMM-C</v>
          </cell>
        </row>
        <row r="124">
          <cell r="C124">
            <v>12</v>
          </cell>
          <cell r="D124" t="str">
            <v>三代</v>
          </cell>
        </row>
        <row r="125">
          <cell r="A125" t="str">
            <v>JS6003-ECOMM-D</v>
          </cell>
        </row>
        <row r="125">
          <cell r="C125">
            <v>12</v>
          </cell>
          <cell r="D125" t="str">
            <v>三代</v>
          </cell>
        </row>
        <row r="126">
          <cell r="A126" t="str">
            <v>SR1023-ECOMM-A</v>
          </cell>
          <cell r="B126">
            <v>5</v>
          </cell>
          <cell r="C126">
            <v>144</v>
          </cell>
          <cell r="D126" t="str">
            <v>三代</v>
          </cell>
        </row>
        <row r="127">
          <cell r="A127" t="str">
            <v>SR1023-ECOMM-B</v>
          </cell>
          <cell r="B127">
            <v>5</v>
          </cell>
          <cell r="C127">
            <v>144</v>
          </cell>
          <cell r="D127" t="str">
            <v>三代</v>
          </cell>
        </row>
        <row r="128">
          <cell r="A128" t="str">
            <v>SR1023-ECOMM-C</v>
          </cell>
          <cell r="B128">
            <v>5</v>
          </cell>
          <cell r="C128">
            <v>144</v>
          </cell>
          <cell r="D128" t="str">
            <v>三代</v>
          </cell>
        </row>
        <row r="129">
          <cell r="A129" t="str">
            <v>SR1023-ECOMM-D</v>
          </cell>
          <cell r="B129">
            <v>5</v>
          </cell>
          <cell r="C129">
            <v>144</v>
          </cell>
          <cell r="D129" t="str">
            <v>三代</v>
          </cell>
        </row>
        <row r="130">
          <cell r="A130" t="str">
            <v>SR1023-ECOMM-E</v>
          </cell>
          <cell r="B130">
            <v>5</v>
          </cell>
          <cell r="C130">
            <v>144</v>
          </cell>
          <cell r="D130" t="str">
            <v>三代</v>
          </cell>
        </row>
        <row r="131">
          <cell r="A131" t="str">
            <v>SR1023-ECOMM-F</v>
          </cell>
          <cell r="B131">
            <v>5</v>
          </cell>
          <cell r="C131">
            <v>144</v>
          </cell>
          <cell r="D131" t="str">
            <v>三代</v>
          </cell>
        </row>
        <row r="132">
          <cell r="A132" t="str">
            <v>SR2013-ECOMM</v>
          </cell>
          <cell r="B132">
            <v>12</v>
          </cell>
          <cell r="C132">
            <v>24</v>
          </cell>
          <cell r="D132" t="str">
            <v>三代</v>
          </cell>
        </row>
        <row r="133">
          <cell r="A133" t="str">
            <v>SR3013-ECOMM</v>
          </cell>
          <cell r="B133">
            <v>32</v>
          </cell>
          <cell r="C133">
            <v>60</v>
          </cell>
          <cell r="D133" t="str">
            <v>三代</v>
          </cell>
        </row>
        <row r="134">
          <cell r="A134" t="str">
            <v>SR3203-ECOMM-B</v>
          </cell>
          <cell r="B134">
            <v>50</v>
          </cell>
          <cell r="C134">
            <v>6</v>
          </cell>
          <cell r="D134" t="str">
            <v>三代</v>
          </cell>
        </row>
        <row r="135">
          <cell r="A135" t="str">
            <v>SR3203-ECOMM-P</v>
          </cell>
          <cell r="B135">
            <v>50</v>
          </cell>
          <cell r="C135">
            <v>6</v>
          </cell>
          <cell r="D135" t="str">
            <v>三代</v>
          </cell>
        </row>
        <row r="136">
          <cell r="A136" t="str">
            <v>SR4003-ECOMM-A</v>
          </cell>
          <cell r="B136">
            <v>12</v>
          </cell>
          <cell r="C136">
            <v>96</v>
          </cell>
          <cell r="D136" t="str">
            <v>三代</v>
          </cell>
        </row>
        <row r="137">
          <cell r="A137" t="str">
            <v>SR4003-ECOMM-B</v>
          </cell>
          <cell r="B137">
            <v>12</v>
          </cell>
          <cell r="C137">
            <v>96</v>
          </cell>
          <cell r="D137" t="str">
            <v>三代</v>
          </cell>
        </row>
        <row r="138">
          <cell r="A138" t="str">
            <v>SR4003-ECOMM-C</v>
          </cell>
          <cell r="B138">
            <v>12</v>
          </cell>
          <cell r="C138">
            <v>96</v>
          </cell>
          <cell r="D138" t="str">
            <v>三代</v>
          </cell>
        </row>
        <row r="139">
          <cell r="A139" t="str">
            <v>SR4003-ECOMM-D</v>
          </cell>
          <cell r="B139">
            <v>12</v>
          </cell>
          <cell r="C139">
            <v>96</v>
          </cell>
          <cell r="D139" t="str">
            <v>三代</v>
          </cell>
        </row>
        <row r="140">
          <cell r="A140" t="str">
            <v>SR4003-ECOMM-E</v>
          </cell>
          <cell r="B140">
            <v>12</v>
          </cell>
          <cell r="C140">
            <v>96</v>
          </cell>
          <cell r="D140" t="str">
            <v>三代</v>
          </cell>
        </row>
        <row r="141">
          <cell r="A141" t="str">
            <v>SR4003-ECOMM-F</v>
          </cell>
          <cell r="B141">
            <v>12</v>
          </cell>
          <cell r="C141">
            <v>96</v>
          </cell>
          <cell r="D141" t="str">
            <v>三代</v>
          </cell>
        </row>
        <row r="142">
          <cell r="A142" t="str">
            <v>SR4602-ECOMM-A</v>
          </cell>
          <cell r="B142">
            <v>12</v>
          </cell>
          <cell r="C142">
            <v>96</v>
          </cell>
          <cell r="D142" t="str">
            <v>三代</v>
          </cell>
        </row>
        <row r="143">
          <cell r="A143" t="str">
            <v>SR4602-ECOMM-B</v>
          </cell>
          <cell r="B143">
            <v>12</v>
          </cell>
          <cell r="C143">
            <v>96</v>
          </cell>
          <cell r="D143" t="str">
            <v>三代</v>
          </cell>
        </row>
        <row r="144">
          <cell r="A144" t="str">
            <v>SR4602-ECOMM-C</v>
          </cell>
          <cell r="B144">
            <v>12</v>
          </cell>
          <cell r="C144">
            <v>96</v>
          </cell>
          <cell r="D144" t="str">
            <v>三代</v>
          </cell>
        </row>
        <row r="145">
          <cell r="A145" t="str">
            <v>SR8003-ECOMM-2PK-A</v>
          </cell>
          <cell r="B145">
            <v>5</v>
          </cell>
          <cell r="C145">
            <v>126</v>
          </cell>
          <cell r="D145" t="str">
            <v>三代</v>
          </cell>
        </row>
        <row r="146">
          <cell r="A146" t="str">
            <v>SR8003-ECOMM-2PK-B</v>
          </cell>
          <cell r="B146">
            <v>5</v>
          </cell>
          <cell r="C146">
            <v>126</v>
          </cell>
          <cell r="D146" t="str">
            <v>三代</v>
          </cell>
        </row>
        <row r="147">
          <cell r="A147" t="str">
            <v>SR8003-ECOMM-2PK-C</v>
          </cell>
          <cell r="B147">
            <v>5</v>
          </cell>
          <cell r="C147">
            <v>126</v>
          </cell>
          <cell r="D147" t="str">
            <v>三代</v>
          </cell>
        </row>
        <row r="148">
          <cell r="A148" t="str">
            <v>SR8003-ECOMM-2PK-D</v>
          </cell>
          <cell r="B148">
            <v>5</v>
          </cell>
          <cell r="C148">
            <v>126</v>
          </cell>
          <cell r="D148" t="str">
            <v>三代</v>
          </cell>
        </row>
        <row r="149">
          <cell r="A149" t="str">
            <v>SR8003-ECOMM-2PK-E</v>
          </cell>
          <cell r="B149">
            <v>5</v>
          </cell>
          <cell r="C149">
            <v>126</v>
          </cell>
          <cell r="D149" t="str">
            <v>三代</v>
          </cell>
        </row>
        <row r="150">
          <cell r="A150" t="str">
            <v>SRAE101-ECOMM-A</v>
          </cell>
          <cell r="B150">
            <v>5</v>
          </cell>
          <cell r="C150">
            <v>96</v>
          </cell>
          <cell r="D150" t="str">
            <v>三代</v>
          </cell>
        </row>
        <row r="151">
          <cell r="A151" t="str">
            <v>SRAP3203-ECOMM</v>
          </cell>
        </row>
        <row r="151">
          <cell r="C151">
            <v>6</v>
          </cell>
          <cell r="D151" t="str">
            <v>三代</v>
          </cell>
        </row>
        <row r="152">
          <cell r="A152" t="str">
            <v>SRAP4302-ECOMM-A</v>
          </cell>
          <cell r="B152">
            <v>12</v>
          </cell>
          <cell r="C152">
            <v>96</v>
          </cell>
          <cell r="D152" t="str">
            <v>三代</v>
          </cell>
        </row>
        <row r="153">
          <cell r="A153" t="str">
            <v>SRAP4302-ECOMM-B</v>
          </cell>
          <cell r="B153">
            <v>12</v>
          </cell>
          <cell r="C153">
            <v>96</v>
          </cell>
          <cell r="D153" t="str">
            <v>三代</v>
          </cell>
        </row>
        <row r="154">
          <cell r="A154" t="str">
            <v>SRAP4302-ECOMM-C</v>
          </cell>
          <cell r="B154">
            <v>12</v>
          </cell>
          <cell r="C154">
            <v>96</v>
          </cell>
          <cell r="D154" t="str">
            <v>三代</v>
          </cell>
        </row>
        <row r="155">
          <cell r="A155" t="str">
            <v>SRCRP400-ECOMM</v>
          </cell>
        </row>
        <row r="155">
          <cell r="C155">
            <v>96</v>
          </cell>
          <cell r="D155" t="str">
            <v>三代</v>
          </cell>
        </row>
        <row r="156">
          <cell r="A156" t="str">
            <v>SRMC103-ECOMM-2PK</v>
          </cell>
          <cell r="B156">
            <v>5</v>
          </cell>
          <cell r="C156">
            <v>108</v>
          </cell>
          <cell r="D156" t="str">
            <v>三代</v>
          </cell>
        </row>
        <row r="157">
          <cell r="A157" t="str">
            <v>SRMC201-ECOMM</v>
          </cell>
          <cell r="B157">
            <v>12</v>
          </cell>
          <cell r="C157">
            <v>24</v>
          </cell>
          <cell r="D157" t="str">
            <v>三代</v>
          </cell>
        </row>
        <row r="158">
          <cell r="A158" t="str">
            <v>SRMC400-ECOMM-A</v>
          </cell>
          <cell r="B158">
            <v>12</v>
          </cell>
          <cell r="C158">
            <v>96</v>
          </cell>
          <cell r="D158" t="str">
            <v>三代</v>
          </cell>
        </row>
        <row r="159">
          <cell r="A159" t="str">
            <v>SRMC400-ECOMM-B</v>
          </cell>
          <cell r="B159">
            <v>12</v>
          </cell>
          <cell r="C159">
            <v>96</v>
          </cell>
          <cell r="D159" t="str">
            <v>三代</v>
          </cell>
        </row>
        <row r="160">
          <cell r="A160" t="str">
            <v>SRMC400-ECOMM-C</v>
          </cell>
          <cell r="B160">
            <v>12</v>
          </cell>
          <cell r="C160">
            <v>96</v>
          </cell>
          <cell r="D160" t="str">
            <v>三代</v>
          </cell>
        </row>
        <row r="161">
          <cell r="A161" t="str">
            <v>SRSM102-ECOMM-A</v>
          </cell>
          <cell r="B161">
            <v>7</v>
          </cell>
          <cell r="C161">
            <v>144</v>
          </cell>
          <cell r="D161" t="str">
            <v>三代</v>
          </cell>
        </row>
        <row r="162">
          <cell r="A162" t="str">
            <v>SRSM102-ECOMM-B</v>
          </cell>
          <cell r="B162">
            <v>7</v>
          </cell>
          <cell r="C162">
            <v>144</v>
          </cell>
          <cell r="D162" t="str">
            <v>三代</v>
          </cell>
        </row>
        <row r="163">
          <cell r="A163" t="str">
            <v>SRSM102-ECOMM-C</v>
          </cell>
          <cell r="B163">
            <v>7</v>
          </cell>
          <cell r="C163">
            <v>144</v>
          </cell>
          <cell r="D163" t="str">
            <v>三代</v>
          </cell>
        </row>
        <row r="164">
          <cell r="A164" t="str">
            <v>SRSM301-ECOMM</v>
          </cell>
          <cell r="B164">
            <v>32</v>
          </cell>
          <cell r="C164">
            <v>60</v>
          </cell>
          <cell r="D164" t="str">
            <v>三代</v>
          </cell>
        </row>
        <row r="165">
          <cell r="A165" t="str">
            <v>SRTD400-ECOMM-A</v>
          </cell>
          <cell r="B165">
            <v>12</v>
          </cell>
          <cell r="C165">
            <v>96</v>
          </cell>
          <cell r="D165" t="str">
            <v>三代</v>
          </cell>
        </row>
        <row r="166">
          <cell r="A166" t="str">
            <v>SRTD400-ECOMM-B</v>
          </cell>
          <cell r="B166">
            <v>12</v>
          </cell>
          <cell r="C166">
            <v>96</v>
          </cell>
          <cell r="D166" t="str">
            <v>三代</v>
          </cell>
        </row>
        <row r="167">
          <cell r="A167" t="str">
            <v>SRTD400-ECOMM-C</v>
          </cell>
          <cell r="B167">
            <v>12</v>
          </cell>
          <cell r="C167">
            <v>96</v>
          </cell>
          <cell r="D167" t="str">
            <v>三代</v>
          </cell>
        </row>
        <row r="168">
          <cell r="A168" t="str">
            <v>SRAE101-ECOMM-B</v>
          </cell>
          <cell r="B168">
            <v>5</v>
          </cell>
          <cell r="C168">
            <v>96</v>
          </cell>
          <cell r="D168" t="str">
            <v>三代</v>
          </cell>
        </row>
        <row r="169">
          <cell r="A169" t="str">
            <v>SRAE101CDU-24</v>
          </cell>
        </row>
        <row r="169">
          <cell r="C169">
            <v>24</v>
          </cell>
          <cell r="D169" t="str">
            <v>三代</v>
          </cell>
        </row>
        <row r="170">
          <cell r="A170" t="str">
            <v>SRAP8003CDU-18</v>
          </cell>
          <cell r="B170">
            <v>5</v>
          </cell>
          <cell r="C170">
            <v>18</v>
          </cell>
          <cell r="D170" t="str">
            <v>三代</v>
          </cell>
        </row>
        <row r="171">
          <cell r="A171" t="str">
            <v>SR8003</v>
          </cell>
          <cell r="B171">
            <v>5</v>
          </cell>
          <cell r="C171">
            <v>100</v>
          </cell>
          <cell r="D171" t="str">
            <v>三代</v>
          </cell>
        </row>
        <row r="172">
          <cell r="A172" t="str">
            <v>SR1602</v>
          </cell>
          <cell r="B172">
            <v>5</v>
          </cell>
          <cell r="C172">
            <v>384</v>
          </cell>
          <cell r="D172" t="str">
            <v>三代</v>
          </cell>
        </row>
        <row r="173">
          <cell r="A173" t="str">
            <v>SR4003</v>
          </cell>
        </row>
        <row r="173">
          <cell r="C173">
            <v>6</v>
          </cell>
          <cell r="D173" t="str">
            <v>三代</v>
          </cell>
        </row>
        <row r="174">
          <cell r="A174" t="str">
            <v>SRBFF1812CDU-12</v>
          </cell>
        </row>
        <row r="174">
          <cell r="C174">
            <v>12</v>
          </cell>
          <cell r="D174" t="str">
            <v>三代</v>
          </cell>
        </row>
        <row r="175">
          <cell r="A175" t="str">
            <v>SR4003-A</v>
          </cell>
          <cell r="B175">
            <v>12</v>
          </cell>
          <cell r="C175">
            <v>6</v>
          </cell>
          <cell r="D175" t="str">
            <v>三代</v>
          </cell>
        </row>
        <row r="176">
          <cell r="A176" t="str">
            <v>SR4003-B</v>
          </cell>
          <cell r="B176">
            <v>12</v>
          </cell>
          <cell r="C176">
            <v>6</v>
          </cell>
          <cell r="D176" t="str">
            <v>三代</v>
          </cell>
        </row>
        <row r="177">
          <cell r="A177" t="str">
            <v>SR4003-C</v>
          </cell>
          <cell r="B177">
            <v>12</v>
          </cell>
          <cell r="C177">
            <v>6</v>
          </cell>
          <cell r="D177" t="str">
            <v>三代</v>
          </cell>
        </row>
        <row r="178">
          <cell r="A178" t="str">
            <v>SR4003-D</v>
          </cell>
          <cell r="B178">
            <v>12</v>
          </cell>
          <cell r="C178">
            <v>6</v>
          </cell>
          <cell r="D178" t="str">
            <v>三代</v>
          </cell>
        </row>
        <row r="179">
          <cell r="A179" t="str">
            <v>SR4003-E</v>
          </cell>
          <cell r="B179">
            <v>12</v>
          </cell>
          <cell r="C179">
            <v>6</v>
          </cell>
          <cell r="D179" t="str">
            <v>三代</v>
          </cell>
        </row>
        <row r="180">
          <cell r="A180" t="str">
            <v>SR4003-F</v>
          </cell>
          <cell r="B180">
            <v>12</v>
          </cell>
          <cell r="C180">
            <v>6</v>
          </cell>
          <cell r="D180" t="str">
            <v>三代</v>
          </cell>
        </row>
        <row r="181">
          <cell r="A181" t="str">
            <v>SR1023-A</v>
          </cell>
          <cell r="B181">
            <v>7</v>
          </cell>
          <cell r="C181">
            <v>12</v>
          </cell>
          <cell r="D181" t="str">
            <v>三代</v>
          </cell>
        </row>
        <row r="182">
          <cell r="A182" t="str">
            <v>SR1023-B</v>
          </cell>
          <cell r="B182">
            <v>7</v>
          </cell>
          <cell r="C182">
            <v>12</v>
          </cell>
          <cell r="D182" t="str">
            <v>三代</v>
          </cell>
        </row>
        <row r="183">
          <cell r="A183" t="str">
            <v>SR1023-C</v>
          </cell>
          <cell r="B183">
            <v>7</v>
          </cell>
          <cell r="C183">
            <v>12</v>
          </cell>
          <cell r="D183" t="str">
            <v>三代</v>
          </cell>
        </row>
        <row r="184">
          <cell r="A184" t="str">
            <v>SR1023-D</v>
          </cell>
          <cell r="B184">
            <v>7</v>
          </cell>
          <cell r="C184">
            <v>12</v>
          </cell>
          <cell r="D184" t="str">
            <v>三代</v>
          </cell>
        </row>
        <row r="185">
          <cell r="A185" t="str">
            <v>SR1023-E</v>
          </cell>
          <cell r="B185">
            <v>7</v>
          </cell>
          <cell r="C185">
            <v>12</v>
          </cell>
          <cell r="D185" t="str">
            <v>三代</v>
          </cell>
        </row>
        <row r="186">
          <cell r="A186" t="str">
            <v>SR1023-F</v>
          </cell>
          <cell r="B186">
            <v>7</v>
          </cell>
          <cell r="C186">
            <v>12</v>
          </cell>
          <cell r="D186" t="str">
            <v>三代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pane ySplit="1" topLeftCell="A23" activePane="bottomLeft" state="frozen"/>
      <selection/>
      <selection pane="bottomLeft" activeCell="H8" sqref="H8"/>
    </sheetView>
  </sheetViews>
  <sheetFormatPr defaultColWidth="9" defaultRowHeight="20.1" customHeight="1" outlineLevelCol="7"/>
  <cols>
    <col min="1" max="1" width="21" style="154" customWidth="1"/>
    <col min="2" max="4" width="9" style="154"/>
    <col min="9" max="16384" width="9" style="154"/>
  </cols>
  <sheetData>
    <row r="1" customHeight="1" spans="1:8">
      <c r="A1" s="154" t="s">
        <v>0</v>
      </c>
      <c r="B1" s="154" t="s">
        <v>1</v>
      </c>
      <c r="C1" s="155" t="s">
        <v>2</v>
      </c>
      <c r="E1" s="154"/>
      <c r="F1" s="154"/>
      <c r="G1" s="154"/>
      <c r="H1" s="154"/>
    </row>
    <row r="2" customHeight="1" spans="1:8">
      <c r="A2" s="154" t="s">
        <v>3</v>
      </c>
      <c r="B2" s="154">
        <v>3</v>
      </c>
      <c r="C2" s="154">
        <v>360</v>
      </c>
    </row>
    <row r="3" customHeight="1" spans="1:8">
      <c r="A3" s="154" t="s">
        <v>4</v>
      </c>
      <c r="B3" s="154">
        <v>7</v>
      </c>
      <c r="C3" s="154">
        <v>12</v>
      </c>
    </row>
    <row r="4" customHeight="1" spans="1:8">
      <c r="A4" s="154" t="s">
        <v>5</v>
      </c>
      <c r="B4" s="154">
        <v>7</v>
      </c>
      <c r="C4" s="154">
        <v>16</v>
      </c>
    </row>
    <row r="5" customHeight="1" spans="1:8">
      <c r="A5" s="154" t="s">
        <v>6</v>
      </c>
      <c r="B5" s="154">
        <v>7</v>
      </c>
      <c r="C5" s="154">
        <v>24</v>
      </c>
    </row>
    <row r="6" customHeight="1" spans="1:8">
      <c r="A6" s="154" t="s">
        <v>7</v>
      </c>
      <c r="B6" s="154">
        <v>5</v>
      </c>
      <c r="C6" s="154">
        <v>24</v>
      </c>
    </row>
    <row r="7" customHeight="1" spans="1:8">
      <c r="A7" s="154" t="s">
        <v>8</v>
      </c>
      <c r="B7" s="154">
        <v>5</v>
      </c>
      <c r="C7" s="154">
        <v>24</v>
      </c>
    </row>
    <row r="8" customHeight="1" spans="1:8">
      <c r="A8" s="154" t="s">
        <v>9</v>
      </c>
      <c r="B8" s="154">
        <v>12</v>
      </c>
      <c r="C8" s="154">
        <v>6</v>
      </c>
    </row>
    <row r="9" customHeight="1" spans="1:8">
      <c r="A9" s="156" t="s">
        <v>10</v>
      </c>
      <c r="B9" s="154">
        <v>12</v>
      </c>
      <c r="C9" s="154">
        <v>6</v>
      </c>
    </row>
    <row r="10" customHeight="1" spans="1:8">
      <c r="A10" s="154" t="s">
        <v>11</v>
      </c>
      <c r="B10" s="154">
        <v>32</v>
      </c>
      <c r="C10" s="154">
        <v>4</v>
      </c>
    </row>
    <row r="11" customHeight="1" spans="1:8">
      <c r="A11" s="154" t="s">
        <v>12</v>
      </c>
      <c r="B11" s="154">
        <v>12</v>
      </c>
      <c r="C11" s="154">
        <v>6</v>
      </c>
    </row>
    <row r="12" customHeight="1" spans="1:8">
      <c r="A12" s="154" t="s">
        <v>13</v>
      </c>
      <c r="B12" s="154">
        <v>18</v>
      </c>
      <c r="C12" s="154">
        <v>6</v>
      </c>
    </row>
    <row r="13" customHeight="1" spans="1:8">
      <c r="A13" s="154" t="s">
        <v>14</v>
      </c>
      <c r="B13" s="154">
        <v>7</v>
      </c>
      <c r="C13" s="154">
        <v>9</v>
      </c>
    </row>
    <row r="14" customHeight="1" spans="1:8">
      <c r="A14" s="154" t="s">
        <v>15</v>
      </c>
      <c r="B14" s="154">
        <v>7</v>
      </c>
      <c r="C14" s="154">
        <v>144</v>
      </c>
      <c r="D14" s="155" t="s">
        <v>16</v>
      </c>
    </row>
    <row r="15" customHeight="1" spans="1:8">
      <c r="A15" s="154" t="s">
        <v>17</v>
      </c>
      <c r="B15" s="154">
        <v>12</v>
      </c>
      <c r="C15" s="154">
        <v>24</v>
      </c>
      <c r="D15" s="155" t="s">
        <v>16</v>
      </c>
    </row>
    <row r="16" customHeight="1" spans="1:8">
      <c r="A16" s="154" t="s">
        <v>18</v>
      </c>
      <c r="B16" s="154">
        <v>5</v>
      </c>
      <c r="C16" s="154">
        <v>250</v>
      </c>
    </row>
    <row r="17" customHeight="1" spans="1:3">
      <c r="A17" s="154" t="s">
        <v>19</v>
      </c>
      <c r="B17" s="154">
        <v>10</v>
      </c>
      <c r="C17" s="154">
        <v>16</v>
      </c>
    </row>
    <row r="18" customHeight="1" spans="1:3">
      <c r="A18" s="154" t="s">
        <v>20</v>
      </c>
      <c r="B18" s="154">
        <v>7</v>
      </c>
      <c r="C18" s="154">
        <v>16</v>
      </c>
    </row>
    <row r="19" customHeight="1" spans="1:3">
      <c r="A19" s="154" t="s">
        <v>21</v>
      </c>
      <c r="B19" s="154">
        <v>15</v>
      </c>
      <c r="C19" s="154">
        <v>6</v>
      </c>
    </row>
    <row r="20" customHeight="1" spans="1:3">
      <c r="A20" s="154" t="s">
        <v>22</v>
      </c>
      <c r="B20" s="154">
        <v>35</v>
      </c>
      <c r="C20" s="154">
        <v>4</v>
      </c>
    </row>
    <row r="21" customHeight="1" spans="1:3">
      <c r="A21" s="154" t="s">
        <v>23</v>
      </c>
      <c r="B21" s="154">
        <v>3</v>
      </c>
      <c r="C21" s="154">
        <v>12</v>
      </c>
    </row>
    <row r="22" customHeight="1" spans="1:3">
      <c r="A22" s="154" t="s">
        <v>24</v>
      </c>
      <c r="B22" s="154">
        <v>5</v>
      </c>
      <c r="C22" s="154">
        <v>24</v>
      </c>
    </row>
    <row r="23" customHeight="1" spans="1:3">
      <c r="A23" s="154" t="s">
        <v>25</v>
      </c>
      <c r="B23" s="154">
        <v>5</v>
      </c>
      <c r="C23" s="154">
        <v>12</v>
      </c>
    </row>
    <row r="24" customHeight="1" spans="1:3">
      <c r="A24" s="154" t="s">
        <v>26</v>
      </c>
      <c r="B24" s="154">
        <v>24</v>
      </c>
      <c r="C24" s="154">
        <v>24</v>
      </c>
    </row>
    <row r="25" customHeight="1" spans="1:3">
      <c r="A25" s="154" t="s">
        <v>5</v>
      </c>
      <c r="B25" s="154">
        <v>7</v>
      </c>
      <c r="C25" s="154">
        <v>16</v>
      </c>
    </row>
    <row r="26" customHeight="1" spans="1:3">
      <c r="A26" s="154" t="s">
        <v>27</v>
      </c>
      <c r="B26" s="154">
        <v>5</v>
      </c>
      <c r="C26" s="154">
        <v>24</v>
      </c>
    </row>
    <row r="27" customHeight="1" spans="1:3">
      <c r="A27" s="154" t="s">
        <v>28</v>
      </c>
      <c r="B27" s="154">
        <v>12</v>
      </c>
      <c r="C27" s="154">
        <v>6</v>
      </c>
    </row>
    <row r="28" customHeight="1" spans="1:3">
      <c r="A28" s="154" t="s">
        <v>29</v>
      </c>
      <c r="B28" s="154">
        <v>7</v>
      </c>
      <c r="C28" s="154">
        <v>24</v>
      </c>
    </row>
    <row r="29" customHeight="1" spans="1:3">
      <c r="A29" s="154" t="s">
        <v>30</v>
      </c>
      <c r="B29" s="154">
        <v>7</v>
      </c>
      <c r="C29" s="154">
        <v>9</v>
      </c>
    </row>
    <row r="30" customHeight="1" spans="1:3">
      <c r="A30" s="154" t="s">
        <v>31</v>
      </c>
      <c r="B30" s="154">
        <v>12</v>
      </c>
      <c r="C30" s="154">
        <v>6</v>
      </c>
    </row>
    <row r="31" customHeight="1" spans="1:3">
      <c r="A31" s="154" t="s">
        <v>32</v>
      </c>
      <c r="B31" s="154">
        <v>32</v>
      </c>
      <c r="C31" s="154">
        <v>4</v>
      </c>
    </row>
    <row r="32" customHeight="1" spans="1:3">
      <c r="A32" s="154" t="s">
        <v>33</v>
      </c>
      <c r="B32" s="154">
        <v>12</v>
      </c>
      <c r="C32" s="154">
        <v>6</v>
      </c>
    </row>
    <row r="33" customHeight="1" spans="1:3">
      <c r="A33" s="154" t="s">
        <v>34</v>
      </c>
      <c r="B33" s="154">
        <v>5</v>
      </c>
      <c r="C33" s="154">
        <v>12</v>
      </c>
    </row>
    <row r="34" customHeight="1" spans="1:3">
      <c r="A34" s="154" t="s">
        <v>35</v>
      </c>
      <c r="B34" s="154">
        <v>12</v>
      </c>
      <c r="C34" s="154">
        <v>6</v>
      </c>
    </row>
    <row r="35" customHeight="1" spans="1:3">
      <c r="A35" s="154" t="s">
        <v>36</v>
      </c>
      <c r="C35" s="154">
        <v>2</v>
      </c>
    </row>
    <row r="36" customHeight="1" spans="1:3">
      <c r="A36" s="154" t="s">
        <v>37</v>
      </c>
      <c r="B36" s="154">
        <v>5</v>
      </c>
      <c r="C36" s="154">
        <v>24</v>
      </c>
    </row>
    <row r="37" customHeight="1" spans="1:3">
      <c r="A37" s="154" t="s">
        <v>38</v>
      </c>
      <c r="B37" s="154">
        <v>5</v>
      </c>
      <c r="C37" s="154">
        <v>24</v>
      </c>
    </row>
    <row r="38" customHeight="1" spans="1:3">
      <c r="A38" s="154" t="s">
        <v>39</v>
      </c>
      <c r="B38" s="154">
        <v>5</v>
      </c>
      <c r="C38" s="154">
        <v>360</v>
      </c>
    </row>
    <row r="39" customHeight="1" spans="1:3">
      <c r="A39" s="154" t="s">
        <v>40</v>
      </c>
      <c r="B39" s="154">
        <v>5</v>
      </c>
      <c r="C39" s="154">
        <v>12</v>
      </c>
    </row>
    <row r="40" customHeight="1" spans="1:3">
      <c r="A40" s="154" t="s">
        <v>41</v>
      </c>
      <c r="B40" s="154">
        <v>15</v>
      </c>
      <c r="C40" s="154">
        <v>5</v>
      </c>
    </row>
    <row r="41" customHeight="1" spans="1:3">
      <c r="A41" s="154" t="s">
        <v>42</v>
      </c>
      <c r="B41" s="154">
        <v>5</v>
      </c>
      <c r="C41" s="154">
        <v>12</v>
      </c>
    </row>
    <row r="42" customHeight="1" spans="1:3">
      <c r="A42" s="154" t="s">
        <v>43</v>
      </c>
      <c r="C42" s="154">
        <v>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42" etc:filterBottomFollowUsedRange="0">
    <sortState ref="A1:C42">
      <sortCondition ref="A1"/>
    </sortState>
    <extLst/>
  </autoFilter>
  <conditionalFormatting sqref="A24">
    <cfRule type="duplicateValues" dxfId="0" priority="18"/>
  </conditionalFormatting>
  <conditionalFormatting sqref="A25">
    <cfRule type="duplicateValues" dxfId="0" priority="17"/>
  </conditionalFormatting>
  <conditionalFormatting sqref="A26">
    <cfRule type="duplicateValues" dxfId="0" priority="16"/>
  </conditionalFormatting>
  <conditionalFormatting sqref="A27">
    <cfRule type="duplicateValues" dxfId="0" priority="15"/>
  </conditionalFormatting>
  <conditionalFormatting sqref="A28">
    <cfRule type="duplicateValues" dxfId="0" priority="14"/>
  </conditionalFormatting>
  <conditionalFormatting sqref="A29">
    <cfRule type="duplicateValues" dxfId="0" priority="13"/>
  </conditionalFormatting>
  <conditionalFormatting sqref="A30">
    <cfRule type="duplicateValues" dxfId="0" priority="12"/>
  </conditionalFormatting>
  <conditionalFormatting sqref="A31">
    <cfRule type="duplicateValues" dxfId="0" priority="11"/>
  </conditionalFormatting>
  <conditionalFormatting sqref="A32">
    <cfRule type="duplicateValues" dxfId="0" priority="10"/>
  </conditionalFormatting>
  <conditionalFormatting sqref="A33">
    <cfRule type="duplicateValues" dxfId="0" priority="9"/>
  </conditionalFormatting>
  <conditionalFormatting sqref="A34">
    <cfRule type="duplicateValues" dxfId="0" priority="8"/>
  </conditionalFormatting>
  <conditionalFormatting sqref="A35">
    <cfRule type="duplicateValues" dxfId="0" priority="7"/>
  </conditionalFormatting>
  <conditionalFormatting sqref="A36">
    <cfRule type="duplicateValues" dxfId="0" priority="6"/>
  </conditionalFormatting>
  <conditionalFormatting sqref="A37">
    <cfRule type="duplicateValues" dxfId="0" priority="5"/>
  </conditionalFormatting>
  <conditionalFormatting sqref="A38">
    <cfRule type="duplicateValues" dxfId="0" priority="4"/>
  </conditionalFormatting>
  <conditionalFormatting sqref="A39">
    <cfRule type="duplicateValues" dxfId="0" priority="3"/>
  </conditionalFormatting>
  <conditionalFormatting sqref="A40">
    <cfRule type="duplicateValues" dxfId="0" priority="2"/>
  </conditionalFormatting>
  <conditionalFormatting sqref="A41">
    <cfRule type="duplicateValues" dxfId="0" priority="1"/>
  </conditionalFormatting>
  <conditionalFormatting sqref="A1:A23 A42:A1048576">
    <cfRule type="duplicateValues" dxfId="0" priority="19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workbookViewId="0">
      <pane xSplit="7" ySplit="2" topLeftCell="I22" activePane="bottomRight" state="frozen"/>
      <selection/>
      <selection pane="topRight"/>
      <selection pane="bottomLeft"/>
      <selection pane="bottomRight" activeCell="I25" sqref="I25"/>
    </sheetView>
  </sheetViews>
  <sheetFormatPr defaultColWidth="9" defaultRowHeight="25" customHeight="1"/>
  <cols>
    <col min="1" max="1" width="12.6" style="96" customWidth="1"/>
    <col min="2" max="2" width="12.625" style="102" customWidth="1"/>
    <col min="3" max="4" width="12.6" style="97" customWidth="1"/>
    <col min="5" max="5" width="10.6" style="97" customWidth="1"/>
    <col min="6" max="6" width="6.625" style="103" customWidth="1"/>
    <col min="7" max="7" width="10.625" style="96" customWidth="1"/>
    <col min="8" max="17" width="8.6" style="96" customWidth="1"/>
    <col min="18" max="18" width="8.6" style="104" customWidth="1"/>
    <col min="19" max="20" width="12.6" style="105" customWidth="1"/>
    <col min="21" max="16384" width="9" style="96"/>
  </cols>
  <sheetData>
    <row r="1" s="96" customFormat="1" customHeight="1" spans="1:20">
      <c r="A1" s="106" t="s">
        <v>44</v>
      </c>
      <c r="B1" s="106"/>
      <c r="C1" s="106"/>
      <c r="D1" s="106"/>
      <c r="E1" s="106"/>
      <c r="F1" s="107"/>
      <c r="G1" s="106"/>
      <c r="H1" s="108"/>
      <c r="I1" s="108"/>
      <c r="J1" s="109"/>
      <c r="K1" s="108"/>
      <c r="L1" s="110"/>
      <c r="M1" s="108"/>
      <c r="N1" s="110"/>
      <c r="O1" s="108"/>
      <c r="P1" s="110"/>
      <c r="Q1" s="108"/>
      <c r="R1" s="111"/>
      <c r="S1" s="112"/>
      <c r="T1" s="112"/>
    </row>
    <row r="2" s="97" customFormat="1" customHeight="1" spans="1:20">
      <c r="A2" s="113" t="s">
        <v>45</v>
      </c>
      <c r="B2" s="114" t="s">
        <v>46</v>
      </c>
      <c r="C2" s="115" t="s">
        <v>47</v>
      </c>
      <c r="D2" s="115" t="s">
        <v>48</v>
      </c>
      <c r="E2" s="115" t="s">
        <v>0</v>
      </c>
      <c r="F2" s="57" t="s">
        <v>49</v>
      </c>
      <c r="G2" s="115" t="s">
        <v>50</v>
      </c>
      <c r="H2" s="109" t="s">
        <v>38</v>
      </c>
      <c r="I2" s="109" t="s">
        <v>31</v>
      </c>
      <c r="J2" s="110"/>
      <c r="K2" s="110"/>
      <c r="L2" s="110"/>
      <c r="M2" s="110"/>
      <c r="N2" s="110"/>
      <c r="O2" s="110"/>
      <c r="P2" s="109"/>
      <c r="Q2" s="110"/>
      <c r="R2" s="116" t="s">
        <v>51</v>
      </c>
      <c r="S2" s="112" t="s">
        <v>52</v>
      </c>
      <c r="T2" s="112" t="s">
        <v>53</v>
      </c>
    </row>
    <row r="3" s="98" customFormat="1" customHeight="1" spans="1:20">
      <c r="A3" s="70">
        <v>46109</v>
      </c>
      <c r="B3" s="70">
        <v>46132</v>
      </c>
      <c r="C3" s="71" t="s">
        <v>54</v>
      </c>
      <c r="D3" s="71" t="s">
        <v>55</v>
      </c>
      <c r="E3" s="71" t="s">
        <v>38</v>
      </c>
      <c r="F3" s="74">
        <v>15000</v>
      </c>
      <c r="G3" s="71" t="s">
        <v>56</v>
      </c>
      <c r="H3" s="117">
        <f>F3</f>
        <v>15000</v>
      </c>
      <c r="I3" s="117"/>
      <c r="J3" s="117"/>
      <c r="K3" s="117"/>
      <c r="L3" s="117"/>
      <c r="M3" s="117"/>
      <c r="N3" s="117"/>
      <c r="O3" s="117"/>
      <c r="P3" s="117"/>
      <c r="Q3" s="117"/>
      <c r="R3" s="81">
        <v>0.61</v>
      </c>
      <c r="S3" s="118">
        <f t="shared" ref="S3:S15" si="0">SUM(H3:Q3)*R3</f>
        <v>9150</v>
      </c>
      <c r="T3" s="118">
        <f t="shared" ref="T3:T15" si="1">S3*7.75</f>
        <v>70912.5</v>
      </c>
    </row>
    <row r="4" s="96" customFormat="1" customHeight="1" spans="1:20">
      <c r="A4" s="51">
        <v>46109</v>
      </c>
      <c r="B4" s="51">
        <v>46132</v>
      </c>
      <c r="C4" s="53" t="s">
        <v>54</v>
      </c>
      <c r="D4" s="53" t="s">
        <v>55</v>
      </c>
      <c r="E4" s="53" t="s">
        <v>38</v>
      </c>
      <c r="F4" s="55">
        <f>60120-6000-2112-7200</f>
        <v>44808</v>
      </c>
      <c r="G4" s="53" t="s">
        <v>56</v>
      </c>
      <c r="H4" s="108">
        <f t="shared" ref="H4:H9" si="2">F4</f>
        <v>44808</v>
      </c>
      <c r="I4" s="108"/>
      <c r="J4" s="108"/>
      <c r="K4" s="108"/>
      <c r="L4" s="108"/>
      <c r="M4" s="108"/>
      <c r="N4" s="108"/>
      <c r="O4" s="108"/>
      <c r="P4" s="108"/>
      <c r="Q4" s="108"/>
      <c r="R4" s="59">
        <v>0.64</v>
      </c>
      <c r="S4" s="112">
        <f t="shared" si="0"/>
        <v>28677.12</v>
      </c>
      <c r="T4" s="112">
        <f t="shared" si="1"/>
        <v>222247.68</v>
      </c>
    </row>
    <row r="5" s="98" customFormat="1" customHeight="1" spans="1:20">
      <c r="A5" s="70">
        <v>46109</v>
      </c>
      <c r="B5" s="70">
        <v>46132</v>
      </c>
      <c r="C5" s="71" t="s">
        <v>54</v>
      </c>
      <c r="D5" s="71" t="s">
        <v>55</v>
      </c>
      <c r="E5" s="71" t="s">
        <v>38</v>
      </c>
      <c r="F5" s="74">
        <v>6000</v>
      </c>
      <c r="G5" s="71" t="s">
        <v>56</v>
      </c>
      <c r="H5" s="117">
        <f t="shared" si="2"/>
        <v>6000</v>
      </c>
      <c r="I5" s="117"/>
      <c r="J5" s="117"/>
      <c r="K5" s="117"/>
      <c r="L5" s="117"/>
      <c r="M5" s="117"/>
      <c r="N5" s="117"/>
      <c r="O5" s="117"/>
      <c r="P5" s="117"/>
      <c r="Q5" s="117"/>
      <c r="R5" s="81">
        <v>0.63</v>
      </c>
      <c r="S5" s="118">
        <f t="shared" si="0"/>
        <v>3780</v>
      </c>
      <c r="T5" s="118">
        <f t="shared" si="1"/>
        <v>29295</v>
      </c>
    </row>
    <row r="6" s="98" customFormat="1" customHeight="1" spans="1:20">
      <c r="A6" s="70">
        <v>46109</v>
      </c>
      <c r="B6" s="70">
        <v>46132</v>
      </c>
      <c r="C6" s="71" t="s">
        <v>57</v>
      </c>
      <c r="D6" s="71" t="s">
        <v>58</v>
      </c>
      <c r="E6" s="71" t="s">
        <v>31</v>
      </c>
      <c r="F6" s="74">
        <v>9996</v>
      </c>
      <c r="G6" s="71" t="s">
        <v>56</v>
      </c>
      <c r="H6" s="117"/>
      <c r="I6" s="117">
        <f>F6</f>
        <v>9996</v>
      </c>
      <c r="J6" s="117"/>
      <c r="K6" s="117"/>
      <c r="L6" s="117"/>
      <c r="M6" s="117"/>
      <c r="N6" s="117"/>
      <c r="O6" s="117"/>
      <c r="P6" s="117"/>
      <c r="Q6" s="117"/>
      <c r="R6" s="81">
        <v>2.02</v>
      </c>
      <c r="S6" s="118">
        <f t="shared" si="0"/>
        <v>20191.92</v>
      </c>
      <c r="T6" s="118">
        <f t="shared" si="1"/>
        <v>156487.38</v>
      </c>
    </row>
    <row r="7" s="98" customFormat="1" customHeight="1" spans="1:20">
      <c r="A7" s="70">
        <v>46109</v>
      </c>
      <c r="B7" s="70">
        <v>46132</v>
      </c>
      <c r="C7" s="71" t="s">
        <v>57</v>
      </c>
      <c r="D7" s="71" t="s">
        <v>58</v>
      </c>
      <c r="E7" s="71" t="s">
        <v>31</v>
      </c>
      <c r="F7" s="74">
        <v>1116</v>
      </c>
      <c r="G7" s="71" t="s">
        <v>56</v>
      </c>
      <c r="H7" s="117"/>
      <c r="I7" s="117">
        <f>F7</f>
        <v>1116</v>
      </c>
      <c r="J7" s="117"/>
      <c r="K7" s="117"/>
      <c r="L7" s="117"/>
      <c r="M7" s="117"/>
      <c r="N7" s="117"/>
      <c r="O7" s="117"/>
      <c r="P7" s="117"/>
      <c r="Q7" s="117"/>
      <c r="R7" s="81">
        <v>2.04</v>
      </c>
      <c r="S7" s="118">
        <f t="shared" si="0"/>
        <v>2276.64</v>
      </c>
      <c r="T7" s="118">
        <f t="shared" si="1"/>
        <v>17643.96</v>
      </c>
    </row>
    <row r="8" s="96" customFormat="1" customHeight="1" spans="1:20">
      <c r="A8" s="51">
        <v>46109</v>
      </c>
      <c r="B8" s="51">
        <v>46132</v>
      </c>
      <c r="C8" s="53" t="s">
        <v>57</v>
      </c>
      <c r="D8" s="53" t="s">
        <v>58</v>
      </c>
      <c r="E8" s="53" t="s">
        <v>31</v>
      </c>
      <c r="F8" s="55">
        <f>17604-1116-1488</f>
        <v>15000</v>
      </c>
      <c r="G8" s="53" t="s">
        <v>56</v>
      </c>
      <c r="H8" s="108"/>
      <c r="I8" s="108">
        <f>F8</f>
        <v>15000</v>
      </c>
      <c r="J8" s="108"/>
      <c r="K8" s="108"/>
      <c r="L8" s="108"/>
      <c r="M8" s="108"/>
      <c r="N8" s="108"/>
      <c r="O8" s="108"/>
      <c r="P8" s="108"/>
      <c r="Q8" s="108"/>
      <c r="R8" s="59">
        <v>2.11</v>
      </c>
      <c r="S8" s="112">
        <f t="shared" si="0"/>
        <v>31650</v>
      </c>
      <c r="T8" s="112">
        <f t="shared" si="1"/>
        <v>245287.5</v>
      </c>
    </row>
    <row r="9" s="96" customFormat="1" customHeight="1" spans="1:20">
      <c r="A9" s="51">
        <v>46207</v>
      </c>
      <c r="B9" s="51">
        <v>46237</v>
      </c>
      <c r="C9" s="53">
        <v>43531</v>
      </c>
      <c r="D9" s="91" t="s">
        <v>59</v>
      </c>
      <c r="E9" s="53" t="s">
        <v>38</v>
      </c>
      <c r="F9" s="55">
        <v>7200</v>
      </c>
      <c r="G9" s="53" t="s">
        <v>56</v>
      </c>
      <c r="H9" s="108">
        <f t="shared" si="2"/>
        <v>7200</v>
      </c>
      <c r="I9" s="108"/>
      <c r="J9" s="108"/>
      <c r="K9" s="108"/>
      <c r="L9" s="108"/>
      <c r="M9" s="108"/>
      <c r="N9" s="108"/>
      <c r="O9" s="108"/>
      <c r="P9" s="108"/>
      <c r="Q9" s="108"/>
      <c r="R9" s="59">
        <v>0.64</v>
      </c>
      <c r="S9" s="112">
        <f t="shared" si="0"/>
        <v>4608</v>
      </c>
      <c r="T9" s="112">
        <f t="shared" si="1"/>
        <v>35712</v>
      </c>
    </row>
    <row r="10" s="96" customFormat="1" customHeight="1" spans="1:20">
      <c r="A10" s="119"/>
      <c r="B10" s="119"/>
      <c r="C10" s="120"/>
      <c r="D10" s="120"/>
      <c r="E10" s="120"/>
      <c r="F10" s="121"/>
      <c r="G10" s="120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3"/>
      <c r="S10" s="124">
        <f t="shared" si="0"/>
        <v>0</v>
      </c>
      <c r="T10" s="124">
        <f t="shared" si="1"/>
        <v>0</v>
      </c>
    </row>
    <row r="11" s="96" customFormat="1" customHeight="1" spans="1:20">
      <c r="A11" s="119"/>
      <c r="B11" s="119"/>
      <c r="C11" s="120"/>
      <c r="D11" s="120"/>
      <c r="E11" s="120"/>
      <c r="F11" s="121"/>
      <c r="G11" s="120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3"/>
      <c r="S11" s="124">
        <f t="shared" si="0"/>
        <v>0</v>
      </c>
      <c r="T11" s="124">
        <f t="shared" si="1"/>
        <v>0</v>
      </c>
    </row>
    <row r="12" s="96" customFormat="1" customHeight="1" spans="1:20">
      <c r="A12" s="119"/>
      <c r="B12" s="119"/>
      <c r="C12" s="120"/>
      <c r="D12" s="120"/>
      <c r="E12" s="120"/>
      <c r="F12" s="121"/>
      <c r="G12" s="120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3"/>
      <c r="S12" s="124">
        <f t="shared" si="0"/>
        <v>0</v>
      </c>
      <c r="T12" s="124">
        <f t="shared" si="1"/>
        <v>0</v>
      </c>
    </row>
    <row r="13" s="96" customFormat="1" customHeight="1" spans="1:20">
      <c r="A13" s="119"/>
      <c r="B13" s="119"/>
      <c r="C13" s="120"/>
      <c r="D13" s="120"/>
      <c r="E13" s="120"/>
      <c r="F13" s="121"/>
      <c r="G13" s="120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3"/>
      <c r="S13" s="124">
        <f t="shared" si="0"/>
        <v>0</v>
      </c>
      <c r="T13" s="124">
        <f t="shared" si="1"/>
        <v>0</v>
      </c>
    </row>
    <row r="14" s="96" customFormat="1" customHeight="1" spans="1:20">
      <c r="A14" s="51"/>
      <c r="B14" s="51"/>
      <c r="C14" s="53"/>
      <c r="D14" s="53"/>
      <c r="E14" s="53"/>
      <c r="F14" s="55"/>
      <c r="G14" s="109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59"/>
      <c r="S14" s="112">
        <f t="shared" si="0"/>
        <v>0</v>
      </c>
      <c r="T14" s="112">
        <f t="shared" si="1"/>
        <v>0</v>
      </c>
    </row>
    <row r="15" s="96" customFormat="1" customHeight="1" spans="1:20">
      <c r="A15" s="51"/>
      <c r="B15" s="51"/>
      <c r="C15" s="53"/>
      <c r="D15" s="53"/>
      <c r="E15" s="53"/>
      <c r="F15" s="55"/>
      <c r="G15" s="109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59"/>
      <c r="S15" s="112">
        <f t="shared" si="0"/>
        <v>0</v>
      </c>
      <c r="T15" s="112">
        <f t="shared" si="1"/>
        <v>0</v>
      </c>
    </row>
    <row r="16" s="99" customFormat="1" customHeight="1" spans="1:20">
      <c r="A16" s="125"/>
      <c r="B16" s="125"/>
      <c r="C16" s="126"/>
      <c r="D16" s="126"/>
      <c r="E16" s="126" t="s">
        <v>60</v>
      </c>
      <c r="F16" s="127">
        <f>SUM(F3:F15)</f>
        <v>99120</v>
      </c>
      <c r="G16" s="127">
        <f>F16-R16</f>
        <v>0</v>
      </c>
      <c r="H16" s="127">
        <f t="shared" ref="H16:Q16" si="3">SUM(H3:H15)</f>
        <v>73008</v>
      </c>
      <c r="I16" s="127">
        <f t="shared" si="3"/>
        <v>26112</v>
      </c>
      <c r="J16" s="127">
        <f t="shared" si="3"/>
        <v>0</v>
      </c>
      <c r="K16" s="127">
        <f t="shared" si="3"/>
        <v>0</v>
      </c>
      <c r="L16" s="127">
        <f t="shared" si="3"/>
        <v>0</v>
      </c>
      <c r="M16" s="127">
        <f t="shared" si="3"/>
        <v>0</v>
      </c>
      <c r="N16" s="127">
        <f t="shared" si="3"/>
        <v>0</v>
      </c>
      <c r="O16" s="127">
        <f t="shared" si="3"/>
        <v>0</v>
      </c>
      <c r="P16" s="127">
        <f t="shared" si="3"/>
        <v>0</v>
      </c>
      <c r="Q16" s="127">
        <f t="shared" si="3"/>
        <v>0</v>
      </c>
      <c r="R16" s="127">
        <f>SUM(H16:Q16)</f>
        <v>99120</v>
      </c>
      <c r="S16" s="127">
        <f>SUM(S3:S15)</f>
        <v>100333.68</v>
      </c>
      <c r="T16" s="127">
        <f>SUM(T3:T15)</f>
        <v>777586.02</v>
      </c>
    </row>
    <row r="17" customFormat="1" customHeight="1" spans="1:20">
      <c r="A17" s="96"/>
      <c r="B17" s="96"/>
      <c r="C17" s="97"/>
      <c r="D17" s="97"/>
      <c r="E17" s="97"/>
      <c r="F17" s="128">
        <f>F16-总排期!J11-已走货!J13</f>
        <v>0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104"/>
      <c r="S17" s="105"/>
      <c r="T17" s="105"/>
    </row>
    <row r="18" customFormat="1" customHeight="1" spans="1:20">
      <c r="A18" s="96"/>
      <c r="B18" s="96"/>
      <c r="C18" s="97"/>
      <c r="D18" s="97"/>
      <c r="E18" s="97"/>
      <c r="F18" s="129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104"/>
      <c r="S18" s="105"/>
      <c r="T18" s="105"/>
    </row>
    <row r="19" customFormat="1" customHeight="1" spans="1:20">
      <c r="A19" s="130"/>
      <c r="B19" s="130"/>
      <c r="C19" s="131"/>
      <c r="D19" s="132" t="s">
        <v>61</v>
      </c>
      <c r="E19" s="97"/>
      <c r="F19" s="129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4"/>
      <c r="S19" s="105"/>
      <c r="T19" s="105"/>
    </row>
    <row r="20" customFormat="1" customHeight="1" spans="1:20">
      <c r="A20" s="133" t="s">
        <v>62</v>
      </c>
      <c r="B20" s="132">
        <f>T16</f>
        <v>777586.02</v>
      </c>
      <c r="C20" s="133" t="s">
        <v>62</v>
      </c>
      <c r="D20" s="132">
        <f>D21+D22</f>
        <v>503247.18</v>
      </c>
      <c r="E20" s="97"/>
      <c r="F20" s="129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4"/>
      <c r="S20" s="105"/>
      <c r="T20" s="105"/>
    </row>
    <row r="21" s="100" customFormat="1" customHeight="1" spans="1:20">
      <c r="A21" s="134" t="s">
        <v>63</v>
      </c>
      <c r="B21" s="132">
        <f>总排期!AP11</f>
        <v>503247.18</v>
      </c>
      <c r="C21" s="134" t="s">
        <v>63</v>
      </c>
      <c r="D21" s="132">
        <f>SUMIF(总排期!E:E,D19,总排期!AP:AP)</f>
        <v>503247.18</v>
      </c>
      <c r="E21" s="135"/>
      <c r="F21" s="136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8"/>
      <c r="S21" s="139"/>
      <c r="T21" s="139"/>
    </row>
    <row r="22" s="100" customFormat="1" customHeight="1" spans="1:20">
      <c r="A22" s="134" t="s">
        <v>64</v>
      </c>
      <c r="B22" s="132">
        <f>已走货!AP13</f>
        <v>274338.84</v>
      </c>
      <c r="C22" s="134" t="s">
        <v>65</v>
      </c>
      <c r="D22" s="132">
        <f>SUMIF(已走货!C:C,D19,已走货!AP:AP)</f>
        <v>0</v>
      </c>
      <c r="E22" s="135"/>
      <c r="F22" s="136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8"/>
      <c r="S22" s="139"/>
      <c r="T22" s="139"/>
    </row>
    <row r="23" s="100" customFormat="1" customHeight="1" spans="1:20">
      <c r="A23" s="133"/>
      <c r="B23" s="132">
        <f>B20-B21-B22</f>
        <v>0</v>
      </c>
      <c r="C23" s="133"/>
      <c r="D23" s="132"/>
      <c r="E23" s="135"/>
      <c r="F23" s="136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8"/>
      <c r="S23" s="139"/>
      <c r="T23" s="139"/>
    </row>
    <row r="24" s="101" customFormat="1" customHeight="1" spans="1:20">
      <c r="A24" s="140"/>
      <c r="B24" s="141"/>
      <c r="C24" s="97"/>
      <c r="D24" s="97"/>
      <c r="E24" s="97"/>
      <c r="F24" s="103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104"/>
      <c r="S24" s="105"/>
      <c r="T24" s="105"/>
    </row>
    <row r="25" s="101" customFormat="1" customHeight="1" spans="1:20">
      <c r="A25" s="142" t="s">
        <v>66</v>
      </c>
      <c r="B25" s="143"/>
      <c r="C25" s="97"/>
      <c r="D25" s="97"/>
      <c r="E25" s="97"/>
      <c r="F25" s="103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4"/>
      <c r="S25" s="105"/>
      <c r="T25" s="105"/>
    </row>
    <row r="26" s="101" customFormat="1" customHeight="1" spans="1:20">
      <c r="A26" s="144" t="s">
        <v>67</v>
      </c>
      <c r="B26" s="109" t="s">
        <v>68</v>
      </c>
      <c r="C26" s="97"/>
      <c r="D26" s="97"/>
      <c r="E26" s="97"/>
      <c r="F26" s="103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104"/>
      <c r="S26" s="105"/>
      <c r="T26" s="105"/>
    </row>
    <row r="27" s="101" customFormat="1" customHeight="1" spans="1:20">
      <c r="A27" s="145" t="s">
        <v>69</v>
      </c>
      <c r="B27" s="146" t="s">
        <v>70</v>
      </c>
      <c r="C27" s="97"/>
      <c r="D27" s="97"/>
      <c r="E27" s="97"/>
      <c r="F27" s="103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4"/>
      <c r="S27" s="105"/>
      <c r="T27" s="105"/>
    </row>
    <row r="28" s="101" customFormat="1" customHeight="1" spans="1:20">
      <c r="A28" s="147" t="s">
        <v>71</v>
      </c>
      <c r="B28" s="148" t="s">
        <v>72</v>
      </c>
      <c r="C28" s="97"/>
      <c r="D28" s="97"/>
      <c r="E28" s="97"/>
      <c r="F28" s="103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104"/>
      <c r="S28" s="105"/>
      <c r="T28" s="105"/>
    </row>
    <row r="29" s="101" customFormat="1" customHeight="1" spans="1:20">
      <c r="A29" s="149" t="s">
        <v>73</v>
      </c>
      <c r="B29" s="149" t="s">
        <v>74</v>
      </c>
      <c r="C29" s="97"/>
      <c r="D29" s="97"/>
      <c r="E29" s="97"/>
      <c r="F29" s="103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104"/>
      <c r="S29" s="105"/>
      <c r="T29" s="105"/>
    </row>
    <row r="30" s="101" customFormat="1" customHeight="1" spans="1:20">
      <c r="A30" s="150" t="s">
        <v>75</v>
      </c>
      <c r="B30" s="151" t="s">
        <v>76</v>
      </c>
      <c r="C30" s="97"/>
      <c r="D30" s="97"/>
      <c r="E30" s="97"/>
      <c r="F30" s="103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4"/>
      <c r="S30" s="105"/>
      <c r="T30" s="105"/>
    </row>
    <row r="31" s="101" customFormat="1" customHeight="1" spans="1:20">
      <c r="A31" s="152" t="s">
        <v>77</v>
      </c>
      <c r="B31" s="153" t="s">
        <v>78</v>
      </c>
      <c r="C31" s="97"/>
      <c r="D31" s="97"/>
      <c r="E31" s="97"/>
      <c r="F31" s="103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4"/>
      <c r="S31" s="105"/>
      <c r="T31" s="105"/>
    </row>
    <row r="34" customHeight="1" spans="6:6">
      <c r="F34" s="96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2:T17" etc:filterBottomFollowUsedRange="0">
    <extLst/>
  </autoFilter>
  <mergeCells count="1">
    <mergeCell ref="A1:G1"/>
  </mergeCells>
  <pageMargins left="0.75" right="0.75" top="1" bottom="1" header="0.5" footer="0.5"/>
  <pageSetup paperSize="9" orientation="portrait"/>
  <headerFooter/>
  <ignoredErrors>
    <ignoredError sqref="G16 R1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D11"/>
  <sheetViews>
    <sheetView tabSelected="1" workbookViewId="0">
      <pane xSplit="14" ySplit="2" topLeftCell="O3" activePane="bottomRight" state="frozen"/>
      <selection/>
      <selection pane="topRight"/>
      <selection pane="bottomLeft"/>
      <selection pane="bottomRight" activeCell="E13" sqref="E13"/>
    </sheetView>
  </sheetViews>
  <sheetFormatPr defaultColWidth="9" defaultRowHeight="25" customHeight="1"/>
  <cols>
    <col min="1" max="1" width="12.625" style="10" customWidth="1"/>
    <col min="2" max="3" width="3.625" style="10" customWidth="1"/>
    <col min="4" max="5" width="10.625" style="11" customWidth="1"/>
    <col min="6" max="8" width="12.625" style="11" customWidth="1"/>
    <col min="9" max="9" width="12.625" style="11" hidden="1" customWidth="1"/>
    <col min="10" max="10" width="6.625" style="12" customWidth="1"/>
    <col min="11" max="11" width="6.625" style="12" hidden="1" customWidth="1"/>
    <col min="12" max="12" width="8.625" style="12" hidden="1" customWidth="1"/>
    <col min="13" max="13" width="5.625" style="11" customWidth="1"/>
    <col min="14" max="14" width="5.625" style="12" customWidth="1"/>
    <col min="15" max="17" width="12.625" style="10" customWidth="1"/>
    <col min="18" max="18" width="6.625" style="10" customWidth="1"/>
    <col min="19" max="19" width="12.625" style="10" customWidth="1"/>
    <col min="20" max="20" width="8.625" style="13" customWidth="1"/>
    <col min="21" max="21" width="12.625" style="10" customWidth="1"/>
    <col min="22" max="22" width="4.61666666666667" style="10" customWidth="1"/>
    <col min="23" max="23" width="12" style="11" customWidth="1"/>
    <col min="24" max="24" width="7.13333333333333" style="11" customWidth="1"/>
    <col min="25" max="25" width="8.625" style="11" customWidth="1"/>
    <col min="26" max="26" width="8.625" style="14" customWidth="1"/>
    <col min="27" max="27" width="8.6" style="11" customWidth="1"/>
    <col min="28" max="28" width="10.625" style="11" customWidth="1"/>
    <col min="29" max="29" width="4.625" style="11" customWidth="1"/>
    <col min="30" max="30" width="10.625" style="11" customWidth="1"/>
    <col min="31" max="31" width="6.625" style="11" customWidth="1"/>
    <col min="32" max="38" width="10.625" style="11" customWidth="1"/>
    <col min="39" max="39" width="20.625" style="12" customWidth="1"/>
    <col min="40" max="40" width="8.625" style="15" customWidth="1"/>
    <col min="41" max="42" width="12.625" style="16" customWidth="1"/>
    <col min="43" max="43" width="10.625" style="17" customWidth="1"/>
    <col min="44" max="45" width="10.625" style="10" customWidth="1"/>
    <col min="46" max="48" width="8.625" style="10" customWidth="1"/>
    <col min="49" max="49" width="8.875" style="18" customWidth="1"/>
    <col min="50" max="50" width="9.625" style="18" customWidth="1"/>
    <col min="51" max="51" width="9.875" style="18" customWidth="1"/>
    <col min="52" max="52" width="10.375" style="18" customWidth="1"/>
    <col min="53" max="53" width="7.25" style="19" customWidth="1"/>
    <col min="54" max="54" width="7" style="20" customWidth="1"/>
    <col min="55" max="55" width="10.125" style="19" customWidth="1"/>
    <col min="56" max="56" width="8.625" style="20" customWidth="1"/>
    <col min="57" max="16384" width="9" style="90"/>
  </cols>
  <sheetData>
    <row r="1" s="6" customFormat="1" customHeight="1" spans="1:56">
      <c r="A1" s="22" t="s">
        <v>45</v>
      </c>
      <c r="B1" s="23" t="s">
        <v>79</v>
      </c>
      <c r="C1" s="24" t="str">
        <f>VLOOKUP(H1,[1]名称!A:E,4,0)</f>
        <v>系列</v>
      </c>
      <c r="D1" s="22" t="s">
        <v>80</v>
      </c>
      <c r="E1" s="22" t="s">
        <v>81</v>
      </c>
      <c r="F1" s="22" t="s">
        <v>47</v>
      </c>
      <c r="G1" s="22" t="s">
        <v>48</v>
      </c>
      <c r="H1" s="22" t="s">
        <v>0</v>
      </c>
      <c r="I1" s="22" t="s">
        <v>44</v>
      </c>
      <c r="J1" s="22" t="s">
        <v>49</v>
      </c>
      <c r="K1" s="22" t="s">
        <v>1</v>
      </c>
      <c r="L1" s="22" t="s">
        <v>82</v>
      </c>
      <c r="M1" s="22" t="s">
        <v>83</v>
      </c>
      <c r="N1" s="22" t="s">
        <v>84</v>
      </c>
      <c r="O1" s="22" t="s">
        <v>85</v>
      </c>
      <c r="P1" s="25" t="s">
        <v>86</v>
      </c>
      <c r="Q1" s="22" t="s">
        <v>87</v>
      </c>
      <c r="R1" s="26" t="s">
        <v>88</v>
      </c>
      <c r="S1" s="22" t="s">
        <v>89</v>
      </c>
      <c r="T1" s="26" t="s">
        <v>90</v>
      </c>
      <c r="U1" s="22" t="s">
        <v>91</v>
      </c>
      <c r="V1" s="27" t="s">
        <v>92</v>
      </c>
      <c r="W1" s="26" t="s">
        <v>93</v>
      </c>
      <c r="X1" s="26"/>
      <c r="Y1" s="26" t="s">
        <v>94</v>
      </c>
      <c r="Z1" s="28"/>
      <c r="AA1" s="26"/>
      <c r="AB1" s="26" t="s">
        <v>95</v>
      </c>
      <c r="AC1" s="26"/>
      <c r="AD1" s="26" t="s">
        <v>96</v>
      </c>
      <c r="AE1" s="26"/>
      <c r="AF1" s="26" t="s">
        <v>97</v>
      </c>
      <c r="AG1" s="26"/>
      <c r="AH1" s="26"/>
      <c r="AI1" s="26" t="s">
        <v>98</v>
      </c>
      <c r="AJ1" s="26" t="s">
        <v>99</v>
      </c>
      <c r="AK1" s="26" t="s">
        <v>100</v>
      </c>
      <c r="AL1" s="26" t="s">
        <v>101</v>
      </c>
      <c r="AM1" s="29" t="s">
        <v>102</v>
      </c>
      <c r="AN1" s="29" t="s">
        <v>51</v>
      </c>
      <c r="AO1" s="29" t="s">
        <v>52</v>
      </c>
      <c r="AP1" s="29" t="s">
        <v>53</v>
      </c>
      <c r="AQ1" s="30" t="s">
        <v>103</v>
      </c>
      <c r="AR1" s="29" t="s">
        <v>104</v>
      </c>
      <c r="AS1" s="29" t="s">
        <v>105</v>
      </c>
      <c r="AT1" s="29" t="s">
        <v>106</v>
      </c>
      <c r="AU1" s="29" t="s">
        <v>107</v>
      </c>
      <c r="AV1" s="29" t="s">
        <v>108</v>
      </c>
      <c r="AW1" s="29" t="s">
        <v>109</v>
      </c>
      <c r="AX1" s="29" t="s">
        <v>110</v>
      </c>
      <c r="AY1" s="29" t="s">
        <v>111</v>
      </c>
      <c r="AZ1" s="29" t="s">
        <v>112</v>
      </c>
      <c r="BA1" s="29" t="s">
        <v>113</v>
      </c>
      <c r="BB1" s="29" t="s">
        <v>114</v>
      </c>
      <c r="BC1" s="29" t="s">
        <v>115</v>
      </c>
      <c r="BD1" s="29" t="s">
        <v>81</v>
      </c>
    </row>
    <row r="2" s="6" customFormat="1" customHeight="1" spans="1:56">
      <c r="A2" s="22"/>
      <c r="B2" s="31"/>
      <c r="C2" s="3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5"/>
      <c r="Q2" s="22"/>
      <c r="R2" s="26"/>
      <c r="S2" s="22"/>
      <c r="T2" s="26"/>
      <c r="U2" s="22"/>
      <c r="V2" s="33"/>
      <c r="W2" s="26" t="s">
        <v>116</v>
      </c>
      <c r="X2" s="26" t="s">
        <v>117</v>
      </c>
      <c r="Y2" s="26" t="s">
        <v>118</v>
      </c>
      <c r="Z2" s="28" t="s">
        <v>119</v>
      </c>
      <c r="AA2" s="26" t="s">
        <v>120</v>
      </c>
      <c r="AB2" s="26" t="s">
        <v>121</v>
      </c>
      <c r="AC2" s="26" t="s">
        <v>117</v>
      </c>
      <c r="AD2" s="26" t="s">
        <v>122</v>
      </c>
      <c r="AE2" s="26" t="s">
        <v>117</v>
      </c>
      <c r="AF2" s="26" t="s">
        <v>123</v>
      </c>
      <c r="AG2" s="26" t="s">
        <v>124</v>
      </c>
      <c r="AH2" s="26" t="s">
        <v>117</v>
      </c>
      <c r="AI2" s="26"/>
      <c r="AJ2" s="26"/>
      <c r="AK2" s="26"/>
      <c r="AL2" s="26"/>
      <c r="AM2" s="29"/>
      <c r="AN2" s="29"/>
      <c r="AO2" s="29"/>
      <c r="AP2" s="29"/>
      <c r="AQ2" s="30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</row>
    <row r="3" s="8" customFormat="1" customHeight="1" spans="1:56">
      <c r="A3" s="51">
        <v>46109</v>
      </c>
      <c r="B3" s="34" t="str">
        <f ca="1">IF(TODAY()-5&gt;=A3,IF(AA3="","异常",""),"")</f>
        <v>异常</v>
      </c>
      <c r="C3" s="53" t="str">
        <f>VLOOKUP(H3,[1]名称!A:E,4,0)</f>
        <v>二代</v>
      </c>
      <c r="D3" s="52" t="s">
        <v>125</v>
      </c>
      <c r="E3" s="52" t="s">
        <v>126</v>
      </c>
      <c r="F3" s="53" t="s">
        <v>54</v>
      </c>
      <c r="G3" s="53" t="s">
        <v>55</v>
      </c>
      <c r="H3" s="53" t="s">
        <v>38</v>
      </c>
      <c r="I3" s="54"/>
      <c r="J3" s="55">
        <f>60120-6000-2112-7200</f>
        <v>44808</v>
      </c>
      <c r="K3" s="56"/>
      <c r="L3" s="55"/>
      <c r="M3" s="53">
        <f>VLOOKUP(H3,[1]名称!A:E,3,0)</f>
        <v>24</v>
      </c>
      <c r="N3" s="57">
        <f>J3/M3</f>
        <v>1867</v>
      </c>
      <c r="O3" s="51">
        <v>46132</v>
      </c>
      <c r="P3" s="51">
        <v>46132</v>
      </c>
      <c r="Q3" s="51">
        <v>46147</v>
      </c>
      <c r="R3" s="51"/>
      <c r="S3" s="51">
        <v>46148</v>
      </c>
      <c r="T3" s="26"/>
      <c r="U3" s="51"/>
      <c r="V3" s="51"/>
      <c r="W3" s="53"/>
      <c r="X3" s="53"/>
      <c r="Y3" s="53" t="s">
        <v>127</v>
      </c>
      <c r="Z3" s="58"/>
      <c r="AA3" s="53"/>
      <c r="AB3" s="53" t="s">
        <v>128</v>
      </c>
      <c r="AC3" s="53" t="s">
        <v>129</v>
      </c>
      <c r="AD3" s="53" t="s">
        <v>130</v>
      </c>
      <c r="AE3" s="53" t="s">
        <v>129</v>
      </c>
      <c r="AF3" s="53" t="s">
        <v>130</v>
      </c>
      <c r="AG3" s="53" t="s">
        <v>128</v>
      </c>
      <c r="AH3" s="53" t="s">
        <v>129</v>
      </c>
      <c r="AI3" s="53" t="s">
        <v>128</v>
      </c>
      <c r="AJ3" s="53" t="s">
        <v>130</v>
      </c>
      <c r="AK3" s="91" t="s">
        <v>129</v>
      </c>
      <c r="AL3" s="91" t="s">
        <v>131</v>
      </c>
      <c r="AM3" s="29"/>
      <c r="AN3" s="59">
        <v>0.64</v>
      </c>
      <c r="AO3" s="60">
        <f t="shared" ref="AO3:AO10" si="0">J3*AN3</f>
        <v>28677.12</v>
      </c>
      <c r="AP3" s="60">
        <f t="shared" ref="AP3:AP10" si="1">AO3*7.75</f>
        <v>222247.68</v>
      </c>
      <c r="AQ3" s="46"/>
      <c r="AR3" s="51"/>
      <c r="AS3" s="51"/>
      <c r="AT3" s="51"/>
      <c r="AU3" s="51"/>
      <c r="AV3" s="51"/>
      <c r="AW3" s="61"/>
      <c r="AX3" s="61"/>
      <c r="AY3" s="61"/>
      <c r="AZ3" s="61"/>
      <c r="BA3" s="62"/>
      <c r="BB3" s="63">
        <f t="shared" ref="BB3:BB10" si="2">J3-BA3</f>
        <v>44808</v>
      </c>
      <c r="BC3" s="62"/>
      <c r="BD3" s="55" t="str">
        <f t="shared" ref="BD3:BD11" si="3">E3</f>
        <v>美国</v>
      </c>
    </row>
    <row r="4" s="8" customFormat="1" customHeight="1" spans="1:56">
      <c r="A4" s="51">
        <v>46109</v>
      </c>
      <c r="B4" s="34" t="str">
        <f ca="1">IF(TODAY()-5&gt;=A4,IF(AA4="","异常",""),"")</f>
        <v>异常</v>
      </c>
      <c r="C4" s="53" t="str">
        <f>VLOOKUP(H4,[1]名称!A:E,4,0)</f>
        <v>二代</v>
      </c>
      <c r="D4" s="52" t="s">
        <v>125</v>
      </c>
      <c r="E4" s="52" t="s">
        <v>126</v>
      </c>
      <c r="F4" s="53" t="s">
        <v>57</v>
      </c>
      <c r="G4" s="53" t="s">
        <v>58</v>
      </c>
      <c r="H4" s="53" t="s">
        <v>31</v>
      </c>
      <c r="I4" s="54"/>
      <c r="J4" s="55">
        <f>17604-1116-1488</f>
        <v>15000</v>
      </c>
      <c r="K4" s="56"/>
      <c r="L4" s="55"/>
      <c r="M4" s="53">
        <f>VLOOKUP(H4,[1]名称!A:E,3,0)</f>
        <v>6</v>
      </c>
      <c r="N4" s="57">
        <f>J4/M4</f>
        <v>2500</v>
      </c>
      <c r="O4" s="51">
        <v>46132</v>
      </c>
      <c r="P4" s="51">
        <v>46132</v>
      </c>
      <c r="Q4" s="51">
        <v>46147</v>
      </c>
      <c r="R4" s="51"/>
      <c r="S4" s="51">
        <v>46148</v>
      </c>
      <c r="T4" s="26"/>
      <c r="U4" s="51"/>
      <c r="V4" s="51"/>
      <c r="W4" s="53"/>
      <c r="X4" s="53"/>
      <c r="Y4" s="53" t="s">
        <v>127</v>
      </c>
      <c r="Z4" s="58"/>
      <c r="AA4" s="53"/>
      <c r="AB4" s="53" t="s">
        <v>132</v>
      </c>
      <c r="AC4" s="53" t="s">
        <v>129</v>
      </c>
      <c r="AD4" s="53" t="s">
        <v>130</v>
      </c>
      <c r="AE4" s="53" t="s">
        <v>129</v>
      </c>
      <c r="AF4" s="53" t="s">
        <v>130</v>
      </c>
      <c r="AG4" s="53" t="s">
        <v>133</v>
      </c>
      <c r="AH4" s="53" t="s">
        <v>129</v>
      </c>
      <c r="AI4" s="53" t="s">
        <v>56</v>
      </c>
      <c r="AJ4" s="53" t="s">
        <v>128</v>
      </c>
      <c r="AK4" s="92" t="s">
        <v>129</v>
      </c>
      <c r="AL4" s="92" t="s">
        <v>131</v>
      </c>
      <c r="AM4" s="29"/>
      <c r="AN4" s="59">
        <v>2.11</v>
      </c>
      <c r="AO4" s="60">
        <f t="shared" si="0"/>
        <v>31650</v>
      </c>
      <c r="AP4" s="60">
        <f t="shared" si="1"/>
        <v>245287.5</v>
      </c>
      <c r="AQ4" s="46"/>
      <c r="AR4" s="51"/>
      <c r="AS4" s="51"/>
      <c r="AT4" s="51"/>
      <c r="AU4" s="51"/>
      <c r="AV4" s="51"/>
      <c r="AW4" s="61"/>
      <c r="AX4" s="61"/>
      <c r="AY4" s="61"/>
      <c r="AZ4" s="61"/>
      <c r="BA4" s="62"/>
      <c r="BB4" s="63">
        <f t="shared" si="2"/>
        <v>15000</v>
      </c>
      <c r="BC4" s="62"/>
      <c r="BD4" s="55" t="str">
        <f t="shared" si="3"/>
        <v>美国</v>
      </c>
    </row>
    <row r="5" s="8" customFormat="1" customHeight="1" spans="1:56">
      <c r="A5" s="51">
        <v>46207</v>
      </c>
      <c r="B5" s="34" t="str">
        <f ca="1">IF(TODAY()-5&gt;=A5,IF(AA5="","异常",""),"")</f>
        <v/>
      </c>
      <c r="C5" s="53" t="str">
        <f>VLOOKUP(H5,[1]名称!A:E,4,0)</f>
        <v>二代</v>
      </c>
      <c r="D5" s="93" t="s">
        <v>134</v>
      </c>
      <c r="E5" s="52" t="s">
        <v>126</v>
      </c>
      <c r="F5" s="53">
        <v>43531</v>
      </c>
      <c r="G5" s="91" t="s">
        <v>59</v>
      </c>
      <c r="H5" s="53" t="s">
        <v>38</v>
      </c>
      <c r="I5" s="54"/>
      <c r="J5" s="55">
        <v>7200</v>
      </c>
      <c r="K5" s="56"/>
      <c r="L5" s="55"/>
      <c r="M5" s="53">
        <f>VLOOKUP(H5,[1]名称!A:E,3,0)</f>
        <v>24</v>
      </c>
      <c r="N5" s="57">
        <f>J5/M5</f>
        <v>300</v>
      </c>
      <c r="O5" s="51">
        <v>46237</v>
      </c>
      <c r="P5" s="51">
        <v>46237</v>
      </c>
      <c r="Q5" s="94">
        <v>46245</v>
      </c>
      <c r="R5" s="51"/>
      <c r="S5" s="94">
        <v>46245</v>
      </c>
      <c r="T5" s="26"/>
      <c r="U5" s="94" t="s">
        <v>135</v>
      </c>
      <c r="V5" s="51"/>
      <c r="W5" s="53"/>
      <c r="X5" s="53"/>
      <c r="Y5" s="95">
        <v>46206</v>
      </c>
      <c r="Z5" s="58">
        <v>46210</v>
      </c>
      <c r="AA5" s="95">
        <v>46211</v>
      </c>
      <c r="AB5" s="53" t="s">
        <v>128</v>
      </c>
      <c r="AC5" s="53" t="s">
        <v>129</v>
      </c>
      <c r="AD5" s="53" t="s">
        <v>130</v>
      </c>
      <c r="AE5" s="53" t="s">
        <v>129</v>
      </c>
      <c r="AF5" s="53" t="s">
        <v>130</v>
      </c>
      <c r="AG5" s="53" t="s">
        <v>128</v>
      </c>
      <c r="AH5" s="53" t="s">
        <v>129</v>
      </c>
      <c r="AI5" s="53" t="s">
        <v>128</v>
      </c>
      <c r="AJ5" s="53" t="s">
        <v>130</v>
      </c>
      <c r="AK5" s="92" t="s">
        <v>129</v>
      </c>
      <c r="AL5" s="92" t="s">
        <v>131</v>
      </c>
      <c r="AM5" s="29"/>
      <c r="AN5" s="59">
        <v>0.64</v>
      </c>
      <c r="AO5" s="60">
        <f t="shared" si="0"/>
        <v>4608</v>
      </c>
      <c r="AP5" s="60">
        <f t="shared" si="1"/>
        <v>35712</v>
      </c>
      <c r="AQ5" s="46"/>
      <c r="AR5" s="51"/>
      <c r="AS5" s="51"/>
      <c r="AT5" s="51"/>
      <c r="AU5" s="51"/>
      <c r="AV5" s="51"/>
      <c r="AW5" s="61"/>
      <c r="AX5" s="61"/>
      <c r="AY5" s="61"/>
      <c r="AZ5" s="61"/>
      <c r="BA5" s="62"/>
      <c r="BB5" s="63">
        <f t="shared" si="2"/>
        <v>7200</v>
      </c>
      <c r="BC5" s="62"/>
      <c r="BD5" s="55" t="str">
        <f t="shared" si="3"/>
        <v>美国</v>
      </c>
    </row>
    <row r="6" s="8" customFormat="1" customHeight="1" spans="1:56">
      <c r="A6" s="51"/>
      <c r="B6" s="51"/>
      <c r="C6" s="51"/>
      <c r="D6" s="52"/>
      <c r="E6" s="52"/>
      <c r="F6" s="53"/>
      <c r="G6" s="53"/>
      <c r="H6" s="53"/>
      <c r="I6" s="54"/>
      <c r="J6" s="55"/>
      <c r="K6" s="56"/>
      <c r="L6" s="55"/>
      <c r="M6" s="54"/>
      <c r="N6" s="57"/>
      <c r="O6" s="51"/>
      <c r="P6" s="51"/>
      <c r="Q6" s="51"/>
      <c r="R6" s="51"/>
      <c r="S6" s="51"/>
      <c r="T6" s="26"/>
      <c r="U6" s="51"/>
      <c r="V6" s="51"/>
      <c r="W6" s="53"/>
      <c r="X6" s="53"/>
      <c r="Y6" s="53"/>
      <c r="Z6" s="58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29"/>
      <c r="AN6" s="59"/>
      <c r="AO6" s="60">
        <f t="shared" si="0"/>
        <v>0</v>
      </c>
      <c r="AP6" s="60">
        <f t="shared" si="1"/>
        <v>0</v>
      </c>
      <c r="AQ6" s="46"/>
      <c r="AR6" s="51"/>
      <c r="AS6" s="51"/>
      <c r="AT6" s="51"/>
      <c r="AU6" s="51"/>
      <c r="AV6" s="51"/>
      <c r="AW6" s="61"/>
      <c r="AX6" s="61"/>
      <c r="AY6" s="61"/>
      <c r="AZ6" s="61"/>
      <c r="BA6" s="62"/>
      <c r="BB6" s="63">
        <f t="shared" si="2"/>
        <v>0</v>
      </c>
      <c r="BC6" s="62"/>
      <c r="BD6" s="55">
        <f t="shared" si="3"/>
        <v>0</v>
      </c>
    </row>
    <row r="7" s="8" customFormat="1" customHeight="1" spans="1:56">
      <c r="A7" s="51"/>
      <c r="B7" s="51"/>
      <c r="C7" s="51"/>
      <c r="D7" s="52"/>
      <c r="E7" s="52"/>
      <c r="F7" s="53"/>
      <c r="G7" s="53"/>
      <c r="H7" s="53"/>
      <c r="I7" s="54"/>
      <c r="J7" s="55"/>
      <c r="K7" s="56"/>
      <c r="L7" s="55"/>
      <c r="M7" s="54"/>
      <c r="N7" s="57"/>
      <c r="O7" s="51"/>
      <c r="P7" s="51"/>
      <c r="Q7" s="51"/>
      <c r="R7" s="51"/>
      <c r="S7" s="51"/>
      <c r="T7" s="26"/>
      <c r="U7" s="51"/>
      <c r="V7" s="51"/>
      <c r="W7" s="53"/>
      <c r="X7" s="53"/>
      <c r="Y7" s="53"/>
      <c r="Z7" s="58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29"/>
      <c r="AN7" s="59"/>
      <c r="AO7" s="60">
        <f t="shared" si="0"/>
        <v>0</v>
      </c>
      <c r="AP7" s="60">
        <f t="shared" si="1"/>
        <v>0</v>
      </c>
      <c r="AQ7" s="46"/>
      <c r="AR7" s="51"/>
      <c r="AS7" s="51"/>
      <c r="AT7" s="51"/>
      <c r="AU7" s="51"/>
      <c r="AV7" s="51"/>
      <c r="AW7" s="61"/>
      <c r="AX7" s="61"/>
      <c r="AY7" s="61"/>
      <c r="AZ7" s="61"/>
      <c r="BA7" s="62"/>
      <c r="BB7" s="63">
        <f t="shared" si="2"/>
        <v>0</v>
      </c>
      <c r="BC7" s="62"/>
      <c r="BD7" s="55">
        <f t="shared" si="3"/>
        <v>0</v>
      </c>
    </row>
    <row r="8" s="8" customFormat="1" customHeight="1" spans="1:56">
      <c r="A8" s="51"/>
      <c r="B8" s="51"/>
      <c r="C8" s="51"/>
      <c r="D8" s="52"/>
      <c r="E8" s="52"/>
      <c r="F8" s="53"/>
      <c r="G8" s="53"/>
      <c r="H8" s="53"/>
      <c r="I8" s="54"/>
      <c r="J8" s="55"/>
      <c r="K8" s="56"/>
      <c r="L8" s="55"/>
      <c r="M8" s="54"/>
      <c r="N8" s="57"/>
      <c r="O8" s="51"/>
      <c r="P8" s="51"/>
      <c r="Q8" s="51"/>
      <c r="R8" s="51"/>
      <c r="S8" s="51"/>
      <c r="T8" s="26"/>
      <c r="U8" s="51"/>
      <c r="V8" s="51"/>
      <c r="W8" s="53"/>
      <c r="X8" s="53"/>
      <c r="Y8" s="53"/>
      <c r="Z8" s="58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29"/>
      <c r="AN8" s="59"/>
      <c r="AO8" s="60">
        <f t="shared" si="0"/>
        <v>0</v>
      </c>
      <c r="AP8" s="60">
        <f t="shared" si="1"/>
        <v>0</v>
      </c>
      <c r="AQ8" s="46"/>
      <c r="AR8" s="51"/>
      <c r="AS8" s="51"/>
      <c r="AT8" s="51"/>
      <c r="AU8" s="51"/>
      <c r="AV8" s="51"/>
      <c r="AW8" s="61"/>
      <c r="AX8" s="61"/>
      <c r="AY8" s="61"/>
      <c r="AZ8" s="61"/>
      <c r="BA8" s="62"/>
      <c r="BB8" s="63">
        <f t="shared" si="2"/>
        <v>0</v>
      </c>
      <c r="BC8" s="62"/>
      <c r="BD8" s="55">
        <f t="shared" si="3"/>
        <v>0</v>
      </c>
    </row>
    <row r="9" s="8" customFormat="1" customHeight="1" spans="1:56">
      <c r="A9" s="51"/>
      <c r="B9" s="51"/>
      <c r="C9" s="51"/>
      <c r="D9" s="52"/>
      <c r="E9" s="52"/>
      <c r="F9" s="53"/>
      <c r="G9" s="53"/>
      <c r="H9" s="53"/>
      <c r="I9" s="54"/>
      <c r="J9" s="55"/>
      <c r="K9" s="56"/>
      <c r="L9" s="55"/>
      <c r="M9" s="54"/>
      <c r="N9" s="57"/>
      <c r="O9" s="51"/>
      <c r="P9" s="51"/>
      <c r="Q9" s="51"/>
      <c r="R9" s="51"/>
      <c r="S9" s="51"/>
      <c r="T9" s="26"/>
      <c r="U9" s="51"/>
      <c r="V9" s="51"/>
      <c r="W9" s="53"/>
      <c r="X9" s="53"/>
      <c r="Y9" s="53"/>
      <c r="Z9" s="58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29"/>
      <c r="AN9" s="59"/>
      <c r="AO9" s="60">
        <f t="shared" si="0"/>
        <v>0</v>
      </c>
      <c r="AP9" s="60">
        <f t="shared" si="1"/>
        <v>0</v>
      </c>
      <c r="AQ9" s="46"/>
      <c r="AR9" s="51"/>
      <c r="AS9" s="51"/>
      <c r="AT9" s="51"/>
      <c r="AU9" s="51"/>
      <c r="AV9" s="51"/>
      <c r="AW9" s="61"/>
      <c r="AX9" s="61"/>
      <c r="AY9" s="61"/>
      <c r="AZ9" s="61"/>
      <c r="BA9" s="62"/>
      <c r="BB9" s="63">
        <f t="shared" si="2"/>
        <v>0</v>
      </c>
      <c r="BC9" s="62"/>
      <c r="BD9" s="55">
        <f t="shared" si="3"/>
        <v>0</v>
      </c>
    </row>
    <row r="10" s="8" customFormat="1" customHeight="1" spans="1:56">
      <c r="A10" s="51"/>
      <c r="B10" s="51"/>
      <c r="C10" s="51"/>
      <c r="D10" s="52"/>
      <c r="E10" s="52"/>
      <c r="F10" s="53"/>
      <c r="G10" s="53"/>
      <c r="H10" s="53"/>
      <c r="I10" s="54"/>
      <c r="J10" s="55"/>
      <c r="K10" s="56"/>
      <c r="L10" s="55"/>
      <c r="M10" s="54"/>
      <c r="N10" s="57"/>
      <c r="O10" s="51"/>
      <c r="P10" s="51"/>
      <c r="Q10" s="51"/>
      <c r="R10" s="51"/>
      <c r="S10" s="51"/>
      <c r="T10" s="26"/>
      <c r="U10" s="51"/>
      <c r="V10" s="51"/>
      <c r="W10" s="53"/>
      <c r="X10" s="53"/>
      <c r="Y10" s="53"/>
      <c r="Z10" s="58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29"/>
      <c r="AN10" s="59"/>
      <c r="AO10" s="60">
        <f t="shared" si="0"/>
        <v>0</v>
      </c>
      <c r="AP10" s="60">
        <f t="shared" si="1"/>
        <v>0</v>
      </c>
      <c r="AQ10" s="46"/>
      <c r="AR10" s="51"/>
      <c r="AS10" s="51"/>
      <c r="AT10" s="51"/>
      <c r="AU10" s="51"/>
      <c r="AV10" s="51"/>
      <c r="AW10" s="61"/>
      <c r="AX10" s="61"/>
      <c r="AY10" s="61"/>
      <c r="AZ10" s="61"/>
      <c r="BA10" s="62"/>
      <c r="BB10" s="63">
        <f t="shared" si="2"/>
        <v>0</v>
      </c>
      <c r="BC10" s="62"/>
      <c r="BD10" s="55">
        <f t="shared" si="3"/>
        <v>0</v>
      </c>
    </row>
    <row r="11" s="9" customFormat="1" customHeight="1" spans="1:56">
      <c r="A11" s="64"/>
      <c r="B11" s="64"/>
      <c r="C11" s="64"/>
      <c r="D11" s="53"/>
      <c r="E11" s="53"/>
      <c r="F11" s="53"/>
      <c r="G11" s="53"/>
      <c r="H11" s="53"/>
      <c r="I11" s="53" t="s">
        <v>136</v>
      </c>
      <c r="J11" s="29">
        <f>SUM(J3:J10)</f>
        <v>67008</v>
      </c>
      <c r="K11" s="29" t="s">
        <v>136</v>
      </c>
      <c r="L11" s="29">
        <f>SUM(L3:L10)</f>
        <v>0</v>
      </c>
      <c r="M11" s="53"/>
      <c r="N11" s="29"/>
      <c r="O11" s="64"/>
      <c r="P11" s="64"/>
      <c r="Q11" s="64"/>
      <c r="R11" s="64"/>
      <c r="S11" s="64"/>
      <c r="T11" s="65"/>
      <c r="U11" s="51"/>
      <c r="V11" s="51"/>
      <c r="W11" s="53"/>
      <c r="X11" s="53"/>
      <c r="Y11" s="53"/>
      <c r="Z11" s="58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63"/>
      <c r="AN11" s="59"/>
      <c r="AO11" s="66">
        <f>SUM(AO3:AO10)</f>
        <v>64935.12</v>
      </c>
      <c r="AP11" s="66">
        <f>SUM(AP3:AP10)</f>
        <v>503247.18</v>
      </c>
      <c r="AQ11" s="67"/>
      <c r="AR11" s="64"/>
      <c r="AS11" s="64"/>
      <c r="AT11" s="64"/>
      <c r="AU11" s="64"/>
      <c r="AV11" s="64"/>
      <c r="AW11" s="61"/>
      <c r="AX11" s="61"/>
      <c r="AY11" s="61"/>
      <c r="AZ11" s="61"/>
      <c r="BA11" s="62"/>
      <c r="BB11" s="68"/>
      <c r="BC11" s="62"/>
      <c r="BD11" s="63">
        <f t="shared" si="3"/>
        <v>0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BA$1:BC$1048576" name="Range2"/>
  </protectedRanges>
  <autoFilter xmlns:etc="http://www.wps.cn/officeDocument/2017/etCustomData" ref="A2:BD11" etc:filterBottomFollowUsedRange="0">
    <extLst/>
  </autoFilter>
  <mergeCells count="49">
    <mergeCell ref="W1:X1"/>
    <mergeCell ref="Y1:AA1"/>
    <mergeCell ref="AB1:AC1"/>
    <mergeCell ref="AD1:AE1"/>
    <mergeCell ref="AF1:AH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</mergeCells>
  <conditionalFormatting sqref="C1">
    <cfRule type="containsText" dxfId="0" priority="45" operator="between" text="欠">
      <formula>NOT(ISERROR(SEARCH("欠",C1)))</formula>
    </cfRule>
  </conditionalFormatting>
  <conditionalFormatting sqref="AJ3">
    <cfRule type="containsText" dxfId="0" priority="21" operator="between" text="欠">
      <formula>NOT(ISERROR(SEARCH("欠",AJ3)))</formula>
    </cfRule>
  </conditionalFormatting>
  <conditionalFormatting sqref="AB4">
    <cfRule type="containsText" dxfId="0" priority="16" operator="between" text="欠">
      <formula>NOT(ISERROR(SEARCH("欠",AB4)))</formula>
    </cfRule>
  </conditionalFormatting>
  <conditionalFormatting sqref="Y5">
    <cfRule type="containsText" dxfId="0" priority="20" operator="between" text="欠">
      <formula>NOT(ISERROR(SEARCH("欠",Y5)))</formula>
    </cfRule>
  </conditionalFormatting>
  <conditionalFormatting sqref="Y5:AH5">
    <cfRule type="containsText" dxfId="0" priority="19" operator="between" text="欠">
      <formula>NOT(ISERROR(SEARCH("欠",Y5)))</formula>
    </cfRule>
  </conditionalFormatting>
  <conditionalFormatting sqref="Y6">
    <cfRule type="containsText" dxfId="0" priority="25" operator="between" text="欠">
      <formula>NOT(ISERROR(SEARCH("欠",Y6)))</formula>
    </cfRule>
  </conditionalFormatting>
  <conditionalFormatting sqref="C3:C4">
    <cfRule type="containsText" dxfId="0" priority="44" operator="between" text="欠">
      <formula>NOT(ISERROR(SEARCH("欠",C3)))</formula>
    </cfRule>
  </conditionalFormatting>
  <conditionalFormatting sqref="Y3:Y4">
    <cfRule type="containsText" dxfId="0" priority="22" operator="between" text="欠">
      <formula>NOT(ISERROR(SEARCH("欠",Y3)))</formula>
    </cfRule>
    <cfRule type="containsText" dxfId="0" priority="23" operator="between" text="欠">
      <formula>NOT(ISERROR(SEARCH("欠",Y3)))</formula>
    </cfRule>
  </conditionalFormatting>
  <conditionalFormatting sqref="Y1:Y2 Y7:Y1048576">
    <cfRule type="containsText" dxfId="0" priority="47" operator="between" text="欠">
      <formula>NOT(ISERROR(SEARCH("欠",Y1)))</formula>
    </cfRule>
  </conditionalFormatting>
  <conditionalFormatting sqref="Y1:AH2 Y7:AH1048576">
    <cfRule type="containsText" dxfId="0" priority="46" operator="between" text="欠">
      <formula>NOT(ISERROR(SEARCH("欠",Y1)))</formula>
    </cfRule>
  </conditionalFormatting>
  <conditionalFormatting sqref="Z3:AH3 Z4:AA4 AC4:AH4 Y6:AH6">
    <cfRule type="containsText" dxfId="0" priority="24" operator="between" text="欠">
      <formula>NOT(ISERROR(SEARCH("欠",Y3)))</formula>
    </cfRule>
  </conditionalFormatting>
  <pageMargins left="0.196527777777778" right="0.161111111111111" top="0.0152777777777778" bottom="0.2125" header="0.5" footer="0.5"/>
  <pageSetup paperSize="9" scale="29" fitToHeight="0" orientation="landscape" horizontalDpi="600"/>
  <headerFooter/>
  <ignoredErrors>
    <ignoredError sqref="BA1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  <pageSetUpPr fitToPage="1"/>
  </sheetPr>
  <dimension ref="A1:BD13"/>
  <sheetViews>
    <sheetView workbookViewId="0">
      <pane xSplit="14" ySplit="2" topLeftCell="O3" activePane="bottomRight" state="frozen"/>
      <selection/>
      <selection pane="topRight"/>
      <selection pane="bottomLeft"/>
      <selection pane="bottomRight" activeCell="AR5" sqref="AR5:AR6"/>
    </sheetView>
  </sheetViews>
  <sheetFormatPr defaultColWidth="9" defaultRowHeight="25" customHeight="1"/>
  <cols>
    <col min="1" max="1" width="12.625" style="10" customWidth="1"/>
    <col min="2" max="3" width="3.625" style="10" customWidth="1"/>
    <col min="4" max="5" width="10.625" style="11" customWidth="1"/>
    <col min="6" max="8" width="12.625" style="11" customWidth="1"/>
    <col min="9" max="9" width="12.625" style="11" hidden="1" customWidth="1"/>
    <col min="10" max="10" width="6.625" style="12" customWidth="1"/>
    <col min="11" max="11" width="6.625" style="12" hidden="1" customWidth="1"/>
    <col min="12" max="12" width="8.625" style="12" hidden="1" customWidth="1"/>
    <col min="13" max="13" width="5.625" style="11" customWidth="1"/>
    <col min="14" max="14" width="5.625" style="12" customWidth="1"/>
    <col min="15" max="17" width="12.625" style="10" customWidth="1"/>
    <col min="18" max="18" width="6.625" style="10" customWidth="1"/>
    <col min="19" max="19" width="12.625" style="10" customWidth="1"/>
    <col min="20" max="20" width="8.625" style="13" customWidth="1"/>
    <col min="21" max="21" width="12.625" style="10" customWidth="1"/>
    <col min="22" max="22" width="4.61666666666667" style="10" customWidth="1"/>
    <col min="23" max="23" width="12" style="11" customWidth="1"/>
    <col min="24" max="24" width="7.13333333333333" style="11" customWidth="1"/>
    <col min="25" max="25" width="8.625" style="11" customWidth="1"/>
    <col min="26" max="26" width="8.625" style="14" customWidth="1"/>
    <col min="27" max="27" width="8.6" style="11" customWidth="1"/>
    <col min="28" max="28" width="10.625" style="11" customWidth="1"/>
    <col min="29" max="29" width="4.625" style="11" customWidth="1"/>
    <col min="30" max="30" width="10.625" style="11" customWidth="1"/>
    <col min="31" max="31" width="6.625" style="11" customWidth="1"/>
    <col min="32" max="38" width="10.625" style="11" customWidth="1"/>
    <col min="39" max="39" width="20.625" style="12" customWidth="1"/>
    <col min="40" max="40" width="8.625" style="15" customWidth="1"/>
    <col min="41" max="42" width="12.625" style="16" customWidth="1"/>
    <col min="43" max="43" width="10.625" style="17" customWidth="1"/>
    <col min="44" max="45" width="10.625" style="10" customWidth="1"/>
    <col min="46" max="48" width="8.625" style="10" customWidth="1"/>
    <col min="49" max="49" width="8.875" style="18" customWidth="1"/>
    <col min="50" max="50" width="9.625" style="18" customWidth="1"/>
    <col min="51" max="51" width="9.875" style="18" customWidth="1"/>
    <col min="52" max="52" width="10.375" style="18" customWidth="1"/>
    <col min="53" max="53" width="7.25" style="19" customWidth="1"/>
    <col min="54" max="54" width="7" style="20" customWidth="1"/>
    <col min="55" max="55" width="10.125" style="19" customWidth="1"/>
    <col min="56" max="56" width="8.625" style="20" customWidth="1"/>
    <col min="57" max="16384" width="9" style="21"/>
  </cols>
  <sheetData>
    <row r="1" s="6" customFormat="1" customHeight="1" spans="1:56">
      <c r="A1" s="22" t="s">
        <v>45</v>
      </c>
      <c r="B1" s="23" t="s">
        <v>79</v>
      </c>
      <c r="C1" s="24" t="str">
        <f>VLOOKUP(H1,[1]名称!A:E,4,0)</f>
        <v>系列</v>
      </c>
      <c r="D1" s="22" t="s">
        <v>80</v>
      </c>
      <c r="E1" s="22" t="s">
        <v>81</v>
      </c>
      <c r="F1" s="22" t="s">
        <v>47</v>
      </c>
      <c r="G1" s="22" t="s">
        <v>48</v>
      </c>
      <c r="H1" s="22" t="s">
        <v>0</v>
      </c>
      <c r="I1" s="22" t="s">
        <v>44</v>
      </c>
      <c r="J1" s="22" t="s">
        <v>49</v>
      </c>
      <c r="K1" s="22" t="s">
        <v>1</v>
      </c>
      <c r="L1" s="22" t="s">
        <v>82</v>
      </c>
      <c r="M1" s="22" t="s">
        <v>83</v>
      </c>
      <c r="N1" s="22" t="s">
        <v>84</v>
      </c>
      <c r="O1" s="22" t="s">
        <v>85</v>
      </c>
      <c r="P1" s="25" t="s">
        <v>86</v>
      </c>
      <c r="Q1" s="22" t="s">
        <v>87</v>
      </c>
      <c r="R1" s="26" t="s">
        <v>88</v>
      </c>
      <c r="S1" s="22" t="s">
        <v>89</v>
      </c>
      <c r="T1" s="26" t="s">
        <v>90</v>
      </c>
      <c r="U1" s="22" t="s">
        <v>91</v>
      </c>
      <c r="V1" s="27" t="s">
        <v>92</v>
      </c>
      <c r="W1" s="26" t="s">
        <v>93</v>
      </c>
      <c r="X1" s="26"/>
      <c r="Y1" s="26" t="s">
        <v>94</v>
      </c>
      <c r="Z1" s="28"/>
      <c r="AA1" s="26"/>
      <c r="AB1" s="26" t="s">
        <v>95</v>
      </c>
      <c r="AC1" s="26"/>
      <c r="AD1" s="26" t="s">
        <v>96</v>
      </c>
      <c r="AE1" s="26"/>
      <c r="AF1" s="26" t="s">
        <v>97</v>
      </c>
      <c r="AG1" s="26"/>
      <c r="AH1" s="26"/>
      <c r="AI1" s="26" t="s">
        <v>98</v>
      </c>
      <c r="AJ1" s="26" t="s">
        <v>99</v>
      </c>
      <c r="AK1" s="26" t="s">
        <v>100</v>
      </c>
      <c r="AL1" s="26" t="s">
        <v>101</v>
      </c>
      <c r="AM1" s="29" t="s">
        <v>102</v>
      </c>
      <c r="AN1" s="29" t="s">
        <v>51</v>
      </c>
      <c r="AO1" s="29" t="s">
        <v>52</v>
      </c>
      <c r="AP1" s="29" t="s">
        <v>53</v>
      </c>
      <c r="AQ1" s="30" t="s">
        <v>103</v>
      </c>
      <c r="AR1" s="29" t="s">
        <v>104</v>
      </c>
      <c r="AS1" s="29" t="s">
        <v>105</v>
      </c>
      <c r="AT1" s="29" t="s">
        <v>106</v>
      </c>
      <c r="AU1" s="29" t="s">
        <v>107</v>
      </c>
      <c r="AV1" s="29" t="s">
        <v>108</v>
      </c>
      <c r="AW1" s="29" t="s">
        <v>109</v>
      </c>
      <c r="AX1" s="29" t="s">
        <v>110</v>
      </c>
      <c r="AY1" s="29" t="s">
        <v>111</v>
      </c>
      <c r="AZ1" s="29" t="s">
        <v>112</v>
      </c>
      <c r="BA1" s="29" t="s">
        <v>113</v>
      </c>
      <c r="BB1" s="29" t="s">
        <v>114</v>
      </c>
      <c r="BC1" s="29" t="s">
        <v>115</v>
      </c>
      <c r="BD1" s="29" t="s">
        <v>81</v>
      </c>
    </row>
    <row r="2" s="6" customFormat="1" customHeight="1" spans="1:56">
      <c r="A2" s="22"/>
      <c r="B2" s="31"/>
      <c r="C2" s="3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5"/>
      <c r="Q2" s="22"/>
      <c r="R2" s="26"/>
      <c r="S2" s="22"/>
      <c r="T2" s="26"/>
      <c r="U2" s="22"/>
      <c r="V2" s="33"/>
      <c r="W2" s="26" t="s">
        <v>116</v>
      </c>
      <c r="X2" s="26" t="s">
        <v>117</v>
      </c>
      <c r="Y2" s="26" t="s">
        <v>118</v>
      </c>
      <c r="Z2" s="28" t="s">
        <v>119</v>
      </c>
      <c r="AA2" s="26" t="s">
        <v>120</v>
      </c>
      <c r="AB2" s="26" t="s">
        <v>121</v>
      </c>
      <c r="AC2" s="26" t="s">
        <v>117</v>
      </c>
      <c r="AD2" s="26" t="s">
        <v>122</v>
      </c>
      <c r="AE2" s="26" t="s">
        <v>117</v>
      </c>
      <c r="AF2" s="26" t="s">
        <v>123</v>
      </c>
      <c r="AG2" s="26" t="s">
        <v>124</v>
      </c>
      <c r="AH2" s="26" t="s">
        <v>117</v>
      </c>
      <c r="AI2" s="26"/>
      <c r="AJ2" s="26"/>
      <c r="AK2" s="26"/>
      <c r="AL2" s="26"/>
      <c r="AM2" s="29"/>
      <c r="AN2" s="29"/>
      <c r="AO2" s="29"/>
      <c r="AP2" s="29"/>
      <c r="AQ2" s="30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</row>
    <row r="3" s="69" customFormat="1" customHeight="1" spans="1:56">
      <c r="A3" s="70">
        <v>46109</v>
      </c>
      <c r="B3" s="70" t="str">
        <f ca="1" t="shared" ref="B3:B6" si="0">IF(TODAY()-5&gt;=A3,IF(AA3="","异常",""),"")</f>
        <v/>
      </c>
      <c r="C3" s="71" t="str">
        <f>VLOOKUP(H3,[1]名称!A:E,4,0)</f>
        <v>二代</v>
      </c>
      <c r="D3" s="72" t="s">
        <v>125</v>
      </c>
      <c r="E3" s="72" t="s">
        <v>126</v>
      </c>
      <c r="F3" s="71" t="s">
        <v>54</v>
      </c>
      <c r="G3" s="71" t="s">
        <v>55</v>
      </c>
      <c r="H3" s="71" t="s">
        <v>38</v>
      </c>
      <c r="I3" s="73"/>
      <c r="J3" s="74">
        <v>15000</v>
      </c>
      <c r="K3" s="75"/>
      <c r="L3" s="74"/>
      <c r="M3" s="71">
        <f>VLOOKUP(H3,[1]名称!A:E,3,0)</f>
        <v>24</v>
      </c>
      <c r="N3" s="76">
        <f t="shared" ref="N3:N6" si="1">J3/M3</f>
        <v>625</v>
      </c>
      <c r="O3" s="70">
        <v>46132</v>
      </c>
      <c r="P3" s="70">
        <v>46142</v>
      </c>
      <c r="Q3" s="70">
        <v>46141</v>
      </c>
      <c r="R3" s="70"/>
      <c r="S3" s="70">
        <v>46142</v>
      </c>
      <c r="T3" s="77"/>
      <c r="U3" s="70"/>
      <c r="V3" s="70"/>
      <c r="W3" s="71"/>
      <c r="X3" s="71"/>
      <c r="Y3" s="78">
        <v>46108</v>
      </c>
      <c r="Z3" s="79">
        <v>46109</v>
      </c>
      <c r="AA3" s="78">
        <v>46120</v>
      </c>
      <c r="AB3" s="71" t="s">
        <v>128</v>
      </c>
      <c r="AC3" s="71" t="s">
        <v>129</v>
      </c>
      <c r="AD3" s="71" t="s">
        <v>130</v>
      </c>
      <c r="AE3" s="71" t="s">
        <v>129</v>
      </c>
      <c r="AF3" s="71" t="s">
        <v>130</v>
      </c>
      <c r="AG3" s="71" t="s">
        <v>128</v>
      </c>
      <c r="AH3" s="71" t="s">
        <v>129</v>
      </c>
      <c r="AI3" s="71" t="s">
        <v>128</v>
      </c>
      <c r="AJ3" s="71" t="s">
        <v>130</v>
      </c>
      <c r="AK3" s="71"/>
      <c r="AL3" s="71"/>
      <c r="AM3" s="80"/>
      <c r="AN3" s="81">
        <v>0.61</v>
      </c>
      <c r="AO3" s="82">
        <f t="shared" ref="AO3:AO12" si="2">J3*AN3</f>
        <v>9150</v>
      </c>
      <c r="AP3" s="82">
        <f t="shared" ref="AP3:AP12" si="3">AO3*7.75</f>
        <v>70912.5</v>
      </c>
      <c r="AQ3" s="83">
        <v>61196</v>
      </c>
      <c r="AR3" s="84">
        <v>46189</v>
      </c>
      <c r="AS3" s="70"/>
      <c r="AT3" s="70"/>
      <c r="AU3" s="70"/>
      <c r="AV3" s="70"/>
      <c r="AW3" s="85"/>
      <c r="AX3" s="85"/>
      <c r="AY3" s="85"/>
      <c r="AZ3" s="85"/>
      <c r="BA3" s="86"/>
      <c r="BB3" s="87">
        <f t="shared" ref="BB3:BB12" si="4">J3-BA3</f>
        <v>15000</v>
      </c>
      <c r="BC3" s="86"/>
      <c r="BD3" s="74" t="str">
        <f t="shared" ref="BD3:BD13" si="5">E3</f>
        <v>美国</v>
      </c>
    </row>
    <row r="4" s="69" customFormat="1" customHeight="1" spans="1:56">
      <c r="A4" s="70">
        <v>46109</v>
      </c>
      <c r="B4" s="70" t="str">
        <f ca="1" t="shared" si="0"/>
        <v/>
      </c>
      <c r="C4" s="71" t="str">
        <f>VLOOKUP(H4,[1]名称!A:E,4,0)</f>
        <v>二代</v>
      </c>
      <c r="D4" s="72" t="s">
        <v>125</v>
      </c>
      <c r="E4" s="72" t="s">
        <v>126</v>
      </c>
      <c r="F4" s="71" t="s">
        <v>57</v>
      </c>
      <c r="G4" s="71" t="s">
        <v>58</v>
      </c>
      <c r="H4" s="71" t="s">
        <v>31</v>
      </c>
      <c r="I4" s="73"/>
      <c r="J4" s="74">
        <v>9996</v>
      </c>
      <c r="K4" s="75"/>
      <c r="L4" s="74"/>
      <c r="M4" s="71">
        <f>VLOOKUP(H4,[1]名称!A:E,3,0)</f>
        <v>6</v>
      </c>
      <c r="N4" s="76">
        <f t="shared" si="1"/>
        <v>1666</v>
      </c>
      <c r="O4" s="70">
        <v>46132</v>
      </c>
      <c r="P4" s="70">
        <v>46142</v>
      </c>
      <c r="Q4" s="70">
        <v>46141</v>
      </c>
      <c r="R4" s="70"/>
      <c r="S4" s="70">
        <v>46142</v>
      </c>
      <c r="T4" s="77"/>
      <c r="U4" s="70"/>
      <c r="V4" s="70"/>
      <c r="W4" s="71"/>
      <c r="X4" s="71"/>
      <c r="Y4" s="78">
        <v>46108</v>
      </c>
      <c r="Z4" s="79">
        <v>46109</v>
      </c>
      <c r="AA4" s="78">
        <v>46120</v>
      </c>
      <c r="AB4" s="71" t="s">
        <v>132</v>
      </c>
      <c r="AC4" s="71" t="s">
        <v>129</v>
      </c>
      <c r="AD4" s="71" t="s">
        <v>130</v>
      </c>
      <c r="AE4" s="71" t="s">
        <v>129</v>
      </c>
      <c r="AF4" s="71" t="s">
        <v>130</v>
      </c>
      <c r="AG4" s="71" t="s">
        <v>133</v>
      </c>
      <c r="AH4" s="71" t="s">
        <v>129</v>
      </c>
      <c r="AI4" s="71" t="s">
        <v>56</v>
      </c>
      <c r="AJ4" s="71" t="s">
        <v>128</v>
      </c>
      <c r="AK4" s="71"/>
      <c r="AL4" s="71"/>
      <c r="AM4" s="80"/>
      <c r="AN4" s="81">
        <v>2.02</v>
      </c>
      <c r="AO4" s="82">
        <f t="shared" si="2"/>
        <v>20191.92</v>
      </c>
      <c r="AP4" s="82">
        <f t="shared" si="3"/>
        <v>156487.38</v>
      </c>
      <c r="AQ4" s="83">
        <v>61197</v>
      </c>
      <c r="AR4" s="84">
        <v>46189</v>
      </c>
      <c r="AS4" s="70"/>
      <c r="AT4" s="70"/>
      <c r="AU4" s="70"/>
      <c r="AV4" s="70"/>
      <c r="AW4" s="85"/>
      <c r="AX4" s="85"/>
      <c r="AY4" s="85"/>
      <c r="AZ4" s="85"/>
      <c r="BA4" s="86"/>
      <c r="BB4" s="87">
        <f t="shared" si="4"/>
        <v>9996</v>
      </c>
      <c r="BC4" s="86"/>
      <c r="BD4" s="74" t="str">
        <f t="shared" si="5"/>
        <v>美国</v>
      </c>
    </row>
    <row r="5" s="69" customFormat="1" customHeight="1" spans="1:56">
      <c r="A5" s="70">
        <v>46109</v>
      </c>
      <c r="B5" s="70" t="str">
        <f ca="1" t="shared" si="0"/>
        <v/>
      </c>
      <c r="C5" s="71" t="str">
        <f>VLOOKUP(H5,[1]名称!A:E,4,0)</f>
        <v>二代</v>
      </c>
      <c r="D5" s="72" t="s">
        <v>125</v>
      </c>
      <c r="E5" s="72" t="s">
        <v>126</v>
      </c>
      <c r="F5" s="71" t="s">
        <v>54</v>
      </c>
      <c r="G5" s="71" t="s">
        <v>55</v>
      </c>
      <c r="H5" s="71" t="s">
        <v>38</v>
      </c>
      <c r="I5" s="73"/>
      <c r="J5" s="74">
        <v>6000</v>
      </c>
      <c r="K5" s="75"/>
      <c r="L5" s="74"/>
      <c r="M5" s="71">
        <f>VLOOKUP(H5,[1]名称!A:E,3,0)</f>
        <v>24</v>
      </c>
      <c r="N5" s="76">
        <f t="shared" si="1"/>
        <v>250</v>
      </c>
      <c r="O5" s="70">
        <v>46184</v>
      </c>
      <c r="P5" s="70">
        <v>46184</v>
      </c>
      <c r="Q5" s="70">
        <v>46184</v>
      </c>
      <c r="R5" s="70"/>
      <c r="S5" s="70">
        <v>46184</v>
      </c>
      <c r="T5" s="77"/>
      <c r="U5" s="70"/>
      <c r="V5" s="70"/>
      <c r="W5" s="71"/>
      <c r="X5" s="71"/>
      <c r="Y5" s="88" t="s">
        <v>129</v>
      </c>
      <c r="Z5" s="89" t="s">
        <v>129</v>
      </c>
      <c r="AA5" s="89" t="s">
        <v>129</v>
      </c>
      <c r="AB5" s="71" t="s">
        <v>128</v>
      </c>
      <c r="AC5" s="71" t="s">
        <v>129</v>
      </c>
      <c r="AD5" s="71" t="s">
        <v>130</v>
      </c>
      <c r="AE5" s="71" t="s">
        <v>129</v>
      </c>
      <c r="AF5" s="71" t="s">
        <v>130</v>
      </c>
      <c r="AG5" s="71" t="s">
        <v>128</v>
      </c>
      <c r="AH5" s="71" t="s">
        <v>129</v>
      </c>
      <c r="AI5" s="71" t="s">
        <v>128</v>
      </c>
      <c r="AJ5" s="71" t="s">
        <v>130</v>
      </c>
      <c r="AK5" s="71"/>
      <c r="AL5" s="71"/>
      <c r="AM5" s="80"/>
      <c r="AN5" s="81">
        <v>0.63</v>
      </c>
      <c r="AO5" s="82">
        <f t="shared" si="2"/>
        <v>3780</v>
      </c>
      <c r="AP5" s="82">
        <f t="shared" si="3"/>
        <v>29295</v>
      </c>
      <c r="AQ5" s="83">
        <v>61474</v>
      </c>
      <c r="AR5" s="84">
        <v>46239</v>
      </c>
      <c r="AS5" s="70"/>
      <c r="AT5" s="70"/>
      <c r="AU5" s="70"/>
      <c r="AV5" s="70"/>
      <c r="AW5" s="85"/>
      <c r="AX5" s="85"/>
      <c r="AY5" s="85"/>
      <c r="AZ5" s="85"/>
      <c r="BA5" s="86"/>
      <c r="BB5" s="87">
        <f t="shared" si="4"/>
        <v>6000</v>
      </c>
      <c r="BC5" s="86"/>
      <c r="BD5" s="74" t="str">
        <f t="shared" si="5"/>
        <v>美国</v>
      </c>
    </row>
    <row r="6" s="69" customFormat="1" customHeight="1" spans="1:56">
      <c r="A6" s="70">
        <v>46109</v>
      </c>
      <c r="B6" s="70" t="str">
        <f ca="1" t="shared" si="0"/>
        <v/>
      </c>
      <c r="C6" s="71" t="str">
        <f>VLOOKUP(H6,[1]名称!A:E,4,0)</f>
        <v>二代</v>
      </c>
      <c r="D6" s="72" t="s">
        <v>125</v>
      </c>
      <c r="E6" s="72" t="s">
        <v>126</v>
      </c>
      <c r="F6" s="71" t="s">
        <v>57</v>
      </c>
      <c r="G6" s="71" t="s">
        <v>58</v>
      </c>
      <c r="H6" s="71" t="s">
        <v>31</v>
      </c>
      <c r="I6" s="73"/>
      <c r="J6" s="74">
        <v>1116</v>
      </c>
      <c r="K6" s="75"/>
      <c r="L6" s="74"/>
      <c r="M6" s="71">
        <f>VLOOKUP(H6,[1]名称!A:E,3,0)</f>
        <v>6</v>
      </c>
      <c r="N6" s="76">
        <f t="shared" si="1"/>
        <v>186</v>
      </c>
      <c r="O6" s="70">
        <v>46184</v>
      </c>
      <c r="P6" s="70">
        <v>46184</v>
      </c>
      <c r="Q6" s="70">
        <v>46184</v>
      </c>
      <c r="R6" s="70"/>
      <c r="S6" s="70">
        <v>46184</v>
      </c>
      <c r="T6" s="77"/>
      <c r="U6" s="70"/>
      <c r="V6" s="70"/>
      <c r="W6" s="71"/>
      <c r="X6" s="71"/>
      <c r="Y6" s="89" t="s">
        <v>129</v>
      </c>
      <c r="Z6" s="89" t="s">
        <v>129</v>
      </c>
      <c r="AA6" s="89" t="s">
        <v>129</v>
      </c>
      <c r="AB6" s="71" t="s">
        <v>132</v>
      </c>
      <c r="AC6" s="71" t="s">
        <v>129</v>
      </c>
      <c r="AD6" s="71" t="s">
        <v>130</v>
      </c>
      <c r="AE6" s="71" t="s">
        <v>129</v>
      </c>
      <c r="AF6" s="71" t="s">
        <v>130</v>
      </c>
      <c r="AG6" s="71" t="s">
        <v>133</v>
      </c>
      <c r="AH6" s="71" t="s">
        <v>129</v>
      </c>
      <c r="AI6" s="71" t="s">
        <v>56</v>
      </c>
      <c r="AJ6" s="71" t="s">
        <v>128</v>
      </c>
      <c r="AK6" s="71"/>
      <c r="AL6" s="71"/>
      <c r="AM6" s="80"/>
      <c r="AN6" s="81">
        <v>2.04</v>
      </c>
      <c r="AO6" s="82">
        <f t="shared" si="2"/>
        <v>2276.64</v>
      </c>
      <c r="AP6" s="82">
        <f t="shared" si="3"/>
        <v>17643.96</v>
      </c>
      <c r="AQ6" s="83">
        <v>61475</v>
      </c>
      <c r="AR6" s="84">
        <v>46239</v>
      </c>
      <c r="AS6" s="70"/>
      <c r="AT6" s="70"/>
      <c r="AU6" s="70"/>
      <c r="AV6" s="70"/>
      <c r="AW6" s="85"/>
      <c r="AX6" s="85"/>
      <c r="AY6" s="85"/>
      <c r="AZ6" s="85"/>
      <c r="BA6" s="86"/>
      <c r="BB6" s="87">
        <f t="shared" si="4"/>
        <v>1116</v>
      </c>
      <c r="BC6" s="86"/>
      <c r="BD6" s="74" t="str">
        <f t="shared" si="5"/>
        <v>美国</v>
      </c>
    </row>
    <row r="7" s="8" customFormat="1" customHeight="1" spans="1:56">
      <c r="A7" s="51"/>
      <c r="B7" s="51"/>
      <c r="C7" s="51"/>
      <c r="D7" s="52"/>
      <c r="E7" s="52"/>
      <c r="F7" s="53"/>
      <c r="G7" s="53"/>
      <c r="H7" s="53"/>
      <c r="I7" s="54"/>
      <c r="J7" s="55"/>
      <c r="K7" s="56"/>
      <c r="L7" s="55"/>
      <c r="M7" s="54"/>
      <c r="N7" s="57"/>
      <c r="O7" s="51"/>
      <c r="P7" s="51"/>
      <c r="Q7" s="51"/>
      <c r="R7" s="51"/>
      <c r="S7" s="51"/>
      <c r="T7" s="26"/>
      <c r="U7" s="51"/>
      <c r="V7" s="51"/>
      <c r="W7" s="53"/>
      <c r="X7" s="53"/>
      <c r="Y7" s="53"/>
      <c r="Z7" s="58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29"/>
      <c r="AN7" s="59"/>
      <c r="AO7" s="60">
        <f t="shared" si="2"/>
        <v>0</v>
      </c>
      <c r="AP7" s="60">
        <f t="shared" si="3"/>
        <v>0</v>
      </c>
      <c r="AQ7" s="46"/>
      <c r="AR7" s="51"/>
      <c r="AS7" s="51"/>
      <c r="AT7" s="51"/>
      <c r="AU7" s="51"/>
      <c r="AV7" s="51"/>
      <c r="AW7" s="61"/>
      <c r="AX7" s="61"/>
      <c r="AY7" s="61"/>
      <c r="AZ7" s="61"/>
      <c r="BA7" s="62"/>
      <c r="BB7" s="63">
        <f t="shared" si="4"/>
        <v>0</v>
      </c>
      <c r="BC7" s="62"/>
      <c r="BD7" s="55">
        <f t="shared" si="5"/>
        <v>0</v>
      </c>
    </row>
    <row r="8" s="8" customFormat="1" customHeight="1" spans="1:56">
      <c r="A8" s="51"/>
      <c r="B8" s="51"/>
      <c r="C8" s="51"/>
      <c r="D8" s="52"/>
      <c r="E8" s="52"/>
      <c r="F8" s="53"/>
      <c r="G8" s="53"/>
      <c r="H8" s="53"/>
      <c r="I8" s="54"/>
      <c r="J8" s="55"/>
      <c r="K8" s="56"/>
      <c r="L8" s="55"/>
      <c r="M8" s="54"/>
      <c r="N8" s="57"/>
      <c r="O8" s="51"/>
      <c r="P8" s="51"/>
      <c r="Q8" s="51"/>
      <c r="R8" s="51"/>
      <c r="S8" s="51"/>
      <c r="T8" s="26"/>
      <c r="U8" s="51"/>
      <c r="V8" s="51"/>
      <c r="W8" s="53"/>
      <c r="X8" s="53"/>
      <c r="Y8" s="53"/>
      <c r="Z8" s="58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29"/>
      <c r="AN8" s="59"/>
      <c r="AO8" s="60">
        <f t="shared" si="2"/>
        <v>0</v>
      </c>
      <c r="AP8" s="60">
        <f t="shared" si="3"/>
        <v>0</v>
      </c>
      <c r="AQ8" s="46"/>
      <c r="AR8" s="51"/>
      <c r="AS8" s="51"/>
      <c r="AT8" s="51"/>
      <c r="AU8" s="51"/>
      <c r="AV8" s="51"/>
      <c r="AW8" s="61"/>
      <c r="AX8" s="61"/>
      <c r="AY8" s="61"/>
      <c r="AZ8" s="61"/>
      <c r="BA8" s="62"/>
      <c r="BB8" s="63">
        <f t="shared" si="4"/>
        <v>0</v>
      </c>
      <c r="BC8" s="62"/>
      <c r="BD8" s="55">
        <f t="shared" si="5"/>
        <v>0</v>
      </c>
    </row>
    <row r="9" s="8" customFormat="1" customHeight="1" spans="1:56">
      <c r="A9" s="51"/>
      <c r="B9" s="51"/>
      <c r="C9" s="51"/>
      <c r="D9" s="52"/>
      <c r="E9" s="52"/>
      <c r="F9" s="53"/>
      <c r="G9" s="53"/>
      <c r="H9" s="53"/>
      <c r="I9" s="54"/>
      <c r="J9" s="55"/>
      <c r="K9" s="56"/>
      <c r="L9" s="55"/>
      <c r="M9" s="54"/>
      <c r="N9" s="57"/>
      <c r="O9" s="51"/>
      <c r="P9" s="51"/>
      <c r="Q9" s="51"/>
      <c r="R9" s="51"/>
      <c r="S9" s="51"/>
      <c r="T9" s="26"/>
      <c r="U9" s="51"/>
      <c r="V9" s="51"/>
      <c r="W9" s="53"/>
      <c r="X9" s="53"/>
      <c r="Y9" s="53"/>
      <c r="Z9" s="58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29"/>
      <c r="AN9" s="59"/>
      <c r="AO9" s="60">
        <f t="shared" si="2"/>
        <v>0</v>
      </c>
      <c r="AP9" s="60">
        <f t="shared" si="3"/>
        <v>0</v>
      </c>
      <c r="AQ9" s="46"/>
      <c r="AR9" s="51"/>
      <c r="AS9" s="51"/>
      <c r="AT9" s="51"/>
      <c r="AU9" s="51"/>
      <c r="AV9" s="51"/>
      <c r="AW9" s="61"/>
      <c r="AX9" s="61"/>
      <c r="AY9" s="61"/>
      <c r="AZ9" s="61"/>
      <c r="BA9" s="62"/>
      <c r="BB9" s="63">
        <f t="shared" si="4"/>
        <v>0</v>
      </c>
      <c r="BC9" s="62"/>
      <c r="BD9" s="55">
        <f t="shared" si="5"/>
        <v>0</v>
      </c>
    </row>
    <row r="10" s="8" customFormat="1" customHeight="1" spans="1:56">
      <c r="A10" s="51"/>
      <c r="B10" s="51"/>
      <c r="C10" s="51"/>
      <c r="D10" s="52"/>
      <c r="E10" s="52"/>
      <c r="F10" s="53"/>
      <c r="G10" s="53"/>
      <c r="H10" s="53"/>
      <c r="I10" s="54"/>
      <c r="J10" s="55"/>
      <c r="K10" s="56"/>
      <c r="L10" s="55"/>
      <c r="M10" s="54"/>
      <c r="N10" s="57"/>
      <c r="O10" s="51"/>
      <c r="P10" s="51"/>
      <c r="Q10" s="51"/>
      <c r="R10" s="51"/>
      <c r="S10" s="51"/>
      <c r="T10" s="26"/>
      <c r="U10" s="51"/>
      <c r="V10" s="51"/>
      <c r="W10" s="53"/>
      <c r="X10" s="53"/>
      <c r="Y10" s="53"/>
      <c r="Z10" s="58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29"/>
      <c r="AN10" s="59"/>
      <c r="AO10" s="60">
        <f t="shared" si="2"/>
        <v>0</v>
      </c>
      <c r="AP10" s="60">
        <f t="shared" si="3"/>
        <v>0</v>
      </c>
      <c r="AQ10" s="46"/>
      <c r="AR10" s="51"/>
      <c r="AS10" s="51"/>
      <c r="AT10" s="51"/>
      <c r="AU10" s="51"/>
      <c r="AV10" s="51"/>
      <c r="AW10" s="61"/>
      <c r="AX10" s="61"/>
      <c r="AY10" s="61"/>
      <c r="AZ10" s="61"/>
      <c r="BA10" s="62"/>
      <c r="BB10" s="63">
        <f t="shared" si="4"/>
        <v>0</v>
      </c>
      <c r="BC10" s="62"/>
      <c r="BD10" s="55">
        <f t="shared" si="5"/>
        <v>0</v>
      </c>
    </row>
    <row r="11" s="8" customFormat="1" customHeight="1" spans="1:56">
      <c r="A11" s="51"/>
      <c r="B11" s="51"/>
      <c r="C11" s="51"/>
      <c r="D11" s="52"/>
      <c r="E11" s="52"/>
      <c r="F11" s="53"/>
      <c r="G11" s="53"/>
      <c r="H11" s="53"/>
      <c r="I11" s="54"/>
      <c r="J11" s="55"/>
      <c r="K11" s="56"/>
      <c r="L11" s="55"/>
      <c r="M11" s="54"/>
      <c r="N11" s="57"/>
      <c r="O11" s="51"/>
      <c r="P11" s="51"/>
      <c r="Q11" s="51"/>
      <c r="R11" s="51"/>
      <c r="S11" s="51"/>
      <c r="T11" s="26"/>
      <c r="U11" s="51"/>
      <c r="V11" s="51"/>
      <c r="W11" s="53"/>
      <c r="X11" s="53"/>
      <c r="Y11" s="53"/>
      <c r="Z11" s="58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29"/>
      <c r="AN11" s="59"/>
      <c r="AO11" s="60">
        <f t="shared" si="2"/>
        <v>0</v>
      </c>
      <c r="AP11" s="60">
        <f t="shared" si="3"/>
        <v>0</v>
      </c>
      <c r="AQ11" s="46"/>
      <c r="AR11" s="51"/>
      <c r="AS11" s="51"/>
      <c r="AT11" s="51"/>
      <c r="AU11" s="51"/>
      <c r="AV11" s="51"/>
      <c r="AW11" s="61"/>
      <c r="AX11" s="61"/>
      <c r="AY11" s="61"/>
      <c r="AZ11" s="61"/>
      <c r="BA11" s="62"/>
      <c r="BB11" s="63">
        <f t="shared" si="4"/>
        <v>0</v>
      </c>
      <c r="BC11" s="62"/>
      <c r="BD11" s="55">
        <f t="shared" si="5"/>
        <v>0</v>
      </c>
    </row>
    <row r="12" s="8" customFormat="1" customHeight="1" spans="1:56">
      <c r="A12" s="51"/>
      <c r="B12" s="51"/>
      <c r="C12" s="51"/>
      <c r="D12" s="52"/>
      <c r="E12" s="52"/>
      <c r="F12" s="53"/>
      <c r="G12" s="53"/>
      <c r="H12" s="53"/>
      <c r="I12" s="54"/>
      <c r="J12" s="55"/>
      <c r="K12" s="56"/>
      <c r="L12" s="55"/>
      <c r="M12" s="54"/>
      <c r="N12" s="57"/>
      <c r="O12" s="51"/>
      <c r="P12" s="51"/>
      <c r="Q12" s="51"/>
      <c r="R12" s="51"/>
      <c r="S12" s="51"/>
      <c r="T12" s="26"/>
      <c r="U12" s="51"/>
      <c r="V12" s="51"/>
      <c r="W12" s="53"/>
      <c r="X12" s="53"/>
      <c r="Y12" s="53"/>
      <c r="Z12" s="58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29"/>
      <c r="AN12" s="59"/>
      <c r="AO12" s="60">
        <f t="shared" si="2"/>
        <v>0</v>
      </c>
      <c r="AP12" s="60">
        <f t="shared" si="3"/>
        <v>0</v>
      </c>
      <c r="AQ12" s="46"/>
      <c r="AR12" s="51"/>
      <c r="AS12" s="51"/>
      <c r="AT12" s="51"/>
      <c r="AU12" s="51"/>
      <c r="AV12" s="51"/>
      <c r="AW12" s="61"/>
      <c r="AX12" s="61"/>
      <c r="AY12" s="61"/>
      <c r="AZ12" s="61"/>
      <c r="BA12" s="62"/>
      <c r="BB12" s="63">
        <f t="shared" si="4"/>
        <v>0</v>
      </c>
      <c r="BC12" s="62"/>
      <c r="BD12" s="55">
        <f t="shared" si="5"/>
        <v>0</v>
      </c>
    </row>
    <row r="13" s="9" customFormat="1" customHeight="1" spans="1:56">
      <c r="A13" s="64"/>
      <c r="B13" s="64"/>
      <c r="C13" s="64"/>
      <c r="D13" s="53"/>
      <c r="E13" s="53"/>
      <c r="F13" s="53"/>
      <c r="G13" s="53"/>
      <c r="H13" s="53"/>
      <c r="I13" s="53" t="s">
        <v>136</v>
      </c>
      <c r="J13" s="29">
        <f>SUM(J3:J12)</f>
        <v>32112</v>
      </c>
      <c r="K13" s="29" t="s">
        <v>136</v>
      </c>
      <c r="L13" s="29">
        <f>SUM(L5:L12)</f>
        <v>0</v>
      </c>
      <c r="M13" s="53"/>
      <c r="N13" s="29"/>
      <c r="O13" s="64"/>
      <c r="P13" s="64"/>
      <c r="Q13" s="64"/>
      <c r="R13" s="64"/>
      <c r="S13" s="64"/>
      <c r="T13" s="65"/>
      <c r="U13" s="51"/>
      <c r="V13" s="51"/>
      <c r="W13" s="53"/>
      <c r="X13" s="53"/>
      <c r="Y13" s="53"/>
      <c r="Z13" s="58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63"/>
      <c r="AN13" s="59"/>
      <c r="AO13" s="66">
        <f>SUM(AO3:AO12)</f>
        <v>35398.56</v>
      </c>
      <c r="AP13" s="66">
        <f>SUM(AP3:AP12)</f>
        <v>274338.84</v>
      </c>
      <c r="AQ13" s="67"/>
      <c r="AR13" s="64"/>
      <c r="AS13" s="64"/>
      <c r="AT13" s="64"/>
      <c r="AU13" s="64"/>
      <c r="AV13" s="64"/>
      <c r="AW13" s="61"/>
      <c r="AX13" s="61"/>
      <c r="AY13" s="61"/>
      <c r="AZ13" s="61"/>
      <c r="BA13" s="62"/>
      <c r="BB13" s="68"/>
      <c r="BC13" s="62"/>
      <c r="BD13" s="63">
        <f t="shared" si="5"/>
        <v>0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BA$1:BC$1048576" name="Range2"/>
  </protectedRanges>
  <autoFilter xmlns:etc="http://www.wps.cn/officeDocument/2017/etCustomData" ref="A2:BD13" etc:filterBottomFollowUsedRange="0">
    <extLst/>
  </autoFilter>
  <mergeCells count="49">
    <mergeCell ref="W1:X1"/>
    <mergeCell ref="Y1:AA1"/>
    <mergeCell ref="AB1:AC1"/>
    <mergeCell ref="AD1:AE1"/>
    <mergeCell ref="AF1:AH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</mergeCells>
  <conditionalFormatting sqref="C1">
    <cfRule type="containsText" dxfId="0" priority="36" operator="between" text="欠">
      <formula>NOT(ISERROR(SEARCH("欠",C1)))</formula>
    </cfRule>
  </conditionalFormatting>
  <conditionalFormatting sqref="C3">
    <cfRule type="containsText" dxfId="0" priority="23" operator="between" text="欠">
      <formula>NOT(ISERROR(SEARCH("欠",C3)))</formula>
    </cfRule>
  </conditionalFormatting>
  <conditionalFormatting sqref="Y3">
    <cfRule type="containsText" dxfId="0" priority="21" operator="between" text="欠">
      <formula>NOT(ISERROR(SEARCH("欠",Y3)))</formula>
    </cfRule>
    <cfRule type="containsText" dxfId="0" priority="20" operator="between" text="欠">
      <formula>NOT(ISERROR(SEARCH("欠",Y3)))</formula>
    </cfRule>
  </conditionalFormatting>
  <conditionalFormatting sqref="Z3:AH3">
    <cfRule type="containsText" dxfId="0" priority="22" operator="between" text="欠">
      <formula>NOT(ISERROR(SEARCH("欠",Z3)))</formula>
    </cfRule>
  </conditionalFormatting>
  <conditionalFormatting sqref="AJ3">
    <cfRule type="containsText" dxfId="0" priority="19" operator="between" text="欠">
      <formula>NOT(ISERROR(SEARCH("欠",AJ3)))</formula>
    </cfRule>
  </conditionalFormatting>
  <conditionalFormatting sqref="C4">
    <cfRule type="containsText" dxfId="0" priority="13" operator="between" text="欠">
      <formula>NOT(ISERROR(SEARCH("欠",C4)))</formula>
    </cfRule>
  </conditionalFormatting>
  <conditionalFormatting sqref="Y4">
    <cfRule type="containsText" dxfId="0" priority="10" operator="between" text="欠">
      <formula>NOT(ISERROR(SEARCH("欠",Y4)))</formula>
    </cfRule>
    <cfRule type="containsText" dxfId="0" priority="11" operator="between" text="欠">
      <formula>NOT(ISERROR(SEARCH("欠",Y4)))</formula>
    </cfRule>
  </conditionalFormatting>
  <conditionalFormatting sqref="AB4">
    <cfRule type="containsText" dxfId="0" priority="9" operator="between" text="欠">
      <formula>NOT(ISERROR(SEARCH("欠",AB4)))</formula>
    </cfRule>
  </conditionalFormatting>
  <conditionalFormatting sqref="C5">
    <cfRule type="containsText" dxfId="0" priority="8" operator="between" text="欠">
      <formula>NOT(ISERROR(SEARCH("欠",C5)))</formula>
    </cfRule>
  </conditionalFormatting>
  <conditionalFormatting sqref="AB5:AH5">
    <cfRule type="containsText" dxfId="0" priority="7" operator="between" text="欠">
      <formula>NOT(ISERROR(SEARCH("欠",AB5)))</formula>
    </cfRule>
  </conditionalFormatting>
  <conditionalFormatting sqref="AJ5">
    <cfRule type="containsText" dxfId="0" priority="4" operator="between" text="欠">
      <formula>NOT(ISERROR(SEARCH("欠",AJ5)))</formula>
    </cfRule>
  </conditionalFormatting>
  <conditionalFormatting sqref="C6">
    <cfRule type="containsText" dxfId="0" priority="3" operator="between" text="欠">
      <formula>NOT(ISERROR(SEARCH("欠",C6)))</formula>
    </cfRule>
  </conditionalFormatting>
  <conditionalFormatting sqref="AB6">
    <cfRule type="containsText" dxfId="0" priority="1" operator="between" text="欠">
      <formula>NOT(ISERROR(SEARCH("欠",AB6)))</formula>
    </cfRule>
  </conditionalFormatting>
  <conditionalFormatting sqref="AC6:AH6">
    <cfRule type="containsText" dxfId="0" priority="2" operator="between" text="欠">
      <formula>NOT(ISERROR(SEARCH("欠",AC6)))</formula>
    </cfRule>
  </conditionalFormatting>
  <conditionalFormatting sqref="Y7">
    <cfRule type="containsText" dxfId="0" priority="27" operator="between" text="欠">
      <formula>NOT(ISERROR(SEARCH("欠",Y7)))</formula>
    </cfRule>
  </conditionalFormatting>
  <conditionalFormatting sqref="Y7:AH7">
    <cfRule type="containsText" dxfId="0" priority="24" operator="between" text="欠">
      <formula>NOT(ISERROR(SEARCH("欠",Y7)))</formula>
    </cfRule>
  </conditionalFormatting>
  <conditionalFormatting sqref="Y8">
    <cfRule type="containsText" dxfId="0" priority="34" operator="between" text="欠">
      <formula>NOT(ISERROR(SEARCH("欠",Y8)))</formula>
    </cfRule>
  </conditionalFormatting>
  <conditionalFormatting sqref="Y8:AH8">
    <cfRule type="containsText" dxfId="0" priority="33" operator="between" text="欠">
      <formula>NOT(ISERROR(SEARCH("欠",Y8)))</formula>
    </cfRule>
  </conditionalFormatting>
  <conditionalFormatting sqref="Y1:Y2 Y9:Y1048576">
    <cfRule type="containsText" dxfId="0" priority="38" operator="between" text="欠">
      <formula>NOT(ISERROR(SEARCH("欠",Y1)))</formula>
    </cfRule>
  </conditionalFormatting>
  <conditionalFormatting sqref="Y1:AH2 Y9:AH1048576">
    <cfRule type="containsText" dxfId="0" priority="37" operator="between" text="欠">
      <formula>NOT(ISERROR(SEARCH("欠",Y1)))</formula>
    </cfRule>
  </conditionalFormatting>
  <conditionalFormatting sqref="AC4:AH4 Z4:AA4">
    <cfRule type="containsText" dxfId="0" priority="12" operator="between" text="欠">
      <formula>NOT(ISERROR(SEARCH("欠",Z4)))</formula>
    </cfRule>
  </conditionalFormatting>
  <conditionalFormatting sqref="Y5:AA6">
    <cfRule type="containsText" dxfId="0" priority="6" operator="between" text="欠">
      <formula>NOT(ISERROR(SEARCH("欠",Y5)))</formula>
    </cfRule>
    <cfRule type="containsText" dxfId="0" priority="5" operator="between" text="欠">
      <formula>NOT(ISERROR(SEARCH("欠",Y5)))</formula>
    </cfRule>
  </conditionalFormatting>
  <pageMargins left="0.196527777777778" right="0.161111111111111" top="0.0152777777777778" bottom="0.2125" header="0.5" footer="0.5"/>
  <pageSetup paperSize="9" scale="29" fitToHeight="0" orientation="landscape" horizontalDpi="6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BD10"/>
  <sheetViews>
    <sheetView workbookViewId="0">
      <pane xSplit="14" ySplit="2" topLeftCell="O3" activePane="bottomRight" state="frozen"/>
      <selection/>
      <selection pane="topRight"/>
      <selection pane="bottomLeft"/>
      <selection pane="bottomRight" activeCell="A4" sqref="$A4:$XFD4"/>
    </sheetView>
  </sheetViews>
  <sheetFormatPr defaultColWidth="9" defaultRowHeight="25" customHeight="1"/>
  <cols>
    <col min="1" max="1" width="12.625" style="10" customWidth="1"/>
    <col min="2" max="3" width="3.625" style="10" customWidth="1"/>
    <col min="4" max="5" width="10.625" style="11" customWidth="1"/>
    <col min="6" max="8" width="12.625" style="11" customWidth="1"/>
    <col min="9" max="9" width="12.625" style="11" hidden="1" customWidth="1"/>
    <col min="10" max="10" width="6.625" style="12" customWidth="1"/>
    <col min="11" max="11" width="6.625" style="12" hidden="1" customWidth="1"/>
    <col min="12" max="12" width="8.625" style="12" hidden="1" customWidth="1"/>
    <col min="13" max="13" width="5.625" style="11" customWidth="1"/>
    <col min="14" max="14" width="5.625" style="12" customWidth="1"/>
    <col min="15" max="16" width="12.625" style="10" customWidth="1"/>
    <col min="17" max="17" width="12.625" style="10" hidden="1" customWidth="1"/>
    <col min="18" max="18" width="6.625" style="10" hidden="1" customWidth="1"/>
    <col min="19" max="19" width="12.625" style="10" hidden="1" customWidth="1"/>
    <col min="20" max="20" width="8.625" style="13" hidden="1" customWidth="1"/>
    <col min="21" max="21" width="12.625" style="10" customWidth="1"/>
    <col min="22" max="22" width="4.61666666666667" style="10" hidden="1" customWidth="1"/>
    <col min="23" max="23" width="12" style="11" hidden="1" customWidth="1"/>
    <col min="24" max="24" width="7.13333333333333" style="11" hidden="1" customWidth="1"/>
    <col min="25" max="25" width="8.625" style="11" hidden="1" customWidth="1"/>
    <col min="26" max="26" width="8.625" style="14" hidden="1" customWidth="1"/>
    <col min="27" max="27" width="8.6" style="11" hidden="1" customWidth="1"/>
    <col min="28" max="28" width="10.625" style="11" hidden="1" customWidth="1"/>
    <col min="29" max="29" width="4.625" style="11" hidden="1" customWidth="1"/>
    <col min="30" max="30" width="10.625" style="11" hidden="1" customWidth="1"/>
    <col min="31" max="31" width="6.625" style="11" hidden="1" customWidth="1"/>
    <col min="32" max="32" width="10.625" style="11" customWidth="1"/>
    <col min="33" max="38" width="10.625" style="11" hidden="1" customWidth="1"/>
    <col min="39" max="39" width="20.625" style="12" customWidth="1"/>
    <col min="40" max="40" width="8.625" style="15" customWidth="1"/>
    <col min="41" max="42" width="12.625" style="16" customWidth="1"/>
    <col min="43" max="43" width="10.625" style="17" customWidth="1"/>
    <col min="44" max="45" width="10.625" style="10" customWidth="1"/>
    <col min="46" max="48" width="8.625" style="10" customWidth="1"/>
    <col min="49" max="49" width="8.875" style="18" customWidth="1"/>
    <col min="50" max="50" width="9.625" style="18" customWidth="1"/>
    <col min="51" max="51" width="9.875" style="18" customWidth="1"/>
    <col min="52" max="52" width="10.375" style="18" customWidth="1"/>
    <col min="53" max="53" width="7.25" style="19" customWidth="1"/>
    <col min="54" max="54" width="7" style="20" customWidth="1"/>
    <col min="55" max="55" width="10.125" style="19" customWidth="1"/>
    <col min="56" max="56" width="8.625" style="20" customWidth="1"/>
    <col min="57" max="16384" width="9" style="21"/>
  </cols>
  <sheetData>
    <row r="1" s="6" customFormat="1" customHeight="1" spans="1:56">
      <c r="A1" s="22" t="s">
        <v>45</v>
      </c>
      <c r="B1" s="23" t="s">
        <v>79</v>
      </c>
      <c r="C1" s="24" t="str">
        <f>VLOOKUP(H1,[1]名称!A:E,4,0)</f>
        <v>系列</v>
      </c>
      <c r="D1" s="22" t="s">
        <v>80</v>
      </c>
      <c r="E1" s="22" t="s">
        <v>81</v>
      </c>
      <c r="F1" s="22" t="s">
        <v>47</v>
      </c>
      <c r="G1" s="22" t="s">
        <v>48</v>
      </c>
      <c r="H1" s="22" t="s">
        <v>0</v>
      </c>
      <c r="I1" s="22" t="s">
        <v>44</v>
      </c>
      <c r="J1" s="22" t="s">
        <v>49</v>
      </c>
      <c r="K1" s="22" t="s">
        <v>1</v>
      </c>
      <c r="L1" s="22" t="s">
        <v>82</v>
      </c>
      <c r="M1" s="22" t="s">
        <v>83</v>
      </c>
      <c r="N1" s="22" t="s">
        <v>84</v>
      </c>
      <c r="O1" s="22" t="s">
        <v>85</v>
      </c>
      <c r="P1" s="25" t="s">
        <v>86</v>
      </c>
      <c r="Q1" s="22" t="s">
        <v>87</v>
      </c>
      <c r="R1" s="26" t="s">
        <v>88</v>
      </c>
      <c r="S1" s="22" t="s">
        <v>89</v>
      </c>
      <c r="T1" s="26" t="s">
        <v>90</v>
      </c>
      <c r="U1" s="22" t="s">
        <v>91</v>
      </c>
      <c r="V1" s="27" t="s">
        <v>92</v>
      </c>
      <c r="W1" s="26" t="s">
        <v>93</v>
      </c>
      <c r="X1" s="26"/>
      <c r="Y1" s="26" t="s">
        <v>94</v>
      </c>
      <c r="Z1" s="28"/>
      <c r="AA1" s="26"/>
      <c r="AB1" s="26" t="s">
        <v>95</v>
      </c>
      <c r="AC1" s="26"/>
      <c r="AD1" s="26" t="s">
        <v>96</v>
      </c>
      <c r="AE1" s="26"/>
      <c r="AF1" s="26" t="s">
        <v>97</v>
      </c>
      <c r="AG1" s="26"/>
      <c r="AH1" s="26"/>
      <c r="AI1" s="26" t="s">
        <v>98</v>
      </c>
      <c r="AJ1" s="26" t="s">
        <v>99</v>
      </c>
      <c r="AK1" s="26" t="s">
        <v>100</v>
      </c>
      <c r="AL1" s="26" t="s">
        <v>101</v>
      </c>
      <c r="AM1" s="29" t="s">
        <v>102</v>
      </c>
      <c r="AN1" s="29" t="s">
        <v>51</v>
      </c>
      <c r="AO1" s="29" t="s">
        <v>52</v>
      </c>
      <c r="AP1" s="29" t="s">
        <v>53</v>
      </c>
      <c r="AQ1" s="30" t="s">
        <v>103</v>
      </c>
      <c r="AR1" s="29" t="s">
        <v>104</v>
      </c>
      <c r="AS1" s="29" t="s">
        <v>105</v>
      </c>
      <c r="AT1" s="29" t="s">
        <v>106</v>
      </c>
      <c r="AU1" s="29" t="s">
        <v>107</v>
      </c>
      <c r="AV1" s="29" t="s">
        <v>108</v>
      </c>
      <c r="AW1" s="29" t="s">
        <v>109</v>
      </c>
      <c r="AX1" s="29" t="s">
        <v>110</v>
      </c>
      <c r="AY1" s="29" t="s">
        <v>111</v>
      </c>
      <c r="AZ1" s="29" t="s">
        <v>112</v>
      </c>
      <c r="BA1" s="29" t="s">
        <v>113</v>
      </c>
      <c r="BB1" s="29" t="s">
        <v>114</v>
      </c>
      <c r="BC1" s="29" t="s">
        <v>115</v>
      </c>
      <c r="BD1" s="29" t="s">
        <v>81</v>
      </c>
    </row>
    <row r="2" s="6" customFormat="1" customHeight="1" spans="1:56">
      <c r="A2" s="22"/>
      <c r="B2" s="31"/>
      <c r="C2" s="3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5"/>
      <c r="Q2" s="22"/>
      <c r="R2" s="26"/>
      <c r="S2" s="22"/>
      <c r="T2" s="26"/>
      <c r="U2" s="22"/>
      <c r="V2" s="33"/>
      <c r="W2" s="26" t="s">
        <v>116</v>
      </c>
      <c r="X2" s="26" t="s">
        <v>117</v>
      </c>
      <c r="Y2" s="26" t="s">
        <v>118</v>
      </c>
      <c r="Z2" s="28" t="s">
        <v>119</v>
      </c>
      <c r="AA2" s="26" t="s">
        <v>120</v>
      </c>
      <c r="AB2" s="26" t="s">
        <v>121</v>
      </c>
      <c r="AC2" s="26" t="s">
        <v>117</v>
      </c>
      <c r="AD2" s="26" t="s">
        <v>122</v>
      </c>
      <c r="AE2" s="26" t="s">
        <v>117</v>
      </c>
      <c r="AF2" s="26" t="s">
        <v>123</v>
      </c>
      <c r="AG2" s="26" t="s">
        <v>124</v>
      </c>
      <c r="AH2" s="26" t="s">
        <v>117</v>
      </c>
      <c r="AI2" s="26"/>
      <c r="AJ2" s="26"/>
      <c r="AK2" s="26"/>
      <c r="AL2" s="26"/>
      <c r="AM2" s="29"/>
      <c r="AN2" s="29"/>
      <c r="AO2" s="29"/>
      <c r="AP2" s="29"/>
      <c r="AQ2" s="30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</row>
    <row r="3" s="7" customFormat="1" customHeight="1" spans="1:56">
      <c r="A3" s="34">
        <v>45845</v>
      </c>
      <c r="B3" s="34" t="str">
        <f ca="1" t="shared" ref="B3:B6" si="0">IF(TODAY()-5&gt;=A3,IF(AA3="","异常",""),"")</f>
        <v>异常</v>
      </c>
      <c r="C3" s="35" t="str">
        <f>VLOOKUP(H3,[1]名称!A:E,4,0)</f>
        <v>二代</v>
      </c>
      <c r="D3" s="36" t="s">
        <v>137</v>
      </c>
      <c r="E3" s="36" t="s">
        <v>138</v>
      </c>
      <c r="F3" s="35"/>
      <c r="G3" s="35" t="s">
        <v>139</v>
      </c>
      <c r="H3" s="35" t="s">
        <v>38</v>
      </c>
      <c r="I3" s="37"/>
      <c r="J3" s="38">
        <f>75120-15000-60120</f>
        <v>0</v>
      </c>
      <c r="K3" s="39"/>
      <c r="L3" s="38"/>
      <c r="M3" s="35">
        <f>VLOOKUP(H3,[1]名称!A:E,3,0)</f>
        <v>24</v>
      </c>
      <c r="N3" s="40">
        <f t="shared" ref="N3:N6" si="1">J3/M3</f>
        <v>0</v>
      </c>
      <c r="O3" s="34">
        <v>45964</v>
      </c>
      <c r="P3" s="34">
        <v>45964</v>
      </c>
      <c r="Q3" s="34"/>
      <c r="R3" s="34"/>
      <c r="S3" s="34"/>
      <c r="T3" s="41"/>
      <c r="U3" s="34"/>
      <c r="V3" s="34" t="s">
        <v>140</v>
      </c>
      <c r="W3" s="35" t="s">
        <v>128</v>
      </c>
      <c r="X3" s="35" t="s">
        <v>128</v>
      </c>
      <c r="Y3" s="35" t="s">
        <v>127</v>
      </c>
      <c r="Z3" s="42"/>
      <c r="AA3" s="35"/>
      <c r="AB3" s="35" t="s">
        <v>128</v>
      </c>
      <c r="AC3" s="35" t="s">
        <v>128</v>
      </c>
      <c r="AD3" s="35" t="s">
        <v>56</v>
      </c>
      <c r="AE3" s="35" t="s">
        <v>129</v>
      </c>
      <c r="AF3" s="35" t="s">
        <v>56</v>
      </c>
      <c r="AG3" s="35" t="s">
        <v>128</v>
      </c>
      <c r="AH3" s="35" t="s">
        <v>129</v>
      </c>
      <c r="AI3" s="35" t="s">
        <v>128</v>
      </c>
      <c r="AJ3" s="35" t="s">
        <v>56</v>
      </c>
      <c r="AK3" s="35"/>
      <c r="AL3" s="35"/>
      <c r="AM3" s="43"/>
      <c r="AN3" s="44">
        <v>0.64</v>
      </c>
      <c r="AO3" s="45">
        <f t="shared" ref="AO3:AO9" si="2">J3*AN3</f>
        <v>0</v>
      </c>
      <c r="AP3" s="45">
        <f t="shared" ref="AP3:AP9" si="3">AO3*7.75</f>
        <v>0</v>
      </c>
      <c r="AQ3" s="46"/>
      <c r="AR3" s="34"/>
      <c r="AS3" s="34"/>
      <c r="AT3" s="34"/>
      <c r="AU3" s="34"/>
      <c r="AV3" s="34"/>
      <c r="AW3" s="47"/>
      <c r="AX3" s="47"/>
      <c r="AY3" s="47"/>
      <c r="AZ3" s="47"/>
      <c r="BA3" s="48"/>
      <c r="BB3" s="49">
        <f t="shared" ref="BB3:BB9" si="4">J3-BA3</f>
        <v>0</v>
      </c>
      <c r="BC3" s="48"/>
      <c r="BD3" s="38" t="str">
        <f t="shared" ref="BD3:BD6" si="5">E3</f>
        <v>印度尼西亚</v>
      </c>
    </row>
    <row r="4" s="7" customFormat="1" customHeight="1" spans="1:56">
      <c r="A4" s="34">
        <v>45845</v>
      </c>
      <c r="B4" s="34" t="str">
        <f ca="1" t="shared" si="0"/>
        <v>异常</v>
      </c>
      <c r="C4" s="35" t="str">
        <f>VLOOKUP(H4,[1]名称!A:E,4,0)</f>
        <v>二代</v>
      </c>
      <c r="D4" s="36" t="s">
        <v>137</v>
      </c>
      <c r="E4" s="36" t="s">
        <v>138</v>
      </c>
      <c r="F4" s="35"/>
      <c r="G4" s="35" t="s">
        <v>141</v>
      </c>
      <c r="H4" s="35" t="s">
        <v>31</v>
      </c>
      <c r="I4" s="37"/>
      <c r="J4" s="38">
        <f>27600-9996-17604</f>
        <v>0</v>
      </c>
      <c r="K4" s="39"/>
      <c r="L4" s="38"/>
      <c r="M4" s="35">
        <f>VLOOKUP(H4,[1]名称!A:E,3,0)</f>
        <v>6</v>
      </c>
      <c r="N4" s="40">
        <f t="shared" si="1"/>
        <v>0</v>
      </c>
      <c r="O4" s="34">
        <v>45964</v>
      </c>
      <c r="P4" s="34">
        <v>45964</v>
      </c>
      <c r="Q4" s="34"/>
      <c r="R4" s="34"/>
      <c r="S4" s="34"/>
      <c r="T4" s="41"/>
      <c r="U4" s="34"/>
      <c r="V4" s="34" t="s">
        <v>140</v>
      </c>
      <c r="W4" s="35" t="s">
        <v>128</v>
      </c>
      <c r="X4" s="35" t="s">
        <v>128</v>
      </c>
      <c r="Y4" s="35" t="s">
        <v>127</v>
      </c>
      <c r="Z4" s="42"/>
      <c r="AA4" s="35"/>
      <c r="AB4" s="35" t="s">
        <v>132</v>
      </c>
      <c r="AC4" s="35" t="s">
        <v>129</v>
      </c>
      <c r="AD4" s="35" t="s">
        <v>56</v>
      </c>
      <c r="AE4" s="35" t="s">
        <v>129</v>
      </c>
      <c r="AF4" s="35" t="s">
        <v>56</v>
      </c>
      <c r="AG4" s="35" t="s">
        <v>142</v>
      </c>
      <c r="AH4" s="35" t="s">
        <v>129</v>
      </c>
      <c r="AI4" s="35" t="s">
        <v>56</v>
      </c>
      <c r="AJ4" s="35" t="s">
        <v>128</v>
      </c>
      <c r="AK4" s="35"/>
      <c r="AL4" s="35"/>
      <c r="AM4" s="43"/>
      <c r="AN4" s="44">
        <v>2.11</v>
      </c>
      <c r="AO4" s="45">
        <f t="shared" si="2"/>
        <v>0</v>
      </c>
      <c r="AP4" s="45">
        <f t="shared" si="3"/>
        <v>0</v>
      </c>
      <c r="AQ4" s="46"/>
      <c r="AR4" s="34"/>
      <c r="AS4" s="34"/>
      <c r="AT4" s="34"/>
      <c r="AU4" s="34"/>
      <c r="AV4" s="34"/>
      <c r="AW4" s="47"/>
      <c r="AX4" s="47"/>
      <c r="AY4" s="47"/>
      <c r="AZ4" s="47"/>
      <c r="BA4" s="48"/>
      <c r="BB4" s="49">
        <f t="shared" si="4"/>
        <v>0</v>
      </c>
      <c r="BC4" s="48"/>
      <c r="BD4" s="38" t="str">
        <f t="shared" si="5"/>
        <v>印度尼西亚</v>
      </c>
    </row>
    <row r="5" s="7" customFormat="1" customHeight="1" spans="1:56">
      <c r="A5" s="34">
        <v>46109</v>
      </c>
      <c r="B5" s="34" t="str">
        <f ca="1" t="shared" si="0"/>
        <v>异常</v>
      </c>
      <c r="C5" s="35" t="str">
        <f>VLOOKUP(H5,[1]名称!A:E,4,0)</f>
        <v>二代</v>
      </c>
      <c r="D5" s="36" t="s">
        <v>125</v>
      </c>
      <c r="E5" s="36" t="s">
        <v>126</v>
      </c>
      <c r="F5" s="35" t="s">
        <v>57</v>
      </c>
      <c r="G5" s="35" t="s">
        <v>58</v>
      </c>
      <c r="H5" s="35" t="s">
        <v>31</v>
      </c>
      <c r="I5" s="37"/>
      <c r="J5" s="38">
        <v>1488</v>
      </c>
      <c r="K5" s="39"/>
      <c r="L5" s="38"/>
      <c r="M5" s="35">
        <f>VLOOKUP(H5,[1]名称!A:E,3,0)</f>
        <v>6</v>
      </c>
      <c r="N5" s="40">
        <f t="shared" si="1"/>
        <v>248</v>
      </c>
      <c r="O5" s="34">
        <v>46132</v>
      </c>
      <c r="P5" s="34">
        <v>46132</v>
      </c>
      <c r="Q5" s="34">
        <v>46147</v>
      </c>
      <c r="R5" s="34"/>
      <c r="S5" s="34">
        <v>46148</v>
      </c>
      <c r="T5" s="41"/>
      <c r="U5" s="34"/>
      <c r="V5" s="34"/>
      <c r="W5" s="35"/>
      <c r="X5" s="35"/>
      <c r="Y5" s="35" t="s">
        <v>127</v>
      </c>
      <c r="Z5" s="42"/>
      <c r="AA5" s="35"/>
      <c r="AB5" s="35" t="s">
        <v>132</v>
      </c>
      <c r="AC5" s="35" t="s">
        <v>129</v>
      </c>
      <c r="AD5" s="35" t="s">
        <v>130</v>
      </c>
      <c r="AE5" s="35" t="s">
        <v>129</v>
      </c>
      <c r="AF5" s="35" t="s">
        <v>130</v>
      </c>
      <c r="AG5" s="35" t="s">
        <v>133</v>
      </c>
      <c r="AH5" s="35" t="s">
        <v>129</v>
      </c>
      <c r="AI5" s="35" t="s">
        <v>56</v>
      </c>
      <c r="AJ5" s="35" t="s">
        <v>128</v>
      </c>
      <c r="AK5" s="35"/>
      <c r="AL5" s="35"/>
      <c r="AM5" s="43"/>
      <c r="AN5" s="44">
        <v>2.11</v>
      </c>
      <c r="AO5" s="45">
        <f t="shared" si="2"/>
        <v>3139.68</v>
      </c>
      <c r="AP5" s="45">
        <f t="shared" si="3"/>
        <v>24332.52</v>
      </c>
      <c r="AQ5" s="50">
        <v>46205</v>
      </c>
      <c r="AR5" s="34"/>
      <c r="AS5" s="34"/>
      <c r="AT5" s="34"/>
      <c r="AU5" s="34"/>
      <c r="AV5" s="34"/>
      <c r="AW5" s="47"/>
      <c r="AX5" s="47"/>
      <c r="AY5" s="47"/>
      <c r="AZ5" s="47"/>
      <c r="BA5" s="48"/>
      <c r="BB5" s="49">
        <f t="shared" si="4"/>
        <v>1488</v>
      </c>
      <c r="BC5" s="48"/>
      <c r="BD5" s="38" t="str">
        <f t="shared" si="5"/>
        <v>美国</v>
      </c>
    </row>
    <row r="6" s="7" customFormat="1" customHeight="1" spans="1:56">
      <c r="A6" s="34">
        <v>46109</v>
      </c>
      <c r="B6" s="34" t="str">
        <f ca="1" t="shared" si="0"/>
        <v>异常</v>
      </c>
      <c r="C6" s="35" t="str">
        <f>VLOOKUP(H6,[1]名称!A:E,4,0)</f>
        <v>二代</v>
      </c>
      <c r="D6" s="36" t="s">
        <v>125</v>
      </c>
      <c r="E6" s="36" t="s">
        <v>126</v>
      </c>
      <c r="F6" s="35" t="s">
        <v>54</v>
      </c>
      <c r="G6" s="35" t="s">
        <v>55</v>
      </c>
      <c r="H6" s="35" t="s">
        <v>38</v>
      </c>
      <c r="I6" s="37"/>
      <c r="J6" s="38">
        <v>2112</v>
      </c>
      <c r="K6" s="39"/>
      <c r="L6" s="38"/>
      <c r="M6" s="35">
        <f>VLOOKUP(H6,[1]名称!A:E,3,0)</f>
        <v>24</v>
      </c>
      <c r="N6" s="40">
        <f t="shared" si="1"/>
        <v>88</v>
      </c>
      <c r="O6" s="34">
        <v>46132</v>
      </c>
      <c r="P6" s="34">
        <v>46132</v>
      </c>
      <c r="Q6" s="34">
        <v>46147</v>
      </c>
      <c r="R6" s="34"/>
      <c r="S6" s="34">
        <v>46148</v>
      </c>
      <c r="T6" s="41"/>
      <c r="U6" s="34"/>
      <c r="V6" s="34"/>
      <c r="W6" s="35"/>
      <c r="X6" s="35"/>
      <c r="Y6" s="35" t="s">
        <v>127</v>
      </c>
      <c r="Z6" s="42"/>
      <c r="AA6" s="35"/>
      <c r="AB6" s="35" t="s">
        <v>128</v>
      </c>
      <c r="AC6" s="35" t="s">
        <v>129</v>
      </c>
      <c r="AD6" s="35" t="s">
        <v>130</v>
      </c>
      <c r="AE6" s="35" t="s">
        <v>129</v>
      </c>
      <c r="AF6" s="35" t="s">
        <v>130</v>
      </c>
      <c r="AG6" s="35" t="s">
        <v>128</v>
      </c>
      <c r="AH6" s="35" t="s">
        <v>129</v>
      </c>
      <c r="AI6" s="35" t="s">
        <v>128</v>
      </c>
      <c r="AJ6" s="35" t="s">
        <v>130</v>
      </c>
      <c r="AK6" s="35"/>
      <c r="AL6" s="35"/>
      <c r="AM6" s="43"/>
      <c r="AN6" s="44">
        <v>0.64</v>
      </c>
      <c r="AO6" s="45">
        <f t="shared" si="2"/>
        <v>1351.68</v>
      </c>
      <c r="AP6" s="45">
        <f t="shared" si="3"/>
        <v>10475.52</v>
      </c>
      <c r="AQ6" s="50">
        <v>46205</v>
      </c>
      <c r="AR6" s="34"/>
      <c r="AS6" s="34"/>
      <c r="AT6" s="34"/>
      <c r="AU6" s="34"/>
      <c r="AV6" s="34"/>
      <c r="AW6" s="47"/>
      <c r="AX6" s="47"/>
      <c r="AY6" s="47"/>
      <c r="AZ6" s="47"/>
      <c r="BA6" s="48"/>
      <c r="BB6" s="49">
        <f t="shared" si="4"/>
        <v>2112</v>
      </c>
      <c r="BC6" s="48"/>
      <c r="BD6" s="38" t="str">
        <f t="shared" si="5"/>
        <v>美国</v>
      </c>
    </row>
    <row r="7" s="8" customFormat="1" customHeight="1" spans="1:56">
      <c r="A7" s="51"/>
      <c r="B7" s="51"/>
      <c r="C7" s="51"/>
      <c r="D7" s="52"/>
      <c r="E7" s="52"/>
      <c r="F7" s="53"/>
      <c r="G7" s="53"/>
      <c r="H7" s="53"/>
      <c r="I7" s="54"/>
      <c r="J7" s="55"/>
      <c r="K7" s="56"/>
      <c r="L7" s="55"/>
      <c r="M7" s="54"/>
      <c r="N7" s="57"/>
      <c r="O7" s="51"/>
      <c r="P7" s="51"/>
      <c r="Q7" s="51"/>
      <c r="R7" s="51"/>
      <c r="S7" s="51"/>
      <c r="T7" s="26"/>
      <c r="U7" s="51"/>
      <c r="V7" s="51"/>
      <c r="W7" s="53"/>
      <c r="X7" s="53"/>
      <c r="Y7" s="53"/>
      <c r="Z7" s="58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29"/>
      <c r="AN7" s="59"/>
      <c r="AO7" s="60">
        <f t="shared" si="2"/>
        <v>0</v>
      </c>
      <c r="AP7" s="60">
        <f t="shared" si="3"/>
        <v>0</v>
      </c>
      <c r="AQ7" s="46"/>
      <c r="AR7" s="51"/>
      <c r="AS7" s="51"/>
      <c r="AT7" s="51"/>
      <c r="AU7" s="51"/>
      <c r="AV7" s="51"/>
      <c r="AW7" s="61"/>
      <c r="AX7" s="61"/>
      <c r="AY7" s="61"/>
      <c r="AZ7" s="61"/>
      <c r="BA7" s="62"/>
      <c r="BB7" s="63">
        <f t="shared" si="4"/>
        <v>0</v>
      </c>
      <c r="BC7" s="62"/>
      <c r="BD7" s="55">
        <f t="shared" ref="BD5:BD10" si="6">E7</f>
        <v>0</v>
      </c>
    </row>
    <row r="8" s="8" customFormat="1" customHeight="1" spans="1:56">
      <c r="A8" s="51"/>
      <c r="B8" s="51"/>
      <c r="C8" s="51"/>
      <c r="D8" s="52"/>
      <c r="E8" s="52"/>
      <c r="F8" s="53"/>
      <c r="G8" s="53"/>
      <c r="H8" s="53"/>
      <c r="I8" s="54"/>
      <c r="J8" s="55"/>
      <c r="K8" s="56"/>
      <c r="L8" s="55"/>
      <c r="M8" s="54"/>
      <c r="N8" s="57"/>
      <c r="O8" s="51"/>
      <c r="P8" s="51"/>
      <c r="Q8" s="51"/>
      <c r="R8" s="51"/>
      <c r="S8" s="51"/>
      <c r="T8" s="26"/>
      <c r="U8" s="51"/>
      <c r="V8" s="51"/>
      <c r="W8" s="53"/>
      <c r="X8" s="53"/>
      <c r="Y8" s="53"/>
      <c r="Z8" s="58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29"/>
      <c r="AN8" s="59"/>
      <c r="AO8" s="60">
        <f t="shared" si="2"/>
        <v>0</v>
      </c>
      <c r="AP8" s="60">
        <f t="shared" si="3"/>
        <v>0</v>
      </c>
      <c r="AQ8" s="46"/>
      <c r="AR8" s="51"/>
      <c r="AS8" s="51"/>
      <c r="AT8" s="51"/>
      <c r="AU8" s="51"/>
      <c r="AV8" s="51"/>
      <c r="AW8" s="61"/>
      <c r="AX8" s="61"/>
      <c r="AY8" s="61"/>
      <c r="AZ8" s="61"/>
      <c r="BA8" s="62"/>
      <c r="BB8" s="63">
        <f t="shared" si="4"/>
        <v>0</v>
      </c>
      <c r="BC8" s="62"/>
      <c r="BD8" s="55">
        <f t="shared" si="6"/>
        <v>0</v>
      </c>
    </row>
    <row r="9" s="8" customFormat="1" customHeight="1" spans="1:56">
      <c r="A9" s="51"/>
      <c r="B9" s="51"/>
      <c r="C9" s="51"/>
      <c r="D9" s="52"/>
      <c r="E9" s="52"/>
      <c r="F9" s="53"/>
      <c r="G9" s="53"/>
      <c r="H9" s="53"/>
      <c r="I9" s="54"/>
      <c r="J9" s="55"/>
      <c r="K9" s="56"/>
      <c r="L9" s="55"/>
      <c r="M9" s="54"/>
      <c r="N9" s="57"/>
      <c r="O9" s="51"/>
      <c r="P9" s="51"/>
      <c r="Q9" s="51"/>
      <c r="R9" s="51"/>
      <c r="S9" s="51"/>
      <c r="T9" s="26"/>
      <c r="U9" s="51"/>
      <c r="V9" s="51"/>
      <c r="W9" s="53"/>
      <c r="X9" s="53"/>
      <c r="Y9" s="53"/>
      <c r="Z9" s="58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29"/>
      <c r="AN9" s="59"/>
      <c r="AO9" s="60">
        <f t="shared" si="2"/>
        <v>0</v>
      </c>
      <c r="AP9" s="60">
        <f t="shared" si="3"/>
        <v>0</v>
      </c>
      <c r="AQ9" s="46"/>
      <c r="AR9" s="51"/>
      <c r="AS9" s="51"/>
      <c r="AT9" s="51"/>
      <c r="AU9" s="51"/>
      <c r="AV9" s="51"/>
      <c r="AW9" s="61"/>
      <c r="AX9" s="61"/>
      <c r="AY9" s="61"/>
      <c r="AZ9" s="61"/>
      <c r="BA9" s="62"/>
      <c r="BB9" s="63">
        <f t="shared" si="4"/>
        <v>0</v>
      </c>
      <c r="BC9" s="62"/>
      <c r="BD9" s="55">
        <f t="shared" si="6"/>
        <v>0</v>
      </c>
    </row>
    <row r="10" s="9" customFormat="1" customHeight="1" spans="1:56">
      <c r="A10" s="64"/>
      <c r="B10" s="64"/>
      <c r="C10" s="64"/>
      <c r="D10" s="53"/>
      <c r="E10" s="53"/>
      <c r="F10" s="53"/>
      <c r="G10" s="53"/>
      <c r="H10" s="53"/>
      <c r="I10" s="53" t="s">
        <v>136</v>
      </c>
      <c r="J10" s="29">
        <f>SUM(J3:J9)</f>
        <v>3600</v>
      </c>
      <c r="K10" s="29" t="s">
        <v>136</v>
      </c>
      <c r="L10" s="29">
        <f>SUM(L3:L9)</f>
        <v>0</v>
      </c>
      <c r="M10" s="53"/>
      <c r="N10" s="29"/>
      <c r="O10" s="64"/>
      <c r="P10" s="64"/>
      <c r="Q10" s="64"/>
      <c r="R10" s="64"/>
      <c r="S10" s="64"/>
      <c r="T10" s="65"/>
      <c r="U10" s="51"/>
      <c r="V10" s="51"/>
      <c r="W10" s="53"/>
      <c r="X10" s="53"/>
      <c r="Y10" s="53"/>
      <c r="Z10" s="58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63"/>
      <c r="AN10" s="59"/>
      <c r="AO10" s="66">
        <f>SUM(AO3:AO9)</f>
        <v>4491.36</v>
      </c>
      <c r="AP10" s="66">
        <f>SUM(AP3:AP9)</f>
        <v>34808.04</v>
      </c>
      <c r="AQ10" s="67"/>
      <c r="AR10" s="64"/>
      <c r="AS10" s="64"/>
      <c r="AT10" s="64"/>
      <c r="AU10" s="64"/>
      <c r="AV10" s="64"/>
      <c r="AW10" s="61"/>
      <c r="AX10" s="61"/>
      <c r="AY10" s="61"/>
      <c r="AZ10" s="61"/>
      <c r="BA10" s="62"/>
      <c r="BB10" s="68"/>
      <c r="BC10" s="62"/>
      <c r="BD10" s="63">
        <f t="shared" si="6"/>
        <v>0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BA$1:BC$1048576" name="Range2"/>
  </protectedRanges>
  <autoFilter xmlns:etc="http://www.wps.cn/officeDocument/2017/etCustomData" ref="A2:BD10" etc:filterBottomFollowUsedRange="0">
    <extLst/>
  </autoFilter>
  <mergeCells count="49">
    <mergeCell ref="W1:X1"/>
    <mergeCell ref="Y1:AA1"/>
    <mergeCell ref="AB1:AC1"/>
    <mergeCell ref="AD1:AE1"/>
    <mergeCell ref="AF1:AH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</mergeCells>
  <conditionalFormatting sqref="C1">
    <cfRule type="containsText" dxfId="0" priority="10" operator="between" text="欠">
      <formula>NOT(ISERROR(SEARCH("欠",C1)))</formula>
    </cfRule>
  </conditionalFormatting>
  <conditionalFormatting sqref="C3">
    <cfRule type="containsText" dxfId="0" priority="9" operator="between" text="欠">
      <formula>NOT(ISERROR(SEARCH("欠",C3)))</formula>
    </cfRule>
  </conditionalFormatting>
  <conditionalFormatting sqref="C4">
    <cfRule type="containsText" dxfId="0" priority="1" operator="between" text="欠">
      <formula>NOT(ISERROR(SEARCH("欠",C4)))</formula>
    </cfRule>
  </conditionalFormatting>
  <conditionalFormatting sqref="Y4">
    <cfRule type="containsText" dxfId="0" priority="3" operator="between" text="欠">
      <formula>NOT(ISERROR(SEARCH("欠",Y4)))</formula>
    </cfRule>
  </conditionalFormatting>
  <conditionalFormatting sqref="Y4:AH4">
    <cfRule type="containsText" dxfId="0" priority="2" operator="between" text="欠">
      <formula>NOT(ISERROR(SEARCH("欠",Y4)))</formula>
    </cfRule>
  </conditionalFormatting>
  <conditionalFormatting sqref="Y5">
    <cfRule type="containsText" dxfId="0" priority="8" operator="between" text="欠">
      <formula>NOT(ISERROR(SEARCH("欠",Y5)))</formula>
    </cfRule>
  </conditionalFormatting>
  <conditionalFormatting sqref="Y5:AH5">
    <cfRule type="containsText" dxfId="0" priority="7" operator="between" text="欠">
      <formula>NOT(ISERROR(SEARCH("欠",Y5)))</formula>
    </cfRule>
  </conditionalFormatting>
  <conditionalFormatting sqref="Y1:Y3 Y6:Y1048576">
    <cfRule type="containsText" dxfId="0" priority="12" operator="between" text="欠">
      <formula>NOT(ISERROR(SEARCH("欠",Y1)))</formula>
    </cfRule>
  </conditionalFormatting>
  <conditionalFormatting sqref="Y1:AH3 Y6:AH1048576">
    <cfRule type="containsText" dxfId="0" priority="11" operator="between" text="欠">
      <formula>NOT(ISERROR(SEARCH("欠",Y1)))</formula>
    </cfRule>
  </conditionalFormatting>
  <pageMargins left="0.196527777777778" right="0.161111111111111" top="0.0152777777777778" bottom="0.2125" header="0.5" footer="0.5"/>
  <pageSetup paperSize="9" scale="29" fitToHeight="0" orientation="landscape" horizontalDpi="6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H3" sqref="H3"/>
    </sheetView>
  </sheetViews>
  <sheetFormatPr defaultColWidth="15.625" defaultRowHeight="15.75" outlineLevelRow="7"/>
  <cols>
    <col min="1" max="1" width="20.625" style="2" customWidth="1"/>
    <col min="2" max="5" width="15.625" style="2" customWidth="1"/>
    <col min="6" max="9" width="15.625" style="3" customWidth="1"/>
    <col min="10" max="16380" width="15.625" style="2" customWidth="1"/>
    <col min="16381" max="16384" width="15.625" style="2"/>
  </cols>
  <sheetData>
    <row r="1" s="1" customFormat="1" ht="15" customHeight="1" spans="1:9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4" t="s">
        <v>143</v>
      </c>
      <c r="G1" s="4" t="s">
        <v>144</v>
      </c>
      <c r="H1" s="4" t="s">
        <v>145</v>
      </c>
      <c r="I1" s="4" t="s">
        <v>146</v>
      </c>
    </row>
    <row r="2" spans="1:9">
      <c r="A2" s="2" t="s">
        <v>38</v>
      </c>
      <c r="B2" s="2">
        <f>SUMIF(总接单!E:E,A2,总接单!F:F)</f>
        <v>73008</v>
      </c>
      <c r="C2" s="2">
        <f>SUMIF(总排期!H:H,A2,总排期!J:J)</f>
        <v>52008</v>
      </c>
      <c r="D2" s="2">
        <f>SUMIF(已走货!H:H,A2,已走货!J:J)</f>
        <v>21000</v>
      </c>
      <c r="E2" s="2">
        <f>B2-C2-D2</f>
        <v>0</v>
      </c>
      <c r="F2" s="3">
        <f>SUMIF(总接单!E:E,A2,总接单!T:T)</f>
        <v>358167.18</v>
      </c>
      <c r="G2" s="3">
        <f>SUMIF(总排期!H:H,A2,总排期!AP:AP)</f>
        <v>257959.68</v>
      </c>
      <c r="H2" s="3">
        <f>SUMIF(已走货!H:H,A2,已走货!AP:AP)</f>
        <v>100207.5</v>
      </c>
      <c r="I2" s="3">
        <f>F2-G2-H2</f>
        <v>0</v>
      </c>
    </row>
    <row r="3" spans="1:9">
      <c r="A3" s="2" t="s">
        <v>31</v>
      </c>
      <c r="B3" s="2">
        <f>SUMIF(总接单!E:E,A3,总接单!F:F)</f>
        <v>26112</v>
      </c>
      <c r="C3" s="2">
        <f>SUMIF(总排期!H:H,A3,总排期!J:J)</f>
        <v>15000</v>
      </c>
      <c r="D3" s="2">
        <f>SUMIF(已走货!H:H,A3,已走货!J:J)</f>
        <v>11112</v>
      </c>
      <c r="E3" s="2">
        <f>B3-C3-D3</f>
        <v>0</v>
      </c>
      <c r="F3" s="3">
        <f>SUMIF(总接单!E:E,A3,总接单!T:T)</f>
        <v>419418.84</v>
      </c>
      <c r="G3" s="3">
        <f>SUMIF(总排期!H:H,A3,总排期!AP:AP)</f>
        <v>245287.5</v>
      </c>
      <c r="H3" s="3">
        <f>SUMIF(已走货!H:H,A3,已走货!AP:AP)</f>
        <v>174131.34</v>
      </c>
      <c r="I3" s="3">
        <f>F3-G3-H3</f>
        <v>0</v>
      </c>
    </row>
    <row r="4" spans="1:9">
      <c r="A4" s="5"/>
    </row>
    <row r="5" spans="1:9">
      <c r="A5" s="5"/>
    </row>
    <row r="6" spans="1:9">
      <c r="A6" s="5"/>
    </row>
    <row r="7" spans="1:9">
      <c r="A7" s="5"/>
    </row>
    <row r="8" spans="1:9">
      <c r="A8" s="5"/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1:I8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 otherUserPermission="edit"/>
  <rangeList sheetStid="47" master="1475153551" otherUserPermission="edit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  <userID accessPermission="edit">1828109780</userID>
      <userID accessPermission="edit">1862877470</userID>
    </arrUserId>
  </rangeList>
  <rangeList sheetStid="45" master="1475153551" otherUserPermission="visible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  <userID accessPermission="edit">1862877470</userID>
      <userID accessPermission="edit">1828109780</userID>
    </arrUserId>
    <arrUserId title="Range2" rangeCreator="" othersAccessPermission="visible">
      <userID accessPermission="edit">1475153551</userID>
      <userID accessPermission="edit">1715258932</userID>
      <userID accessPermission="edit">1475426452</userID>
      <userID accessPermission="edit">1475148402</userID>
      <userID accessPermission="edit">1475812750</userID>
      <userID accessPermission="edit">1862877470</userID>
      <userID accessPermission="edit">1828109780</userID>
    </arrUserId>
  </rangeList>
  <rangeList sheetStid="58" master="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</arrUserId>
    <arrUserId title="Range2" rangeCreator="" othersAccessPermission="visible">
      <userID accessPermission="edit">1475153551</userID>
      <userID accessPermission="edit">1715258932</userID>
    </arrUserId>
  </rangeList>
  <rangeList sheetStid="57" master="" otherUserPermission="edit">
    <arrUserId title="Range1" rangeCreator="" othersAccessPermission="visible">
      <userID accessPermission="edit">1475153551</userID>
      <userID accessPermission="edit">1475426452</userID>
      <userID accessPermission="edit">1475148402</userID>
    </arrUserId>
    <arrUserId title="Range2" rangeCreator="" othersAccessPermission="visible">
      <userID accessPermission="edit">1475153551</userID>
      <userID accessPermission="edit">1715258932</userID>
    </arrUserId>
  </rangeList>
  <rangeList sheetStid="56" master="" otherUserPermission="edit">
    <arrUserId title="Range1" rangeCreator="" othersAccessPermission="visible">
      <userID accessPermission="edit">1475153551</userID>
      <userID accessPermission="edit">1475426452</userID>
      <userID accessPermission="edit">1475148402</userID>
    </arrUserId>
  </rangeList>
</allowEditUser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45">
    <commentChains s:ref="V1" rgbClr="FF0000">
      <unresolved>
        <commentChain chainId="1833f98f5a7cec9cdaa65f818c704c693479a4bf">
          <item id="ce8dedd291a0f588fd096faa69ce990dde2e891c" isNormal="1">
            <s:text>
              <s:r>
                <s:t xml:space="preserve">DELL:
湖南：HN
华嘉：HJ
润展：RZ
河源：HY
华登：HD</s:t>
              </s:r>
            </s:text>
          </item>
        </commentChain>
      </unresolved>
      <resolved/>
    </commentChains>
    <commentChains s:ref="AL1" rgbClr="FF0000">
      <unresolved>
        <commentChain chainId="5c0816966c9ed723d9f9203e964f1b77685872ce">
          <item id="6c8636f1b59fa97644d257e6b7c6492583d82dba" isNormal="1">
            <s:text>
              <s:r>
                <s:t xml:space="preserve">DELL:
例子如果是2024年7月31日生产，日期码为 I212RRKK 格式讲解
I 固定不变
212 为一年的第212天，正好7月31日为这一年的212天
RR 公司代码
KK 工厂代码（如果是东莞生产就是DG）
</s:t>
              </s:r>
            </s:text>
          </item>
        </commentChain>
      </unresolved>
      <resolved/>
    </commentChains>
  </commentList>
  <commentList sheetStid="58">
    <commentChains s:ref="V1" rgbClr="FF0000">
      <unresolved>
        <commentChain chainId="5aca2663e48c6287865918d25188f8823647e94c">
          <item id="a30d12886d8d9fdd2de5b878192c969d40d3a704" isNormal="1">
            <s:text>
              <s:r>
                <s:t xml:space="preserve">DELL:
湖南：HN
华嘉：HJ
润展：RZ
河源：HY
华登：HD</s:t>
              </s:r>
            </s:text>
          </item>
        </commentChain>
      </unresolved>
      <resolved/>
    </commentChains>
    <commentChains s:ref="AL1" rgbClr="FF0000">
      <unresolved>
        <commentChain chainId="7cf1af9f37e45c225d19033eabeace27989d24a3">
          <item id="21041e6f8fe63a313b6827404660d54aa8a051f7" isNormal="1">
            <s:text>
              <s:r>
                <s:t xml:space="preserve">DELL:
例子如果是2024年7月31日生产，日期码为 I212RRKK 格式讲解
I 固定不变
212 为一年的第212天，正好7月31日为这一年的212天
RR 公司代码
KK 工厂代码（如果是东莞生产就是DG）
</s:t>
              </s:r>
            </s:text>
          </item>
        </commentChain>
      </unresolved>
      <resolved/>
    </commentChains>
  </commentList>
  <commentList sheetStid="57">
    <commentChains s:ref="V1" rgbClr="FF0000">
      <unresolved>
        <commentChain chainId="7b96998cb61632db15836083f0e0a670a1d6bfce">
          <item id="d6cc0e22a6d009a2a305415f7586b4b4984bb63a" isNormal="1">
            <s:text>
              <s:r>
                <s:t xml:space="preserve">DELL:
湖南：HN
华嘉：HJ
润展：RZ
河源：HY
华登：HD</s:t>
              </s:r>
            </s:text>
          </item>
        </commentChain>
      </unresolved>
      <resolved/>
    </commentChains>
    <commentChains s:ref="AL1" rgbClr="FF0000">
      <unresolved>
        <commentChain chainId="e2c813ae41fa509aadc3b03171153b064fd6bbae">
          <item id="a2888bc4ee85926d8196a78c4ff730b0f1ca203f" isNormal="1">
            <s:text>
              <s:r>
                <s:t xml:space="preserve">DELL:
例子如果是2024年7月31日生产，日期码为 I212RRKK 格式讲解
I 固定不变
212 为一年的第212天，正好7月31日为这一年的212天
RR 公司代码
KK 工厂代码（如果是东莞生产就是DG）
</s:t>
              </s:r>
            </s:text>
          </item>
        </commentChain>
      </unresolved>
      <resolved/>
    </commentChains>
  </commentList>
</comments>
</file>

<file path=customXml/item3.xml><?xml version="1.0" encoding="utf-8"?>
<woProps xmlns="https://web.wps.cn/et/2018/main" xmlns:s="http://schemas.openxmlformats.org/spreadsheetml/2006/main">
  <woSheetsProps>
    <woSheetProps sheetStid="48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58" interlineOnOff="0" interlineColor="0" isDbSheet="0" isDashBoardSheet="0" isDbDashBoardSheet="0" isFlexPaperSheet="0">
      <cellprotection/>
      <appEtDbRelations/>
    </woSheetProps>
    <woSheetProps sheetStid="57" interlineOnOff="0" interlineColor="0" isDbSheet="0" isDashBoardSheet="0" isDbDashBoardSheet="0" isFlexPaperSheet="0">
      <cellprotection/>
      <appEtDbRelations/>
    </woSheetProps>
    <woSheetProps sheetStid="56" interlineOnOff="0" interlineColor="0" isDbSheet="0" isDashBoardSheet="0" isDbDashBoardSheet="0" isFlexPaperSheet="0">
      <cellprotection/>
      <appEtDbRelations/>
    </woSheetProps>
  </woSheetsProps>
  <woBookProps>
    <bookSettings fileId="531155234042" isFilterShared="1" woEtMtcEnabled="0" coreConquerUserId="" isAutoUpdatePaused="0" filterType="user" isMergeTasksAutoUpdate="0" isInserPicAsAttachment="0" supportDbFmlaDisp="0"/>
  </woBookProps>
</woProps>
</file>

<file path=customXml/item4.xml><?xml version="1.0" encoding="utf-8"?>
<pixelators xmlns="https://web.wps.cn/et/2018/main" xmlns:s="http://schemas.openxmlformats.org/spreadsheetml/2006/main">
  <pixelatorList sheetStid="48"/>
  <pixelatorList sheetStid="47"/>
  <pixelatorList sheetStid="45"/>
  <pixelatorList sheetStid="58"/>
  <pixelatorList sheetStid="57"/>
  <pixelatorList sheetStid="56"/>
  <pixelatorList sheetStid="59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名称</vt:lpstr>
      <vt:lpstr>总接单</vt:lpstr>
      <vt:lpstr>总排期</vt:lpstr>
      <vt:lpstr>已走货</vt:lpstr>
      <vt:lpstr>取消单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刘锦龙</cp:lastModifiedBy>
  <dcterms:created xsi:type="dcterms:W3CDTF">1996-12-21T17:32:00Z</dcterms:created>
  <cp:lastPrinted>2018-12-18T01:58:00Z</cp:lastPrinted>
  <dcterms:modified xsi:type="dcterms:W3CDTF">2026-06-16T23:12:00Z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ICV">
    <vt:lpwstr>9DD655103B5947EAB6E961A76EA2D477_13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