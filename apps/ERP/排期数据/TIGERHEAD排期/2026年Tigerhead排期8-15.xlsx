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fileSharing userName="Unknown User" reservationPassword="CC3C"/>
  <workbookPr/>
  <bookViews>
    <workbookView windowWidth="22368" windowHeight="10224" tabRatio="736" firstSheet="1" activeTab="2"/>
  </bookViews>
  <sheets>
    <sheet name="总接单" sheetId="4" r:id="rId1"/>
    <sheet name="A车间总排期" sheetId="5" r:id="rId2"/>
    <sheet name="B车间总排期" sheetId="6" r:id="rId3"/>
    <sheet name="印尼总排期" sheetId="7" r:id="rId4"/>
    <sheet name="已走货" sheetId="8" r:id="rId5"/>
    <sheet name="询单排期" sheetId="14" r:id="rId6"/>
    <sheet name="塑胶+毛绒+电子MA扣数表" sheetId="9" r:id="rId7"/>
    <sheet name="取消单" sheetId="11" r:id="rId8"/>
    <sheet name="已备料MA订单" sheetId="10" r:id="rId9"/>
    <sheet name="系统货号" sheetId="13" r:id="rId10"/>
    <sheet name="各货号毛绒公仔配比汇总表" sheetId="15" r:id="rId11"/>
  </sheets>
  <externalReferences>
    <externalReference r:id="rId12"/>
  </externalReferences>
  <definedNames>
    <definedName name="_xlnm._FilterDatabase" localSheetId="0" hidden="1">总接单!$1:$228</definedName>
    <definedName name="_xlnm._FilterDatabase" localSheetId="2" hidden="1">B车间总排期!$A$1:$AQ$89</definedName>
    <definedName name="_xlnm._FilterDatabase" localSheetId="3" hidden="1">印尼总排期!$A$1:$AQ$40</definedName>
    <definedName name="_xlnm._FilterDatabase" localSheetId="4" hidden="1">已走货!$A$1:$AQ$135</definedName>
    <definedName name="_xlnm._FilterDatabase" localSheetId="5" hidden="1">询单排期!$A$1:$N$93</definedName>
    <definedName name="_xlnm._FilterDatabase" localSheetId="6" hidden="1">'塑胶+毛绒+电子MA扣数表'!$A$3:$N$139</definedName>
    <definedName name="_xlnm._FilterDatabase" localSheetId="9" hidden="1">系统货号!$A$1:$C$113</definedName>
    <definedName name="_xlnm._FilterDatabase" localSheetId="1" hidden="1">A车间总排期!$A$1:$AQ$1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Unknown User</author>
    <author>Administrator</author>
  </authors>
  <commentList>
    <comment ref="K93" authorId="0">
      <text>
        <r>
          <rPr>
            <b/>
            <sz val="9"/>
            <rFont val="宋体"/>
            <charset val="0"/>
          </rPr>
          <t>龙丽娟:</t>
        </r>
        <r>
          <rPr>
            <sz val="9"/>
            <rFont val="宋体"/>
            <charset val="0"/>
          </rPr>
          <t xml:space="preserve">
201033 7/1 8044pcs</t>
        </r>
      </text>
    </comment>
    <comment ref="B203" authorId="1">
      <text>
        <r>
          <rPr>
            <sz val="9"/>
            <rFont val="宋体"/>
            <charset val="134"/>
          </rPr>
          <t>25年库存
A：674102.13
B：3009502.32
印尼：1248171.6</t>
        </r>
      </text>
    </comment>
  </commentList>
</comments>
</file>

<file path=xl/comments2.xml><?xml version="1.0" encoding="utf-8"?>
<comments xmlns="http://schemas.openxmlformats.org/spreadsheetml/2006/main">
  <authors>
    <author>Unknown User</author>
  </authors>
  <commentList>
    <comment ref="AJ2" authorId="0">
      <text>
        <r>
          <rPr>
            <b/>
            <sz val="9"/>
            <rFont val="宋体"/>
            <charset val="0"/>
          </rPr>
          <t>石玉珍:</t>
        </r>
        <r>
          <rPr>
            <sz val="9"/>
            <rFont val="宋体"/>
            <charset val="0"/>
          </rPr>
          <t xml:space="preserve">
3004726 8/1 1120 pcs 欣泰A5
30004732 8/1 672 pcs 欣泰C6
3004714 8/1 1976 pcs 欣泰A5</t>
        </r>
        <r>
          <rPr>
            <b/>
            <sz val="9"/>
            <rFont val="宋体"/>
            <charset val="0"/>
          </rPr>
          <t xml:space="preserve">
石玉珍:</t>
        </r>
        <r>
          <rPr>
            <sz val="9"/>
            <rFont val="宋体"/>
            <charset val="0"/>
          </rPr>
          <t xml:space="preserve">
3003921 8/7 216 pcs 馥通D1</t>
        </r>
      </text>
    </comment>
  </commentList>
</comments>
</file>

<file path=xl/comments3.xml><?xml version="1.0" encoding="utf-8"?>
<comments xmlns="http://schemas.openxmlformats.org/spreadsheetml/2006/main">
  <authors>
    <author>Unknown User</author>
  </authors>
  <commentList>
    <comment ref="AK3" authorId="0">
      <text>
        <r>
          <rPr>
            <b/>
            <sz val="9"/>
            <rFont val="宋体"/>
            <charset val="0"/>
          </rPr>
          <t>龙丽娟:</t>
        </r>
        <r>
          <rPr>
            <sz val="9"/>
            <rFont val="宋体"/>
            <charset val="0"/>
          </rPr>
          <t xml:space="preserve">
8/10 2004pcs 欣泰E7</t>
        </r>
      </text>
    </comment>
    <comment ref="AK5" authorId="0">
      <text>
        <r>
          <rPr>
            <b/>
            <sz val="9"/>
            <rFont val="宋体"/>
            <charset val="0"/>
          </rPr>
          <t>龙丽娟:</t>
        </r>
        <r>
          <rPr>
            <sz val="9"/>
            <rFont val="宋体"/>
            <charset val="0"/>
          </rPr>
          <t xml:space="preserve">
1001498 8/10 84PCS 欣泰E4</t>
        </r>
      </text>
    </comment>
    <comment ref="AK8" authorId="0">
      <text>
        <r>
          <rPr>
            <b/>
            <sz val="9"/>
            <rFont val="宋体"/>
            <charset val="0"/>
          </rPr>
          <t>龙丽娟:</t>
        </r>
        <r>
          <rPr>
            <sz val="9"/>
            <rFont val="宋体"/>
            <charset val="0"/>
          </rPr>
          <t xml:space="preserve">
8/10 1001498 3000pcs欣泰F4</t>
        </r>
      </text>
    </comment>
    <comment ref="AK10" authorId="0">
      <text>
        <r>
          <rPr>
            <b/>
            <sz val="9"/>
            <rFont val="宋体"/>
            <charset val="0"/>
          </rPr>
          <t>龙丽娟:</t>
        </r>
        <r>
          <rPr>
            <sz val="9"/>
            <rFont val="宋体"/>
            <charset val="0"/>
          </rPr>
          <t xml:space="preserve">
1001498 8/10 1200pcs欣泰E6</t>
        </r>
      </text>
    </comment>
  </commentList>
</comments>
</file>

<file path=xl/comments4.xml><?xml version="1.0" encoding="utf-8"?>
<comments xmlns="http://schemas.openxmlformats.org/spreadsheetml/2006/main">
  <authors>
    <author>Administrator</author>
    <author>Unknown User</author>
  </authors>
  <commentList>
    <comment ref="AJ7" authorId="0">
      <text>
        <r>
          <rPr>
            <b/>
            <sz val="9"/>
            <rFont val="宋体"/>
            <charset val="134"/>
          </rPr>
          <t>Administrator:</t>
        </r>
        <r>
          <rPr>
            <sz val="9"/>
            <rFont val="宋体"/>
            <charset val="134"/>
          </rPr>
          <t xml:space="preserve">
1600024 12/22 1578pcs B4楼B4区
1600045 12/23  408pcs B4楼C4区
1600052 12/24   18pcs B4楼C4区</t>
        </r>
      </text>
    </comment>
    <comment ref="AL7" authorId="0">
      <text>
        <r>
          <rPr>
            <b/>
            <sz val="9"/>
            <rFont val="宋体"/>
            <charset val="134"/>
          </rPr>
          <t>Administrator:</t>
        </r>
        <r>
          <rPr>
            <sz val="9"/>
            <rFont val="宋体"/>
            <charset val="134"/>
          </rPr>
          <t xml:space="preserve">
11/24 上客贴纸 2200pcs</t>
        </r>
      </text>
    </comment>
    <comment ref="AJ8" authorId="0">
      <text>
        <r>
          <rPr>
            <b/>
            <sz val="9"/>
            <rFont val="宋体"/>
            <charset val="134"/>
          </rPr>
          <t>Administrator:</t>
        </r>
        <r>
          <rPr>
            <sz val="9"/>
            <rFont val="宋体"/>
            <charset val="134"/>
          </rPr>
          <t xml:space="preserve">
1600030 12/22 3036pcs B4楼A4区
1600045 12/23  162pcs B4楼A4区</t>
        </r>
      </text>
    </comment>
    <comment ref="AL8" authorId="0">
      <text>
        <r>
          <rPr>
            <b/>
            <sz val="9"/>
            <rFont val="宋体"/>
            <charset val="134"/>
          </rPr>
          <t>Administrator:</t>
        </r>
        <r>
          <rPr>
            <sz val="9"/>
            <rFont val="宋体"/>
            <charset val="134"/>
          </rPr>
          <t xml:space="preserve">
11/24 上客贴纸 3300pcs</t>
        </r>
      </text>
    </comment>
    <comment ref="AJ9" authorId="0">
      <text>
        <r>
          <rPr>
            <b/>
            <sz val="9"/>
            <rFont val="宋体"/>
            <charset val="134"/>
          </rPr>
          <t>Administrator:</t>
        </r>
        <r>
          <rPr>
            <sz val="9"/>
            <rFont val="宋体"/>
            <charset val="134"/>
          </rPr>
          <t xml:space="preserve">
1600024 12/22 2244pcs B4楼C4区
1600045 12/23  132pcs B4楼C4区
1600052 12/24   24pcs B4楼C4区</t>
        </r>
      </text>
    </comment>
    <comment ref="AL9" authorId="0">
      <text>
        <r>
          <rPr>
            <b/>
            <sz val="9"/>
            <rFont val="宋体"/>
            <charset val="134"/>
          </rPr>
          <t>Administrator:</t>
        </r>
        <r>
          <rPr>
            <sz val="9"/>
            <rFont val="宋体"/>
            <charset val="134"/>
          </rPr>
          <t xml:space="preserve">
11/24 上客贴纸 2600pcs</t>
        </r>
      </text>
    </comment>
    <comment ref="AJ12" authorId="0">
      <text>
        <r>
          <rPr>
            <b/>
            <sz val="9"/>
            <rFont val="宋体"/>
            <charset val="134"/>
          </rPr>
          <t>Administrator:</t>
        </r>
        <r>
          <rPr>
            <sz val="9"/>
            <rFont val="宋体"/>
            <charset val="134"/>
          </rPr>
          <t xml:space="preserve">
1600140 12/29 4002pcs</t>
        </r>
      </text>
    </comment>
    <comment ref="AJ21" authorId="0">
      <text>
        <r>
          <rPr>
            <b/>
            <sz val="9"/>
            <rFont val="宋体"/>
            <charset val="134"/>
          </rPr>
          <t>Administrator:</t>
        </r>
        <r>
          <rPr>
            <sz val="9"/>
            <rFont val="宋体"/>
            <charset val="134"/>
          </rPr>
          <t xml:space="preserve">
1001267 1/23 648 pcs 王四楼C1
1001272 1/24 64 pcs</t>
        </r>
      </text>
    </comment>
    <comment ref="AJ22" authorId="0">
      <text>
        <r>
          <rPr>
            <b/>
            <sz val="9"/>
            <rFont val="宋体"/>
            <charset val="134"/>
          </rPr>
          <t>Administrator:</t>
        </r>
        <r>
          <rPr>
            <sz val="9"/>
            <rFont val="宋体"/>
            <charset val="134"/>
          </rPr>
          <t xml:space="preserve">
1001267 1/23 80 pcs 王四楼B1</t>
        </r>
      </text>
    </comment>
    <comment ref="AJ26" authorId="0">
      <text>
        <r>
          <rPr>
            <b/>
            <sz val="9"/>
            <rFont val="宋体"/>
            <charset val="134"/>
          </rPr>
          <t>Administrator:</t>
        </r>
        <r>
          <rPr>
            <sz val="9"/>
            <rFont val="宋体"/>
            <charset val="134"/>
          </rPr>
          <t xml:space="preserve">
1405618 2/3 2280pcs 华兴三B10
1405613 2/4 2706pcs</t>
        </r>
      </text>
    </comment>
    <comment ref="AJ27" authorId="0">
      <text>
        <r>
          <rPr>
            <b/>
            <sz val="9"/>
            <rFont val="宋体"/>
            <charset val="134"/>
          </rPr>
          <t>Administrator:</t>
        </r>
        <r>
          <rPr>
            <sz val="9"/>
            <rFont val="宋体"/>
            <charset val="134"/>
          </rPr>
          <t xml:space="preserve">
1405636 2/3 3594pcs 华兴三A31
1405613 2/4  561pcs</t>
        </r>
      </text>
    </comment>
    <comment ref="AL27" authorId="0">
      <text>
        <r>
          <rPr>
            <b/>
            <sz val="9"/>
            <rFont val="宋体"/>
            <charset val="134"/>
          </rPr>
          <t>Administrator:</t>
        </r>
        <r>
          <rPr>
            <sz val="9"/>
            <rFont val="宋体"/>
            <charset val="134"/>
          </rPr>
          <t xml:space="preserve">
12/18 上客贴纸40*46MM 4400pcs
      上客贴纸55*17MM 4400pcs
      上客贴纸37/17MM 4400pcs</t>
        </r>
      </text>
    </comment>
    <comment ref="AJ28" authorId="0">
      <text>
        <r>
          <rPr>
            <b/>
            <sz val="9"/>
            <rFont val="宋体"/>
            <charset val="134"/>
          </rPr>
          <t>Administrator:</t>
        </r>
        <r>
          <rPr>
            <sz val="9"/>
            <rFont val="宋体"/>
            <charset val="134"/>
          </rPr>
          <t xml:space="preserve">
1405632 2/3 4092pcs B4楼A7区</t>
        </r>
      </text>
    </comment>
    <comment ref="AL28" authorId="0">
      <text>
        <r>
          <rPr>
            <b/>
            <sz val="9"/>
            <rFont val="宋体"/>
            <charset val="134"/>
          </rPr>
          <t>Administrator:</t>
        </r>
        <r>
          <rPr>
            <sz val="9"/>
            <rFont val="宋体"/>
            <charset val="134"/>
          </rPr>
          <t xml:space="preserve">
12/18 上客贴纸40*48MM 4400pcs
      上客贴纸55*17MM 4400pcs
      上客贴纸37/17MM 4400pcs</t>
        </r>
      </text>
    </comment>
    <comment ref="AJ29" authorId="0">
      <text>
        <r>
          <rPr>
            <b/>
            <sz val="9"/>
            <rFont val="宋体"/>
            <charset val="134"/>
          </rPr>
          <t>Administrator:</t>
        </r>
        <r>
          <rPr>
            <sz val="9"/>
            <rFont val="宋体"/>
            <charset val="134"/>
          </rPr>
          <t xml:space="preserve">
1405580 2/5 7776pcs
1405583 2/6 11136pcs
1405558 2/7  360pcs
1405572 2/7 4632pcs</t>
        </r>
      </text>
    </comment>
    <comment ref="AL29" authorId="0">
      <text>
        <r>
          <rPr>
            <b/>
            <sz val="9"/>
            <rFont val="宋体"/>
            <charset val="134"/>
          </rPr>
          <t>Administrator:</t>
        </r>
        <r>
          <rPr>
            <sz val="9"/>
            <rFont val="宋体"/>
            <charset val="134"/>
          </rPr>
          <t xml:space="preserve">
1/17 上价格贴纸 40800pcs</t>
        </r>
      </text>
    </comment>
    <comment ref="AJ31" authorId="0">
      <text>
        <r>
          <rPr>
            <b/>
            <sz val="9"/>
            <rFont val="宋体"/>
            <charset val="134"/>
          </rPr>
          <t>Administrator:</t>
        </r>
        <r>
          <rPr>
            <sz val="9"/>
            <rFont val="宋体"/>
            <charset val="134"/>
          </rPr>
          <t xml:space="preserve">
1405684 1/30 1020pcs 华兴华登仓库一楼</t>
        </r>
      </text>
    </comment>
    <comment ref="AJ32" authorId="0">
      <text>
        <r>
          <rPr>
            <b/>
            <sz val="9"/>
            <rFont val="宋体"/>
            <charset val="134"/>
          </rPr>
          <t>Administrator:</t>
        </r>
        <r>
          <rPr>
            <sz val="9"/>
            <rFont val="宋体"/>
            <charset val="134"/>
          </rPr>
          <t xml:space="preserve">
1405632 2/3 5910pcs B4楼A6区
1405604 2/4 450pcs  B4楼A6区</t>
        </r>
      </text>
    </comment>
    <comment ref="AJ36" authorId="0">
      <text>
        <r>
          <rPr>
            <b/>
            <sz val="9"/>
            <rFont val="宋体"/>
            <charset val="134"/>
          </rPr>
          <t>Administrator:</t>
        </r>
        <r>
          <rPr>
            <sz val="9"/>
            <rFont val="宋体"/>
            <charset val="134"/>
          </rPr>
          <t xml:space="preserve">
1405691 1/30 184pcs
车间混装一款
送配件包未开单</t>
        </r>
      </text>
    </comment>
    <comment ref="AJ37" authorId="0">
      <text>
        <r>
          <rPr>
            <b/>
            <sz val="10"/>
            <rFont val="宋体"/>
            <charset val="134"/>
          </rPr>
          <t>Administrator:</t>
        </r>
        <r>
          <rPr>
            <sz val="10"/>
            <rFont val="宋体"/>
            <charset val="134"/>
          </rPr>
          <t xml:space="preserve">
1002934 1/31 红色马桶 900 pcs
            兰色马桶 900 pcs
          红色遥控器 900 pcs
        兰色遥控器 900 pcs</t>
        </r>
      </text>
    </comment>
    <comment ref="AJ38" authorId="0">
      <text>
        <r>
          <rPr>
            <b/>
            <sz val="9"/>
            <rFont val="宋体"/>
            <charset val="134"/>
          </rPr>
          <t>Administrator:</t>
        </r>
        <r>
          <rPr>
            <sz val="9"/>
            <rFont val="宋体"/>
            <charset val="134"/>
          </rPr>
          <t xml:space="preserve">
1405691 1/30 1152pcs
车间混装一款
送配件包未开单</t>
        </r>
      </text>
    </comment>
    <comment ref="AJ39" authorId="0">
      <text>
        <r>
          <rPr>
            <b/>
            <sz val="12"/>
            <rFont val="宋体"/>
            <charset val="134"/>
          </rPr>
          <t>Administrator:</t>
        </r>
        <r>
          <rPr>
            <sz val="12"/>
            <rFont val="宋体"/>
            <charset val="134"/>
          </rPr>
          <t xml:space="preserve">
1001152 2/7 4256 pcs 四楼A8
1001156 2/9 1544 pcs 四楼A8</t>
        </r>
      </text>
    </comment>
    <comment ref="AJ40" authorId="0">
      <text>
        <r>
          <rPr>
            <b/>
            <sz val="10"/>
            <rFont val="宋体"/>
            <charset val="134"/>
          </rPr>
          <t>Administrator:</t>
        </r>
        <r>
          <rPr>
            <sz val="10"/>
            <rFont val="宋体"/>
            <charset val="134"/>
          </rPr>
          <t xml:space="preserve">
1001156 2/9 1400 pcs 四楼A6</t>
        </r>
      </text>
    </comment>
    <comment ref="AJ41" authorId="0">
      <text>
        <r>
          <rPr>
            <b/>
            <sz val="12"/>
            <rFont val="宋体"/>
            <charset val="134"/>
          </rPr>
          <t xml:space="preserve">Administrator:
</t>
        </r>
        <r>
          <rPr>
            <sz val="12"/>
            <rFont val="宋体"/>
            <charset val="134"/>
          </rPr>
          <t>湖南需送500套半成品回来东莞包装，3/11号客人要来看拉
1000939 3/5 红色马桶 530 pcs
            兰色马桶 530 pcs
          红色遥控器 530 pcs
        兰色遥控器 530 pcs
 蓝色公仔530 pcs 红色公仔 530 pcs
1000882 3/11 3680 pcs 四楼A9
1000809 3/16 1608 pcs A5</t>
        </r>
      </text>
    </comment>
    <comment ref="AJ44" authorId="0">
      <text>
        <r>
          <rPr>
            <b/>
            <sz val="12"/>
            <rFont val="宋体"/>
            <charset val="134"/>
          </rPr>
          <t>Administrator:</t>
        </r>
        <r>
          <rPr>
            <sz val="12"/>
            <rFont val="宋体"/>
            <charset val="134"/>
          </rPr>
          <t xml:space="preserve">
1405299 3/16 636pcs B4楼C10区
1405289 3/17  18pcs B4楼C10区</t>
        </r>
      </text>
    </comment>
    <comment ref="AL44" authorId="0">
      <text>
        <r>
          <rPr>
            <b/>
            <sz val="9"/>
            <rFont val="宋体"/>
            <charset val="134"/>
          </rPr>
          <t>Administrator:</t>
        </r>
        <r>
          <rPr>
            <sz val="9"/>
            <rFont val="宋体"/>
            <charset val="134"/>
          </rPr>
          <t xml:space="preserve">
3/2 上客供RFID贴纸 654pcs</t>
        </r>
      </text>
    </comment>
    <comment ref="AJ45" authorId="0">
      <text>
        <r>
          <rPr>
            <b/>
            <sz val="12"/>
            <rFont val="宋体"/>
            <charset val="134"/>
          </rPr>
          <t>Administrator:</t>
        </r>
        <r>
          <rPr>
            <sz val="12"/>
            <rFont val="宋体"/>
            <charset val="134"/>
          </rPr>
          <t xml:space="preserve">
1405299 3/16 510pcs B4楼C10区
1405289 3/17  12pcs B4楼C10区</t>
        </r>
      </text>
    </comment>
    <comment ref="AL45" authorId="0">
      <text>
        <r>
          <rPr>
            <b/>
            <sz val="9"/>
            <rFont val="宋体"/>
            <charset val="134"/>
          </rPr>
          <t>Administrator:</t>
        </r>
        <r>
          <rPr>
            <sz val="9"/>
            <rFont val="宋体"/>
            <charset val="134"/>
          </rPr>
          <t xml:space="preserve">
3/2 上客供RFID贴纸 522pcs</t>
        </r>
      </text>
    </comment>
    <comment ref="AJ46" authorId="0">
      <text>
        <r>
          <rPr>
            <b/>
            <sz val="12"/>
            <rFont val="宋体"/>
            <charset val="134"/>
          </rPr>
          <t>Administrator:</t>
        </r>
        <r>
          <rPr>
            <sz val="12"/>
            <rFont val="宋体"/>
            <charset val="134"/>
          </rPr>
          <t xml:space="preserve">
1405299 3/16 504pcs B4楼C10区
1405289 3/17  18pcs B4楼C10区</t>
        </r>
      </text>
    </comment>
    <comment ref="AL46" authorId="0">
      <text>
        <r>
          <rPr>
            <b/>
            <sz val="9"/>
            <rFont val="宋体"/>
            <charset val="134"/>
          </rPr>
          <t>Administrator:</t>
        </r>
        <r>
          <rPr>
            <sz val="9"/>
            <rFont val="宋体"/>
            <charset val="134"/>
          </rPr>
          <t xml:space="preserve">
3/2 上客供RFID贴纸 522pcs</t>
        </r>
      </text>
    </comment>
    <comment ref="AJ47" authorId="0">
      <text>
        <r>
          <rPr>
            <b/>
            <sz val="12"/>
            <rFont val="宋体"/>
            <charset val="134"/>
          </rPr>
          <t>Administrator:</t>
        </r>
        <r>
          <rPr>
            <sz val="12"/>
            <rFont val="宋体"/>
            <charset val="134"/>
          </rPr>
          <t xml:space="preserve">
1405299 3/16 138pcs B4楼C10区
1405289 3/17  12pcs B4楼C10区</t>
        </r>
      </text>
    </comment>
    <comment ref="AL47" authorId="0">
      <text>
        <r>
          <rPr>
            <b/>
            <sz val="9"/>
            <rFont val="宋体"/>
            <charset val="134"/>
          </rPr>
          <t>Administrator:</t>
        </r>
        <r>
          <rPr>
            <sz val="9"/>
            <rFont val="宋体"/>
            <charset val="134"/>
          </rPr>
          <t xml:space="preserve">
3/2 上客供RFID贴纸 150pcs</t>
        </r>
      </text>
    </comment>
    <comment ref="AJ48" authorId="0">
      <text>
        <r>
          <rPr>
            <b/>
            <sz val="12"/>
            <rFont val="宋体"/>
            <charset val="134"/>
          </rPr>
          <t>Administrator:</t>
        </r>
        <r>
          <rPr>
            <sz val="12"/>
            <rFont val="宋体"/>
            <charset val="134"/>
          </rPr>
          <t xml:space="preserve">
1405299 3/16 102pcs B4楼C10区
1405289 3/17  18pcs B4楼C10区</t>
        </r>
      </text>
    </comment>
    <comment ref="AL48" authorId="0">
      <text>
        <r>
          <rPr>
            <b/>
            <sz val="9"/>
            <rFont val="宋体"/>
            <charset val="134"/>
          </rPr>
          <t>Administrator:</t>
        </r>
        <r>
          <rPr>
            <sz val="9"/>
            <rFont val="宋体"/>
            <charset val="134"/>
          </rPr>
          <t xml:space="preserve">
3/2 上客供RFID贴纸 120pcs</t>
        </r>
      </text>
    </comment>
    <comment ref="AJ49" authorId="0">
      <text>
        <r>
          <rPr>
            <b/>
            <sz val="12"/>
            <rFont val="宋体"/>
            <charset val="134"/>
          </rPr>
          <t>Administrator:</t>
        </r>
        <r>
          <rPr>
            <sz val="12"/>
            <rFont val="宋体"/>
            <charset val="134"/>
          </rPr>
          <t xml:space="preserve">
1405299 3/16 108pcs B4楼C10区
1405289 3/17  12pcs B4楼C10区 
 </t>
        </r>
      </text>
    </comment>
    <comment ref="AL49" authorId="0">
      <text>
        <r>
          <rPr>
            <b/>
            <sz val="9"/>
            <rFont val="宋体"/>
            <charset val="134"/>
          </rPr>
          <t>Administrator:</t>
        </r>
        <r>
          <rPr>
            <sz val="9"/>
            <rFont val="宋体"/>
            <charset val="134"/>
          </rPr>
          <t xml:space="preserve">
3/2 上客供RFID贴纸 120pcs</t>
        </r>
      </text>
    </comment>
    <comment ref="AJ50" authorId="0">
      <text>
        <r>
          <rPr>
            <b/>
            <sz val="12"/>
            <rFont val="宋体"/>
            <charset val="134"/>
          </rPr>
          <t>Administrator:</t>
        </r>
        <r>
          <rPr>
            <sz val="12"/>
            <rFont val="宋体"/>
            <charset val="134"/>
          </rPr>
          <t xml:space="preserve">
1405300 3/16 192pcs B4楼C10区
1405290 3/17  12pcsB4楼C10区
</t>
        </r>
      </text>
    </comment>
    <comment ref="AL50" authorId="0">
      <text>
        <r>
          <rPr>
            <b/>
            <sz val="9"/>
            <rFont val="宋体"/>
            <charset val="134"/>
          </rPr>
          <t>Administrator:</t>
        </r>
        <r>
          <rPr>
            <sz val="9"/>
            <rFont val="宋体"/>
            <charset val="134"/>
          </rPr>
          <t xml:space="preserve">
3/2 上客供RFID贴纸 204pcs</t>
        </r>
      </text>
    </comment>
    <comment ref="AJ51" authorId="0">
      <text>
        <r>
          <rPr>
            <b/>
            <sz val="12"/>
            <rFont val="宋体"/>
            <charset val="134"/>
          </rPr>
          <t>Administrator:</t>
        </r>
        <r>
          <rPr>
            <sz val="12"/>
            <rFont val="宋体"/>
            <charset val="134"/>
          </rPr>
          <t xml:space="preserve">
1405300 3/16 156pcs B4楼C10区
1405290 3/17  6pcs B4楼C10区</t>
        </r>
      </text>
    </comment>
    <comment ref="AL51" authorId="0">
      <text>
        <r>
          <rPr>
            <b/>
            <sz val="9"/>
            <rFont val="宋体"/>
            <charset val="134"/>
          </rPr>
          <t>Administrator:</t>
        </r>
        <r>
          <rPr>
            <sz val="9"/>
            <rFont val="宋体"/>
            <charset val="134"/>
          </rPr>
          <t xml:space="preserve">
3/2 上客供RFID贴纸 162pcs</t>
        </r>
      </text>
    </comment>
    <comment ref="AJ52" authorId="0">
      <text>
        <r>
          <rPr>
            <b/>
            <sz val="12"/>
            <rFont val="宋体"/>
            <charset val="134"/>
          </rPr>
          <t>Administrator:</t>
        </r>
        <r>
          <rPr>
            <sz val="12"/>
            <rFont val="宋体"/>
            <charset val="134"/>
          </rPr>
          <t xml:space="preserve">
1405300 3/16 150pcs B4楼C10区
1405290 3/17  12pcsB4楼C10区</t>
        </r>
      </text>
    </comment>
    <comment ref="AL52" authorId="0">
      <text>
        <r>
          <rPr>
            <b/>
            <sz val="9"/>
            <rFont val="宋体"/>
            <charset val="134"/>
          </rPr>
          <t>Administrator:</t>
        </r>
        <r>
          <rPr>
            <sz val="9"/>
            <rFont val="宋体"/>
            <charset val="134"/>
          </rPr>
          <t xml:space="preserve">
3/2 上客供RFID贴纸 162pcs</t>
        </r>
      </text>
    </comment>
    <comment ref="AJ53" authorId="0">
      <text>
        <r>
          <rPr>
            <b/>
            <sz val="9"/>
            <rFont val="宋体"/>
            <charset val="134"/>
          </rPr>
          <t>Administrator:</t>
        </r>
        <r>
          <rPr>
            <sz val="9"/>
            <rFont val="宋体"/>
            <charset val="134"/>
          </rPr>
          <t xml:space="preserve">
1405714 1/28 306pcs B4楼A9区</t>
        </r>
      </text>
    </comment>
    <comment ref="AJ54" authorId="0">
      <text>
        <r>
          <rPr>
            <b/>
            <sz val="9"/>
            <rFont val="宋体"/>
            <charset val="134"/>
          </rPr>
          <t>Administrator:</t>
        </r>
        <r>
          <rPr>
            <sz val="9"/>
            <rFont val="宋体"/>
            <charset val="134"/>
          </rPr>
          <t xml:space="preserve">
1405684 1/30 360pcs 华兴华登仓库一楼</t>
        </r>
      </text>
    </comment>
    <comment ref="AJ55" authorId="0">
      <text>
        <r>
          <rPr>
            <b/>
            <sz val="9"/>
            <rFont val="宋体"/>
            <charset val="134"/>
          </rPr>
          <t>Administrator:</t>
        </r>
        <r>
          <rPr>
            <sz val="9"/>
            <rFont val="宋体"/>
            <charset val="134"/>
          </rPr>
          <t xml:space="preserve">
1405684 1/30 300pcs 华兴华登仓库一楼</t>
        </r>
      </text>
    </comment>
    <comment ref="AJ63" authorId="0">
      <text>
        <r>
          <rPr>
            <b/>
            <sz val="12"/>
            <rFont val="宋体"/>
            <charset val="134"/>
          </rPr>
          <t>Administrator:</t>
        </r>
        <r>
          <rPr>
            <sz val="12"/>
            <rFont val="宋体"/>
            <charset val="134"/>
          </rPr>
          <t xml:space="preserve">
1405300 3/16 786pcs B4楼B10区
1405290 3/17  18pcs B4楼C10区</t>
        </r>
      </text>
    </comment>
    <comment ref="AL63" authorId="0">
      <text>
        <r>
          <rPr>
            <b/>
            <sz val="9"/>
            <rFont val="宋体"/>
            <charset val="134"/>
          </rPr>
          <t>Administrator:</t>
        </r>
        <r>
          <rPr>
            <sz val="9"/>
            <rFont val="宋体"/>
            <charset val="134"/>
          </rPr>
          <t xml:space="preserve">
3/2 上客供RFID贴纸 804pcs</t>
        </r>
      </text>
    </comment>
    <comment ref="AJ64" authorId="0">
      <text>
        <r>
          <rPr>
            <b/>
            <sz val="12"/>
            <rFont val="宋体"/>
            <charset val="134"/>
          </rPr>
          <t>Administrator:</t>
        </r>
        <r>
          <rPr>
            <sz val="12"/>
            <rFont val="宋体"/>
            <charset val="134"/>
          </rPr>
          <t xml:space="preserve">
1405300 3/16 486pcs B4楼C10区
1405290 3/17  18pcs B4楼C10区 </t>
        </r>
      </text>
    </comment>
    <comment ref="AL64" authorId="0">
      <text>
        <r>
          <rPr>
            <b/>
            <sz val="9"/>
            <rFont val="宋体"/>
            <charset val="134"/>
          </rPr>
          <t>Administrator:</t>
        </r>
        <r>
          <rPr>
            <sz val="9"/>
            <rFont val="宋体"/>
            <charset val="134"/>
          </rPr>
          <t xml:space="preserve">
3/2 上客供RFID贴纸 504pcs</t>
        </r>
      </text>
    </comment>
    <comment ref="AJ65" authorId="0">
      <text>
        <r>
          <rPr>
            <b/>
            <sz val="12"/>
            <rFont val="宋体"/>
            <charset val="134"/>
          </rPr>
          <t>Administrator:</t>
        </r>
        <r>
          <rPr>
            <sz val="12"/>
            <rFont val="宋体"/>
            <charset val="134"/>
          </rPr>
          <t xml:space="preserve">
1405300 3/16 480pcs B4楼C10区
1405290 3/17  24pcs B4楼C10区</t>
        </r>
      </text>
    </comment>
    <comment ref="AL65" authorId="0">
      <text>
        <r>
          <rPr>
            <b/>
            <sz val="9"/>
            <rFont val="宋体"/>
            <charset val="134"/>
          </rPr>
          <t>Administrator:</t>
        </r>
        <r>
          <rPr>
            <sz val="9"/>
            <rFont val="宋体"/>
            <charset val="134"/>
          </rPr>
          <t xml:space="preserve">
3/2 上客供RFID贴纸 504pcs</t>
        </r>
      </text>
    </comment>
    <comment ref="AJ66" authorId="0">
      <text>
        <r>
          <rPr>
            <b/>
            <sz val="12"/>
            <rFont val="宋体"/>
            <charset val="134"/>
          </rPr>
          <t>Administrator:</t>
        </r>
        <r>
          <rPr>
            <sz val="12"/>
            <rFont val="宋体"/>
            <charset val="134"/>
          </rPr>
          <t xml:space="preserve">
4/9 1405382 2004pcs
</t>
        </r>
      </text>
    </comment>
    <comment ref="AJ67" authorId="0">
      <text>
        <r>
          <rPr>
            <b/>
            <sz val="9"/>
            <rFont val="宋体"/>
            <charset val="134"/>
          </rPr>
          <t>Administrator:</t>
        </r>
        <r>
          <rPr>
            <sz val="9"/>
            <rFont val="宋体"/>
            <charset val="134"/>
          </rPr>
          <t xml:space="preserve">
1000723 4/2 1044 pcs 新仓库B14</t>
        </r>
      </text>
    </comment>
    <comment ref="AJ68" authorId="0">
      <text>
        <r>
          <rPr>
            <b/>
            <sz val="9"/>
            <rFont val="宋体"/>
            <charset val="134"/>
          </rPr>
          <t>Administrator:</t>
        </r>
        <r>
          <rPr>
            <sz val="9"/>
            <rFont val="宋体"/>
            <charset val="134"/>
          </rPr>
          <t xml:space="preserve">
1000723 4/2 1044 pcs 新仓库B14</t>
        </r>
      </text>
    </comment>
    <comment ref="AJ70" authorId="0">
      <text>
        <r>
          <rPr>
            <b/>
            <sz val="9"/>
            <rFont val="宋体"/>
            <charset val="134"/>
          </rPr>
          <t>Administrator:</t>
        </r>
        <r>
          <rPr>
            <sz val="9"/>
            <rFont val="宋体"/>
            <charset val="134"/>
          </rPr>
          <t xml:space="preserve">
1000723 4/2 24 pcs 新仓库B14</t>
        </r>
      </text>
    </comment>
    <comment ref="AJ72" authorId="0">
      <text>
        <r>
          <rPr>
            <b/>
            <sz val="10"/>
            <rFont val="宋体"/>
            <charset val="134"/>
          </rPr>
          <t>Administrator:</t>
        </r>
        <r>
          <rPr>
            <sz val="10"/>
            <rFont val="宋体"/>
            <charset val="134"/>
          </rPr>
          <t xml:space="preserve">
1000783 4/9 808 pcs 华兴三楼B12</t>
        </r>
      </text>
    </comment>
    <comment ref="AJ73" authorId="0">
      <text>
        <r>
          <rPr>
            <b/>
            <sz val="10"/>
            <rFont val="宋体"/>
            <charset val="134"/>
          </rPr>
          <t>Administrator:</t>
        </r>
        <r>
          <rPr>
            <sz val="10"/>
            <rFont val="宋体"/>
            <charset val="134"/>
          </rPr>
          <t xml:space="preserve">
1000783 4/9 60 pcs 华兴三楼B15</t>
        </r>
      </text>
    </comment>
    <comment ref="AJ78" authorId="0">
      <text>
        <r>
          <rPr>
            <b/>
            <sz val="12"/>
            <rFont val="宋体"/>
            <charset val="134"/>
          </rPr>
          <t>Administrator:</t>
        </r>
        <r>
          <rPr>
            <sz val="12"/>
            <rFont val="宋体"/>
            <charset val="134"/>
          </rPr>
          <t xml:space="preserve">
3001882 4/30 56 pcs 新仓库B10</t>
        </r>
      </text>
    </comment>
    <comment ref="AJ79" authorId="0">
      <text>
        <r>
          <rPr>
            <b/>
            <sz val="12"/>
            <rFont val="宋体"/>
            <charset val="134"/>
          </rPr>
          <t>Administrator:</t>
        </r>
        <r>
          <rPr>
            <sz val="12"/>
            <rFont val="宋体"/>
            <charset val="134"/>
          </rPr>
          <t xml:space="preserve">
3001882 4/30 812 pcs 新仓库B10</t>
        </r>
      </text>
    </comment>
    <comment ref="AJ80" authorId="0">
      <text>
        <r>
          <rPr>
            <b/>
            <sz val="12"/>
            <rFont val="宋体"/>
            <charset val="134"/>
          </rPr>
          <t>Administrator:</t>
        </r>
        <r>
          <rPr>
            <sz val="12"/>
            <rFont val="宋体"/>
            <charset val="134"/>
          </rPr>
          <t xml:space="preserve">
1000017 5/8 496 pcs 四楼B5
1000044 5/9 4 pcs</t>
        </r>
      </text>
    </comment>
    <comment ref="AL83" authorId="0">
      <text>
        <r>
          <rPr>
            <b/>
            <sz val="12"/>
            <rFont val="宋体"/>
            <charset val="134"/>
          </rPr>
          <t>Administrator:</t>
        </r>
        <r>
          <rPr>
            <sz val="12"/>
            <rFont val="宋体"/>
            <charset val="134"/>
          </rPr>
          <t xml:space="preserve">
4/15 收到价格贴纸2004pcs
4/15收到外箱贴纸334</t>
        </r>
      </text>
    </comment>
    <comment ref="AL84" authorId="0">
      <text>
        <r>
          <rPr>
            <b/>
            <sz val="9"/>
            <rFont val="宋体"/>
            <charset val="134"/>
          </rPr>
          <t>Administrator:</t>
        </r>
        <r>
          <rPr>
            <sz val="9"/>
            <rFont val="宋体"/>
            <charset val="134"/>
          </rPr>
          <t xml:space="preserve">
3/2 上客供RFID贴纸 804pcs</t>
        </r>
      </text>
    </comment>
    <comment ref="AL85" authorId="0">
      <text>
        <r>
          <rPr>
            <b/>
            <sz val="9"/>
            <rFont val="宋体"/>
            <charset val="134"/>
          </rPr>
          <t>Administrator:</t>
        </r>
        <r>
          <rPr>
            <sz val="9"/>
            <rFont val="宋体"/>
            <charset val="134"/>
          </rPr>
          <t xml:space="preserve">
3/2 上客供RFID贴纸 504pcs</t>
        </r>
      </text>
    </comment>
    <comment ref="AL86" authorId="0">
      <text>
        <r>
          <rPr>
            <b/>
            <sz val="9"/>
            <rFont val="宋体"/>
            <charset val="134"/>
          </rPr>
          <t>Administrator:</t>
        </r>
        <r>
          <rPr>
            <sz val="9"/>
            <rFont val="宋体"/>
            <charset val="134"/>
          </rPr>
          <t xml:space="preserve">
3/2 上客供RFID贴纸 504pcs</t>
        </r>
      </text>
    </comment>
    <comment ref="AJ87" authorId="0">
      <text>
        <r>
          <rPr>
            <b/>
            <sz val="12"/>
            <rFont val="宋体"/>
            <charset val="134"/>
          </rPr>
          <t>Administrator:</t>
        </r>
        <r>
          <rPr>
            <sz val="12"/>
            <rFont val="宋体"/>
            <charset val="134"/>
          </rPr>
          <t xml:space="preserve">
3001882 4/30 868 pcs 新仓库B10</t>
        </r>
      </text>
    </comment>
    <comment ref="AJ89" authorId="0">
      <text>
        <r>
          <rPr>
            <b/>
            <sz val="9"/>
            <rFont val="宋体"/>
            <charset val="134"/>
          </rPr>
          <t>Administrator:</t>
        </r>
        <r>
          <rPr>
            <sz val="9"/>
            <rFont val="宋体"/>
            <charset val="134"/>
          </rPr>
          <t xml:space="preserve">
1000412 5/30 868 pcs 顶钧C4</t>
        </r>
      </text>
    </comment>
    <comment ref="AJ99" authorId="1">
      <text>
        <r>
          <rPr>
            <b/>
            <sz val="9"/>
            <rFont val="宋体"/>
            <charset val="0"/>
          </rPr>
          <t>石玉珍:</t>
        </r>
        <r>
          <rPr>
            <sz val="9"/>
            <rFont val="宋体"/>
            <charset val="0"/>
          </rPr>
          <t xml:space="preserve">
100098 6/16 24 pcs 欣泰A2</t>
        </r>
      </text>
    </comment>
    <comment ref="AJ100" authorId="1">
      <text>
        <r>
          <rPr>
            <b/>
            <sz val="9"/>
            <rFont val="宋体"/>
            <charset val="0"/>
          </rPr>
          <t>石玉珍:</t>
        </r>
        <r>
          <rPr>
            <sz val="9"/>
            <rFont val="宋体"/>
            <charset val="0"/>
          </rPr>
          <t xml:space="preserve">
100098 6/16 1568 pcs  欣泰A2</t>
        </r>
      </text>
    </comment>
    <comment ref="AK104" authorId="1">
      <text>
        <r>
          <rPr>
            <b/>
            <sz val="9"/>
            <rFont val="宋体"/>
            <charset val="0"/>
          </rPr>
          <t>龙丽娟:</t>
        </r>
        <r>
          <rPr>
            <sz val="9"/>
            <rFont val="宋体"/>
            <charset val="0"/>
          </rPr>
          <t xml:space="preserve">
7/13 2200132 1200pcs钜顺A2</t>
        </r>
      </text>
    </comment>
    <comment ref="AK107" authorId="1">
      <text>
        <r>
          <rPr>
            <b/>
            <sz val="9"/>
            <rFont val="宋体"/>
            <charset val="0"/>
          </rPr>
          <t>龙丽娟:</t>
        </r>
        <r>
          <rPr>
            <sz val="9"/>
            <rFont val="宋体"/>
            <charset val="0"/>
          </rPr>
          <t xml:space="preserve">
7/13 2200132 384pcs钜顺A2</t>
        </r>
      </text>
    </comment>
    <comment ref="AK121" authorId="1">
      <text>
        <r>
          <rPr>
            <b/>
            <sz val="9"/>
            <rFont val="宋体"/>
            <charset val="0"/>
          </rPr>
          <t>龙丽娟:</t>
        </r>
        <r>
          <rPr>
            <sz val="9"/>
            <rFont val="宋体"/>
            <charset val="0"/>
          </rPr>
          <t xml:space="preserve">
7/17 1001908 7776pcs欣泰2B4</t>
        </r>
      </text>
    </comment>
    <comment ref="AJ128" authorId="1">
      <text>
        <r>
          <rPr>
            <b/>
            <sz val="9"/>
            <rFont val="宋体"/>
            <charset val="0"/>
          </rPr>
          <t>石玉珍:</t>
        </r>
        <r>
          <rPr>
            <sz val="9"/>
            <rFont val="宋体"/>
            <charset val="0"/>
          </rPr>
          <t xml:space="preserve">
3004724 8/1 744 pcs 欣泰C1</t>
        </r>
      </text>
    </comment>
    <comment ref="AJ129" authorId="1">
      <text>
        <r>
          <rPr>
            <b/>
            <sz val="9"/>
            <rFont val="宋体"/>
            <charset val="0"/>
          </rPr>
          <t>石玉珍:</t>
        </r>
        <r>
          <rPr>
            <sz val="9"/>
            <rFont val="宋体"/>
            <charset val="0"/>
          </rPr>
          <t xml:space="preserve">
3004724 8/1 124 pcs 欣泰B1</t>
        </r>
      </text>
    </comment>
    <comment ref="AK131" authorId="1">
      <text>
        <r>
          <rPr>
            <b/>
            <sz val="9"/>
            <rFont val="宋体"/>
            <charset val="0"/>
          </rPr>
          <t>龙丽娟:</t>
        </r>
        <r>
          <rPr>
            <sz val="9"/>
            <rFont val="宋体"/>
            <charset val="0"/>
          </rPr>
          <t xml:space="preserve">
7/20 1001729 2694pcs钜顺c4</t>
        </r>
        <r>
          <rPr>
            <b/>
            <sz val="9"/>
            <rFont val="宋体"/>
            <charset val="0"/>
          </rPr>
          <t xml:space="preserve">
龙丽娟:</t>
        </r>
        <r>
          <rPr>
            <sz val="9"/>
            <rFont val="宋体"/>
            <charset val="0"/>
          </rPr>
          <t xml:space="preserve">
7/20 1001728 1200pcs欣泰2B3</t>
        </r>
      </text>
    </comment>
    <comment ref="AK133" authorId="1">
      <text>
        <r>
          <rPr>
            <b/>
            <sz val="9"/>
            <rFont val="宋体"/>
            <charset val="0"/>
          </rPr>
          <t>龙丽娟:</t>
        </r>
        <r>
          <rPr>
            <sz val="9"/>
            <rFont val="宋体"/>
            <charset val="0"/>
          </rPr>
          <t xml:space="preserve">
8/1 1001599 1800pcs欣泰e2.</t>
        </r>
      </text>
    </comment>
  </commentList>
</comments>
</file>

<file path=xl/sharedStrings.xml><?xml version="1.0" encoding="utf-8"?>
<sst xmlns="http://schemas.openxmlformats.org/spreadsheetml/2006/main" count="6400" uniqueCount="1106">
  <si>
    <t>接单日期</t>
  </si>
  <si>
    <t>计划PO出货期</t>
  </si>
  <si>
    <t>客户名称
（第三方客名）</t>
  </si>
  <si>
    <t>国家</t>
  </si>
  <si>
    <t>PO号</t>
  </si>
  <si>
    <t>ITEM NO</t>
  </si>
  <si>
    <t>名称</t>
  </si>
  <si>
    <t>数量</t>
  </si>
  <si>
    <t>装箱数</t>
  </si>
  <si>
    <t>总箱数</t>
  </si>
  <si>
    <t>BS082D6</t>
  </si>
  <si>
    <t>BS083D6</t>
  </si>
  <si>
    <t>MZ002D6</t>
  </si>
  <si>
    <t>BS062D3/BS062A3/BS062D1/BS062D4</t>
  </si>
  <si>
    <t>BS067D1</t>
  </si>
  <si>
    <t>BS071D6</t>
  </si>
  <si>
    <t>BS077D6</t>
  </si>
  <si>
    <t>BS064D1/BS064D2</t>
  </si>
  <si>
    <t>ZC006A1/ZC006E1</t>
  </si>
  <si>
    <t>BS068D12</t>
  </si>
  <si>
    <t>MZ003D1/MZ003D9</t>
  </si>
  <si>
    <t>CZ001D6</t>
  </si>
  <si>
    <t>CZ002D6</t>
  </si>
  <si>
    <t>CZ003D6</t>
  </si>
  <si>
    <t>CZ004D6</t>
  </si>
  <si>
    <t>CZ014D6</t>
  </si>
  <si>
    <t>BS069A1</t>
  </si>
  <si>
    <t>BS065D6</t>
  </si>
  <si>
    <t>MZ002D9</t>
  </si>
  <si>
    <t>CZ007E1</t>
  </si>
  <si>
    <t>CZ005A1
三角龙</t>
  </si>
  <si>
    <t>CZ005A2
双脊龙</t>
  </si>
  <si>
    <t>CZ005A3
水豚</t>
  </si>
  <si>
    <t>CZ005A4
高地牛</t>
  </si>
  <si>
    <t>CZ005A5
兔子</t>
  </si>
  <si>
    <t>CZ005A6
海狸</t>
  </si>
  <si>
    <t>CZ005A7
小猫</t>
  </si>
  <si>
    <t>CZ005A8
小狗</t>
  </si>
  <si>
    <t>CZ005A9
蝾螈</t>
  </si>
  <si>
    <t>CZ005A10
树懒</t>
  </si>
  <si>
    <t>CZ005A11
狐狸</t>
  </si>
  <si>
    <t>CZ005A12
河马</t>
  </si>
  <si>
    <t>CZ006D6（水豚、兔子、高地牛、美西螈、河马、猫）</t>
  </si>
  <si>
    <t>SP002A1/SP003A1</t>
  </si>
  <si>
    <t>SP003A2</t>
  </si>
  <si>
    <t>SP005A1</t>
  </si>
  <si>
    <t>BS074D6</t>
  </si>
  <si>
    <t>CZ021D1/D2/D3/D4</t>
  </si>
  <si>
    <t>ZC001A1</t>
  </si>
  <si>
    <t>PF001A1</t>
  </si>
  <si>
    <t>CZ007A1</t>
  </si>
  <si>
    <t>CZ007A2</t>
  </si>
  <si>
    <t>CZ007A4</t>
  </si>
  <si>
    <t>CZ007A5</t>
  </si>
  <si>
    <t>CZ007A6</t>
  </si>
  <si>
    <t>CZ007A7</t>
  </si>
  <si>
    <t>CZ007A8</t>
  </si>
  <si>
    <t>CZ007A9</t>
  </si>
  <si>
    <t>CZ007A10</t>
  </si>
  <si>
    <t>CZ007A11</t>
  </si>
  <si>
    <t>CZ022D6</t>
  </si>
  <si>
    <t>CZ007A12</t>
  </si>
  <si>
    <t>CZ007D1</t>
  </si>
  <si>
    <t>CZ023D6</t>
  </si>
  <si>
    <t>CZ017D6</t>
  </si>
  <si>
    <t>BS090D6</t>
  </si>
  <si>
    <t>CZ019D6</t>
  </si>
  <si>
    <t>CZ018D6</t>
  </si>
  <si>
    <t>CZ018E1</t>
  </si>
  <si>
    <t>BS086D6</t>
  </si>
  <si>
    <t>BS085D6</t>
  </si>
  <si>
    <t>BS089D12</t>
  </si>
  <si>
    <t>336 FSDU</t>
  </si>
  <si>
    <t>单价USD</t>
  </si>
  <si>
    <t>总金额USD</t>
  </si>
  <si>
    <t>总金额HK$</t>
  </si>
  <si>
    <t>发票号</t>
  </si>
  <si>
    <t>车间</t>
  </si>
  <si>
    <t>KMART (AUS / NZ)</t>
  </si>
  <si>
    <t>澳大利亚</t>
  </si>
  <si>
    <t>THT1402</t>
  </si>
  <si>
    <t>草莓熊手提包</t>
  </si>
  <si>
    <t>FE63717</t>
  </si>
  <si>
    <t>B</t>
  </si>
  <si>
    <t>新西兰</t>
  </si>
  <si>
    <t>THT1403</t>
  </si>
  <si>
    <t>FE63718</t>
  </si>
  <si>
    <t>Wal-Mart Inc. USA</t>
  </si>
  <si>
    <t>美国</t>
  </si>
  <si>
    <t>THT1430</t>
  </si>
  <si>
    <t>CZ021D1</t>
  </si>
  <si>
    <t>按压发声公仔（兔）</t>
  </si>
  <si>
    <t>FE61268</t>
  </si>
  <si>
    <t>印尼</t>
  </si>
  <si>
    <t>CZ021D2</t>
  </si>
  <si>
    <t>按压发声公仔（鸭）</t>
  </si>
  <si>
    <t>CZ021D3</t>
  </si>
  <si>
    <t>按压发声公仔（牛）</t>
  </si>
  <si>
    <t>CZ021D4</t>
  </si>
  <si>
    <t>按压发声公仔（羊）</t>
  </si>
  <si>
    <t>THT1433</t>
  </si>
  <si>
    <t>FE61271</t>
  </si>
  <si>
    <t>THT1434</t>
  </si>
  <si>
    <t>FE61272</t>
  </si>
  <si>
    <t>LINIEX APS</t>
  </si>
  <si>
    <t>英国</t>
  </si>
  <si>
    <t>THT1435</t>
  </si>
  <si>
    <t>BS064D1</t>
  </si>
  <si>
    <t>MINI手提包系列</t>
  </si>
  <si>
    <t>FE61269</t>
  </si>
  <si>
    <t>手提包狗系列</t>
  </si>
  <si>
    <t>独角兽手提包</t>
  </si>
  <si>
    <t>手提包猫系列</t>
  </si>
  <si>
    <t xml:space="preserve">CREATIVE TOYS (PORTUGAL) </t>
  </si>
  <si>
    <t>葡萄牙</t>
  </si>
  <si>
    <t>THT1436A</t>
  </si>
  <si>
    <t>MINI猫+狗手提包系列</t>
  </si>
  <si>
    <t>FE61270</t>
  </si>
  <si>
    <t>CZ006D6</t>
  </si>
  <si>
    <t>按压发声公仔（6款混装）</t>
  </si>
  <si>
    <t>THT1450</t>
  </si>
  <si>
    <t>鲨鱼实验室2</t>
  </si>
  <si>
    <t>FE61275</t>
  </si>
  <si>
    <t>THT1451</t>
  </si>
  <si>
    <t>FE61276</t>
  </si>
  <si>
    <t>TOYRRIFIC (ISRAEL)</t>
  </si>
  <si>
    <t xml:space="preserve"> 以色列</t>
  </si>
  <si>
    <t>THT1453</t>
  </si>
  <si>
    <t>二代独角兽手提包</t>
  </si>
  <si>
    <t>FE61279</t>
  </si>
  <si>
    <t>ROFU (GERMANY)</t>
  </si>
  <si>
    <t>德国</t>
  </si>
  <si>
    <t>THT1454</t>
  </si>
  <si>
    <t>CZ031E1</t>
  </si>
  <si>
    <t>FE61281</t>
  </si>
  <si>
    <t>THT1456</t>
  </si>
  <si>
    <t>MZ003D1</t>
  </si>
  <si>
    <t>恐龙实验室2</t>
  </si>
  <si>
    <t>FE61283</t>
  </si>
  <si>
    <t>THT1457</t>
  </si>
  <si>
    <t>FE61293</t>
  </si>
  <si>
    <t>THT1458</t>
  </si>
  <si>
    <t>FE61294</t>
  </si>
  <si>
    <t>THT1463</t>
  </si>
  <si>
    <t>马桶遥控车</t>
  </si>
  <si>
    <t>FE61286</t>
  </si>
  <si>
    <t>A</t>
  </si>
  <si>
    <t>THT1464</t>
  </si>
  <si>
    <t>FE61284</t>
  </si>
  <si>
    <t>GROUPE RICOCHET INC. (CANADA)</t>
  </si>
  <si>
    <t>加拿大</t>
  </si>
  <si>
    <t>THT1452A</t>
  </si>
  <si>
    <t>按压发声公仔（一代牙齿怪）</t>
  </si>
  <si>
    <t>FE61278</t>
  </si>
  <si>
    <t>ORBICO D.O.O. (CROATIA)</t>
  </si>
  <si>
    <t>克罗地亚</t>
  </si>
  <si>
    <t>THT1469</t>
  </si>
  <si>
    <t>FE61282</t>
  </si>
  <si>
    <t>EL ZAYAT (EGYPT)</t>
  </si>
  <si>
    <t>埃及</t>
  </si>
  <si>
    <t>THT1462B</t>
  </si>
  <si>
    <t>按压发声玩偶(两款恐龙)</t>
  </si>
  <si>
    <t>FE61330</t>
  </si>
  <si>
    <t>大、小手提包</t>
  </si>
  <si>
    <t>MZ003D9</t>
  </si>
  <si>
    <t>ZC006A1</t>
  </si>
  <si>
    <t>冰杯</t>
  </si>
  <si>
    <t>Talent Show d.o.o. (Croatia)</t>
  </si>
  <si>
    <t>THT1471A</t>
  </si>
  <si>
    <t>FE61277</t>
  </si>
  <si>
    <t>THT1473</t>
  </si>
  <si>
    <t>FE61287</t>
  </si>
  <si>
    <t>THT1474</t>
  </si>
  <si>
    <t>FE61285</t>
  </si>
  <si>
    <t>FALABELLA (PERU)</t>
  </si>
  <si>
    <t>秘鲁</t>
  </si>
  <si>
    <t>THT1468</t>
  </si>
  <si>
    <t>FE63730</t>
  </si>
  <si>
    <t>三代狗系列手提包</t>
  </si>
  <si>
    <t>FALABELLA (COLOMBIA)</t>
  </si>
  <si>
    <t>哥伦比亚</t>
  </si>
  <si>
    <t>THT1472</t>
  </si>
  <si>
    <t>FE63706</t>
  </si>
  <si>
    <t>FALABELLA (CHILE)</t>
  </si>
  <si>
    <t>智利</t>
  </si>
  <si>
    <t>THT1477</t>
  </si>
  <si>
    <t>FE61297</t>
  </si>
  <si>
    <t>LEKIA AB (SWEDEN)</t>
  </si>
  <si>
    <t>瑞典</t>
  </si>
  <si>
    <t>THT1475A</t>
  </si>
  <si>
    <t>FE61291</t>
  </si>
  <si>
    <t>THT1478</t>
  </si>
  <si>
    <t>FE61273</t>
  </si>
  <si>
    <t>THT1479</t>
  </si>
  <si>
    <t>FE61274</t>
  </si>
  <si>
    <t>FALABELLA RETAIL S.A（CHILE）</t>
  </si>
  <si>
    <t>THT1467</t>
  </si>
  <si>
    <t>FE61295</t>
  </si>
  <si>
    <t>THT1476</t>
  </si>
  <si>
    <t>FE61296</t>
  </si>
  <si>
    <t>SMYTHS TOYS (UK)</t>
  </si>
  <si>
    <t>THT1480</t>
  </si>
  <si>
    <t>FE61290</t>
  </si>
  <si>
    <t>SMYTHS TOYS (GERMANY)</t>
  </si>
  <si>
    <t>THT1481</t>
  </si>
  <si>
    <t>FE61292</t>
  </si>
  <si>
    <t>THT1483</t>
  </si>
  <si>
    <t>FE63708</t>
  </si>
  <si>
    <t>THT1488</t>
  </si>
  <si>
    <t>FE63709</t>
  </si>
  <si>
    <t>THT1489</t>
  </si>
  <si>
    <t>FE63711</t>
  </si>
  <si>
    <t>THT1493</t>
  </si>
  <si>
    <t>FE63701</t>
  </si>
  <si>
    <t>THT1494</t>
  </si>
  <si>
    <t>FE63702</t>
  </si>
  <si>
    <t>THT1495</t>
  </si>
  <si>
    <t>FE63703</t>
  </si>
  <si>
    <t>THT1496</t>
  </si>
  <si>
    <t>FE63704</t>
  </si>
  <si>
    <t>THT1497</t>
  </si>
  <si>
    <t>FE63710</t>
  </si>
  <si>
    <t>THT1498</t>
  </si>
  <si>
    <t>FE63712</t>
  </si>
  <si>
    <t>THT1499</t>
  </si>
  <si>
    <t>FE63719</t>
  </si>
  <si>
    <t>THT1500</t>
  </si>
  <si>
    <t>FE63720</t>
  </si>
  <si>
    <t>THT1502</t>
  </si>
  <si>
    <t>FE63715</t>
  </si>
  <si>
    <t>THT1503</t>
  </si>
  <si>
    <t>FE63716</t>
  </si>
  <si>
    <t>THT1491A</t>
  </si>
  <si>
    <t>FE63707</t>
  </si>
  <si>
    <t>THT1505</t>
  </si>
  <si>
    <t>FE63725REV1</t>
  </si>
  <si>
    <t>THT1506</t>
  </si>
  <si>
    <t>FE63726REV1</t>
  </si>
  <si>
    <t>THT1515</t>
  </si>
  <si>
    <t>FE63731</t>
  </si>
  <si>
    <t>MIGROS (SWISS)</t>
  </si>
  <si>
    <t>瑞士</t>
  </si>
  <si>
    <t>THT1514B</t>
  </si>
  <si>
    <t>FE63728</t>
  </si>
  <si>
    <t>ALL BRANDS TOYS (Australia)</t>
  </si>
  <si>
    <t>THT1538</t>
  </si>
  <si>
    <t>按压发声公仔11款混装</t>
  </si>
  <si>
    <t>FE63735</t>
  </si>
  <si>
    <t>THT1539</t>
  </si>
  <si>
    <t>FE63734</t>
  </si>
  <si>
    <t>RAMS (Philippines)</t>
  </si>
  <si>
    <t>菲律宾</t>
  </si>
  <si>
    <t>THT1520B</t>
  </si>
  <si>
    <t>按压发声公仔（拉布布）</t>
  </si>
  <si>
    <t>FE63727</t>
  </si>
  <si>
    <t>TOTTUS (CHILE)</t>
  </si>
  <si>
    <t>THT1550A</t>
  </si>
  <si>
    <t>FE62455REV1</t>
  </si>
  <si>
    <t>6款公仔混装（狐狸+狗+树懒+三角龙+双脊龙+海狸）</t>
  </si>
  <si>
    <t>按压公仔(泰迪熊&amp;兔&amp;猫)</t>
  </si>
  <si>
    <t>美人鱼+蝴蝶结混装手提包</t>
  </si>
  <si>
    <t>FUN COMERCIO (BRASIL)</t>
  </si>
  <si>
    <t>巴西</t>
  </si>
  <si>
    <t>THT1560</t>
  </si>
  <si>
    <t>FE63738</t>
  </si>
  <si>
    <t>LEKIA A.B. (SWEDEN)</t>
  </si>
  <si>
    <t>THT1547A</t>
  </si>
  <si>
    <t>鲨鱼实验室</t>
  </si>
  <si>
    <t>FE63733</t>
  </si>
  <si>
    <t>THT1562</t>
  </si>
  <si>
    <t>SP002A1</t>
  </si>
  <si>
    <t>冰杯带手柄</t>
  </si>
  <si>
    <t>FE63746</t>
  </si>
  <si>
    <t>THT1563</t>
  </si>
  <si>
    <t>FE63750</t>
  </si>
  <si>
    <t>THT1564</t>
  </si>
  <si>
    <t>史迪仔冰杯</t>
  </si>
  <si>
    <t>FE63747</t>
  </si>
  <si>
    <t>THT1565</t>
  </si>
  <si>
    <t>FE62451</t>
  </si>
  <si>
    <t>THT1566</t>
  </si>
  <si>
    <t>SP003A3</t>
  </si>
  <si>
    <t>公主冰杯</t>
  </si>
  <si>
    <t>FE63748</t>
  </si>
  <si>
    <t>THT1567</t>
  </si>
  <si>
    <t>FE62452</t>
  </si>
  <si>
    <t>THT1568</t>
  </si>
  <si>
    <t>玩具总动员冰杯</t>
  </si>
  <si>
    <t>FE63749</t>
  </si>
  <si>
    <t>THT1569</t>
  </si>
  <si>
    <t>FE62453</t>
  </si>
  <si>
    <t>TARGET AUS</t>
  </si>
  <si>
    <t>THT1588</t>
  </si>
  <si>
    <t>FE63745</t>
  </si>
  <si>
    <t>THT1570</t>
  </si>
  <si>
    <t>THT1571</t>
  </si>
  <si>
    <t>THT1572</t>
  </si>
  <si>
    <t>THT1573</t>
  </si>
  <si>
    <t>THT1574</t>
  </si>
  <si>
    <t>THT1575</t>
  </si>
  <si>
    <t>THT1576</t>
  </si>
  <si>
    <t>THT1577</t>
  </si>
  <si>
    <t>THT1589</t>
  </si>
  <si>
    <t>THT1578</t>
  </si>
  <si>
    <t>THT1579</t>
  </si>
  <si>
    <t>THT1580</t>
  </si>
  <si>
    <t>THT1581</t>
  </si>
  <si>
    <t>THT1582</t>
  </si>
  <si>
    <t>THT1583</t>
  </si>
  <si>
    <t>THT1584</t>
  </si>
  <si>
    <t>THT1585</t>
  </si>
  <si>
    <t>THT1590</t>
  </si>
  <si>
    <t>THT1586</t>
  </si>
  <si>
    <t>THT1587</t>
  </si>
  <si>
    <t>THT1591</t>
  </si>
  <si>
    <t>KMART (AUS /NZ)</t>
  </si>
  <si>
    <t>THT1599</t>
  </si>
  <si>
    <t>FE63740</t>
  </si>
  <si>
    <t>THT1600</t>
  </si>
  <si>
    <t>FE63739</t>
  </si>
  <si>
    <t>SIMPLY BIBO (ISRAEL)</t>
  </si>
  <si>
    <t>以色列</t>
  </si>
  <si>
    <t>THT1549B</t>
  </si>
  <si>
    <t>FE63737</t>
  </si>
  <si>
    <t>THT1532</t>
  </si>
  <si>
    <t>蝴蝶结公主手提包</t>
  </si>
  <si>
    <t>AURORA (MORE PRODUCTS - COLOMBIA)</t>
  </si>
  <si>
    <t>THT1561A</t>
  </si>
  <si>
    <t>FE63736</t>
  </si>
  <si>
    <t>LIVERPOOL (MEXICO)</t>
  </si>
  <si>
    <t>墨西哥</t>
  </si>
  <si>
    <t>THT1610A</t>
  </si>
  <si>
    <t>FE63744REV2</t>
  </si>
  <si>
    <t>按压公仔(夏威夷鲨鱼)</t>
  </si>
  <si>
    <t>THT1603A</t>
  </si>
  <si>
    <t>FE63743REV2</t>
  </si>
  <si>
    <t>HTIC LIMITED (CHECKERS - South Africa)</t>
  </si>
  <si>
    <t>南非</t>
  </si>
  <si>
    <t>THT1615B</t>
  </si>
  <si>
    <t>美人鱼手提包</t>
  </si>
  <si>
    <t>SMYTHS (GERMANY)</t>
  </si>
  <si>
    <t>THT1618</t>
  </si>
  <si>
    <t>FE62454</t>
  </si>
  <si>
    <t>MIKRO TRADING A.S. (CZECH REPUBLIC)</t>
  </si>
  <si>
    <t>捷克共和国</t>
  </si>
  <si>
    <t>THT1614B</t>
  </si>
  <si>
    <t>FE63741</t>
  </si>
  <si>
    <t>THT1622</t>
  </si>
  <si>
    <t>二代MINI手提包
（猫+狗）</t>
  </si>
  <si>
    <t>FE62457</t>
  </si>
  <si>
    <t>INTERBRANDS ORBICO (ROMANIA)</t>
  </si>
  <si>
    <t>罗马尼亚</t>
  </si>
  <si>
    <t>THT1624</t>
  </si>
  <si>
    <t>FE62462</t>
  </si>
  <si>
    <t>THT1627A</t>
  </si>
  <si>
    <t>THT1652</t>
  </si>
  <si>
    <t>THT1653</t>
  </si>
  <si>
    <t>LINIEX APS (DENMARK)</t>
  </si>
  <si>
    <t>丹麦</t>
  </si>
  <si>
    <t>THT1619</t>
  </si>
  <si>
    <t>FE63742</t>
  </si>
  <si>
    <t>THT1621</t>
  </si>
  <si>
    <t>独角兽手提包（2款混装）</t>
  </si>
  <si>
    <t>KMART AUS</t>
  </si>
  <si>
    <t>THT1664</t>
  </si>
  <si>
    <t>ANKO (Philippines)</t>
  </si>
  <si>
    <t>THT1708</t>
  </si>
  <si>
    <t>THT1712</t>
  </si>
  <si>
    <t>SMYTHS TOYS (FRANCE)</t>
  </si>
  <si>
    <t>法国</t>
  </si>
  <si>
    <t>THT1649A</t>
  </si>
  <si>
    <t>TRU ASIA (TWN / THA/ HKG / SGA / MLY)</t>
  </si>
  <si>
    <t>台湾</t>
  </si>
  <si>
    <t>THT1697</t>
  </si>
  <si>
    <t>泰国</t>
  </si>
  <si>
    <t>THT1698</t>
  </si>
  <si>
    <t>THT1699</t>
  </si>
  <si>
    <t>THT1700</t>
  </si>
  <si>
    <t>香港</t>
  </si>
  <si>
    <t>THT1701</t>
  </si>
  <si>
    <t>新加坡</t>
  </si>
  <si>
    <t>THT1702</t>
  </si>
  <si>
    <t>马来西亚</t>
  </si>
  <si>
    <t>THT1703</t>
  </si>
  <si>
    <t>THT1704</t>
  </si>
  <si>
    <t>THT1705</t>
  </si>
  <si>
    <t>THT1706</t>
  </si>
  <si>
    <t>THT1724</t>
  </si>
  <si>
    <t>KMART (AUS / NZ)</t>
  </si>
  <si>
    <t>THT1723</t>
  </si>
  <si>
    <t>TRU JAPAN</t>
  </si>
  <si>
    <t>日本</t>
  </si>
  <si>
    <t>THT1739</t>
  </si>
  <si>
    <t>THT1740</t>
  </si>
  <si>
    <t>THT1747</t>
  </si>
  <si>
    <t>THT1748</t>
  </si>
  <si>
    <t>WALMART CANADA</t>
  </si>
  <si>
    <t>THT1754</t>
  </si>
  <si>
    <t>牙齿怪公仔展示柜</t>
  </si>
  <si>
    <t>THT1536</t>
  </si>
  <si>
    <t>SMYTHS TOYS</t>
  </si>
  <si>
    <t>THT1762</t>
  </si>
  <si>
    <t>25年库存金额：</t>
  </si>
  <si>
    <t>东莞+印尼</t>
  </si>
  <si>
    <t>东莞总接单:</t>
  </si>
  <si>
    <t>排期：</t>
  </si>
  <si>
    <t>出货：</t>
  </si>
  <si>
    <t>以下标注内容区分识别备注：</t>
  </si>
  <si>
    <t>类型</t>
  </si>
  <si>
    <t>内容</t>
  </si>
  <si>
    <t>黄色填充</t>
  </si>
  <si>
    <t>新加单或更改订单</t>
  </si>
  <si>
    <t>蓝色字体</t>
  </si>
  <si>
    <t>已经完成订单</t>
  </si>
  <si>
    <t>粉色字体</t>
  </si>
  <si>
    <t>已经出货</t>
  </si>
  <si>
    <t>红色字体</t>
  </si>
  <si>
    <t>取消单（或再加上删除线）</t>
  </si>
  <si>
    <t>客跟单</t>
  </si>
  <si>
    <t>订单PO.NO</t>
  </si>
  <si>
    <t>计划验货期</t>
  </si>
  <si>
    <t>第三方
验货期</t>
  </si>
  <si>
    <t>验货结果</t>
  </si>
  <si>
    <t>船期SO
（截仓时间）</t>
  </si>
  <si>
    <t>箱唛资料
提供时间</t>
  </si>
  <si>
    <t>箱唛打稿
完成时间</t>
  </si>
  <si>
    <t>箱唛打稿
确认时间</t>
  </si>
  <si>
    <t>客贴纸档案
提供时间</t>
  </si>
  <si>
    <t>包装资料是否提供</t>
  </si>
  <si>
    <t>包装档案
版本</t>
  </si>
  <si>
    <t>布标版本</t>
  </si>
  <si>
    <t>系统货号</t>
  </si>
  <si>
    <t>是否翻单</t>
  </si>
  <si>
    <t>是否寄出签办</t>
  </si>
  <si>
    <t>客供物料</t>
  </si>
  <si>
    <t>布标日期码</t>
  </si>
  <si>
    <t>产品、包装
日期码</t>
  </si>
  <si>
    <t>备注</t>
  </si>
  <si>
    <t>是否入系统</t>
  </si>
  <si>
    <t>下单明细</t>
  </si>
  <si>
    <t>送回数量</t>
  </si>
  <si>
    <t>欠数</t>
  </si>
  <si>
    <t>贴纸</t>
  </si>
  <si>
    <t>湖南回复完成时间</t>
  </si>
  <si>
    <t>询单备料情况</t>
  </si>
  <si>
    <t>Kenix Lin</t>
  </si>
  <si>
    <t>PASS</t>
  </si>
  <si>
    <t>8/19-8/24</t>
  </si>
  <si>
    <t>是</t>
  </si>
  <si>
    <t>KMART客版</t>
  </si>
  <si>
    <t>无</t>
  </si>
  <si>
    <t>包装跟之前的KMART订单，包装档案如有日期码需修改，除SSCC贴纸外</t>
  </si>
  <si>
    <t>05/26</t>
  </si>
  <si>
    <t>客版包装+客版说明书+SSCC外箱贴纸+客版日期码05/26+客验货+所有Kmart 订单需要用60MM宽的，“Anko” logo 胶纸封箱；</t>
  </si>
  <si>
    <t>系统出单</t>
  </si>
  <si>
    <t>客PO.NO</t>
  </si>
  <si>
    <t>生产车间</t>
  </si>
  <si>
    <t>自检</t>
  </si>
  <si>
    <t>标准包装</t>
  </si>
  <si>
    <t>标准布标</t>
  </si>
  <si>
    <t>260720 HS</t>
  </si>
  <si>
    <t>标准布标+标准收缩膜+标准说明书+标准传单+客版贴纸+标准银行卡+标准CDU</t>
  </si>
  <si>
    <t>邵阳</t>
  </si>
  <si>
    <t>260608 HS</t>
  </si>
  <si>
    <t>标准布标+标准收缩膜+标准说明书+标准传单+客版贴纸+标准身份证+标准CDU</t>
  </si>
  <si>
    <t>标准吊牌+标准说明书+标准传单+客版贴纸+标准身份证+标准CDU+唇彩贴纸（贴纸日期码：150626）</t>
  </si>
  <si>
    <t>东莞</t>
  </si>
  <si>
    <t>标准布标+标准收缩膜+标准说明书+标准传单+客版贴纸+标准银行卡+标准CDU+指甲油贴纸（贴纸日期码：150626）</t>
  </si>
  <si>
    <t>28/25</t>
  </si>
  <si>
    <t>客版包装+客版说明书+新冰袋(圆角)+客验货+无SSCC贴纸+客版包装和Kmart AUS订单的客包装一致+订单需要用60MM宽的，“Anko” logo 胶纸封箱；</t>
  </si>
  <si>
    <t>26/26</t>
  </si>
  <si>
    <t>8/17-8/19</t>
  </si>
  <si>
    <t>丹麦包装</t>
  </si>
  <si>
    <t>标准布标+标准收缩膜+标准传单+标准传单+客版贴纸+标准银行卡+标准CDU+指甲油贴纸（贴纸日期码：150626）+客验货+两款混装：PURSE3&amp;PURSE4</t>
  </si>
  <si>
    <t>260713 HS</t>
  </si>
  <si>
    <t>标准布标+标准收缩膜+标准传单+客版贴纸+标准银行卡+标准CDU+客验货</t>
  </si>
  <si>
    <t>标准布标+标准收缩膜+标准传单+客版贴纸+标准银行卡+标准CDU+客验货+有从THT1654中转进180PCS，外箱照常用THT1654的外箱，外箱内容无需修改</t>
  </si>
  <si>
    <t>标准吊牌+标准传单+客版贴纸+标准CDU+标准银行卡+客验货</t>
  </si>
  <si>
    <t>库存订单塑胶件等部分物料无需再次采购，彩盒、说明书、SSCC外箱贴纸需更换</t>
  </si>
  <si>
    <t>客版包装+客版说明书+新冰袋+SSCC外箱贴纸+客版日期码28/25+客验货+所有Kmart 订单需要用60MM宽的，“Anko” logo 胶纸封箱；</t>
  </si>
  <si>
    <t>客版包装+客版说明书+新冰袋+SSCC外箱贴纸+客版日期码26/26+客验货+所有Kmart 订单需要用60MM宽的，“Anko” logo 胶纸封箱；</t>
  </si>
  <si>
    <t>跟客人延期，待确认，先按此货期进行</t>
  </si>
  <si>
    <t>欠亚克力吊牌8月7号</t>
  </si>
  <si>
    <t>31/26</t>
  </si>
  <si>
    <t>标准布标++客版收缩膜+客版传单+标准银行卡+SSCC贴纸+客版CDU+客版日期码31/26+客验货+所有Kmart 订单需要用60MM宽的，“Anko” logo 胶纸封箱；</t>
  </si>
  <si>
    <t>标准布标+客版收缩膜+客版传单+标准银行卡+SSCC贴纸+客版CDU+客版日期码31/26+客验货+所有Kmart 订单需要用60MM宽的，“Anko” logo 胶纸封箱；</t>
  </si>
  <si>
    <r>
      <rPr>
        <sz val="9"/>
        <color rgb="FF000000"/>
        <rFont val="宋体"/>
        <charset val="134"/>
      </rPr>
      <t>自检</t>
    </r>
    <r>
      <rPr>
        <sz val="9"/>
        <color rgb="FFFF0000"/>
        <rFont val="宋体"/>
        <charset val="134"/>
      </rPr>
      <t>7/7号提供布标</t>
    </r>
  </si>
  <si>
    <t>TRU客版</t>
  </si>
  <si>
    <t>客版布标</t>
  </si>
  <si>
    <t>客版布标+标准收缩膜+标准传单+客版贴纸+标准CDU+标准银行卡</t>
  </si>
  <si>
    <t>客版布标+标准收缩膜+标准传单+标准银行卡+客版贴纸+标准CDU</t>
  </si>
  <si>
    <t>以下时间禁止推期；9月10日抽办，9月21日验货，9月24日装柜</t>
  </si>
  <si>
    <t>7-9提供客版布标资料</t>
  </si>
  <si>
    <t>未确认</t>
  </si>
  <si>
    <t>WALMART CANADA客版</t>
  </si>
  <si>
    <t>260911HS</t>
  </si>
  <si>
    <r>
      <rPr>
        <sz val="9"/>
        <color rgb="FF000000"/>
        <rFont val="宋体"/>
        <charset val="134"/>
      </rPr>
      <t>客版布标+客版吊牌+ RFID贴纸+客版托盘+客验货+</t>
    </r>
    <r>
      <rPr>
        <sz val="9"/>
        <color rgb="FFFF0000"/>
        <rFont val="宋体"/>
        <charset val="134"/>
      </rPr>
      <t>9/10WM抽办，禁止推期</t>
    </r>
  </si>
  <si>
    <t>未提供</t>
  </si>
  <si>
    <t>260928 HS</t>
  </si>
  <si>
    <t>标准布标+标准吊牌+标准CDU+客户CU(产品贴纸)+客(纸箱)贴纸</t>
  </si>
  <si>
    <t>SMYTHS客版</t>
  </si>
  <si>
    <t>跟之前SMYTHS订单客版资料一样</t>
  </si>
  <si>
    <t>260930 HS</t>
  </si>
  <si>
    <t>客版布标+客版收缩膜+客版传单+标准银行卡+客版CDU+客验货</t>
  </si>
  <si>
    <t>按资料提供时间预计完成时间</t>
  </si>
  <si>
    <r>
      <rPr>
        <b/>
        <sz val="9"/>
        <color rgb="FFFF0000"/>
        <rFont val="宋体"/>
        <charset val="134"/>
      </rPr>
      <t>发票号</t>
    </r>
  </si>
  <si>
    <t>发票日期</t>
  </si>
  <si>
    <t>出货日期</t>
  </si>
  <si>
    <t>WM客版
（印尼）</t>
  </si>
  <si>
    <t>WM客版布标
（印尼）</t>
  </si>
  <si>
    <t>09/25</t>
  </si>
  <si>
    <t>标准CDU+客版吊牌（WM印尼版）+客布标（WM印尼版）+RFID产品贴纸+AD外箱贴纸+日期码格式：09/25+客验货</t>
  </si>
  <si>
    <t>12-23客验货</t>
  </si>
  <si>
    <t>与之前THT1214订单相同</t>
  </si>
  <si>
    <t>包装跟之前THT1214订单相同</t>
  </si>
  <si>
    <t>2750-1225</t>
  </si>
  <si>
    <t>标准吊牌+标准说明书+标准传单+客版贴纸+标准CDU+客验货</t>
  </si>
  <si>
    <t>与之前THT1316订单相同</t>
  </si>
  <si>
    <t>标准布标+标准收缩膜+标准说明书+标准传单+客版贴纸+标准CDU+客验货</t>
  </si>
  <si>
    <t>OK</t>
  </si>
  <si>
    <t>否</t>
  </si>
  <si>
    <t>标准收缩膜+标准说明书+标准传单+标准CDU+指甲油贴纸+收缩膜贴纸（贴纸日期码：171125）+客验货+质量保证样品2套CDU</t>
  </si>
  <si>
    <t>CREATIVE TOYS (PORTUGAL)</t>
  </si>
  <si>
    <t>1/2-1/5</t>
  </si>
  <si>
    <t>葡萄牙客版</t>
  </si>
  <si>
    <t>251209 HS</t>
  </si>
  <si>
    <t>客版吊牌+客版传单+客版CDU+唇彩贴纸（贴纸日期码：171125）</t>
  </si>
  <si>
    <t>客版收缩膜（已提供）+客版传单+客版CDU（收缩膜、传单按实单数量采购）+指甲油贴纸+收缩膜贴纸（贴纸日期码：171125）</t>
  </si>
  <si>
    <t>客版吊牌+标准CDU+客版布标（已提供）（吊牌按实单数量采购）</t>
  </si>
  <si>
    <t>1/28-2/2</t>
  </si>
  <si>
    <t>30/25</t>
  </si>
  <si>
    <t>客版包装+客版说明书+SSCC外箱贴纸+客版日期码30/25+客验货+所有Kmart 订单需要用60MM宽的，“Anko” logo 胶纸封箱；</t>
  </si>
  <si>
    <t>标准KMART包装</t>
  </si>
  <si>
    <t>包装跟之前的KMART订单，除SSCC贴纸外</t>
  </si>
  <si>
    <t>45/25</t>
  </si>
  <si>
    <t>标准包装+标准说明书+Kmart客版条码贴纸+标准CDU+SSCC外箱贴纸+客版日期码45/25+客验货+所有Kmart 订单需要用60MM宽的，“Anko” logo 胶纸封箱；</t>
  </si>
  <si>
    <t>克罗地亚客版</t>
  </si>
  <si>
    <t>260114 HS</t>
  </si>
  <si>
    <t>新版标准彩盒+客版贴纸+客版说明书+新冰粒</t>
  </si>
  <si>
    <t>客要求提供自检报告时间1-28</t>
  </si>
  <si>
    <t>加拿大客版</t>
  </si>
  <si>
    <t>C251024 1450</t>
  </si>
  <si>
    <t>客版布标+客版吊牌+客版CDU+客日期码</t>
  </si>
  <si>
    <t>以色列客版</t>
  </si>
  <si>
    <t>260112 HS</t>
  </si>
  <si>
    <t>标准包装+标准布标+客版说明书+客贴纸</t>
  </si>
  <si>
    <t>按压发声公仔
（336个公仔混装展示柜）</t>
  </si>
  <si>
    <t>复客2-6提供自检报告</t>
  </si>
  <si>
    <t>德国客版</t>
  </si>
  <si>
    <t>客版布标+客版吊牌+客版贴纸+标准CDU+标准展示柜+客日期码</t>
  </si>
  <si>
    <t>吊牌新档案、传单跟之前THT1211A订单相同</t>
  </si>
  <si>
    <t>260122 HS</t>
  </si>
  <si>
    <t>客版吊牌+客版传单+标准CDU</t>
  </si>
  <si>
    <t>身份证卡跟之前THT1211A订单，客贴纸、说明书、布标新档案</t>
  </si>
  <si>
    <t>标准收缩膜+客版贴纸+客版布标+客版说明书+客版身份证卡+标准CDU</t>
  </si>
  <si>
    <t>身份证卡、说明书跟之前THT1288订单相同，客贴纸新档案</t>
  </si>
  <si>
    <t>3/4~3/9</t>
  </si>
  <si>
    <t>MZ003D1-标准KMART包装</t>
  </si>
  <si>
    <t>04/26</t>
  </si>
  <si>
    <t>标准收缩膜+标准说明书+Kmart客翻单条码贴纸+标准CDU+SSCC外箱贴纸+客版日期码04/26+客验货+所有Kmart 订单需要用60MM宽的，“Anko” logo 胶纸封箱；</t>
  </si>
  <si>
    <t>2/6需做DD测试</t>
  </si>
  <si>
    <t>湖南送回半成品-车间包装</t>
  </si>
  <si>
    <t>2/6需要DD测试抽办</t>
  </si>
  <si>
    <t>BS065D1-KMART客版</t>
  </si>
  <si>
    <t>标准布标+客版收缩膜+客版传单+客版CDU+SSCC外箱贴纸+客版日期码（04/26）+客验货+所有Kmart 订单需要用60MM宽的，“Anko” logo 胶纸封箱；</t>
  </si>
  <si>
    <t>客验货</t>
  </si>
  <si>
    <t>SMYTHS TOYS客版</t>
  </si>
  <si>
    <t>260123 HS</t>
  </si>
  <si>
    <t>客版包装+客版说明书+客验货</t>
  </si>
  <si>
    <t>与已完成大货走货的THT1304订单相同</t>
  </si>
  <si>
    <t>新标准包装</t>
  </si>
  <si>
    <t>标准包装
（需使用新版本标准说明书）</t>
  </si>
  <si>
    <t>标准包装+新标准说明书+客版贴纸</t>
  </si>
  <si>
    <t>3/18`3/23</t>
  </si>
  <si>
    <t>标准布标+标准收缩膜+标准传单+客版贴纸+RFID价钱贴纸（客供）+标准CDU+标准身份证</t>
  </si>
  <si>
    <t>250710 HS</t>
  </si>
  <si>
    <t>标准彩盒+标准说明书+标准传单+客版贴纸+标准CDU+需粘贴掉“TM”标志</t>
  </si>
  <si>
    <t>标准布标+标准收缩膜+标准说明书+标准传单+客版贴纸+标准CDU+需粘贴掉“TM”标志</t>
  </si>
  <si>
    <t>标准彩盒+标准说明书+标准传单+客版贴纸+需粘贴掉“TM”标志</t>
  </si>
  <si>
    <t>新版标准彩盒+客版贴纸+标准说明书+新冰粒+需粘贴掉“TM”标志</t>
  </si>
  <si>
    <t>4/1`4/3</t>
  </si>
  <si>
    <t>标准包装+标准说明书+Kmart客版条码贴纸+标准CDU+SSCC外箱贴纸+客版日期码45/25+客验货+所有Kmart 订单需要用60MM宽的，“Anko” logo 胶纸封箱+新增口水胶警告语贴纸；</t>
  </si>
  <si>
    <t>标准收缩膜+标准说明书+Kmart客翻单条码贴纸+标准CDU+SSCC外箱贴纸+客版日期码04/26+客验货+所有Kmart 订单需要用60MM宽的，“Anko” logo 胶纸封箱+新增口水胶警告语贴纸；</t>
  </si>
  <si>
    <t>Tigerhead</t>
  </si>
  <si>
    <t>样板单</t>
  </si>
  <si>
    <t>客版包装+客版说明书+客版日期码30/25</t>
  </si>
  <si>
    <t>客版布标+标准收缩膜+标准传单+客版贴纸+RFID价钱贴纸（客供）+标准CDU+标准身份证</t>
  </si>
  <si>
    <t>于已走货的THT1452A订单包装相同</t>
  </si>
  <si>
    <t>P2602041515</t>
  </si>
  <si>
    <t>客版布标+客版吊牌+客版CDU+客日期码：P2602041515</t>
  </si>
  <si>
    <t>4/15~4/20</t>
  </si>
  <si>
    <t>4/22~4/25</t>
  </si>
  <si>
    <t>KMART客日期码标准布标</t>
  </si>
  <si>
    <t>BS077D6-KMART客版</t>
  </si>
  <si>
    <t>36/25</t>
  </si>
  <si>
    <t>标准布标+客版收缩膜+客版传单+客版CDU+SSCC外箱贴纸+客版日期码36/25+客验货+所有Kmart 订单需要用60MM宽的，“Anko” logo 胶纸封箱；</t>
  </si>
  <si>
    <t>5/6~5/11</t>
  </si>
  <si>
    <t>260428 HS</t>
  </si>
  <si>
    <t>标准彩盒+标准说明书+客版贴纸</t>
  </si>
  <si>
    <t>标准吊牌+客版帖纸+标准CDU+标准布标</t>
  </si>
  <si>
    <t>SWISS客版</t>
  </si>
  <si>
    <t>标准布标+标准吊牌+标准CDU+客价格贴纸+客外箱贴纸</t>
  </si>
  <si>
    <t>5/25自检</t>
  </si>
  <si>
    <t>标准布标（需使用布标贴纸修改布标内容）+标准收缩膜+标准传单+客版贴纸+新RFID价钱贴纸（客供）+标准CDU+标准身份证+客版布标贴纸</t>
  </si>
  <si>
    <t>5/27~6/01</t>
  </si>
  <si>
    <t>5/22自检</t>
  </si>
  <si>
    <t>6/12~6/13</t>
  </si>
  <si>
    <t>已提供</t>
  </si>
  <si>
    <t>跟之前的THT1303B订单客版资料一样</t>
  </si>
  <si>
    <t>260514 HS</t>
  </si>
  <si>
    <t>标准收缩膜+标准说明书+客版贴纸+标准传单+标准CDU</t>
  </si>
  <si>
    <t>6/10~6/13</t>
  </si>
  <si>
    <t>08/25</t>
  </si>
  <si>
    <t>CDU A装六个，CDU B装五个，CDU A+B装一箱，客版吊牌（WM印尼版）+客布标（WM印尼版）+日期码格式：08/25+客验货</t>
  </si>
  <si>
    <t>2026/4/27周一</t>
  </si>
  <si>
    <t>2026/6/10周三</t>
  </si>
  <si>
    <t>2026/6/22周一</t>
  </si>
  <si>
    <t>Pass</t>
  </si>
  <si>
    <t>260603 HS</t>
  </si>
  <si>
    <t>标准收缩膜+标准布标+标准说明书+客版贴纸+标准身份证+标准CDU</t>
  </si>
  <si>
    <t>260529 HS</t>
  </si>
  <si>
    <t>标准吊牌+客版贴纸+客版布标+标准CDU</t>
  </si>
  <si>
    <t>ISRAEL包装</t>
  </si>
  <si>
    <t>客版包装+客版说明书+新冰袋</t>
  </si>
  <si>
    <t>pass</t>
  </si>
  <si>
    <t>BRASIL包装</t>
  </si>
  <si>
    <t>客版布标+客版收缩膜+客版传单+标准身份证卡+客版CDU</t>
  </si>
  <si>
    <t>7/8-7/13</t>
  </si>
  <si>
    <t>MIKRO TRADING包装</t>
  </si>
  <si>
    <t>260626 HS</t>
  </si>
  <si>
    <t>标准包装+客版贴纸+客版说明书+新冰粒+订水贴纸，返工箱唛的净重毛重</t>
  </si>
  <si>
    <t>标准布标+标准收缩膜+标准传单+客版贴纸+标准银行卡+标准CDU+客验货+客验跑空费280USD</t>
  </si>
  <si>
    <t>标准布标+标准收缩膜+标准传单+客版贴纸+标准身份证+标准CDU+客供价钱贴纸</t>
  </si>
  <si>
    <t>标准布标+标准吊牌+客版贴纸+标准CDU+客供价钱贴纸</t>
  </si>
  <si>
    <t>7/29-8/3</t>
  </si>
  <si>
    <t>SP002A1-KMART</t>
  </si>
  <si>
    <t>SMYTHS
客版布标</t>
  </si>
  <si>
    <t>跟THT1532订单客版资料一样</t>
  </si>
  <si>
    <t>客版布标+客版收缩膜+客版传单+标准银行卡+客版CDU+客验货+订水贴纸返工箱唛上的日期码</t>
  </si>
  <si>
    <t>260714 HS</t>
  </si>
  <si>
    <t>标准布标+标准吊牌+客版贴纸+标准CDU</t>
  </si>
  <si>
    <t>FE62455</t>
  </si>
  <si>
    <t>标准布标+标准收缩膜+标准传单+客版贴纸+标准银行卡+标准CDU</t>
  </si>
  <si>
    <t>CROATIA包装</t>
  </si>
  <si>
    <t>客版吊牌+客版传单+标准身份证+标准CDU</t>
  </si>
  <si>
    <t>东莞生产</t>
  </si>
  <si>
    <t>标准收缩膜+客贴纸+客版布标+客版说明书+标准身份证+标准CDU</t>
  </si>
  <si>
    <t>8/5-8/10</t>
  </si>
  <si>
    <t>FE62458</t>
  </si>
  <si>
    <t>FE62459</t>
  </si>
  <si>
    <t>7/30出报告</t>
  </si>
  <si>
    <t>FE62460</t>
  </si>
  <si>
    <t>7/17客人看拉</t>
  </si>
  <si>
    <t>FE62461</t>
  </si>
  <si>
    <t>ROMANIA包装</t>
  </si>
  <si>
    <t>7/29出报告</t>
  </si>
  <si>
    <t>标准收缩膜+客贴纸+客版布标+标准说明书+标准身份证+标准CDU</t>
  </si>
  <si>
    <t>标准包装+客版贴纸+标准说明书+新冰粒+订水贴纸，返工箱唛的净重毛重</t>
  </si>
  <si>
    <t>FE62463</t>
  </si>
  <si>
    <t>询单日期</t>
  </si>
  <si>
    <t>复客验货期</t>
  </si>
  <si>
    <t>接到正式订单日期</t>
  </si>
  <si>
    <t>KMART</t>
  </si>
  <si>
    <t>询单</t>
  </si>
  <si>
    <t>按压发声公仔（史迪仔+天使）</t>
  </si>
  <si>
    <t>标准布标+客版吊牌+此单使用CZ003标准CDU+SSCC外箱贴纸+客版日期码（CZ003布标吊牌日期码：20/25、CZ004布标吊牌日期码：34/25）+客验货+所有Kmart 订单需要用60MM宽的，“Anko” logo 胶纸封箱；</t>
  </si>
  <si>
    <t>此询单已取消</t>
  </si>
  <si>
    <t>TOYMONSTER</t>
  </si>
  <si>
    <t>标准包装+标准说明书+客版贴纸</t>
  </si>
  <si>
    <t>标准吊牌+标准CDU+客版布标</t>
  </si>
  <si>
    <t>标准包装+标准说明书</t>
  </si>
  <si>
    <t>KMART (AUS)</t>
  </si>
  <si>
    <t>客版布标+客版吊牌+客版CDU</t>
  </si>
  <si>
    <t>标准包装+标准说明书+客版贴纸+标准CDU+SSCC贴纸</t>
  </si>
  <si>
    <t>询单货号MZ002D6，实单货号MZ003D1</t>
  </si>
  <si>
    <t>客版包装+客版说明书</t>
  </si>
  <si>
    <t>KMART (AUS/ NZ)</t>
  </si>
  <si>
    <t>爱尔兰</t>
  </si>
  <si>
    <t>SMYTHS TOYS (Ireland)</t>
  </si>
  <si>
    <t>客版说明书+客版收缩膜+客版布标+客版身份证卡+客版CDU</t>
  </si>
  <si>
    <t>CZ032D6</t>
  </si>
  <si>
    <t>3款公仔混装（熊+兔+猫）</t>
  </si>
  <si>
    <t>标准布标+标准收缩膜+标准传单+客版贴纸+标准CDU</t>
  </si>
  <si>
    <t>客版彩盒+客版说明书</t>
  </si>
  <si>
    <t>6款公仔混装（紫色怪+橙色怪+红色怪+青色怪+绿色怪+蓝色怪）</t>
  </si>
  <si>
    <t>标准包装+客版贴纸+客版说明书</t>
  </si>
  <si>
    <t>标准收缩膜+标准贴纸+标准说明书+客版贴纸+标准CDU</t>
  </si>
  <si>
    <t>标准布标+标准传单+标准收缩膜+客版贴纸+标准CDU</t>
  </si>
  <si>
    <t>手提包狗系列(三代)</t>
  </si>
  <si>
    <t>客版说明书+客版收缩膜+客版布标+标准CDU</t>
  </si>
  <si>
    <t>标准吊牌+标准说明书+标准传单+客版贴纸+标准CDU</t>
  </si>
  <si>
    <t>标准布标+标准收缩膜+标准说明书+标准传单+客版贴纸+标准CDU</t>
  </si>
  <si>
    <t>沙特阿拉伯</t>
  </si>
  <si>
    <t>TOY TRIANGLE (KSA)</t>
  </si>
  <si>
    <t>标准包装+客版TTC+客贴纸+客版阿拉伯说明书</t>
  </si>
  <si>
    <t>客版收缩膜+客版布标+客版说明书+客版身份证+客版CDU</t>
  </si>
  <si>
    <t>标准收缩膜+客版贴纸+客版布标+客版说明书+标准CDU</t>
  </si>
  <si>
    <t>INTERBRANDS ORBICO (ROMANIA)</t>
  </si>
  <si>
    <t>BS092D6</t>
  </si>
  <si>
    <t>标准布吊牌+标准说明书+标准传单+客版贴纸+标准CDU</t>
  </si>
  <si>
    <t>客版包装+客版贴纸+客版说明书</t>
  </si>
  <si>
    <t>巴拿马</t>
  </si>
  <si>
    <t>GRUPO FOSTER S.A (PANAMA)</t>
  </si>
  <si>
    <t>按压发声公仔
(熊、兔、猫)</t>
  </si>
  <si>
    <t>标准布标+标准吊牌+客版贴纸+标准CDU+标准FCDU</t>
  </si>
  <si>
    <t>按压发声玩偶(安琪+史迪仔)</t>
  </si>
  <si>
    <t>史迪仔手提包</t>
  </si>
  <si>
    <t>标准布标+标准收缩膜+标准说明书客版贴纸+标准CDU</t>
  </si>
  <si>
    <t>台湾和泰国</t>
  </si>
  <si>
    <t>TRU ASIA (Taiwan &amp; Thailand)</t>
  </si>
  <si>
    <t>客版包装+客版说明书+客版贴纸（TBC)新冰袋(圆角)+客验货</t>
  </si>
  <si>
    <t>TRU ASIA</t>
  </si>
  <si>
    <t>马来群岛</t>
  </si>
  <si>
    <t>菲律宾共和国</t>
  </si>
  <si>
    <t>客版收缩膜+客版传单+客版CDU</t>
  </si>
  <si>
    <r>
      <rPr>
        <sz val="18"/>
        <rFont val="Arial"/>
        <charset val="0"/>
      </rPr>
      <t>Tigerhead</t>
    </r>
    <r>
      <rPr>
        <sz val="18"/>
        <rFont val="微软雅黑"/>
        <charset val="0"/>
      </rPr>
      <t>客放</t>
    </r>
    <r>
      <rPr>
        <sz val="18"/>
        <rFont val="Arial"/>
        <charset val="0"/>
      </rPr>
      <t>MA</t>
    </r>
    <r>
      <rPr>
        <sz val="18"/>
        <rFont val="微软雅黑"/>
        <charset val="0"/>
      </rPr>
      <t>情况汇总表</t>
    </r>
  </si>
  <si>
    <r>
      <rPr>
        <sz val="12"/>
        <rFont val="微软雅黑"/>
        <charset val="134"/>
      </rPr>
      <t>蓝色填充新增</t>
    </r>
    <r>
      <rPr>
        <sz val="12"/>
        <rFont val="Arial"/>
        <charset val="0"/>
      </rPr>
      <t>MA</t>
    </r>
  </si>
  <si>
    <r>
      <rPr>
        <sz val="12"/>
        <rFont val="微软雅黑"/>
        <charset val="134"/>
      </rPr>
      <t>修改时间</t>
    </r>
  </si>
  <si>
    <t>ITEM</t>
  </si>
  <si>
    <r>
      <rPr>
        <sz val="12"/>
        <rFont val="微软雅黑"/>
        <charset val="134"/>
      </rPr>
      <t>产品描述</t>
    </r>
  </si>
  <si>
    <r>
      <rPr>
        <sz val="12"/>
        <rFont val="微软雅黑"/>
        <charset val="134"/>
      </rPr>
      <t>释放</t>
    </r>
    <r>
      <rPr>
        <sz val="12"/>
        <rFont val="Arial"/>
        <charset val="0"/>
      </rPr>
      <t>MA</t>
    </r>
    <r>
      <rPr>
        <sz val="12"/>
        <rFont val="微软雅黑"/>
        <charset val="134"/>
      </rPr>
      <t>内容</t>
    </r>
  </si>
  <si>
    <r>
      <rPr>
        <sz val="12"/>
        <rFont val="Arial"/>
        <charset val="0"/>
      </rPr>
      <t>MA</t>
    </r>
    <r>
      <rPr>
        <sz val="12"/>
        <rFont val="微软雅黑"/>
        <charset val="134"/>
      </rPr>
      <t>释放数量</t>
    </r>
    <r>
      <rPr>
        <sz val="12"/>
        <rFont val="Arial"/>
        <charset val="0"/>
      </rPr>
      <t>(PCS)</t>
    </r>
  </si>
  <si>
    <r>
      <rPr>
        <sz val="12"/>
        <rFont val="微软雅黑"/>
        <charset val="134"/>
      </rPr>
      <t>客释放</t>
    </r>
    <r>
      <rPr>
        <sz val="12"/>
        <rFont val="Arial"/>
        <charset val="0"/>
      </rPr>
      <t>MA</t>
    </r>
    <r>
      <rPr>
        <sz val="12"/>
        <rFont val="微软雅黑"/>
        <charset val="134"/>
      </rPr>
      <t>时间</t>
    </r>
  </si>
  <si>
    <r>
      <rPr>
        <sz val="12"/>
        <rFont val="微软雅黑"/>
        <charset val="134"/>
      </rPr>
      <t>已接实单</t>
    </r>
    <r>
      <rPr>
        <sz val="12"/>
        <rFont val="Arial"/>
        <charset val="0"/>
      </rPr>
      <t>(PCS)</t>
    </r>
  </si>
  <si>
    <r>
      <rPr>
        <sz val="12"/>
        <rFont val="微软雅黑"/>
        <charset val="134"/>
      </rPr>
      <t>物料用量</t>
    </r>
    <r>
      <rPr>
        <sz val="12"/>
        <rFont val="Arial"/>
        <charset val="0"/>
      </rPr>
      <t>(PCS)</t>
    </r>
  </si>
  <si>
    <r>
      <rPr>
        <sz val="12"/>
        <rFont val="Arial"/>
        <charset val="0"/>
      </rPr>
      <t>MA</t>
    </r>
    <r>
      <rPr>
        <sz val="12"/>
        <rFont val="微软雅黑"/>
        <charset val="134"/>
      </rPr>
      <t>余数</t>
    </r>
    <r>
      <rPr>
        <sz val="12"/>
        <rFont val="Arial"/>
        <charset val="0"/>
      </rPr>
      <t>(PCS)</t>
    </r>
  </si>
  <si>
    <r>
      <rPr>
        <sz val="12"/>
        <rFont val="Arial"/>
        <charset val="0"/>
      </rPr>
      <t>MA</t>
    </r>
    <r>
      <rPr>
        <sz val="12"/>
        <rFont val="微软雅黑"/>
        <charset val="134"/>
      </rPr>
      <t>单价（</t>
    </r>
    <r>
      <rPr>
        <sz val="12"/>
        <rFont val="Arial"/>
        <charset val="0"/>
      </rPr>
      <t>USD)</t>
    </r>
  </si>
  <si>
    <r>
      <rPr>
        <sz val="12"/>
        <rFont val="Arial"/>
        <charset val="0"/>
      </rPr>
      <t>MA</t>
    </r>
    <r>
      <rPr>
        <sz val="12"/>
        <rFont val="微软雅黑"/>
        <charset val="134"/>
      </rPr>
      <t>总金额（</t>
    </r>
    <r>
      <rPr>
        <sz val="12"/>
        <rFont val="Arial"/>
        <charset val="0"/>
      </rPr>
      <t>USD)</t>
    </r>
  </si>
  <si>
    <r>
      <rPr>
        <sz val="12"/>
        <rFont val="微软雅黑"/>
        <charset val="134"/>
      </rPr>
      <t>剩余</t>
    </r>
    <r>
      <rPr>
        <sz val="12"/>
        <rFont val="Arial"/>
        <charset val="134"/>
      </rPr>
      <t>MA</t>
    </r>
    <r>
      <rPr>
        <sz val="12"/>
        <rFont val="微软雅黑"/>
        <charset val="134"/>
      </rPr>
      <t>总金额（</t>
    </r>
    <r>
      <rPr>
        <sz val="12"/>
        <rFont val="Arial"/>
        <charset val="134"/>
      </rPr>
      <t>USD)</t>
    </r>
  </si>
  <si>
    <t>包装版本</t>
  </si>
  <si>
    <r>
      <rPr>
        <sz val="12"/>
        <rFont val="微软雅黑"/>
        <charset val="134"/>
      </rPr>
      <t>备注</t>
    </r>
  </si>
  <si>
    <r>
      <rPr>
        <sz val="12"/>
        <rFont val="微软雅黑"/>
        <charset val="134"/>
      </rPr>
      <t>采购情况</t>
    </r>
  </si>
  <si>
    <t>BS064</t>
  </si>
  <si>
    <r>
      <rPr>
        <sz val="12"/>
        <rFont val="Arial"/>
        <charset val="134"/>
      </rPr>
      <t>MINI</t>
    </r>
    <r>
      <rPr>
        <sz val="12"/>
        <rFont val="宋体"/>
        <charset val="134"/>
      </rPr>
      <t>手提包系列</t>
    </r>
  </si>
  <si>
    <t>毛绒+塑胶</t>
  </si>
  <si>
    <r>
      <rPr>
        <sz val="12"/>
        <rFont val="Arial"/>
        <charset val="0"/>
      </rPr>
      <t>2024/7/11</t>
    </r>
    <r>
      <rPr>
        <sz val="12"/>
        <rFont val="宋体"/>
        <charset val="0"/>
      </rPr>
      <t>：</t>
    </r>
    <r>
      <rPr>
        <sz val="12"/>
        <rFont val="Arial"/>
        <charset val="0"/>
      </rPr>
      <t>30K
2024/10/16</t>
    </r>
    <r>
      <rPr>
        <sz val="12"/>
        <rFont val="宋体"/>
        <charset val="0"/>
      </rPr>
      <t>：</t>
    </r>
    <r>
      <rPr>
        <sz val="12"/>
        <rFont val="Arial"/>
        <charset val="0"/>
      </rPr>
      <t>30K
2024/11/5</t>
    </r>
    <r>
      <rPr>
        <sz val="12"/>
        <rFont val="宋体"/>
        <charset val="0"/>
      </rPr>
      <t>：</t>
    </r>
    <r>
      <rPr>
        <sz val="12"/>
        <rFont val="Arial"/>
        <charset val="0"/>
      </rPr>
      <t>30K
2025/4/3</t>
    </r>
    <r>
      <rPr>
        <sz val="12"/>
        <rFont val="宋体"/>
        <charset val="0"/>
      </rPr>
      <t>：</t>
    </r>
    <r>
      <rPr>
        <sz val="12"/>
        <rFont val="Arial"/>
        <charset val="0"/>
      </rPr>
      <t>30K</t>
    </r>
  </si>
  <si>
    <t>0.634</t>
  </si>
  <si>
    <t>吊牌</t>
  </si>
  <si>
    <r>
      <rPr>
        <sz val="12"/>
        <rFont val="Arial"/>
        <charset val="0"/>
      </rPr>
      <t>2025/6/23</t>
    </r>
    <r>
      <rPr>
        <sz val="12"/>
        <rFont val="宋体"/>
        <charset val="0"/>
      </rPr>
      <t>：</t>
    </r>
    <r>
      <rPr>
        <sz val="12"/>
        <rFont val="Arial"/>
        <charset val="0"/>
      </rPr>
      <t>5K</t>
    </r>
  </si>
  <si>
    <t>标准版本</t>
  </si>
  <si>
    <t>传单</t>
  </si>
  <si>
    <t>CDU</t>
  </si>
  <si>
    <r>
      <rPr>
        <sz val="12"/>
        <rFont val="Arial"/>
        <charset val="0"/>
      </rPr>
      <t>2025/6/23</t>
    </r>
    <r>
      <rPr>
        <sz val="12"/>
        <rFont val="宋体"/>
        <charset val="0"/>
      </rPr>
      <t>：</t>
    </r>
    <r>
      <rPr>
        <sz val="12"/>
        <rFont val="Arial"/>
        <charset val="0"/>
      </rPr>
      <t>1K</t>
    </r>
  </si>
  <si>
    <r>
      <rPr>
        <sz val="12"/>
        <rFont val="Arial"/>
        <charset val="0"/>
      </rPr>
      <t>2025/3/7</t>
    </r>
    <r>
      <rPr>
        <sz val="12"/>
        <rFont val="宋体"/>
        <charset val="0"/>
      </rPr>
      <t>：</t>
    </r>
    <r>
      <rPr>
        <sz val="12"/>
        <rFont val="Arial"/>
        <charset val="0"/>
      </rPr>
      <t>5K</t>
    </r>
  </si>
  <si>
    <r>
      <rPr>
        <sz val="12"/>
        <rFont val="Arial"/>
        <charset val="0"/>
      </rPr>
      <t>2025/3/7</t>
    </r>
    <r>
      <rPr>
        <sz val="12"/>
        <rFont val="宋体"/>
        <charset val="0"/>
      </rPr>
      <t>：</t>
    </r>
    <r>
      <rPr>
        <sz val="12"/>
        <rFont val="Arial"/>
        <charset val="0"/>
      </rPr>
      <t>1K</t>
    </r>
  </si>
  <si>
    <r>
      <rPr>
        <sz val="12"/>
        <rFont val="Arial"/>
        <charset val="0"/>
      </rPr>
      <t>2025/11/03</t>
    </r>
    <r>
      <rPr>
        <sz val="12"/>
        <rFont val="宋体"/>
        <charset val="0"/>
      </rPr>
      <t>：</t>
    </r>
    <r>
      <rPr>
        <sz val="12"/>
        <rFont val="Arial"/>
        <charset val="0"/>
      </rPr>
      <t>5K</t>
    </r>
  </si>
  <si>
    <t>标准3L包装</t>
  </si>
  <si>
    <r>
      <rPr>
        <sz val="12"/>
        <rFont val="Arial"/>
        <charset val="0"/>
      </rPr>
      <t>2025/11/03</t>
    </r>
    <r>
      <rPr>
        <sz val="12"/>
        <rFont val="宋体"/>
        <charset val="0"/>
      </rPr>
      <t>：</t>
    </r>
    <r>
      <rPr>
        <sz val="12"/>
        <rFont val="Arial"/>
        <charset val="0"/>
      </rPr>
      <t>1K</t>
    </r>
  </si>
  <si>
    <t>BS065</t>
  </si>
  <si>
    <r>
      <rPr>
        <sz val="12"/>
        <rFont val="Arial"/>
        <charset val="0"/>
      </rPr>
      <t>2025/2/6</t>
    </r>
    <r>
      <rPr>
        <sz val="12"/>
        <rFont val="宋体"/>
        <charset val="0"/>
      </rPr>
      <t>：</t>
    </r>
    <r>
      <rPr>
        <sz val="12"/>
        <rFont val="Arial"/>
        <charset val="0"/>
      </rPr>
      <t>30K
2025/2/12</t>
    </r>
    <r>
      <rPr>
        <sz val="12"/>
        <rFont val="宋体"/>
        <charset val="0"/>
      </rPr>
      <t>：</t>
    </r>
    <r>
      <rPr>
        <sz val="12"/>
        <rFont val="Arial"/>
        <charset val="0"/>
      </rPr>
      <t>30K
2025/4/3</t>
    </r>
    <r>
      <rPr>
        <sz val="12"/>
        <rFont val="宋体"/>
        <charset val="0"/>
      </rPr>
      <t>：</t>
    </r>
    <r>
      <rPr>
        <sz val="12"/>
        <rFont val="Arial"/>
        <charset val="0"/>
      </rPr>
      <t>30K
2025/5/20</t>
    </r>
    <r>
      <rPr>
        <sz val="12"/>
        <rFont val="宋体"/>
        <charset val="0"/>
      </rPr>
      <t>：</t>
    </r>
    <r>
      <rPr>
        <sz val="12"/>
        <rFont val="Arial"/>
        <charset val="0"/>
      </rPr>
      <t>30K</t>
    </r>
  </si>
  <si>
    <t>含公仔</t>
  </si>
  <si>
    <t>收缩膜</t>
  </si>
  <si>
    <r>
      <rPr>
        <sz val="12"/>
        <rFont val="Arial"/>
        <charset val="0"/>
      </rPr>
      <t>2025/2/6</t>
    </r>
    <r>
      <rPr>
        <sz val="12"/>
        <rFont val="宋体"/>
        <charset val="0"/>
      </rPr>
      <t>：</t>
    </r>
    <r>
      <rPr>
        <sz val="12"/>
        <rFont val="Arial"/>
        <charset val="0"/>
      </rPr>
      <t>20K
2025/3/5</t>
    </r>
    <r>
      <rPr>
        <sz val="12"/>
        <rFont val="宋体"/>
        <charset val="0"/>
      </rPr>
      <t>：</t>
    </r>
    <r>
      <rPr>
        <sz val="12"/>
        <rFont val="Arial"/>
        <charset val="0"/>
      </rPr>
      <t>20K
2025/4/8</t>
    </r>
    <r>
      <rPr>
        <sz val="12"/>
        <rFont val="宋体"/>
        <charset val="0"/>
      </rPr>
      <t>：</t>
    </r>
    <r>
      <rPr>
        <sz val="12"/>
        <rFont val="Arial"/>
        <charset val="0"/>
      </rPr>
      <t>20K</t>
    </r>
  </si>
  <si>
    <r>
      <rPr>
        <sz val="12"/>
        <rFont val="Arial"/>
        <charset val="0"/>
      </rPr>
      <t>2025/2/6</t>
    </r>
    <r>
      <rPr>
        <sz val="12"/>
        <rFont val="宋体"/>
        <charset val="0"/>
      </rPr>
      <t>：</t>
    </r>
    <r>
      <rPr>
        <sz val="12"/>
        <rFont val="Arial"/>
        <charset val="0"/>
      </rPr>
      <t>5K
2025/3/5</t>
    </r>
    <r>
      <rPr>
        <sz val="12"/>
        <rFont val="宋体"/>
        <charset val="0"/>
      </rPr>
      <t>：</t>
    </r>
    <r>
      <rPr>
        <sz val="12"/>
        <rFont val="Arial"/>
        <charset val="0"/>
      </rPr>
      <t>5K
2025/4/8</t>
    </r>
    <r>
      <rPr>
        <sz val="12"/>
        <rFont val="宋体"/>
        <charset val="0"/>
      </rPr>
      <t>：</t>
    </r>
    <r>
      <rPr>
        <sz val="12"/>
        <rFont val="Arial"/>
        <charset val="0"/>
      </rPr>
      <t>5K
2025/10/23</t>
    </r>
    <r>
      <rPr>
        <sz val="12"/>
        <rFont val="宋体"/>
        <charset val="0"/>
      </rPr>
      <t>：</t>
    </r>
    <r>
      <rPr>
        <sz val="12"/>
        <rFont val="Arial"/>
        <charset val="0"/>
      </rPr>
      <t>5K</t>
    </r>
  </si>
  <si>
    <t>身份证</t>
  </si>
  <si>
    <r>
      <rPr>
        <sz val="12"/>
        <rFont val="Arial"/>
        <charset val="0"/>
      </rPr>
      <t>2025/2/6</t>
    </r>
    <r>
      <rPr>
        <sz val="12"/>
        <rFont val="宋体"/>
        <charset val="0"/>
      </rPr>
      <t>：</t>
    </r>
    <r>
      <rPr>
        <sz val="12"/>
        <rFont val="Arial"/>
        <charset val="0"/>
      </rPr>
      <t>5K
2025/3/5</t>
    </r>
    <r>
      <rPr>
        <sz val="12"/>
        <rFont val="宋体"/>
        <charset val="0"/>
      </rPr>
      <t>：</t>
    </r>
    <r>
      <rPr>
        <sz val="12"/>
        <rFont val="Arial"/>
        <charset val="0"/>
      </rPr>
      <t>5K
2025/4/8</t>
    </r>
    <r>
      <rPr>
        <sz val="12"/>
        <rFont val="宋体"/>
        <charset val="0"/>
      </rPr>
      <t>：</t>
    </r>
    <r>
      <rPr>
        <sz val="12"/>
        <rFont val="Arial"/>
        <charset val="0"/>
      </rPr>
      <t>5K
2025/11/6</t>
    </r>
    <r>
      <rPr>
        <sz val="12"/>
        <rFont val="宋体"/>
        <charset val="0"/>
      </rPr>
      <t>：</t>
    </r>
    <r>
      <rPr>
        <sz val="12"/>
        <rFont val="Arial"/>
        <charset val="0"/>
      </rPr>
      <t>5K</t>
    </r>
  </si>
  <si>
    <r>
      <rPr>
        <sz val="12"/>
        <rFont val="Arial"/>
        <charset val="0"/>
      </rPr>
      <t>2025/2/6</t>
    </r>
    <r>
      <rPr>
        <sz val="12"/>
        <rFont val="宋体"/>
        <charset val="0"/>
      </rPr>
      <t>：</t>
    </r>
    <r>
      <rPr>
        <sz val="12"/>
        <rFont val="Arial"/>
        <charset val="0"/>
      </rPr>
      <t>1K
2025/3/5</t>
    </r>
    <r>
      <rPr>
        <sz val="12"/>
        <rFont val="宋体"/>
        <charset val="0"/>
      </rPr>
      <t>：</t>
    </r>
    <r>
      <rPr>
        <sz val="12"/>
        <rFont val="Arial"/>
        <charset val="0"/>
      </rPr>
      <t>1K
2025/4/8</t>
    </r>
    <r>
      <rPr>
        <sz val="12"/>
        <rFont val="宋体"/>
        <charset val="0"/>
      </rPr>
      <t>：</t>
    </r>
    <r>
      <rPr>
        <sz val="12"/>
        <rFont val="Arial"/>
        <charset val="0"/>
      </rPr>
      <t>1K
2025/11/6</t>
    </r>
    <r>
      <rPr>
        <sz val="12"/>
        <rFont val="宋体"/>
        <charset val="0"/>
      </rPr>
      <t>：</t>
    </r>
    <r>
      <rPr>
        <sz val="12"/>
        <rFont val="Arial"/>
        <charset val="0"/>
      </rPr>
      <t>1K</t>
    </r>
  </si>
  <si>
    <t>2025/6/17:20K</t>
  </si>
  <si>
    <t>BS067</t>
  </si>
  <si>
    <r>
      <rPr>
        <sz val="12"/>
        <rFont val="Arial"/>
        <charset val="0"/>
      </rPr>
      <t>2024/7/12</t>
    </r>
    <r>
      <rPr>
        <sz val="12"/>
        <rFont val="宋体"/>
        <charset val="0"/>
      </rPr>
      <t>：</t>
    </r>
    <r>
      <rPr>
        <sz val="12"/>
        <rFont val="Arial"/>
        <charset val="0"/>
      </rPr>
      <t>30K
2024/10/16</t>
    </r>
    <r>
      <rPr>
        <sz val="12"/>
        <rFont val="宋体"/>
        <charset val="0"/>
      </rPr>
      <t>：</t>
    </r>
    <r>
      <rPr>
        <sz val="12"/>
        <rFont val="Arial"/>
        <charset val="0"/>
      </rPr>
      <t>30K
2024/11/5</t>
    </r>
    <r>
      <rPr>
        <sz val="12"/>
        <rFont val="宋体"/>
        <charset val="0"/>
      </rPr>
      <t>：</t>
    </r>
    <r>
      <rPr>
        <sz val="12"/>
        <rFont val="Arial"/>
        <charset val="0"/>
      </rPr>
      <t>30K</t>
    </r>
  </si>
  <si>
    <r>
      <rPr>
        <sz val="12"/>
        <rFont val="Arial"/>
        <charset val="0"/>
      </rPr>
      <t>2025/4/8</t>
    </r>
    <r>
      <rPr>
        <sz val="12"/>
        <rFont val="宋体"/>
        <charset val="0"/>
      </rPr>
      <t>：</t>
    </r>
    <r>
      <rPr>
        <sz val="12"/>
        <rFont val="Arial"/>
        <charset val="0"/>
      </rPr>
      <t>20K</t>
    </r>
  </si>
  <si>
    <r>
      <rPr>
        <sz val="12"/>
        <rFont val="Arial"/>
        <charset val="0"/>
      </rPr>
      <t>2025/4/8</t>
    </r>
    <r>
      <rPr>
        <sz val="12"/>
        <rFont val="宋体"/>
        <charset val="0"/>
      </rPr>
      <t>：</t>
    </r>
    <r>
      <rPr>
        <sz val="12"/>
        <rFont val="Arial"/>
        <charset val="0"/>
      </rPr>
      <t>5K
2025/5/12</t>
    </r>
    <r>
      <rPr>
        <sz val="12"/>
        <rFont val="宋体"/>
        <charset val="0"/>
      </rPr>
      <t>：</t>
    </r>
    <r>
      <rPr>
        <sz val="12"/>
        <rFont val="Arial"/>
        <charset val="0"/>
      </rPr>
      <t>5K
2025/6/3</t>
    </r>
    <r>
      <rPr>
        <sz val="12"/>
        <rFont val="宋体"/>
        <charset val="0"/>
      </rPr>
      <t>：</t>
    </r>
    <r>
      <rPr>
        <sz val="12"/>
        <rFont val="Arial"/>
        <charset val="0"/>
      </rPr>
      <t>5K
2025/11/25</t>
    </r>
    <r>
      <rPr>
        <sz val="12"/>
        <rFont val="宋体"/>
        <charset val="0"/>
      </rPr>
      <t>：</t>
    </r>
    <r>
      <rPr>
        <sz val="12"/>
        <rFont val="Arial"/>
        <charset val="0"/>
      </rPr>
      <t>5K</t>
    </r>
  </si>
  <si>
    <r>
      <rPr>
        <sz val="12"/>
        <rFont val="Arial"/>
        <charset val="0"/>
      </rPr>
      <t>2025/4/8</t>
    </r>
    <r>
      <rPr>
        <sz val="12"/>
        <rFont val="宋体"/>
        <charset val="0"/>
      </rPr>
      <t>：</t>
    </r>
    <r>
      <rPr>
        <sz val="12"/>
        <rFont val="Arial"/>
        <charset val="0"/>
      </rPr>
      <t>1K
2025/10/23</t>
    </r>
    <r>
      <rPr>
        <sz val="12"/>
        <rFont val="宋体"/>
        <charset val="0"/>
      </rPr>
      <t>：</t>
    </r>
    <r>
      <rPr>
        <sz val="12"/>
        <rFont val="Arial"/>
        <charset val="0"/>
      </rPr>
      <t>1K</t>
    </r>
  </si>
  <si>
    <r>
      <rPr>
        <sz val="12"/>
        <rFont val="Arial"/>
        <charset val="0"/>
      </rPr>
      <t>2025/3/7</t>
    </r>
    <r>
      <rPr>
        <sz val="12"/>
        <rFont val="宋体"/>
        <charset val="0"/>
      </rPr>
      <t>：</t>
    </r>
    <r>
      <rPr>
        <sz val="12"/>
        <rFont val="Arial"/>
        <charset val="0"/>
      </rPr>
      <t>1K
2025/6/6</t>
    </r>
    <r>
      <rPr>
        <sz val="12"/>
        <rFont val="宋体"/>
        <charset val="0"/>
      </rPr>
      <t>：</t>
    </r>
    <r>
      <rPr>
        <sz val="12"/>
        <rFont val="Arial"/>
        <charset val="0"/>
      </rPr>
      <t>1K</t>
    </r>
  </si>
  <si>
    <t>BS068</t>
  </si>
  <si>
    <r>
      <rPr>
        <sz val="12"/>
        <rFont val="Arial"/>
        <charset val="134"/>
      </rPr>
      <t>MINI</t>
    </r>
    <r>
      <rPr>
        <sz val="12"/>
        <rFont val="宋体"/>
        <charset val="134"/>
      </rPr>
      <t>猫</t>
    </r>
    <r>
      <rPr>
        <sz val="12"/>
        <rFont val="Arial"/>
        <charset val="134"/>
      </rPr>
      <t>+</t>
    </r>
    <r>
      <rPr>
        <sz val="12"/>
        <rFont val="宋体"/>
        <charset val="134"/>
      </rPr>
      <t>狗手提包系列</t>
    </r>
  </si>
  <si>
    <t>塑胶</t>
  </si>
  <si>
    <r>
      <rPr>
        <sz val="12"/>
        <rFont val="Arial"/>
        <charset val="0"/>
      </rPr>
      <t>2025/11/5</t>
    </r>
    <r>
      <rPr>
        <sz val="12"/>
        <rFont val="宋体"/>
        <charset val="0"/>
      </rPr>
      <t>：</t>
    </r>
    <r>
      <rPr>
        <sz val="12"/>
        <rFont val="Arial"/>
        <charset val="0"/>
      </rPr>
      <t>30K</t>
    </r>
  </si>
  <si>
    <r>
      <rPr>
        <sz val="12"/>
        <rFont val="Arial"/>
        <charset val="0"/>
      </rPr>
      <t>2026/4/21</t>
    </r>
    <r>
      <rPr>
        <sz val="12"/>
        <rFont val="宋体"/>
        <charset val="0"/>
      </rPr>
      <t>：</t>
    </r>
    <r>
      <rPr>
        <sz val="12"/>
        <rFont val="Arial"/>
        <charset val="0"/>
      </rPr>
      <t>0.5K</t>
    </r>
  </si>
  <si>
    <r>
      <rPr>
        <sz val="12"/>
        <rFont val="Arial"/>
        <charset val="0"/>
      </rPr>
      <t>2026/4/21</t>
    </r>
    <r>
      <rPr>
        <sz val="12"/>
        <rFont val="宋体"/>
        <charset val="0"/>
      </rPr>
      <t>：</t>
    </r>
    <r>
      <rPr>
        <sz val="12"/>
        <rFont val="Arial"/>
        <charset val="0"/>
      </rPr>
      <t>5K</t>
    </r>
  </si>
  <si>
    <r>
      <rPr>
        <sz val="12"/>
        <rFont val="Arial"/>
        <charset val="134"/>
      </rPr>
      <t xml:space="preserve"> HTIC LIMITED </t>
    </r>
    <r>
      <rPr>
        <sz val="12"/>
        <rFont val="宋体"/>
        <charset val="134"/>
      </rPr>
      <t>客版</t>
    </r>
  </si>
  <si>
    <t>纸袋</t>
  </si>
  <si>
    <r>
      <rPr>
        <sz val="12"/>
        <rFont val="Arial"/>
        <charset val="0"/>
      </rPr>
      <t>2025/11/5</t>
    </r>
    <r>
      <rPr>
        <sz val="12"/>
        <rFont val="宋体"/>
        <charset val="0"/>
      </rPr>
      <t>：</t>
    </r>
    <r>
      <rPr>
        <sz val="12"/>
        <rFont val="Arial"/>
        <charset val="0"/>
      </rPr>
      <t>20K</t>
    </r>
  </si>
  <si>
    <t>BS069</t>
  </si>
  <si>
    <r>
      <rPr>
        <sz val="12"/>
        <rFont val="Arial"/>
        <charset val="0"/>
      </rPr>
      <t>2025/2/6</t>
    </r>
    <r>
      <rPr>
        <sz val="12"/>
        <rFont val="宋体"/>
        <charset val="0"/>
      </rPr>
      <t>：</t>
    </r>
    <r>
      <rPr>
        <sz val="12"/>
        <rFont val="Arial"/>
        <charset val="0"/>
      </rPr>
      <t>5K
2025/2/27</t>
    </r>
    <r>
      <rPr>
        <sz val="12"/>
        <rFont val="宋体"/>
        <charset val="0"/>
      </rPr>
      <t>：</t>
    </r>
    <r>
      <rPr>
        <sz val="12"/>
        <rFont val="Arial"/>
        <charset val="0"/>
      </rPr>
      <t>5K
2025/4/16</t>
    </r>
    <r>
      <rPr>
        <sz val="12"/>
        <rFont val="宋体"/>
        <charset val="0"/>
      </rPr>
      <t>：</t>
    </r>
    <r>
      <rPr>
        <sz val="12"/>
        <rFont val="Arial"/>
        <charset val="0"/>
      </rPr>
      <t>5K
2025/5/21</t>
    </r>
    <r>
      <rPr>
        <sz val="12"/>
        <rFont val="宋体"/>
        <charset val="0"/>
      </rPr>
      <t>：</t>
    </r>
    <r>
      <rPr>
        <sz val="12"/>
        <rFont val="Arial"/>
        <charset val="0"/>
      </rPr>
      <t>5K</t>
    </r>
  </si>
  <si>
    <t>彩盒</t>
  </si>
  <si>
    <r>
      <rPr>
        <sz val="12"/>
        <rFont val="Arial"/>
        <charset val="0"/>
      </rPr>
      <t>2025/2/6</t>
    </r>
    <r>
      <rPr>
        <sz val="12"/>
        <rFont val="宋体"/>
        <charset val="0"/>
      </rPr>
      <t>：</t>
    </r>
    <r>
      <rPr>
        <sz val="12"/>
        <rFont val="Arial"/>
        <charset val="0"/>
      </rPr>
      <t>5K
2025/6/17</t>
    </r>
    <r>
      <rPr>
        <sz val="12"/>
        <rFont val="宋体"/>
        <charset val="0"/>
      </rPr>
      <t>：</t>
    </r>
    <r>
      <rPr>
        <sz val="12"/>
        <rFont val="Arial"/>
        <charset val="0"/>
      </rPr>
      <t>5K</t>
    </r>
  </si>
  <si>
    <r>
      <rPr>
        <sz val="12"/>
        <rFont val="Arial"/>
        <charset val="0"/>
      </rPr>
      <t>2025/2/6</t>
    </r>
    <r>
      <rPr>
        <sz val="12"/>
        <rFont val="宋体"/>
        <charset val="0"/>
      </rPr>
      <t>：</t>
    </r>
    <r>
      <rPr>
        <sz val="12"/>
        <rFont val="Arial"/>
        <charset val="0"/>
      </rPr>
      <t>5K</t>
    </r>
  </si>
  <si>
    <r>
      <rPr>
        <sz val="12"/>
        <rFont val="Arial"/>
        <charset val="0"/>
      </rPr>
      <t>2025/6/17</t>
    </r>
    <r>
      <rPr>
        <sz val="12"/>
        <rFont val="宋体"/>
        <charset val="0"/>
      </rPr>
      <t>：</t>
    </r>
    <r>
      <rPr>
        <sz val="12"/>
        <rFont val="Arial"/>
        <charset val="0"/>
      </rPr>
      <t>5K</t>
    </r>
  </si>
  <si>
    <r>
      <rPr>
        <sz val="12"/>
        <rFont val="Arial"/>
        <charset val="134"/>
      </rPr>
      <t>MAXIMA (Lithuania)</t>
    </r>
    <r>
      <rPr>
        <sz val="12"/>
        <rFont val="宋体"/>
        <charset val="134"/>
      </rPr>
      <t>客版</t>
    </r>
  </si>
  <si>
    <t>珠子</t>
  </si>
  <si>
    <r>
      <rPr>
        <sz val="12"/>
        <rFont val="Arial"/>
        <charset val="0"/>
      </rPr>
      <t>2025/2/6</t>
    </r>
    <r>
      <rPr>
        <sz val="12"/>
        <rFont val="宋体"/>
        <charset val="0"/>
      </rPr>
      <t>：</t>
    </r>
    <r>
      <rPr>
        <sz val="12"/>
        <rFont val="Arial"/>
        <charset val="0"/>
      </rPr>
      <t>120K
2025/4/3</t>
    </r>
    <r>
      <rPr>
        <sz val="12"/>
        <rFont val="宋体"/>
        <charset val="0"/>
      </rPr>
      <t>：</t>
    </r>
    <r>
      <rPr>
        <sz val="12"/>
        <rFont val="Arial"/>
        <charset val="0"/>
      </rPr>
      <t>120K
2025/5/21:120K</t>
    </r>
  </si>
  <si>
    <t>BS071</t>
  </si>
  <si>
    <r>
      <rPr>
        <sz val="12"/>
        <rFont val="Arial"/>
        <charset val="0"/>
      </rPr>
      <t>2025/3/17</t>
    </r>
    <r>
      <rPr>
        <sz val="12"/>
        <rFont val="宋体"/>
        <charset val="0"/>
      </rPr>
      <t>：</t>
    </r>
    <r>
      <rPr>
        <sz val="12"/>
        <rFont val="Arial"/>
        <charset val="0"/>
      </rPr>
      <t>20K
2025/5/9</t>
    </r>
    <r>
      <rPr>
        <sz val="12"/>
        <rFont val="宋体"/>
        <charset val="0"/>
      </rPr>
      <t>：</t>
    </r>
    <r>
      <rPr>
        <sz val="12"/>
        <rFont val="Arial"/>
        <charset val="0"/>
      </rPr>
      <t>5K
2025/7/22:15224PCS
2025/7/22:17640PCS
2025/7/31</t>
    </r>
    <r>
      <rPr>
        <sz val="12"/>
        <rFont val="宋体"/>
        <charset val="0"/>
      </rPr>
      <t>：</t>
    </r>
    <r>
      <rPr>
        <sz val="12"/>
        <rFont val="Arial"/>
        <charset val="0"/>
      </rPr>
      <t>5K
2025/8/27</t>
    </r>
    <r>
      <rPr>
        <sz val="12"/>
        <rFont val="宋体"/>
        <charset val="0"/>
      </rPr>
      <t>：</t>
    </r>
    <r>
      <rPr>
        <sz val="12"/>
        <rFont val="Arial"/>
        <charset val="0"/>
      </rPr>
      <t>10K</t>
    </r>
  </si>
  <si>
    <r>
      <rPr>
        <sz val="12"/>
        <rFont val="Arial"/>
        <charset val="0"/>
      </rPr>
      <t>2025/4/3</t>
    </r>
    <r>
      <rPr>
        <sz val="12"/>
        <rFont val="宋体"/>
        <charset val="0"/>
      </rPr>
      <t>：</t>
    </r>
    <r>
      <rPr>
        <sz val="12"/>
        <rFont val="Arial"/>
        <charset val="0"/>
      </rPr>
      <t>5K</t>
    </r>
  </si>
  <si>
    <r>
      <rPr>
        <sz val="12"/>
        <rFont val="Arial"/>
        <charset val="0"/>
      </rPr>
      <t>2025/4/3</t>
    </r>
    <r>
      <rPr>
        <sz val="12"/>
        <rFont val="宋体"/>
        <charset val="0"/>
      </rPr>
      <t>：</t>
    </r>
    <r>
      <rPr>
        <sz val="12"/>
        <rFont val="Arial"/>
        <charset val="0"/>
      </rPr>
      <t>20K</t>
    </r>
  </si>
  <si>
    <r>
      <rPr>
        <sz val="12"/>
        <rFont val="Arial"/>
        <charset val="0"/>
      </rPr>
      <t>2025/4/3</t>
    </r>
    <r>
      <rPr>
        <sz val="12"/>
        <rFont val="宋体"/>
        <charset val="0"/>
      </rPr>
      <t>：</t>
    </r>
    <r>
      <rPr>
        <sz val="12"/>
        <rFont val="Arial"/>
        <charset val="0"/>
      </rPr>
      <t>1K
2025/6/17</t>
    </r>
    <r>
      <rPr>
        <sz val="12"/>
        <rFont val="宋体"/>
        <charset val="0"/>
      </rPr>
      <t>：</t>
    </r>
    <r>
      <rPr>
        <sz val="12"/>
        <rFont val="Arial"/>
        <charset val="0"/>
      </rPr>
      <t>1K</t>
    </r>
  </si>
  <si>
    <t>KMART标准共用</t>
  </si>
  <si>
    <r>
      <rPr>
        <sz val="12"/>
        <rFont val="Arial"/>
        <charset val="0"/>
      </rPr>
      <t>2025/6/17</t>
    </r>
    <r>
      <rPr>
        <sz val="12"/>
        <rFont val="宋体"/>
        <charset val="0"/>
      </rPr>
      <t>：</t>
    </r>
    <r>
      <rPr>
        <sz val="12"/>
        <rFont val="Arial"/>
        <charset val="0"/>
      </rPr>
      <t>20K</t>
    </r>
  </si>
  <si>
    <t>BS074</t>
  </si>
  <si>
    <r>
      <rPr>
        <sz val="12"/>
        <rFont val="Arial"/>
        <charset val="0"/>
      </rPr>
      <t>2025/11/6</t>
    </r>
    <r>
      <rPr>
        <sz val="12"/>
        <rFont val="宋体"/>
        <charset val="0"/>
      </rPr>
      <t>：</t>
    </r>
    <r>
      <rPr>
        <sz val="12"/>
        <rFont val="Arial"/>
        <charset val="0"/>
      </rPr>
      <t>20K</t>
    </r>
  </si>
  <si>
    <t>无公仔</t>
  </si>
  <si>
    <t>指甲油</t>
  </si>
  <si>
    <r>
      <rPr>
        <sz val="12"/>
        <rFont val="Arial"/>
        <charset val="0"/>
      </rPr>
      <t>2025/10/23</t>
    </r>
    <r>
      <rPr>
        <sz val="12"/>
        <rFont val="宋体"/>
        <charset val="0"/>
      </rPr>
      <t>：</t>
    </r>
    <r>
      <rPr>
        <sz val="12"/>
        <rFont val="Arial"/>
        <charset val="0"/>
      </rPr>
      <t>20K</t>
    </r>
  </si>
  <si>
    <t>指甲贴</t>
  </si>
  <si>
    <r>
      <rPr>
        <sz val="12"/>
        <rFont val="Arial"/>
        <charset val="0"/>
      </rPr>
      <t>2025/10/23</t>
    </r>
    <r>
      <rPr>
        <sz val="12"/>
        <rFont val="宋体"/>
        <charset val="0"/>
      </rPr>
      <t>：</t>
    </r>
    <r>
      <rPr>
        <sz val="12"/>
        <rFont val="Arial"/>
        <charset val="0"/>
      </rPr>
      <t>30K</t>
    </r>
  </si>
  <si>
    <t>模板贴纸</t>
  </si>
  <si>
    <r>
      <rPr>
        <sz val="12"/>
        <rFont val="Arial"/>
        <charset val="0"/>
      </rPr>
      <t>2025/10/23</t>
    </r>
    <r>
      <rPr>
        <sz val="12"/>
        <rFont val="宋体"/>
        <charset val="0"/>
      </rPr>
      <t>：</t>
    </r>
    <r>
      <rPr>
        <sz val="12"/>
        <rFont val="Arial"/>
        <charset val="0"/>
      </rPr>
      <t>1K
2026/4/21</t>
    </r>
    <r>
      <rPr>
        <sz val="12"/>
        <rFont val="宋体"/>
        <charset val="0"/>
      </rPr>
      <t>：</t>
    </r>
    <r>
      <rPr>
        <sz val="12"/>
        <rFont val="Arial"/>
        <charset val="0"/>
      </rPr>
      <t>1K</t>
    </r>
  </si>
  <si>
    <r>
      <rPr>
        <sz val="12"/>
        <rFont val="Arial"/>
        <charset val="0"/>
      </rPr>
      <t>2025/10/23</t>
    </r>
    <r>
      <rPr>
        <sz val="12"/>
        <rFont val="宋体"/>
        <charset val="0"/>
      </rPr>
      <t>：</t>
    </r>
    <r>
      <rPr>
        <sz val="12"/>
        <rFont val="Arial"/>
        <charset val="0"/>
      </rPr>
      <t>5K</t>
    </r>
  </si>
  <si>
    <t>银行卡</t>
  </si>
  <si>
    <r>
      <rPr>
        <sz val="12"/>
        <rFont val="Arial"/>
        <charset val="0"/>
      </rPr>
      <t>2025/10/23</t>
    </r>
    <r>
      <rPr>
        <sz val="12"/>
        <rFont val="宋体"/>
        <charset val="0"/>
      </rPr>
      <t>：</t>
    </r>
    <r>
      <rPr>
        <sz val="12"/>
        <rFont val="Arial"/>
        <charset val="0"/>
      </rPr>
      <t xml:space="preserve">5K
</t>
    </r>
  </si>
  <si>
    <t>2026/4/21：5K</t>
  </si>
  <si>
    <t>HTIC LIMITED客版</t>
  </si>
  <si>
    <r>
      <rPr>
        <sz val="12"/>
        <rFont val="Arial"/>
        <charset val="0"/>
      </rPr>
      <t>2025/10/23</t>
    </r>
    <r>
      <rPr>
        <sz val="12"/>
        <rFont val="宋体"/>
        <charset val="0"/>
      </rPr>
      <t>：</t>
    </r>
    <r>
      <rPr>
        <sz val="12"/>
        <rFont val="Arial"/>
        <charset val="0"/>
      </rPr>
      <t>5K
2026/4/21</t>
    </r>
    <r>
      <rPr>
        <sz val="12"/>
        <rFont val="宋体"/>
        <charset val="0"/>
      </rPr>
      <t>：</t>
    </r>
    <r>
      <rPr>
        <sz val="12"/>
        <rFont val="Arial"/>
        <charset val="0"/>
      </rPr>
      <t>5K</t>
    </r>
  </si>
  <si>
    <t>BS077</t>
  </si>
  <si>
    <r>
      <rPr>
        <sz val="12"/>
        <rFont val="Arial"/>
        <charset val="0"/>
      </rPr>
      <t>2025/7/9</t>
    </r>
    <r>
      <rPr>
        <sz val="12"/>
        <rFont val="宋体"/>
        <charset val="0"/>
      </rPr>
      <t>：</t>
    </r>
    <r>
      <rPr>
        <sz val="12"/>
        <rFont val="Arial"/>
        <charset val="0"/>
      </rPr>
      <t>5K
2025/8/21</t>
    </r>
    <r>
      <rPr>
        <sz val="12"/>
        <rFont val="宋体"/>
        <charset val="0"/>
      </rPr>
      <t>：</t>
    </r>
    <r>
      <rPr>
        <sz val="12"/>
        <rFont val="Arial"/>
        <charset val="0"/>
      </rPr>
      <t>5K</t>
    </r>
  </si>
  <si>
    <r>
      <rPr>
        <sz val="12"/>
        <rFont val="Arial"/>
        <charset val="0"/>
      </rPr>
      <t>2025/7/18</t>
    </r>
    <r>
      <rPr>
        <sz val="12"/>
        <rFont val="宋体"/>
        <charset val="0"/>
      </rPr>
      <t>：</t>
    </r>
    <r>
      <rPr>
        <sz val="12"/>
        <rFont val="Arial"/>
        <charset val="0"/>
      </rPr>
      <t>20K</t>
    </r>
  </si>
  <si>
    <r>
      <rPr>
        <sz val="12"/>
        <rFont val="Arial"/>
        <charset val="0"/>
      </rPr>
      <t>2025/7/18</t>
    </r>
    <r>
      <rPr>
        <sz val="12"/>
        <rFont val="宋体"/>
        <charset val="0"/>
      </rPr>
      <t>：</t>
    </r>
    <r>
      <rPr>
        <sz val="12"/>
        <rFont val="Arial"/>
        <charset val="0"/>
      </rPr>
      <t>5K</t>
    </r>
  </si>
  <si>
    <r>
      <rPr>
        <sz val="12"/>
        <rFont val="Arial"/>
        <charset val="0"/>
      </rPr>
      <t>2025/7/18</t>
    </r>
    <r>
      <rPr>
        <sz val="12"/>
        <rFont val="宋体"/>
        <charset val="0"/>
      </rPr>
      <t>：</t>
    </r>
    <r>
      <rPr>
        <sz val="12"/>
        <rFont val="Arial"/>
        <charset val="0"/>
      </rPr>
      <t>1K</t>
    </r>
  </si>
  <si>
    <t>BS082</t>
  </si>
  <si>
    <r>
      <rPr>
        <sz val="12"/>
        <rFont val="Arial"/>
        <charset val="0"/>
      </rPr>
      <t>2025/11/7</t>
    </r>
    <r>
      <rPr>
        <sz val="12"/>
        <rFont val="宋体"/>
        <charset val="0"/>
      </rPr>
      <t>：</t>
    </r>
    <r>
      <rPr>
        <sz val="12"/>
        <rFont val="Arial"/>
        <charset val="0"/>
      </rPr>
      <t>30K</t>
    </r>
  </si>
  <si>
    <r>
      <rPr>
        <sz val="12"/>
        <rFont val="Arial"/>
        <charset val="0"/>
      </rPr>
      <t>2025/11/6</t>
    </r>
    <r>
      <rPr>
        <sz val="12"/>
        <rFont val="宋体"/>
        <charset val="0"/>
      </rPr>
      <t>：</t>
    </r>
    <r>
      <rPr>
        <sz val="12"/>
        <rFont val="Arial"/>
        <charset val="0"/>
      </rPr>
      <t>5K</t>
    </r>
  </si>
  <si>
    <t>BS083</t>
  </si>
  <si>
    <r>
      <rPr>
        <sz val="12"/>
        <rFont val="Arial"/>
        <charset val="0"/>
      </rPr>
      <t>2025/12/5</t>
    </r>
    <r>
      <rPr>
        <sz val="12"/>
        <rFont val="宋体"/>
        <charset val="0"/>
      </rPr>
      <t>：</t>
    </r>
    <r>
      <rPr>
        <sz val="12"/>
        <rFont val="Arial"/>
        <charset val="0"/>
      </rPr>
      <t>30K</t>
    </r>
  </si>
  <si>
    <r>
      <rPr>
        <sz val="12"/>
        <rFont val="Arial"/>
        <charset val="0"/>
      </rPr>
      <t>2025/12/8</t>
    </r>
    <r>
      <rPr>
        <sz val="12"/>
        <rFont val="宋体"/>
        <charset val="0"/>
      </rPr>
      <t>：</t>
    </r>
    <r>
      <rPr>
        <sz val="12"/>
        <rFont val="Arial"/>
        <charset val="0"/>
      </rPr>
      <t>20K</t>
    </r>
  </si>
  <si>
    <r>
      <rPr>
        <sz val="12"/>
        <rFont val="Arial"/>
        <charset val="0"/>
      </rPr>
      <t>2026/4/9</t>
    </r>
    <r>
      <rPr>
        <sz val="12"/>
        <rFont val="宋体"/>
        <charset val="0"/>
      </rPr>
      <t>：</t>
    </r>
    <r>
      <rPr>
        <sz val="12"/>
        <rFont val="Arial"/>
        <charset val="0"/>
      </rPr>
      <t>1K</t>
    </r>
  </si>
  <si>
    <t>说明书</t>
  </si>
  <si>
    <r>
      <rPr>
        <sz val="12"/>
        <rFont val="Arial"/>
        <charset val="0"/>
      </rPr>
      <t>2026/4/9</t>
    </r>
    <r>
      <rPr>
        <sz val="12"/>
        <rFont val="宋体"/>
        <charset val="0"/>
      </rPr>
      <t>：</t>
    </r>
    <r>
      <rPr>
        <sz val="12"/>
        <rFont val="Arial"/>
        <charset val="0"/>
      </rPr>
      <t>5K</t>
    </r>
  </si>
  <si>
    <t>BS085</t>
  </si>
  <si>
    <t>毛绒</t>
  </si>
  <si>
    <t xml:space="preserve">2026/3/24:30K
</t>
  </si>
  <si>
    <r>
      <rPr>
        <sz val="12"/>
        <rFont val="Arial"/>
        <charset val="0"/>
      </rPr>
      <t>2026/4/21</t>
    </r>
    <r>
      <rPr>
        <sz val="12"/>
        <rFont val="宋体"/>
        <charset val="0"/>
      </rPr>
      <t>：</t>
    </r>
    <r>
      <rPr>
        <sz val="12"/>
        <rFont val="Arial"/>
        <charset val="0"/>
      </rPr>
      <t>1K</t>
    </r>
  </si>
  <si>
    <t>收缩膜A</t>
  </si>
  <si>
    <t>2026/4/1:20K</t>
  </si>
  <si>
    <t>Purse 1&amp;Purse 2</t>
  </si>
  <si>
    <t>收缩膜B</t>
  </si>
  <si>
    <t>Purse 3&amp;Purse 4</t>
  </si>
  <si>
    <t>BS086</t>
  </si>
  <si>
    <r>
      <rPr>
        <sz val="12"/>
        <rFont val="Arial"/>
        <charset val="0"/>
      </rPr>
      <t>2026/3/16:30K
2026/4/30</t>
    </r>
    <r>
      <rPr>
        <sz val="12"/>
        <rFont val="宋体"/>
        <charset val="0"/>
      </rPr>
      <t>：</t>
    </r>
    <r>
      <rPr>
        <sz val="12"/>
        <rFont val="Arial"/>
        <charset val="0"/>
      </rPr>
      <t>30K</t>
    </r>
  </si>
  <si>
    <t>BS090</t>
  </si>
  <si>
    <t>2026/4/17:1K</t>
  </si>
  <si>
    <t>CZ001</t>
  </si>
  <si>
    <r>
      <rPr>
        <sz val="12"/>
        <rFont val="微软雅黑"/>
        <charset val="0"/>
      </rPr>
      <t>按压发声玩偶</t>
    </r>
    <r>
      <rPr>
        <sz val="12"/>
        <rFont val="Arial"/>
        <charset val="0"/>
      </rPr>
      <t xml:space="preserve">
(</t>
    </r>
    <r>
      <rPr>
        <sz val="12"/>
        <rFont val="微软雅黑"/>
        <charset val="0"/>
      </rPr>
      <t>两款恐龙</t>
    </r>
    <r>
      <rPr>
        <sz val="12"/>
        <rFont val="Arial"/>
        <charset val="0"/>
      </rPr>
      <t>)</t>
    </r>
  </si>
  <si>
    <r>
      <rPr>
        <sz val="12"/>
        <rFont val="微软雅黑"/>
        <charset val="134"/>
      </rPr>
      <t>毛绒</t>
    </r>
    <r>
      <rPr>
        <sz val="12"/>
        <rFont val="Arial"/>
        <charset val="134"/>
      </rPr>
      <t>+</t>
    </r>
    <r>
      <rPr>
        <sz val="12"/>
        <rFont val="微软雅黑"/>
        <charset val="134"/>
      </rPr>
      <t>塑胶</t>
    </r>
  </si>
  <si>
    <r>
      <rPr>
        <sz val="12"/>
        <rFont val="Arial"/>
        <charset val="0"/>
      </rPr>
      <t>2024/8/26</t>
    </r>
    <r>
      <rPr>
        <sz val="12"/>
        <rFont val="微软雅黑"/>
        <charset val="0"/>
      </rPr>
      <t>：</t>
    </r>
    <r>
      <rPr>
        <sz val="12"/>
        <rFont val="Arial"/>
        <charset val="0"/>
      </rPr>
      <t>10K</t>
    </r>
    <r>
      <rPr>
        <sz val="12"/>
        <rFont val="微软雅黑"/>
        <charset val="0"/>
      </rPr>
      <t>（旧布标）</t>
    </r>
    <r>
      <rPr>
        <sz val="12"/>
        <rFont val="Arial"/>
        <charset val="0"/>
      </rPr>
      <t xml:space="preserve">
2025/1/22</t>
    </r>
    <r>
      <rPr>
        <sz val="12"/>
        <rFont val="微软雅黑"/>
        <charset val="0"/>
      </rPr>
      <t>：</t>
    </r>
    <r>
      <rPr>
        <sz val="12"/>
        <rFont val="Arial"/>
        <charset val="0"/>
      </rPr>
      <t>10K</t>
    </r>
    <r>
      <rPr>
        <sz val="12"/>
        <rFont val="微软雅黑"/>
        <charset val="0"/>
      </rPr>
      <t>（新布标）</t>
    </r>
  </si>
  <si>
    <r>
      <rPr>
        <sz val="12"/>
        <rFont val="Arial"/>
        <charset val="0"/>
      </rPr>
      <t>10K</t>
    </r>
    <r>
      <rPr>
        <sz val="12"/>
        <rFont val="微软雅黑"/>
        <charset val="0"/>
      </rPr>
      <t>旧款布标</t>
    </r>
    <r>
      <rPr>
        <sz val="12"/>
        <rFont val="Arial"/>
        <charset val="0"/>
      </rPr>
      <t>+10K</t>
    </r>
    <r>
      <rPr>
        <sz val="12"/>
        <rFont val="微软雅黑"/>
        <charset val="0"/>
      </rPr>
      <t>新款布标</t>
    </r>
    <r>
      <rPr>
        <sz val="12"/>
        <rFont val="Arial"/>
        <charset val="0"/>
      </rPr>
      <t xml:space="preserve">
</t>
    </r>
    <r>
      <rPr>
        <sz val="12"/>
        <rFont val="微软雅黑"/>
        <charset val="0"/>
      </rPr>
      <t>（旧款使用完后转用新布标）</t>
    </r>
  </si>
  <si>
    <r>
      <rPr>
        <sz val="12"/>
        <rFont val="微软雅黑"/>
        <charset val="134"/>
      </rPr>
      <t>电子</t>
    </r>
    <r>
      <rPr>
        <sz val="12"/>
        <rFont val="Arial"/>
        <charset val="134"/>
      </rPr>
      <t>IC</t>
    </r>
  </si>
  <si>
    <r>
      <rPr>
        <sz val="12"/>
        <rFont val="Arial"/>
        <charset val="0"/>
      </rPr>
      <t>2024/8/26</t>
    </r>
    <r>
      <rPr>
        <sz val="12"/>
        <rFont val="微软雅黑"/>
        <charset val="0"/>
      </rPr>
      <t>：</t>
    </r>
    <r>
      <rPr>
        <sz val="12"/>
        <rFont val="Arial"/>
        <charset val="0"/>
      </rPr>
      <t>5K</t>
    </r>
    <r>
      <rPr>
        <sz val="12"/>
        <rFont val="微软雅黑"/>
        <charset val="0"/>
      </rPr>
      <t>（旧</t>
    </r>
    <r>
      <rPr>
        <sz val="12"/>
        <rFont val="Arial"/>
        <charset val="0"/>
      </rPr>
      <t>IC</t>
    </r>
    <r>
      <rPr>
        <sz val="12"/>
        <rFont val="微软雅黑"/>
        <charset val="0"/>
      </rPr>
      <t>）</t>
    </r>
  </si>
  <si>
    <r>
      <rPr>
        <sz val="12"/>
        <rFont val="Arial"/>
        <charset val="0"/>
      </rPr>
      <t>2025/1/22</t>
    </r>
    <r>
      <rPr>
        <sz val="12"/>
        <rFont val="微软雅黑"/>
        <charset val="0"/>
      </rPr>
      <t>：</t>
    </r>
    <r>
      <rPr>
        <sz val="12"/>
        <rFont val="Arial"/>
        <charset val="0"/>
      </rPr>
      <t>5K</t>
    </r>
    <r>
      <rPr>
        <sz val="12"/>
        <rFont val="微软雅黑"/>
        <charset val="0"/>
      </rPr>
      <t>（新</t>
    </r>
    <r>
      <rPr>
        <sz val="12"/>
        <rFont val="Arial"/>
        <charset val="0"/>
      </rPr>
      <t>IC</t>
    </r>
    <r>
      <rPr>
        <sz val="12"/>
        <rFont val="微软雅黑"/>
        <charset val="0"/>
      </rPr>
      <t>）</t>
    </r>
  </si>
  <si>
    <r>
      <rPr>
        <sz val="12"/>
        <rFont val="Arial"/>
        <charset val="0"/>
      </rPr>
      <t>2025/11/25</t>
    </r>
    <r>
      <rPr>
        <sz val="12"/>
        <rFont val="宋体"/>
        <charset val="0"/>
      </rPr>
      <t>：</t>
    </r>
    <r>
      <rPr>
        <sz val="12"/>
        <rFont val="Arial"/>
        <charset val="0"/>
      </rPr>
      <t>5K</t>
    </r>
  </si>
  <si>
    <t>CZ002</t>
  </si>
  <si>
    <r>
      <rPr>
        <sz val="12"/>
        <rFont val="微软雅黑"/>
        <charset val="0"/>
      </rPr>
      <t>按压发声玩偶</t>
    </r>
    <r>
      <rPr>
        <sz val="12"/>
        <rFont val="Arial"/>
        <charset val="0"/>
      </rPr>
      <t xml:space="preserve">
(</t>
    </r>
    <r>
      <rPr>
        <sz val="12"/>
        <rFont val="微软雅黑"/>
        <charset val="0"/>
      </rPr>
      <t>老虎</t>
    </r>
    <r>
      <rPr>
        <sz val="12"/>
        <rFont val="Arial"/>
        <charset val="0"/>
      </rPr>
      <t>+</t>
    </r>
    <r>
      <rPr>
        <sz val="12"/>
        <rFont val="微软雅黑"/>
        <charset val="0"/>
      </rPr>
      <t>猩猩</t>
    </r>
    <r>
      <rPr>
        <sz val="12"/>
        <rFont val="Arial"/>
        <charset val="0"/>
      </rPr>
      <t>)</t>
    </r>
  </si>
  <si>
    <r>
      <rPr>
        <sz val="12"/>
        <rFont val="微软雅黑"/>
        <charset val="134"/>
      </rPr>
      <t>毛绒</t>
    </r>
    <r>
      <rPr>
        <sz val="12"/>
        <rFont val="Arial"/>
        <charset val="134"/>
      </rPr>
      <t>+</t>
    </r>
    <r>
      <rPr>
        <sz val="12"/>
        <rFont val="微软雅黑"/>
        <charset val="134"/>
      </rPr>
      <t>塑胶+吊牌</t>
    </r>
  </si>
  <si>
    <r>
      <rPr>
        <sz val="12"/>
        <rFont val="Arial"/>
        <charset val="0"/>
      </rPr>
      <t>2025/2/19</t>
    </r>
    <r>
      <rPr>
        <sz val="12"/>
        <rFont val="微软雅黑"/>
        <charset val="0"/>
      </rPr>
      <t>：</t>
    </r>
    <r>
      <rPr>
        <sz val="12"/>
        <rFont val="Arial"/>
        <charset val="0"/>
      </rPr>
      <t>10K</t>
    </r>
  </si>
  <si>
    <r>
      <rPr>
        <sz val="12"/>
        <rFont val="Arial"/>
        <charset val="0"/>
      </rPr>
      <t>2025/6/17</t>
    </r>
    <r>
      <rPr>
        <sz val="12"/>
        <rFont val="微软雅黑"/>
        <charset val="0"/>
      </rPr>
      <t>：</t>
    </r>
    <r>
      <rPr>
        <sz val="12"/>
        <rFont val="Arial"/>
        <charset val="0"/>
      </rPr>
      <t>5K</t>
    </r>
  </si>
  <si>
    <t>CZ003</t>
  </si>
  <si>
    <r>
      <rPr>
        <sz val="12"/>
        <rFont val="宋体"/>
        <charset val="0"/>
      </rPr>
      <t>按压发声玩偶</t>
    </r>
    <r>
      <rPr>
        <sz val="12"/>
        <rFont val="Arial"/>
        <charset val="0"/>
      </rPr>
      <t xml:space="preserve">
(</t>
    </r>
    <r>
      <rPr>
        <sz val="12"/>
        <rFont val="宋体"/>
        <charset val="0"/>
      </rPr>
      <t>史迪仔</t>
    </r>
    <r>
      <rPr>
        <sz val="12"/>
        <rFont val="Arial"/>
        <charset val="0"/>
      </rPr>
      <t>)</t>
    </r>
  </si>
  <si>
    <r>
      <rPr>
        <sz val="12"/>
        <rFont val="Arial"/>
        <charset val="0"/>
      </rPr>
      <t>2025/3/21</t>
    </r>
    <r>
      <rPr>
        <sz val="12"/>
        <rFont val="宋体"/>
        <charset val="0"/>
      </rPr>
      <t>：</t>
    </r>
    <r>
      <rPr>
        <sz val="12"/>
        <rFont val="Arial"/>
        <charset val="0"/>
      </rPr>
      <t>30K
2025/7/31</t>
    </r>
    <r>
      <rPr>
        <sz val="12"/>
        <rFont val="宋体"/>
        <charset val="0"/>
      </rPr>
      <t>：</t>
    </r>
    <r>
      <rPr>
        <sz val="12"/>
        <rFont val="Arial"/>
        <charset val="0"/>
      </rPr>
      <t>5K</t>
    </r>
  </si>
  <si>
    <r>
      <rPr>
        <sz val="12"/>
        <rFont val="宋体"/>
        <charset val="0"/>
      </rPr>
      <t>旧牙：</t>
    </r>
    <r>
      <rPr>
        <sz val="12"/>
        <rFont val="Arial"/>
        <charset val="0"/>
      </rPr>
      <t>5088PCS+</t>
    </r>
    <r>
      <rPr>
        <sz val="12"/>
        <rFont val="宋体"/>
        <charset val="0"/>
      </rPr>
      <t>新牙：</t>
    </r>
    <r>
      <rPr>
        <sz val="12"/>
        <rFont val="Arial"/>
        <charset val="0"/>
      </rPr>
      <t xml:space="preserve">5000PCS
</t>
    </r>
    <r>
      <rPr>
        <sz val="12"/>
        <rFont val="宋体"/>
        <charset val="0"/>
      </rPr>
      <t>（旧牙使用完后转用新牙）</t>
    </r>
  </si>
  <si>
    <r>
      <rPr>
        <sz val="12"/>
        <rFont val="宋体"/>
        <charset val="0"/>
      </rPr>
      <t>每批订单都超</t>
    </r>
    <r>
      <rPr>
        <sz val="12"/>
        <rFont val="Arial"/>
        <charset val="0"/>
      </rPr>
      <t>MA</t>
    </r>
    <r>
      <rPr>
        <sz val="12"/>
        <rFont val="宋体"/>
        <charset val="0"/>
      </rPr>
      <t>无特别释放</t>
    </r>
    <r>
      <rPr>
        <sz val="12"/>
        <rFont val="Arial"/>
        <charset val="0"/>
      </rPr>
      <t>MA</t>
    </r>
  </si>
  <si>
    <r>
      <rPr>
        <sz val="12"/>
        <rFont val="Arial"/>
        <charset val="0"/>
      </rPr>
      <t>2025/6/11</t>
    </r>
    <r>
      <rPr>
        <sz val="12"/>
        <rFont val="微软雅黑"/>
        <charset val="0"/>
      </rPr>
      <t>：</t>
    </r>
    <r>
      <rPr>
        <sz val="12"/>
        <rFont val="Arial"/>
        <charset val="0"/>
      </rPr>
      <t>5K</t>
    </r>
  </si>
  <si>
    <r>
      <rPr>
        <sz val="12"/>
        <rFont val="Arial"/>
        <charset val="0"/>
      </rPr>
      <t>CZ003CDU</t>
    </r>
    <r>
      <rPr>
        <sz val="12"/>
        <rFont val="宋体"/>
        <charset val="0"/>
      </rPr>
      <t>与</t>
    </r>
    <r>
      <rPr>
        <sz val="12"/>
        <rFont val="Arial"/>
        <charset val="0"/>
      </rPr>
      <t>CZ014CDU</t>
    </r>
    <r>
      <rPr>
        <sz val="12"/>
        <rFont val="宋体"/>
        <charset val="0"/>
      </rPr>
      <t>共用</t>
    </r>
  </si>
  <si>
    <t>CZ004</t>
  </si>
  <si>
    <r>
      <rPr>
        <sz val="12"/>
        <rFont val="宋体"/>
        <charset val="0"/>
      </rPr>
      <t>按压发声玩偶</t>
    </r>
    <r>
      <rPr>
        <sz val="12"/>
        <rFont val="Arial"/>
        <charset val="0"/>
      </rPr>
      <t xml:space="preserve">
(</t>
    </r>
    <r>
      <rPr>
        <sz val="12"/>
        <rFont val="宋体"/>
        <charset val="0"/>
      </rPr>
      <t>安琪</t>
    </r>
    <r>
      <rPr>
        <sz val="12"/>
        <rFont val="Arial"/>
        <charset val="0"/>
      </rPr>
      <t>)</t>
    </r>
  </si>
  <si>
    <r>
      <rPr>
        <sz val="12"/>
        <rFont val="Arial"/>
        <charset val="0"/>
      </rPr>
      <t>2025/7/25</t>
    </r>
    <r>
      <rPr>
        <sz val="12"/>
        <rFont val="宋体"/>
        <charset val="0"/>
      </rPr>
      <t>：</t>
    </r>
    <r>
      <rPr>
        <sz val="12"/>
        <rFont val="Arial"/>
        <charset val="0"/>
      </rPr>
      <t>4704PCS
2025/10/23</t>
    </r>
    <r>
      <rPr>
        <sz val="12"/>
        <rFont val="宋体"/>
        <charset val="0"/>
      </rPr>
      <t>：</t>
    </r>
    <r>
      <rPr>
        <sz val="12"/>
        <rFont val="Arial"/>
        <charset val="0"/>
      </rPr>
      <t>5K</t>
    </r>
  </si>
  <si>
    <r>
      <rPr>
        <sz val="12"/>
        <rFont val="Arial"/>
        <charset val="0"/>
      </rPr>
      <t>2025/7/10</t>
    </r>
    <r>
      <rPr>
        <sz val="12"/>
        <rFont val="宋体"/>
        <charset val="0"/>
      </rPr>
      <t>：</t>
    </r>
    <r>
      <rPr>
        <sz val="12"/>
        <rFont val="Arial"/>
        <charset val="0"/>
      </rPr>
      <t>5K</t>
    </r>
  </si>
  <si>
    <t>CZ006</t>
  </si>
  <si>
    <r>
      <rPr>
        <sz val="12"/>
        <rFont val="宋体"/>
        <charset val="0"/>
      </rPr>
      <t>按压发声公仔（</t>
    </r>
    <r>
      <rPr>
        <sz val="12"/>
        <rFont val="Arial"/>
        <charset val="0"/>
      </rPr>
      <t>6</t>
    </r>
    <r>
      <rPr>
        <sz val="12"/>
        <rFont val="宋体"/>
        <charset val="0"/>
      </rPr>
      <t>款混装）</t>
    </r>
  </si>
  <si>
    <t>2026/3/31:1K</t>
  </si>
  <si>
    <t>2026/3/31:5K</t>
  </si>
  <si>
    <t>CZ017</t>
  </si>
  <si>
    <r>
      <rPr>
        <sz val="12"/>
        <rFont val="Arial"/>
        <charset val="0"/>
      </rPr>
      <t>2025/11/10</t>
    </r>
    <r>
      <rPr>
        <sz val="12"/>
        <rFont val="宋体"/>
        <charset val="0"/>
      </rPr>
      <t>：</t>
    </r>
    <r>
      <rPr>
        <sz val="12"/>
        <rFont val="Arial"/>
        <charset val="0"/>
      </rPr>
      <t>15K</t>
    </r>
  </si>
  <si>
    <t>在CZ031E1中的配比为每款16PCS，共3款</t>
  </si>
  <si>
    <t>2026/3/31:5K
2026/4/17:5K</t>
  </si>
  <si>
    <t>CZ018</t>
  </si>
  <si>
    <r>
      <rPr>
        <sz val="12"/>
        <rFont val="Arial"/>
        <charset val="0"/>
      </rPr>
      <t>2025/11/5</t>
    </r>
    <r>
      <rPr>
        <sz val="12"/>
        <rFont val="宋体"/>
        <charset val="0"/>
      </rPr>
      <t>：</t>
    </r>
    <r>
      <rPr>
        <sz val="12"/>
        <rFont val="Arial"/>
        <charset val="0"/>
      </rPr>
      <t>15K
2025/12/4</t>
    </r>
    <r>
      <rPr>
        <sz val="12"/>
        <rFont val="宋体"/>
        <charset val="0"/>
      </rPr>
      <t>：</t>
    </r>
    <r>
      <rPr>
        <sz val="12"/>
        <rFont val="Arial"/>
        <charset val="0"/>
      </rPr>
      <t>15K</t>
    </r>
  </si>
  <si>
    <t>2026/3/11:5K
2026/4/17:5K</t>
  </si>
  <si>
    <t>2026/5/14:1K</t>
  </si>
  <si>
    <t>CZ019</t>
  </si>
  <si>
    <r>
      <rPr>
        <sz val="12"/>
        <rFont val="Arial"/>
        <charset val="0"/>
      </rPr>
      <t>6</t>
    </r>
    <r>
      <rPr>
        <sz val="12"/>
        <rFont val="宋体"/>
        <charset val="0"/>
      </rPr>
      <t>款公仔混装（狐狸</t>
    </r>
    <r>
      <rPr>
        <sz val="12"/>
        <rFont val="Arial"/>
        <charset val="0"/>
      </rPr>
      <t>+</t>
    </r>
    <r>
      <rPr>
        <sz val="12"/>
        <rFont val="宋体"/>
        <charset val="0"/>
      </rPr>
      <t>狗</t>
    </r>
    <r>
      <rPr>
        <sz val="12"/>
        <rFont val="Arial"/>
        <charset val="0"/>
      </rPr>
      <t>+</t>
    </r>
    <r>
      <rPr>
        <sz val="12"/>
        <rFont val="宋体"/>
        <charset val="0"/>
      </rPr>
      <t>树懒</t>
    </r>
    <r>
      <rPr>
        <sz val="12"/>
        <rFont val="Arial"/>
        <charset val="0"/>
      </rPr>
      <t>+</t>
    </r>
    <r>
      <rPr>
        <sz val="12"/>
        <rFont val="宋体"/>
        <charset val="0"/>
      </rPr>
      <t>三角龙</t>
    </r>
    <r>
      <rPr>
        <sz val="12"/>
        <rFont val="Arial"/>
        <charset val="0"/>
      </rPr>
      <t>+</t>
    </r>
    <r>
      <rPr>
        <sz val="12"/>
        <rFont val="宋体"/>
        <charset val="0"/>
      </rPr>
      <t>双脊龙</t>
    </r>
    <r>
      <rPr>
        <sz val="12"/>
        <rFont val="Arial"/>
        <charset val="0"/>
      </rPr>
      <t>+</t>
    </r>
    <r>
      <rPr>
        <sz val="12"/>
        <rFont val="宋体"/>
        <charset val="0"/>
      </rPr>
      <t>海狸）</t>
    </r>
  </si>
  <si>
    <t>CZ022</t>
  </si>
  <si>
    <t>按压发声公仔
（拉布布）</t>
  </si>
  <si>
    <t>2026/3/11:5K</t>
  </si>
  <si>
    <t>CZ023</t>
  </si>
  <si>
    <t>按压发声公仔
（鲨鱼系列）</t>
  </si>
  <si>
    <t>CZ031</t>
  </si>
  <si>
    <t>小CDU</t>
  </si>
  <si>
    <r>
      <rPr>
        <sz val="12"/>
        <rFont val="宋体"/>
        <charset val="0"/>
      </rPr>
      <t>剩余库存：</t>
    </r>
    <r>
      <rPr>
        <sz val="12"/>
        <rFont val="Arial"/>
        <charset val="0"/>
      </rPr>
      <t>960</t>
    </r>
  </si>
  <si>
    <t>CZ005D1-CZ005D2/CZ006D6/CZ019D6共用</t>
  </si>
  <si>
    <t>大CDU</t>
  </si>
  <si>
    <r>
      <rPr>
        <sz val="12"/>
        <rFont val="宋体"/>
        <charset val="0"/>
      </rPr>
      <t>剩余库存：</t>
    </r>
    <r>
      <rPr>
        <sz val="12"/>
        <rFont val="Arial"/>
        <charset val="0"/>
      </rPr>
      <t>1280</t>
    </r>
  </si>
  <si>
    <t>CZ017-CZ018-CZ022-CZ023共用</t>
  </si>
  <si>
    <t>MZ002</t>
  </si>
  <si>
    <r>
      <rPr>
        <sz val="12"/>
        <rFont val="Arial"/>
        <charset val="0"/>
      </rPr>
      <t>2025/2/6</t>
    </r>
    <r>
      <rPr>
        <sz val="12"/>
        <rFont val="宋体"/>
        <charset val="0"/>
      </rPr>
      <t>：</t>
    </r>
    <r>
      <rPr>
        <sz val="12"/>
        <rFont val="Arial"/>
        <charset val="0"/>
      </rPr>
      <t>15K
2025/8/21</t>
    </r>
    <r>
      <rPr>
        <sz val="12"/>
        <rFont val="宋体"/>
        <charset val="0"/>
      </rPr>
      <t>：</t>
    </r>
    <r>
      <rPr>
        <sz val="12"/>
        <rFont val="Arial"/>
        <charset val="0"/>
      </rPr>
      <t>15K</t>
    </r>
  </si>
  <si>
    <r>
      <rPr>
        <sz val="12"/>
        <rFont val="Arial"/>
        <charset val="0"/>
      </rPr>
      <t>2025/2/6</t>
    </r>
    <r>
      <rPr>
        <sz val="12"/>
        <rFont val="宋体"/>
        <charset val="0"/>
      </rPr>
      <t>：</t>
    </r>
    <r>
      <rPr>
        <sz val="12"/>
        <rFont val="Arial"/>
        <charset val="0"/>
      </rPr>
      <t>20K
2025/11/5</t>
    </r>
    <r>
      <rPr>
        <sz val="12"/>
        <rFont val="宋体"/>
        <charset val="0"/>
      </rPr>
      <t>：</t>
    </r>
    <r>
      <rPr>
        <sz val="12"/>
        <rFont val="Arial"/>
        <charset val="0"/>
      </rPr>
      <t>20K
2025/11/25</t>
    </r>
    <r>
      <rPr>
        <sz val="12"/>
        <rFont val="宋体"/>
        <charset val="0"/>
      </rPr>
      <t>：</t>
    </r>
    <r>
      <rPr>
        <sz val="12"/>
        <rFont val="Arial"/>
        <charset val="0"/>
      </rPr>
      <t>20K</t>
    </r>
  </si>
  <si>
    <t>KMART与标准版本共用</t>
  </si>
  <si>
    <r>
      <rPr>
        <sz val="12"/>
        <rFont val="Arial"/>
        <charset val="0"/>
      </rPr>
      <t>2025/2/10</t>
    </r>
    <r>
      <rPr>
        <sz val="12"/>
        <rFont val="宋体"/>
        <charset val="0"/>
      </rPr>
      <t>：</t>
    </r>
    <r>
      <rPr>
        <sz val="12"/>
        <rFont val="Arial"/>
        <charset val="0"/>
      </rPr>
      <t>5K
2025/8/22</t>
    </r>
    <r>
      <rPr>
        <sz val="12"/>
        <rFont val="宋体"/>
        <charset val="0"/>
      </rPr>
      <t>：</t>
    </r>
    <r>
      <rPr>
        <sz val="12"/>
        <rFont val="Arial"/>
        <charset val="0"/>
      </rPr>
      <t>5K
2025/11/25</t>
    </r>
    <r>
      <rPr>
        <sz val="12"/>
        <rFont val="宋体"/>
        <charset val="0"/>
      </rPr>
      <t>：</t>
    </r>
    <r>
      <rPr>
        <sz val="12"/>
        <rFont val="Arial"/>
        <charset val="0"/>
      </rPr>
      <t>5K
2026/3/31:5K</t>
    </r>
  </si>
  <si>
    <t>0.029</t>
  </si>
  <si>
    <t>CDU（9个装）</t>
  </si>
  <si>
    <r>
      <rPr>
        <sz val="12"/>
        <rFont val="Arial"/>
        <charset val="0"/>
      </rPr>
      <t>2025/2/10</t>
    </r>
    <r>
      <rPr>
        <sz val="12"/>
        <rFont val="宋体"/>
        <charset val="0"/>
      </rPr>
      <t>：</t>
    </r>
    <r>
      <rPr>
        <sz val="12"/>
        <rFont val="Arial"/>
        <charset val="0"/>
      </rPr>
      <t>1K
2025/4/16</t>
    </r>
    <r>
      <rPr>
        <sz val="12"/>
        <rFont val="宋体"/>
        <charset val="0"/>
      </rPr>
      <t>：</t>
    </r>
    <r>
      <rPr>
        <sz val="12"/>
        <rFont val="Arial"/>
        <charset val="0"/>
      </rPr>
      <t>1K
2025/11/25</t>
    </r>
    <r>
      <rPr>
        <sz val="12"/>
        <rFont val="宋体"/>
        <charset val="0"/>
      </rPr>
      <t>：</t>
    </r>
    <r>
      <rPr>
        <sz val="12"/>
        <rFont val="Arial"/>
        <charset val="0"/>
      </rPr>
      <t>1K</t>
    </r>
  </si>
  <si>
    <r>
      <rPr>
        <sz val="12"/>
        <rFont val="Arial"/>
        <charset val="0"/>
      </rPr>
      <t>2025/2/10</t>
    </r>
    <r>
      <rPr>
        <sz val="12"/>
        <rFont val="宋体"/>
        <charset val="0"/>
      </rPr>
      <t>：</t>
    </r>
    <r>
      <rPr>
        <sz val="12"/>
        <rFont val="Arial"/>
        <charset val="0"/>
      </rPr>
      <t>20K
2025/11/25</t>
    </r>
    <r>
      <rPr>
        <sz val="12"/>
        <rFont val="宋体"/>
        <charset val="0"/>
      </rPr>
      <t>：</t>
    </r>
    <r>
      <rPr>
        <sz val="12"/>
        <rFont val="Arial"/>
        <charset val="0"/>
      </rPr>
      <t>20K</t>
    </r>
  </si>
  <si>
    <t>0.046</t>
  </si>
  <si>
    <t>CDU（6个装）</t>
  </si>
  <si>
    <r>
      <rPr>
        <sz val="12"/>
        <rFont val="Arial"/>
        <charset val="0"/>
      </rPr>
      <t>2025/8/22</t>
    </r>
    <r>
      <rPr>
        <sz val="12"/>
        <rFont val="宋体"/>
        <charset val="0"/>
      </rPr>
      <t>：</t>
    </r>
    <r>
      <rPr>
        <sz val="12"/>
        <rFont val="Arial"/>
        <charset val="0"/>
      </rPr>
      <t>1K
2025/11/25</t>
    </r>
    <r>
      <rPr>
        <sz val="12"/>
        <rFont val="宋体"/>
        <charset val="0"/>
      </rPr>
      <t>：</t>
    </r>
    <r>
      <rPr>
        <sz val="12"/>
        <rFont val="Arial"/>
        <charset val="0"/>
      </rPr>
      <t>1K</t>
    </r>
  </si>
  <si>
    <t>MZ001/MZ003</t>
  </si>
  <si>
    <t>恐龙实验室</t>
  </si>
  <si>
    <r>
      <rPr>
        <sz val="12"/>
        <rFont val="Arial"/>
        <charset val="0"/>
      </rPr>
      <t>2024/8/26</t>
    </r>
    <r>
      <rPr>
        <sz val="12"/>
        <rFont val="宋体"/>
        <charset val="0"/>
      </rPr>
      <t>：</t>
    </r>
    <r>
      <rPr>
        <sz val="12"/>
        <rFont val="Arial"/>
        <charset val="0"/>
      </rPr>
      <t>15K
2024/10/15</t>
    </r>
    <r>
      <rPr>
        <sz val="12"/>
        <rFont val="宋体"/>
        <charset val="0"/>
      </rPr>
      <t>：</t>
    </r>
    <r>
      <rPr>
        <sz val="12"/>
        <rFont val="Arial"/>
        <charset val="0"/>
      </rPr>
      <t>15K
2024/11/5</t>
    </r>
    <r>
      <rPr>
        <sz val="12"/>
        <rFont val="宋体"/>
        <charset val="0"/>
      </rPr>
      <t>：</t>
    </r>
    <r>
      <rPr>
        <sz val="12"/>
        <rFont val="Arial"/>
        <charset val="0"/>
      </rPr>
      <t>15K
2025/4/3</t>
    </r>
    <r>
      <rPr>
        <sz val="12"/>
        <rFont val="宋体"/>
        <charset val="0"/>
      </rPr>
      <t>：</t>
    </r>
    <r>
      <rPr>
        <sz val="12"/>
        <rFont val="Arial"/>
        <charset val="0"/>
      </rPr>
      <t>15K
2025/11/25</t>
    </r>
    <r>
      <rPr>
        <sz val="12"/>
        <rFont val="宋体"/>
        <charset val="0"/>
      </rPr>
      <t>：</t>
    </r>
    <r>
      <rPr>
        <sz val="12"/>
        <rFont val="Arial"/>
        <charset val="0"/>
      </rPr>
      <t>15K</t>
    </r>
  </si>
  <si>
    <t>MZ001与MZ003共用</t>
  </si>
  <si>
    <r>
      <rPr>
        <sz val="12"/>
        <rFont val="Arial"/>
        <charset val="0"/>
      </rPr>
      <t>2025/5/12</t>
    </r>
    <r>
      <rPr>
        <sz val="12"/>
        <rFont val="宋体"/>
        <charset val="0"/>
      </rPr>
      <t>：</t>
    </r>
    <r>
      <rPr>
        <sz val="12"/>
        <rFont val="Arial"/>
        <charset val="0"/>
      </rPr>
      <t>1K
2025/6/3</t>
    </r>
    <r>
      <rPr>
        <sz val="12"/>
        <rFont val="宋体"/>
        <charset val="0"/>
      </rPr>
      <t>：</t>
    </r>
    <r>
      <rPr>
        <sz val="12"/>
        <rFont val="Arial"/>
        <charset val="0"/>
      </rPr>
      <t>1K</t>
    </r>
  </si>
  <si>
    <r>
      <rPr>
        <sz val="12"/>
        <rFont val="Arial"/>
        <charset val="0"/>
      </rPr>
      <t>2024/9/4</t>
    </r>
    <r>
      <rPr>
        <sz val="12"/>
        <rFont val="宋体"/>
        <charset val="0"/>
      </rPr>
      <t>：</t>
    </r>
    <r>
      <rPr>
        <sz val="12"/>
        <rFont val="Arial"/>
        <charset val="0"/>
      </rPr>
      <t>20K
2025/2/12</t>
    </r>
    <r>
      <rPr>
        <sz val="12"/>
        <rFont val="宋体"/>
        <charset val="0"/>
      </rPr>
      <t>：</t>
    </r>
    <r>
      <rPr>
        <sz val="12"/>
        <rFont val="Arial"/>
        <charset val="0"/>
      </rPr>
      <t>20K
2025/11/25</t>
    </r>
    <r>
      <rPr>
        <sz val="12"/>
        <rFont val="宋体"/>
        <charset val="0"/>
      </rPr>
      <t>：</t>
    </r>
    <r>
      <rPr>
        <sz val="12"/>
        <rFont val="Arial"/>
        <charset val="0"/>
      </rPr>
      <t>20K</t>
    </r>
  </si>
  <si>
    <r>
      <rPr>
        <sz val="12"/>
        <rFont val="Arial"/>
        <charset val="0"/>
      </rPr>
      <t>2024/12/25</t>
    </r>
    <r>
      <rPr>
        <sz val="12"/>
        <rFont val="宋体"/>
        <charset val="0"/>
      </rPr>
      <t>：</t>
    </r>
    <r>
      <rPr>
        <sz val="12"/>
        <rFont val="Arial"/>
        <charset val="0"/>
      </rPr>
      <t>5K
2025/11/25</t>
    </r>
    <r>
      <rPr>
        <sz val="12"/>
        <rFont val="宋体"/>
        <charset val="0"/>
      </rPr>
      <t>：</t>
    </r>
    <r>
      <rPr>
        <sz val="12"/>
        <rFont val="Arial"/>
        <charset val="0"/>
      </rPr>
      <t>5K</t>
    </r>
  </si>
  <si>
    <r>
      <rPr>
        <sz val="12"/>
        <rFont val="Arial"/>
        <charset val="0"/>
      </rPr>
      <t>2024/12/25</t>
    </r>
    <r>
      <rPr>
        <sz val="12"/>
        <rFont val="宋体"/>
        <charset val="0"/>
      </rPr>
      <t>：</t>
    </r>
    <r>
      <rPr>
        <sz val="12"/>
        <rFont val="Arial"/>
        <charset val="0"/>
      </rPr>
      <t>1K
2025/11/25</t>
    </r>
    <r>
      <rPr>
        <sz val="12"/>
        <rFont val="宋体"/>
        <charset val="0"/>
      </rPr>
      <t>：</t>
    </r>
    <r>
      <rPr>
        <sz val="12"/>
        <rFont val="Arial"/>
        <charset val="0"/>
      </rPr>
      <t>1K</t>
    </r>
  </si>
  <si>
    <r>
      <rPr>
        <sz val="12"/>
        <rFont val="Arial"/>
        <charset val="0"/>
      </rPr>
      <t>2024/9/17</t>
    </r>
    <r>
      <rPr>
        <sz val="12"/>
        <rFont val="宋体"/>
        <charset val="0"/>
      </rPr>
      <t>：</t>
    </r>
    <r>
      <rPr>
        <sz val="12"/>
        <rFont val="Arial"/>
        <charset val="0"/>
      </rPr>
      <t>20K
2024/10/15</t>
    </r>
    <r>
      <rPr>
        <sz val="12"/>
        <rFont val="宋体"/>
        <charset val="0"/>
      </rPr>
      <t>：</t>
    </r>
    <r>
      <rPr>
        <sz val="12"/>
        <rFont val="Arial"/>
        <charset val="0"/>
      </rPr>
      <t>20K
2025/3/25</t>
    </r>
    <r>
      <rPr>
        <sz val="12"/>
        <rFont val="宋体"/>
        <charset val="0"/>
      </rPr>
      <t>：</t>
    </r>
    <r>
      <rPr>
        <sz val="12"/>
        <rFont val="Arial"/>
        <charset val="0"/>
      </rPr>
      <t>20K
2025/11/25</t>
    </r>
    <r>
      <rPr>
        <sz val="12"/>
        <rFont val="宋体"/>
        <charset val="0"/>
      </rPr>
      <t>：</t>
    </r>
    <r>
      <rPr>
        <sz val="12"/>
        <rFont val="Arial"/>
        <charset val="0"/>
      </rPr>
      <t>20K</t>
    </r>
  </si>
  <si>
    <t>0.010</t>
  </si>
  <si>
    <r>
      <rPr>
        <sz val="12"/>
        <rFont val="Arial"/>
        <charset val="0"/>
      </rPr>
      <t>2024/11/3</t>
    </r>
    <r>
      <rPr>
        <sz val="12"/>
        <rFont val="宋体"/>
        <charset val="0"/>
      </rPr>
      <t>：</t>
    </r>
    <r>
      <rPr>
        <sz val="12"/>
        <rFont val="Arial"/>
        <charset val="0"/>
      </rPr>
      <t>20K</t>
    </r>
  </si>
  <si>
    <r>
      <rPr>
        <sz val="12"/>
        <rFont val="Arial"/>
        <charset val="0"/>
      </rPr>
      <t>2024/11/3</t>
    </r>
    <r>
      <rPr>
        <sz val="12"/>
        <rFont val="宋体"/>
        <charset val="0"/>
      </rPr>
      <t>：</t>
    </r>
    <r>
      <rPr>
        <sz val="12"/>
        <rFont val="Arial"/>
        <charset val="0"/>
      </rPr>
      <t>5K</t>
    </r>
  </si>
  <si>
    <r>
      <rPr>
        <sz val="12"/>
        <rFont val="Arial"/>
        <charset val="0"/>
      </rPr>
      <t>2024/11/3</t>
    </r>
    <r>
      <rPr>
        <sz val="12"/>
        <rFont val="宋体"/>
        <charset val="0"/>
      </rPr>
      <t>：</t>
    </r>
    <r>
      <rPr>
        <sz val="12"/>
        <rFont val="Arial"/>
        <charset val="0"/>
      </rPr>
      <t>1K</t>
    </r>
  </si>
  <si>
    <t>PF001</t>
  </si>
  <si>
    <r>
      <rPr>
        <sz val="12"/>
        <rFont val="Arial"/>
        <charset val="0"/>
      </rPr>
      <t>2025/12/17</t>
    </r>
    <r>
      <rPr>
        <sz val="12"/>
        <rFont val="宋体"/>
        <charset val="0"/>
      </rPr>
      <t>：</t>
    </r>
    <r>
      <rPr>
        <sz val="12"/>
        <rFont val="Arial"/>
        <charset val="0"/>
      </rPr>
      <t>5K</t>
    </r>
  </si>
  <si>
    <r>
      <rPr>
        <sz val="12"/>
        <rFont val="Arial"/>
        <charset val="0"/>
      </rPr>
      <t>2025/12/14</t>
    </r>
    <r>
      <rPr>
        <sz val="12"/>
        <rFont val="宋体"/>
        <charset val="0"/>
      </rPr>
      <t>：</t>
    </r>
    <r>
      <rPr>
        <sz val="12"/>
        <rFont val="Arial"/>
        <charset val="0"/>
      </rPr>
      <t>5K</t>
    </r>
  </si>
  <si>
    <t>PKG彩盒</t>
  </si>
  <si>
    <r>
      <rPr>
        <sz val="12"/>
        <rFont val="Arial"/>
        <charset val="0"/>
      </rPr>
      <t>2025/12/17</t>
    </r>
    <r>
      <rPr>
        <sz val="12"/>
        <rFont val="宋体"/>
        <charset val="0"/>
      </rPr>
      <t>：</t>
    </r>
    <r>
      <rPr>
        <sz val="12"/>
        <rFont val="Arial"/>
        <charset val="0"/>
      </rPr>
      <t>5K
2026/3/6</t>
    </r>
    <r>
      <rPr>
        <sz val="12"/>
        <rFont val="宋体"/>
        <charset val="0"/>
      </rPr>
      <t>：</t>
    </r>
    <r>
      <rPr>
        <sz val="12"/>
        <rFont val="Arial"/>
        <charset val="0"/>
      </rPr>
      <t>5K</t>
    </r>
  </si>
  <si>
    <t>包含取消订单的1444PCS（印有30/25日期码)</t>
  </si>
  <si>
    <t>KMART客专用</t>
  </si>
  <si>
    <t>电子IC</t>
  </si>
  <si>
    <r>
      <rPr>
        <sz val="12"/>
        <rFont val="Arial"/>
        <charset val="0"/>
      </rPr>
      <t>2025/12/23</t>
    </r>
    <r>
      <rPr>
        <sz val="12"/>
        <rFont val="宋体"/>
        <charset val="0"/>
      </rPr>
      <t>：</t>
    </r>
    <r>
      <rPr>
        <sz val="12"/>
        <rFont val="Arial"/>
        <charset val="0"/>
      </rPr>
      <t>5800PCS</t>
    </r>
  </si>
  <si>
    <t>Smyth's Toys客专用</t>
  </si>
  <si>
    <t>ZC006</t>
  </si>
  <si>
    <r>
      <rPr>
        <sz val="12"/>
        <rFont val="微软雅黑"/>
        <charset val="134"/>
      </rPr>
      <t>蓝色冰袋</t>
    </r>
  </si>
  <si>
    <r>
      <rPr>
        <sz val="12"/>
        <rFont val="Arial"/>
        <charset val="0"/>
      </rPr>
      <t>2024/8/2</t>
    </r>
    <r>
      <rPr>
        <sz val="12"/>
        <rFont val="微软雅黑"/>
        <charset val="134"/>
      </rPr>
      <t>：</t>
    </r>
    <r>
      <rPr>
        <sz val="12"/>
        <rFont val="Arial"/>
        <charset val="0"/>
      </rPr>
      <t>100k
2024/8/16</t>
    </r>
    <r>
      <rPr>
        <sz val="12"/>
        <rFont val="微软雅黑"/>
        <charset val="134"/>
      </rPr>
      <t>：</t>
    </r>
    <r>
      <rPr>
        <sz val="12"/>
        <rFont val="Arial"/>
        <charset val="0"/>
      </rPr>
      <t>100k
2024/8/30</t>
    </r>
    <r>
      <rPr>
        <sz val="12"/>
        <rFont val="微软雅黑"/>
        <charset val="134"/>
      </rPr>
      <t>：</t>
    </r>
    <r>
      <rPr>
        <sz val="12"/>
        <rFont val="Arial"/>
        <charset val="0"/>
      </rPr>
      <t>100k
2024/9/13</t>
    </r>
    <r>
      <rPr>
        <sz val="12"/>
        <rFont val="微软雅黑"/>
        <charset val="134"/>
      </rPr>
      <t>：</t>
    </r>
    <r>
      <rPr>
        <sz val="12"/>
        <rFont val="Arial"/>
        <charset val="0"/>
      </rPr>
      <t>100k
2024/9/27</t>
    </r>
    <r>
      <rPr>
        <sz val="12"/>
        <rFont val="微软雅黑"/>
        <charset val="134"/>
      </rPr>
      <t>：</t>
    </r>
    <r>
      <rPr>
        <sz val="12"/>
        <rFont val="Arial"/>
        <charset val="0"/>
      </rPr>
      <t>100k
2024/10/7</t>
    </r>
    <r>
      <rPr>
        <sz val="12"/>
        <rFont val="微软雅黑"/>
        <charset val="134"/>
      </rPr>
      <t>：</t>
    </r>
    <r>
      <rPr>
        <sz val="12"/>
        <rFont val="Arial"/>
        <charset val="0"/>
      </rPr>
      <t>471170pcs
2024/11/20</t>
    </r>
    <r>
      <rPr>
        <sz val="12"/>
        <rFont val="微软雅黑"/>
        <charset val="134"/>
      </rPr>
      <t>：</t>
    </r>
    <r>
      <rPr>
        <sz val="12"/>
        <rFont val="Arial"/>
        <charset val="0"/>
      </rPr>
      <t>50K
2024/11/27</t>
    </r>
    <r>
      <rPr>
        <sz val="12"/>
        <rFont val="微软雅黑"/>
        <charset val="134"/>
      </rPr>
      <t>：</t>
    </r>
    <r>
      <rPr>
        <sz val="12"/>
        <rFont val="Arial"/>
        <charset val="0"/>
      </rPr>
      <t>50K
2024/12/2</t>
    </r>
    <r>
      <rPr>
        <sz val="12"/>
        <rFont val="微软雅黑"/>
        <charset val="134"/>
      </rPr>
      <t>：</t>
    </r>
    <r>
      <rPr>
        <sz val="12"/>
        <rFont val="Arial"/>
        <charset val="0"/>
      </rPr>
      <t>50K
2024/TBC</t>
    </r>
    <r>
      <rPr>
        <sz val="12"/>
        <rFont val="微软雅黑"/>
        <charset val="134"/>
      </rPr>
      <t>：</t>
    </r>
    <r>
      <rPr>
        <sz val="12"/>
        <rFont val="Arial"/>
        <charset val="0"/>
      </rPr>
      <t>50K
2025/4/3</t>
    </r>
    <r>
      <rPr>
        <sz val="12"/>
        <rFont val="微软雅黑"/>
        <charset val="134"/>
      </rPr>
      <t>：</t>
    </r>
    <r>
      <rPr>
        <sz val="12"/>
        <rFont val="Arial"/>
        <charset val="0"/>
      </rPr>
      <t>50044PCS</t>
    </r>
  </si>
  <si>
    <t>0</t>
  </si>
  <si>
    <r>
      <rPr>
        <sz val="12"/>
        <rFont val="微软雅黑"/>
        <charset val="0"/>
      </rPr>
      <t>客供物料，胶件已备料</t>
    </r>
  </si>
  <si>
    <t>冰粒</t>
  </si>
  <si>
    <t>4/13:30K</t>
  </si>
  <si>
    <t>客供物料，胶件已备料</t>
  </si>
  <si>
    <t>2026/4/24:5K</t>
  </si>
  <si>
    <r>
      <rPr>
        <sz val="12"/>
        <rFont val="微软雅黑"/>
        <charset val="134"/>
      </rPr>
      <t>客放</t>
    </r>
    <r>
      <rPr>
        <sz val="12"/>
        <rFont val="Arial"/>
        <charset val="0"/>
      </rPr>
      <t>MA</t>
    </r>
    <r>
      <rPr>
        <sz val="12"/>
        <rFont val="微软雅黑"/>
        <charset val="134"/>
      </rPr>
      <t>总金额</t>
    </r>
    <r>
      <rPr>
        <sz val="12"/>
        <rFont val="Arial"/>
        <charset val="0"/>
      </rPr>
      <t xml:space="preserve">
</t>
    </r>
    <r>
      <rPr>
        <sz val="12"/>
        <rFont val="微软雅黑"/>
        <charset val="0"/>
      </rPr>
      <t>（</t>
    </r>
    <r>
      <rPr>
        <sz val="12"/>
        <rFont val="Arial"/>
        <charset val="0"/>
      </rPr>
      <t>USD)</t>
    </r>
  </si>
  <si>
    <r>
      <rPr>
        <sz val="12"/>
        <rFont val="微软雅黑"/>
        <charset val="134"/>
      </rPr>
      <t>客放</t>
    </r>
    <r>
      <rPr>
        <sz val="12"/>
        <rFont val="Arial"/>
        <charset val="0"/>
      </rPr>
      <t>MA</t>
    </r>
    <r>
      <rPr>
        <sz val="12"/>
        <rFont val="微软雅黑"/>
        <charset val="134"/>
      </rPr>
      <t>剩余总金额</t>
    </r>
    <r>
      <rPr>
        <sz val="12"/>
        <rFont val="Arial"/>
        <charset val="0"/>
      </rPr>
      <t xml:space="preserve">
</t>
    </r>
    <r>
      <rPr>
        <sz val="12"/>
        <rFont val="微软雅黑"/>
        <charset val="0"/>
      </rPr>
      <t>（</t>
    </r>
    <r>
      <rPr>
        <sz val="12"/>
        <rFont val="Arial"/>
        <charset val="0"/>
      </rPr>
      <t>USD)</t>
    </r>
  </si>
  <si>
    <r>
      <rPr>
        <sz val="12"/>
        <rFont val="微软雅黑"/>
        <charset val="134"/>
      </rPr>
      <t>客放</t>
    </r>
    <r>
      <rPr>
        <sz val="12"/>
        <rFont val="Arial"/>
        <charset val="134"/>
      </rPr>
      <t>MA</t>
    </r>
    <r>
      <rPr>
        <sz val="12"/>
        <rFont val="微软雅黑"/>
        <charset val="134"/>
      </rPr>
      <t>剩余总金额</t>
    </r>
    <r>
      <rPr>
        <sz val="12"/>
        <rFont val="Arial"/>
        <charset val="134"/>
      </rPr>
      <t xml:space="preserve">
</t>
    </r>
    <r>
      <rPr>
        <sz val="12"/>
        <rFont val="微软雅黑"/>
        <charset val="134"/>
      </rPr>
      <t>（万</t>
    </r>
    <r>
      <rPr>
        <sz val="12"/>
        <rFont val="Arial"/>
        <charset val="134"/>
      </rPr>
      <t>HKD)</t>
    </r>
  </si>
  <si>
    <t>包装档案
提供时间</t>
  </si>
  <si>
    <t>取消日期</t>
  </si>
  <si>
    <t>THT1654</t>
  </si>
  <si>
    <r>
      <rPr>
        <b/>
        <sz val="10"/>
        <rFont val="宋体"/>
        <charset val="134"/>
      </rPr>
      <t>客户名称</t>
    </r>
    <r>
      <rPr>
        <b/>
        <sz val="8"/>
        <rFont val="宋体"/>
        <charset val="134"/>
      </rPr>
      <t xml:space="preserve">
（第三方客名）</t>
    </r>
  </si>
  <si>
    <t>CZ007E1
配比</t>
  </si>
  <si>
    <t>CZ007A1~A12
配比</t>
  </si>
  <si>
    <t>CZ006D6
配比</t>
  </si>
  <si>
    <t>CZ031E1配比</t>
  </si>
  <si>
    <t>原订单数</t>
  </si>
  <si>
    <t>THT1296A
订单扣数</t>
  </si>
  <si>
    <t>THT1329
订单扣数</t>
  </si>
  <si>
    <t>THT1388
订单扣数</t>
  </si>
  <si>
    <t>THT1389
订单扣数</t>
  </si>
  <si>
    <t>THT1357A订单扣数</t>
  </si>
  <si>
    <t>THT1410
订单扣数</t>
  </si>
  <si>
    <t>THT1411
订单扣数</t>
  </si>
  <si>
    <t>THT1436A订单扣数</t>
  </si>
  <si>
    <t>THT1454订单扣数</t>
  </si>
  <si>
    <t>剩余库存数</t>
  </si>
  <si>
    <t>TOY MONSTER (WALMART)</t>
  </si>
  <si>
    <t>THT1279 MA订单</t>
  </si>
  <si>
    <t>CZ005A1</t>
  </si>
  <si>
    <t>按压发声公仔
（三角龙）</t>
  </si>
  <si>
    <t>CZ005A2</t>
  </si>
  <si>
    <t>按压发声公仔
（双脊龙）</t>
  </si>
  <si>
    <t>CZ005A3</t>
  </si>
  <si>
    <t>按压发声公仔
（水豚）</t>
  </si>
  <si>
    <t>CZ005A4</t>
  </si>
  <si>
    <t>按压发声公仔
（高地牛）</t>
  </si>
  <si>
    <t>CZ005A5</t>
  </si>
  <si>
    <t>按压发声公仔
（兔子）</t>
  </si>
  <si>
    <t>CZ005A6</t>
  </si>
  <si>
    <t>按压发声公仔
（海狸）</t>
  </si>
  <si>
    <t>CZ005A7</t>
  </si>
  <si>
    <t>按压发声公仔
（小猫）</t>
  </si>
  <si>
    <t>CZ005A8</t>
  </si>
  <si>
    <t>按压发声公仔
（小狗）</t>
  </si>
  <si>
    <t>CZ005A9</t>
  </si>
  <si>
    <t>按压发声公仔
（蝾螈）</t>
  </si>
  <si>
    <t>CZ005A10</t>
  </si>
  <si>
    <t>按压发声公仔
（树懒）</t>
  </si>
  <si>
    <t>CZ005A11</t>
  </si>
  <si>
    <t>按压发声公仔
（狐狸）</t>
  </si>
  <si>
    <t>CZ005A12</t>
  </si>
  <si>
    <t>按压发声公仔
（河马）</t>
  </si>
  <si>
    <t>备注：CZ005库存MA将消耗在CZ006、CZ007、CZ009、CZ031订单中</t>
  </si>
  <si>
    <t>验货时间</t>
  </si>
  <si>
    <t>THT1319</t>
  </si>
  <si>
    <t>THT1321</t>
  </si>
  <si>
    <t>THT1322</t>
  </si>
  <si>
    <t>THT1323</t>
  </si>
  <si>
    <t>THT1324</t>
  </si>
  <si>
    <t>THT1404</t>
  </si>
  <si>
    <t>THT1406</t>
  </si>
  <si>
    <t>THT1405</t>
  </si>
  <si>
    <t>TARGET (AUS / NZ)</t>
  </si>
  <si>
    <t>THT1407</t>
  </si>
  <si>
    <t>THT1408</t>
  </si>
  <si>
    <t>THT1401</t>
  </si>
  <si>
    <t>SP003A1</t>
  </si>
  <si>
    <t>冰杯带手柄(迪士尼)</t>
  </si>
  <si>
    <t>备注：冰杯系列取消开发</t>
  </si>
  <si>
    <t>货号</t>
  </si>
  <si>
    <t>系统货号名称</t>
  </si>
  <si>
    <t>BS064D1-KMART</t>
  </si>
  <si>
    <t>BRAZIL客版</t>
  </si>
  <si>
    <t>BS064D1-BRAZIL</t>
  </si>
  <si>
    <t>BS064D1-克罗地亚客版</t>
  </si>
  <si>
    <t>BS064D2</t>
  </si>
  <si>
    <t>3L标准包装</t>
  </si>
  <si>
    <t>BS064D2-3L标准包装</t>
  </si>
  <si>
    <t>ORBICO客版</t>
  </si>
  <si>
    <t>BS065D6-ORBICO客版</t>
  </si>
  <si>
    <t>SMYTHS
多国语言客版</t>
  </si>
  <si>
    <t>BS065D6-SMYTHS客版</t>
  </si>
  <si>
    <t>BS065D6-以色列客版</t>
  </si>
  <si>
    <t>BS065D6-克罗地亚客版</t>
  </si>
  <si>
    <t>BS067D1-KMART客版</t>
  </si>
  <si>
    <t>BS067D1-克罗地亚客版</t>
  </si>
  <si>
    <t>BS068D12-葡萄牙客版</t>
  </si>
  <si>
    <t>BS069A1-KMART客版</t>
  </si>
  <si>
    <t>BS069A1-ORBICO客版</t>
  </si>
  <si>
    <t>MAXIMA客版</t>
  </si>
  <si>
    <t>BS069A1-MAXIMA客版</t>
  </si>
  <si>
    <t>BS071D6-KMART客版</t>
  </si>
  <si>
    <t>BS071D6-SMYTHS客版</t>
  </si>
  <si>
    <t>SMYTHS
德国客版</t>
  </si>
  <si>
    <t>BS071D6-SMYTHS德国客版</t>
  </si>
  <si>
    <t>BS074D6-葡萄牙客版</t>
  </si>
  <si>
    <t>BS082D6-以色列客版</t>
  </si>
  <si>
    <t>BS082D6-巴西</t>
  </si>
  <si>
    <t>BS086D6-SMYTHS</t>
  </si>
  <si>
    <t>CZ002D6-MAXIMA客版</t>
  </si>
  <si>
    <t>CZ003D6-KMART客版</t>
  </si>
  <si>
    <t>CZ006D6-葡萄牙客版</t>
  </si>
  <si>
    <t>CZ006D6-瑞士</t>
  </si>
  <si>
    <t>CZ007E1-WM客版（印尼）</t>
  </si>
  <si>
    <t>CZ007A1-WM客版（印尼）</t>
  </si>
  <si>
    <t>CZ007A2-WM客版（印尼）</t>
  </si>
  <si>
    <t>CZ007A4-WM客版（印尼）</t>
  </si>
  <si>
    <t>CZ007A5-WM客版（印尼）</t>
  </si>
  <si>
    <t>CZ007A6-WM客版（印尼）</t>
  </si>
  <si>
    <t>CZ007A7-WM客版（印尼）</t>
  </si>
  <si>
    <t>CZ007A8-WM客版（印尼）</t>
  </si>
  <si>
    <t>CZ007A9-WM客版（印尼）</t>
  </si>
  <si>
    <t>CZ007A10-WM客版（印尼）</t>
  </si>
  <si>
    <t>CZ007A11-WM客版（印尼）</t>
  </si>
  <si>
    <t>CZ007A12-WM客版（印尼）</t>
  </si>
  <si>
    <t>CZ014D6-KMART客版</t>
  </si>
  <si>
    <t>KMART客版（CZ003标准CDU）</t>
  </si>
  <si>
    <t>CZ014D6-KMART客版（CZ003标准CDU）</t>
  </si>
  <si>
    <t>CZ018D6-加拿大客版</t>
  </si>
  <si>
    <t>CZ021D1-WM客版（印尼）</t>
  </si>
  <si>
    <t>CZ021D2-WM客版（印尼）</t>
  </si>
  <si>
    <t>CZ021D3-WM客版（印尼）</t>
  </si>
  <si>
    <t>CZ021D4-WM客版（印尼）</t>
  </si>
  <si>
    <t>MZ001D6</t>
  </si>
  <si>
    <t>MZ001D6-3L标准包装</t>
  </si>
  <si>
    <t>MZ002D6-标准KMART版</t>
  </si>
  <si>
    <t>MZ003D1-3L标准包装</t>
  </si>
  <si>
    <t>MZ003D9-MAXIMA客版</t>
  </si>
  <si>
    <t>NECOTOYS客版</t>
  </si>
  <si>
    <t>MZ003D9-NECOTOYS客版</t>
  </si>
  <si>
    <t>PF001A1-新标准版</t>
  </si>
  <si>
    <t>PF001A1-KMART</t>
  </si>
  <si>
    <t>Portugal客版</t>
  </si>
  <si>
    <t>PF001A1-Portugal</t>
  </si>
  <si>
    <t>PF001A1-SMYTHS TOYS客版</t>
  </si>
  <si>
    <t>SP003A1-KMART</t>
  </si>
  <si>
    <t>SP003A2-KMART</t>
  </si>
  <si>
    <t>SP003A3-KMART</t>
  </si>
  <si>
    <t>ZC001A1-KMART</t>
  </si>
  <si>
    <t>ZC006A1（标准版本）</t>
  </si>
  <si>
    <t>CANADA客版</t>
  </si>
  <si>
    <t>ZC006A1-CANADA</t>
  </si>
  <si>
    <t>Denmark客版</t>
  </si>
  <si>
    <t>ZC006A1-Denmark</t>
  </si>
  <si>
    <t>Hungary客版</t>
  </si>
  <si>
    <t>ZC006A1-Hungary</t>
  </si>
  <si>
    <t>Israel客版</t>
  </si>
  <si>
    <t>ZC006A1-Israel</t>
  </si>
  <si>
    <t>MERCIER客版</t>
  </si>
  <si>
    <t>ZC006A1-客包装+客说明书</t>
  </si>
  <si>
    <t>ZC006A1-克罗地亚客版</t>
  </si>
  <si>
    <t>ZC006E1</t>
  </si>
  <si>
    <t>ZC006E1-客包装+客说明书</t>
  </si>
  <si>
    <t>SP002A1-以色列</t>
  </si>
  <si>
    <t>ZC006A1-捷克</t>
  </si>
  <si>
    <t>SP005A1-KMART客版本</t>
  </si>
  <si>
    <t>BS089D12-克罗地亚</t>
  </si>
  <si>
    <t>BS086D6-克罗地亚</t>
  </si>
  <si>
    <t>BS089D12-罗马尼亚</t>
  </si>
  <si>
    <t>BS082D6-罗马尼亚</t>
  </si>
  <si>
    <t>BS086D6-罗马尼亚</t>
  </si>
  <si>
    <t>BS074-丹麦</t>
  </si>
  <si>
    <t>BS086D6-TRU</t>
  </si>
  <si>
    <t>BS085D6-TRU</t>
  </si>
  <si>
    <t>BS090D6-KMART客版本</t>
  </si>
  <si>
    <t>CZ018E1-加拿大</t>
  </si>
  <si>
    <t>各货号毛绒公仔配比汇总表</t>
  </si>
  <si>
    <t>配比</t>
  </si>
  <si>
    <t>JENNA</t>
  </si>
  <si>
    <t>LULU</t>
  </si>
  <si>
    <t>CHLOE</t>
  </si>
  <si>
    <t>SUMMER</t>
  </si>
  <si>
    <t>BELLA</t>
  </si>
  <si>
    <t>DREW</t>
  </si>
  <si>
    <t>LILLY</t>
  </si>
  <si>
    <t>KIKA</t>
  </si>
  <si>
    <t>MOLLY</t>
  </si>
  <si>
    <t>GINGER</t>
  </si>
  <si>
    <t>CANDACE</t>
  </si>
  <si>
    <t>BINNIE</t>
  </si>
  <si>
    <t>POPPY</t>
  </si>
  <si>
    <t>CORA</t>
  </si>
  <si>
    <t>CHERYL</t>
  </si>
  <si>
    <t>GRACE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</si>
</sst>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1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quot;周&quot;aaa"/>
    <numFmt numFmtId="177" formatCode="0_);[Red]\(0\)"/>
    <numFmt numFmtId="178" formatCode="0.00_ "/>
    <numFmt numFmtId="179" formatCode="_ * #,##0.000_ ;_ * \-#,##0.000_ ;_ * &quot;-&quot;??.0_ ;_ @_ "/>
    <numFmt numFmtId="180" formatCode="0.000_ "/>
    <numFmt numFmtId="181" formatCode="yyyy/m/d;@"/>
    <numFmt numFmtId="182" formatCode="0.00_);[Red]\(0.00\)"/>
    <numFmt numFmtId="183" formatCode="0_ ;[Red]\-0\ "/>
    <numFmt numFmtId="184" formatCode="0.000_ ;[Red]\-0.000\ "/>
    <numFmt numFmtId="185" formatCode="0.0000_ "/>
    <numFmt numFmtId="186" formatCode="#,##0.00_ "/>
    <numFmt numFmtId="187" formatCode="0.00_ ;[Red]\-0.00\ "/>
    <numFmt numFmtId="188" formatCode="m/d/yy;@"/>
  </numFmts>
  <fonts count="76">
    <font>
      <sz val="11"/>
      <color theme="1"/>
      <name val="宋体"/>
      <charset val="134"/>
      <scheme val="minor"/>
    </font>
    <font>
      <sz val="12"/>
      <name val="宋体"/>
      <charset val="134"/>
    </font>
    <font>
      <sz val="12"/>
      <color rgb="FF0B13BB"/>
      <name val="宋体"/>
      <charset val="134"/>
    </font>
    <font>
      <sz val="9"/>
      <name val="宋体"/>
      <charset val="134"/>
    </font>
    <font>
      <b/>
      <sz val="10"/>
      <name val="宋体"/>
      <charset val="134"/>
    </font>
    <font>
      <sz val="9"/>
      <color rgb="FF0B13BB"/>
      <name val="宋体"/>
      <charset val="134"/>
    </font>
    <font>
      <sz val="9"/>
      <color rgb="FF0B13BB"/>
      <name val="宋体"/>
      <charset val="134"/>
      <scheme val="minor"/>
    </font>
    <font>
      <sz val="9"/>
      <color rgb="FFFF0000"/>
      <name val="宋体"/>
      <charset val="134"/>
      <scheme val="minor"/>
    </font>
    <font>
      <sz val="12"/>
      <color rgb="FFFF0000"/>
      <name val="宋体"/>
      <charset val="134"/>
    </font>
    <font>
      <b/>
      <sz val="9"/>
      <color rgb="FF7030A0"/>
      <name val="宋体"/>
      <charset val="134"/>
    </font>
    <font>
      <b/>
      <sz val="9"/>
      <name val="宋体"/>
      <charset val="134"/>
    </font>
    <font>
      <sz val="9"/>
      <color rgb="FFFF0000"/>
      <name val="宋体"/>
      <charset val="134"/>
    </font>
    <font>
      <sz val="9"/>
      <name val="宋体"/>
      <charset val="134"/>
      <scheme val="minor"/>
    </font>
    <font>
      <strike/>
      <sz val="9"/>
      <color rgb="FFFF0000"/>
      <name val="宋体"/>
      <charset val="134"/>
    </font>
    <font>
      <sz val="12"/>
      <name val="Arial"/>
      <charset val="134"/>
    </font>
    <font>
      <sz val="18"/>
      <name val="Arial"/>
      <charset val="0"/>
    </font>
    <font>
      <sz val="12"/>
      <name val="Arial"/>
      <charset val="0"/>
    </font>
    <font>
      <sz val="12"/>
      <name val="宋体"/>
      <charset val="0"/>
    </font>
    <font>
      <sz val="12"/>
      <name val="微软雅黑"/>
      <charset val="134"/>
    </font>
    <font>
      <sz val="12"/>
      <color rgb="FFFF0000"/>
      <name val="宋体"/>
      <charset val="0"/>
    </font>
    <font>
      <sz val="12"/>
      <color rgb="FFFF0000"/>
      <name val="Arial"/>
      <charset val="134"/>
    </font>
    <font>
      <sz val="9"/>
      <color theme="1"/>
      <name val="宋体"/>
      <charset val="134"/>
      <scheme val="minor"/>
    </font>
    <font>
      <sz val="9"/>
      <color theme="1"/>
      <name val="宋体"/>
      <charset val="134"/>
    </font>
    <font>
      <sz val="9"/>
      <color rgb="FFEB35D8"/>
      <name val="宋体"/>
      <charset val="134"/>
      <scheme val="minor"/>
    </font>
    <font>
      <sz val="9"/>
      <color rgb="FFE82EE6"/>
      <name val="宋体"/>
      <charset val="134"/>
      <scheme val="minor"/>
    </font>
    <font>
      <sz val="9"/>
      <color rgb="FFFF00FF"/>
      <name val="宋体"/>
      <charset val="134"/>
      <scheme val="minor"/>
    </font>
    <font>
      <sz val="9"/>
      <color rgb="FFFF00FF"/>
      <name val="宋体"/>
      <charset val="134"/>
    </font>
    <font>
      <b/>
      <sz val="9"/>
      <color rgb="FFFF0000"/>
      <name val="Times New Roman"/>
      <charset val="134"/>
    </font>
    <font>
      <b/>
      <sz val="9"/>
      <color rgb="FFFF0000"/>
      <name val="宋体"/>
      <charset val="134"/>
    </font>
    <font>
      <b/>
      <sz val="9"/>
      <color rgb="FFFF0000"/>
      <name val="Times New Roman"/>
      <charset val="0"/>
    </font>
    <font>
      <sz val="9"/>
      <color rgb="FFEB35D8"/>
      <name val="宋体"/>
      <charset val="134"/>
    </font>
    <font>
      <sz val="9"/>
      <color rgb="FFE82EE6"/>
      <name val="宋体"/>
      <charset val="134"/>
    </font>
    <font>
      <sz val="9"/>
      <color rgb="FF0033CC"/>
      <name val="宋体"/>
      <charset val="134"/>
      <scheme val="minor"/>
    </font>
    <font>
      <sz val="11"/>
      <color rgb="FFFF00FF"/>
      <name val="宋体"/>
      <charset val="134"/>
      <scheme val="minor"/>
    </font>
    <font>
      <b/>
      <sz val="9"/>
      <color rgb="FF000000"/>
      <name val="宋体"/>
      <charset val="134"/>
    </font>
    <font>
      <sz val="9"/>
      <color rgb="FF000000"/>
      <name val="宋体"/>
      <charset val="134"/>
    </font>
    <font>
      <sz val="12"/>
      <color rgb="FF000000"/>
      <name val="宋体"/>
      <charset val="134"/>
      <scheme val="minor"/>
    </font>
    <font>
      <sz val="9"/>
      <color rgb="FF000000"/>
      <name val="宋体"/>
      <charset val="134"/>
      <scheme val="minor"/>
    </font>
    <font>
      <sz val="9"/>
      <color rgb="FF0033CC"/>
      <name val="宋体"/>
      <charset val="134"/>
    </font>
    <font>
      <b/>
      <sz val="10"/>
      <name val="宋体"/>
      <charset val="134"/>
      <scheme val="minor"/>
    </font>
    <font>
      <sz val="12"/>
      <color rgb="FFFF00FF"/>
      <name val="宋体"/>
      <charset val="134"/>
    </font>
    <font>
      <sz val="9"/>
      <color theme="0"/>
      <name val="宋体"/>
      <charset val="134"/>
      <scheme val="minor"/>
    </font>
    <font>
      <b/>
      <sz val="11"/>
      <name val="宋体"/>
      <charset val="134"/>
      <scheme val="minor"/>
    </font>
    <font>
      <sz val="12"/>
      <name val="黑体"/>
      <charset val="134"/>
    </font>
    <font>
      <sz val="9"/>
      <color rgb="FF0766D4"/>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Calibri"/>
      <charset val="134"/>
    </font>
    <font>
      <sz val="12"/>
      <name val="微软雅黑"/>
      <charset val="0"/>
    </font>
    <font>
      <sz val="18"/>
      <name val="微软雅黑"/>
      <charset val="0"/>
    </font>
    <font>
      <b/>
      <sz val="8"/>
      <name val="宋体"/>
      <charset val="134"/>
    </font>
    <font>
      <b/>
      <sz val="10"/>
      <name val="宋体"/>
      <charset val="134"/>
    </font>
    <font>
      <b/>
      <sz val="9"/>
      <name val="宋体"/>
      <charset val="134"/>
    </font>
    <font>
      <sz val="12"/>
      <name val="宋体"/>
      <charset val="134"/>
    </font>
    <font>
      <sz val="9"/>
      <name val="宋体"/>
      <charset val="134"/>
    </font>
    <font>
      <sz val="10"/>
      <name val="宋体"/>
      <charset val="134"/>
    </font>
    <font>
      <sz val="9"/>
      <name val="宋体"/>
      <charset val="0"/>
    </font>
    <font>
      <b/>
      <sz val="12"/>
      <name val="宋体"/>
      <charset val="134"/>
    </font>
    <font>
      <b/>
      <sz val="9"/>
      <name val="宋体"/>
      <charset val="0"/>
    </font>
  </fonts>
  <fills count="37">
    <fill>
      <patternFill patternType="none"/>
    </fill>
    <fill>
      <patternFill patternType="gray125"/>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4" tint="-0.249977111117893"/>
        <bgColor indexed="64"/>
      </patternFill>
    </fill>
    <fill>
      <patternFill patternType="solid">
        <fgColor rgb="FFFFFF00"/>
        <bgColor indexed="64"/>
      </patternFill>
    </fill>
    <fill>
      <patternFill patternType="solid">
        <fgColor rgb="FF00B0F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6">
    <border>
      <left/>
      <right/>
      <top/>
      <bottom/>
      <diagonal/>
    </border>
    <border>
      <left style="thin">
        <color auto="1"/>
      </left>
      <right style="thin">
        <color auto="1"/>
      </right>
      <top style="thin">
        <color auto="1"/>
      </top>
      <bottom style="thin">
        <color auto="1"/>
      </bottom>
      <diagonal/>
    </border>
    <border>
      <left style="thin">
        <color auto="1"/>
      </left>
      <right style="thin">
        <color indexed="8"/>
      </right>
      <top style="thin">
        <color auto="1"/>
      </top>
      <bottom style="thin">
        <color auto="1"/>
      </bottom>
      <diagonal/>
    </border>
    <border>
      <left style="thin">
        <color auto="1"/>
      </left>
      <right style="thin">
        <color auto="1"/>
      </right>
      <top style="thin">
        <color auto="1"/>
      </top>
      <bottom style="thin">
        <color indexed="8"/>
      </bottom>
      <diagonal/>
    </border>
    <border>
      <left style="thin">
        <color auto="1"/>
      </left>
      <right style="thin">
        <color indexed="8"/>
      </right>
      <top style="thin">
        <color auto="1"/>
      </top>
      <bottom style="thin">
        <color indexed="8"/>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indexed="0"/>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indexed="8"/>
      </right>
      <top style="thin">
        <color auto="1"/>
      </top>
      <bottom/>
      <diagonal/>
    </border>
    <border>
      <left style="thin">
        <color auto="1"/>
      </left>
      <right/>
      <top/>
      <bottom style="thin">
        <color auto="1"/>
      </bottom>
      <diagonal/>
    </border>
    <border>
      <left/>
      <right/>
      <top/>
      <bottom style="thin">
        <color auto="1"/>
      </bottom>
      <diagonal/>
    </border>
    <border>
      <left/>
      <right style="thin">
        <color indexed="8"/>
      </right>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5" fillId="0" borderId="0">
      <alignment vertical="center"/>
    </xf>
    <xf numFmtId="0" fontId="46" fillId="0" borderId="0">
      <alignment vertical="center"/>
    </xf>
    <xf numFmtId="0" fontId="0" fillId="9" borderId="18">
      <alignment vertical="center"/>
    </xf>
    <xf numFmtId="0" fontId="47" fillId="0" borderId="0">
      <alignment vertical="center"/>
    </xf>
    <xf numFmtId="0" fontId="48" fillId="0" borderId="0">
      <alignment vertical="center"/>
    </xf>
    <xf numFmtId="0" fontId="49" fillId="0" borderId="0">
      <alignment vertical="center"/>
    </xf>
    <xf numFmtId="0" fontId="50" fillId="0" borderId="19">
      <alignment vertical="center"/>
    </xf>
    <xf numFmtId="0" fontId="51" fillId="0" borderId="19">
      <alignment vertical="center"/>
    </xf>
    <xf numFmtId="0" fontId="52" fillId="0" borderId="20">
      <alignment vertical="center"/>
    </xf>
    <xf numFmtId="0" fontId="52" fillId="0" borderId="0">
      <alignment vertical="center"/>
    </xf>
    <xf numFmtId="0" fontId="53" fillId="10" borderId="21">
      <alignment vertical="center"/>
    </xf>
    <xf numFmtId="0" fontId="54" fillId="11" borderId="22">
      <alignment vertical="center"/>
    </xf>
    <xf numFmtId="0" fontId="55" fillId="11" borderId="21">
      <alignment vertical="center"/>
    </xf>
    <xf numFmtId="0" fontId="56" fillId="12" borderId="23">
      <alignment vertical="center"/>
    </xf>
    <xf numFmtId="0" fontId="57" fillId="0" borderId="24">
      <alignment vertical="center"/>
    </xf>
    <xf numFmtId="0" fontId="58" fillId="0" borderId="25">
      <alignment vertical="center"/>
    </xf>
    <xf numFmtId="0" fontId="59" fillId="13" borderId="0">
      <alignment vertical="center"/>
    </xf>
    <xf numFmtId="0" fontId="60" fillId="14" borderId="0">
      <alignment vertical="center"/>
    </xf>
    <xf numFmtId="0" fontId="61" fillId="15" borderId="0">
      <alignment vertical="center"/>
    </xf>
    <xf numFmtId="0" fontId="62" fillId="16" borderId="0">
      <alignment vertical="center"/>
    </xf>
    <xf numFmtId="0" fontId="63" fillId="2" borderId="0">
      <alignment vertical="center"/>
    </xf>
    <xf numFmtId="0" fontId="63" fillId="3" borderId="0">
      <alignment vertical="center"/>
    </xf>
    <xf numFmtId="0" fontId="62" fillId="4" borderId="0">
      <alignment vertical="center"/>
    </xf>
    <xf numFmtId="0" fontId="62" fillId="17" borderId="0">
      <alignment vertical="center"/>
    </xf>
    <xf numFmtId="0" fontId="63" fillId="18" borderId="0">
      <alignment vertical="center"/>
    </xf>
    <xf numFmtId="0" fontId="63" fillId="19" borderId="0">
      <alignment vertical="center"/>
    </xf>
    <xf numFmtId="0" fontId="62" fillId="20" borderId="0">
      <alignment vertical="center"/>
    </xf>
    <xf numFmtId="0" fontId="62" fillId="21" borderId="0">
      <alignment vertical="center"/>
    </xf>
    <xf numFmtId="0" fontId="63" fillId="22" borderId="0">
      <alignment vertical="center"/>
    </xf>
    <xf numFmtId="0" fontId="63" fillId="23" borderId="0">
      <alignment vertical="center"/>
    </xf>
    <xf numFmtId="0" fontId="62" fillId="24" borderId="0">
      <alignment vertical="center"/>
    </xf>
    <xf numFmtId="0" fontId="62" fillId="25" borderId="0">
      <alignment vertical="center"/>
    </xf>
    <xf numFmtId="0" fontId="63" fillId="26" borderId="0">
      <alignment vertical="center"/>
    </xf>
    <xf numFmtId="0" fontId="63" fillId="27" borderId="0">
      <alignment vertical="center"/>
    </xf>
    <xf numFmtId="0" fontId="62" fillId="28" borderId="0">
      <alignment vertical="center"/>
    </xf>
    <xf numFmtId="0" fontId="62" fillId="29" borderId="0">
      <alignment vertical="center"/>
    </xf>
    <xf numFmtId="0" fontId="63" fillId="30" borderId="0">
      <alignment vertical="center"/>
    </xf>
    <xf numFmtId="0" fontId="63" fillId="31" borderId="0">
      <alignment vertical="center"/>
    </xf>
    <xf numFmtId="0" fontId="62" fillId="32" borderId="0">
      <alignment vertical="center"/>
    </xf>
    <xf numFmtId="0" fontId="62" fillId="33" borderId="0">
      <alignment vertical="center"/>
    </xf>
    <xf numFmtId="0" fontId="63" fillId="34" borderId="0">
      <alignment vertical="center"/>
    </xf>
    <xf numFmtId="0" fontId="63" fillId="35" borderId="0">
      <alignment vertical="center"/>
    </xf>
    <xf numFmtId="0" fontId="62" fillId="36" borderId="0">
      <alignment vertical="center"/>
    </xf>
    <xf numFmtId="0" fontId="64" fillId="0" borderId="0"/>
    <xf numFmtId="0" fontId="1" fillId="0" borderId="0"/>
  </cellStyleXfs>
  <cellXfs count="516">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horizontal="center" vertical="center"/>
    </xf>
    <xf numFmtId="0" fontId="1" fillId="0" borderId="0" xfId="0" applyFont="1" applyFill="1" applyBorder="1" applyAlignment="1">
      <alignment vertical="center"/>
    </xf>
    <xf numFmtId="0" fontId="1" fillId="0" borderId="0" xfId="0" applyFont="1" applyFill="1" applyBorder="1" applyAlignment="1">
      <alignment horizontal="center" vertical="center"/>
    </xf>
    <xf numFmtId="0" fontId="1" fillId="0" borderId="1" xfId="0" applyFont="1" applyFill="1" applyBorder="1" applyAlignment="1">
      <alignment horizontal="center" vertical="center"/>
    </xf>
    <xf numFmtId="0" fontId="1" fillId="0" borderId="2" xfId="0" applyFont="1" applyFill="1" applyBorder="1" applyAlignment="1">
      <alignment horizontal="center" vertical="center"/>
    </xf>
    <xf numFmtId="0" fontId="1" fillId="0" borderId="1" xfId="0" applyFont="1" applyFill="1" applyBorder="1" applyAlignment="1">
      <alignment horizontal="center" vertical="center" wrapText="1"/>
    </xf>
    <xf numFmtId="0" fontId="1" fillId="0" borderId="3" xfId="0" applyFont="1" applyFill="1" applyBorder="1" applyAlignment="1">
      <alignment horizontal="center" vertical="center"/>
    </xf>
    <xf numFmtId="0" fontId="1" fillId="0" borderId="4" xfId="0" applyFont="1" applyFill="1" applyBorder="1" applyAlignment="1">
      <alignment horizontal="center" vertical="center"/>
    </xf>
    <xf numFmtId="0" fontId="2" fillId="0" borderId="0" xfId="0" applyFont="1" applyFill="1" applyBorder="1" applyAlignment="1">
      <alignment vertical="center"/>
    </xf>
    <xf numFmtId="176" fontId="1" fillId="0" borderId="0" xfId="0" applyNumberFormat="1" applyFont="1" applyFill="1" applyBorder="1" applyAlignment="1">
      <alignment horizontal="center" vertical="center"/>
    </xf>
    <xf numFmtId="0" fontId="1" fillId="0" borderId="0" xfId="0" applyFont="1" applyFill="1" applyBorder="1" applyAlignment="1">
      <alignment horizontal="left" vertical="center"/>
    </xf>
    <xf numFmtId="177" fontId="1" fillId="0" borderId="0" xfId="0" applyNumberFormat="1" applyFont="1" applyFill="1" applyBorder="1" applyAlignment="1">
      <alignment vertical="center"/>
    </xf>
    <xf numFmtId="177" fontId="1" fillId="2" borderId="0" xfId="0" applyNumberFormat="1" applyFont="1" applyFill="1" applyBorder="1" applyAlignment="1">
      <alignment vertical="center"/>
    </xf>
    <xf numFmtId="177" fontId="1" fillId="3" borderId="0" xfId="0" applyNumberFormat="1" applyFont="1" applyFill="1" applyBorder="1" applyAlignment="1">
      <alignment vertical="center"/>
    </xf>
    <xf numFmtId="177" fontId="1" fillId="4" borderId="0" xfId="0" applyNumberFormat="1" applyFont="1" applyFill="1" applyBorder="1" applyAlignment="1">
      <alignment vertical="center"/>
    </xf>
    <xf numFmtId="177" fontId="1" fillId="5" borderId="0" xfId="0" applyNumberFormat="1" applyFont="1" applyFill="1" applyBorder="1" applyAlignment="1">
      <alignment vertical="center"/>
    </xf>
    <xf numFmtId="178" fontId="3" fillId="0" borderId="0" xfId="0" applyNumberFormat="1" applyFont="1" applyFill="1" applyBorder="1" applyAlignment="1">
      <alignment horizontal="center" vertical="center" wrapText="1"/>
    </xf>
    <xf numFmtId="176" fontId="4" fillId="0" borderId="1" xfId="0" applyNumberFormat="1" applyFont="1" applyFill="1" applyBorder="1" applyAlignment="1">
      <alignment horizontal="center" vertical="center"/>
    </xf>
    <xf numFmtId="0" fontId="4" fillId="0" borderId="1" xfId="0" applyFont="1" applyFill="1" applyBorder="1" applyAlignment="1">
      <alignment horizontal="center" vertical="center"/>
    </xf>
    <xf numFmtId="0" fontId="4" fillId="0" borderId="1" xfId="0" applyFont="1" applyFill="1" applyBorder="1" applyAlignment="1">
      <alignment horizontal="left" vertical="center" wrapText="1"/>
    </xf>
    <xf numFmtId="177" fontId="4" fillId="0" borderId="1" xfId="0" applyNumberFormat="1" applyFont="1" applyFill="1" applyBorder="1" applyAlignment="1">
      <alignment horizontal="center" vertical="center" wrapText="1"/>
    </xf>
    <xf numFmtId="0" fontId="4" fillId="0" borderId="1" xfId="0" applyFont="1" applyFill="1" applyBorder="1" applyAlignment="1">
      <alignment horizontal="center" vertical="center" wrapText="1"/>
    </xf>
    <xf numFmtId="177" fontId="4" fillId="0" borderId="1" xfId="0" applyNumberFormat="1" applyFont="1" applyFill="1" applyBorder="1" applyAlignment="1">
      <alignment horizontal="center" vertical="center"/>
    </xf>
    <xf numFmtId="177" fontId="4" fillId="2" borderId="1" xfId="0" applyNumberFormat="1" applyFont="1" applyFill="1" applyBorder="1" applyAlignment="1">
      <alignment horizontal="center" vertical="center" wrapText="1"/>
    </xf>
    <xf numFmtId="177" fontId="4" fillId="3" borderId="5" xfId="0" applyNumberFormat="1" applyFont="1" applyFill="1" applyBorder="1" applyAlignment="1">
      <alignment horizontal="center" vertical="center" wrapText="1"/>
    </xf>
    <xf numFmtId="177" fontId="4" fillId="4" borderId="5" xfId="0" applyNumberFormat="1" applyFont="1" applyFill="1" applyBorder="1" applyAlignment="1">
      <alignment horizontal="center" vertical="center" wrapText="1"/>
    </xf>
    <xf numFmtId="177" fontId="4" fillId="5" borderId="5" xfId="0" applyNumberFormat="1" applyFont="1" applyFill="1" applyBorder="1" applyAlignment="1">
      <alignment horizontal="center" vertical="center" wrapText="1"/>
    </xf>
    <xf numFmtId="0" fontId="4" fillId="0" borderId="5" xfId="0" applyFont="1" applyFill="1" applyBorder="1" applyAlignment="1">
      <alignment horizontal="center" vertical="center" wrapText="1"/>
    </xf>
    <xf numFmtId="176" fontId="3" fillId="0" borderId="1" xfId="0" applyNumberFormat="1" applyFont="1" applyFill="1" applyBorder="1" applyAlignment="1">
      <alignment horizontal="center" vertical="center" wrapText="1"/>
    </xf>
    <xf numFmtId="0" fontId="3" fillId="0" borderId="1" xfId="0" applyFont="1" applyFill="1" applyBorder="1" applyAlignment="1">
      <alignment horizontal="center" vertical="center"/>
    </xf>
    <xf numFmtId="0" fontId="3" fillId="0" borderId="1" xfId="0" applyFont="1" applyFill="1" applyBorder="1" applyAlignment="1">
      <alignment vertical="center"/>
    </xf>
    <xf numFmtId="0" fontId="3" fillId="0" borderId="1" xfId="0" applyFont="1" applyFill="1" applyBorder="1" applyAlignment="1">
      <alignment horizontal="left" vertical="center"/>
    </xf>
    <xf numFmtId="0" fontId="3" fillId="0" borderId="1" xfId="0" applyFont="1" applyFill="1" applyBorder="1" applyAlignment="1">
      <alignment horizontal="center" vertical="center" wrapText="1"/>
    </xf>
    <xf numFmtId="177" fontId="3" fillId="0" borderId="1" xfId="0" applyNumberFormat="1" applyFont="1" applyFill="1" applyBorder="1" applyAlignment="1">
      <alignment horizontal="center" vertical="center"/>
    </xf>
    <xf numFmtId="177" fontId="3" fillId="2" borderId="1" xfId="0" applyNumberFormat="1" applyFont="1" applyFill="1" applyBorder="1" applyAlignment="1">
      <alignment horizontal="center" vertical="center"/>
    </xf>
    <xf numFmtId="177" fontId="3" fillId="3" borderId="5" xfId="0" applyNumberFormat="1" applyFont="1" applyFill="1" applyBorder="1" applyAlignment="1">
      <alignment horizontal="center" vertical="center"/>
    </xf>
    <xf numFmtId="177" fontId="3" fillId="4" borderId="5" xfId="0" applyNumberFormat="1" applyFont="1" applyFill="1" applyBorder="1" applyAlignment="1">
      <alignment horizontal="center" vertical="center"/>
    </xf>
    <xf numFmtId="177" fontId="3" fillId="5" borderId="5" xfId="0" applyNumberFormat="1" applyFont="1" applyFill="1" applyBorder="1" applyAlignment="1">
      <alignment horizontal="center" vertical="center"/>
    </xf>
    <xf numFmtId="177" fontId="3" fillId="0" borderId="5" xfId="0" applyNumberFormat="1" applyFont="1" applyFill="1" applyBorder="1" applyAlignment="1">
      <alignment horizontal="center" vertical="center" wrapText="1"/>
    </xf>
    <xf numFmtId="179" fontId="3" fillId="0" borderId="1" xfId="0" applyNumberFormat="1" applyFont="1" applyFill="1" applyBorder="1" applyAlignment="1">
      <alignment vertical="center"/>
    </xf>
    <xf numFmtId="178" fontId="3" fillId="0" borderId="1" xfId="0" applyNumberFormat="1" applyFont="1" applyFill="1" applyBorder="1" applyAlignment="1">
      <alignment horizontal="center" vertical="center" wrapText="1"/>
    </xf>
    <xf numFmtId="178" fontId="3" fillId="0" borderId="1" xfId="0" applyNumberFormat="1" applyFont="1" applyFill="1" applyBorder="1" applyAlignment="1">
      <alignment horizontal="center" vertical="center"/>
    </xf>
    <xf numFmtId="176" fontId="3" fillId="0" borderId="5" xfId="0" applyNumberFormat="1" applyFont="1" applyFill="1" applyBorder="1" applyAlignment="1">
      <alignment horizontal="center" vertical="center" wrapText="1"/>
    </xf>
    <xf numFmtId="177" fontId="3" fillId="3" borderId="1" xfId="0" applyNumberFormat="1" applyFont="1" applyFill="1" applyBorder="1" applyAlignment="1">
      <alignment horizontal="center" vertical="center"/>
    </xf>
    <xf numFmtId="177" fontId="3" fillId="4" borderId="1" xfId="0" applyNumberFormat="1" applyFont="1" applyFill="1" applyBorder="1" applyAlignment="1">
      <alignment horizontal="center" vertical="center"/>
    </xf>
    <xf numFmtId="177" fontId="3" fillId="5" borderId="1" xfId="0" applyNumberFormat="1" applyFont="1" applyFill="1" applyBorder="1" applyAlignment="1">
      <alignment horizontal="center" vertical="center"/>
    </xf>
    <xf numFmtId="0" fontId="3" fillId="6" borderId="1" xfId="0" applyFont="1" applyFill="1" applyBorder="1" applyAlignment="1">
      <alignment horizontal="center" vertical="center"/>
    </xf>
    <xf numFmtId="178" fontId="3" fillId="0" borderId="2" xfId="0" applyNumberFormat="1" applyFont="1" applyFill="1" applyBorder="1" applyAlignment="1">
      <alignment horizontal="center" vertical="center" wrapText="1"/>
    </xf>
    <xf numFmtId="176" fontId="3" fillId="0" borderId="6" xfId="0" applyNumberFormat="1" applyFont="1" applyFill="1" applyBorder="1" applyAlignment="1">
      <alignment horizontal="center" vertical="center" wrapText="1"/>
    </xf>
    <xf numFmtId="0" fontId="3" fillId="0" borderId="0" xfId="0" applyFont="1" applyFill="1" applyBorder="1" applyAlignment="1">
      <alignment horizontal="center" vertical="center"/>
    </xf>
    <xf numFmtId="0" fontId="3" fillId="0" borderId="0" xfId="0" applyFont="1" applyFill="1" applyBorder="1" applyAlignment="1">
      <alignment horizontal="center" vertical="center" wrapText="1"/>
    </xf>
    <xf numFmtId="177" fontId="3" fillId="0" borderId="0" xfId="0" applyNumberFormat="1" applyFont="1" applyFill="1" applyBorder="1" applyAlignment="1">
      <alignment horizontal="center" vertical="center"/>
    </xf>
    <xf numFmtId="177" fontId="3" fillId="2" borderId="0" xfId="0" applyNumberFormat="1" applyFont="1" applyFill="1" applyBorder="1" applyAlignment="1">
      <alignment horizontal="center" vertical="center"/>
    </xf>
    <xf numFmtId="177" fontId="3" fillId="3" borderId="0" xfId="0" applyNumberFormat="1" applyFont="1" applyFill="1" applyBorder="1" applyAlignment="1">
      <alignment horizontal="center" vertical="center"/>
    </xf>
    <xf numFmtId="177" fontId="3" fillId="4" borderId="0" xfId="0" applyNumberFormat="1" applyFont="1" applyFill="1" applyBorder="1" applyAlignment="1">
      <alignment horizontal="center" vertical="center"/>
    </xf>
    <xf numFmtId="177" fontId="3" fillId="5" borderId="0" xfId="0" applyNumberFormat="1" applyFont="1" applyFill="1" applyBorder="1" applyAlignment="1">
      <alignment horizontal="center" vertical="center"/>
    </xf>
    <xf numFmtId="179" fontId="3" fillId="0" borderId="0" xfId="0" applyNumberFormat="1" applyFont="1" applyFill="1" applyBorder="1" applyAlignment="1">
      <alignment vertical="center"/>
    </xf>
    <xf numFmtId="176" fontId="3" fillId="0" borderId="0" xfId="0" applyNumberFormat="1" applyFont="1" applyFill="1" applyBorder="1" applyAlignment="1">
      <alignment horizontal="center" vertical="center" wrapText="1"/>
    </xf>
    <xf numFmtId="0" fontId="1" fillId="2" borderId="0" xfId="0" applyFont="1" applyFill="1" applyBorder="1" applyAlignment="1">
      <alignment vertical="center"/>
    </xf>
    <xf numFmtId="0" fontId="1" fillId="3" borderId="0" xfId="0" applyFont="1" applyFill="1" applyBorder="1" applyAlignment="1">
      <alignment vertical="center"/>
    </xf>
    <xf numFmtId="0" fontId="1" fillId="4" borderId="0" xfId="0" applyFont="1" applyFill="1" applyBorder="1" applyAlignment="1">
      <alignment vertical="center"/>
    </xf>
    <xf numFmtId="0" fontId="1" fillId="5" borderId="0" xfId="0" applyFont="1" applyFill="1" applyBorder="1" applyAlignment="1">
      <alignment vertical="center"/>
    </xf>
    <xf numFmtId="176" fontId="5" fillId="0" borderId="1" xfId="0" applyNumberFormat="1" applyFont="1" applyFill="1" applyBorder="1" applyAlignment="1">
      <alignment horizontal="center" vertical="center" wrapText="1"/>
    </xf>
    <xf numFmtId="0" fontId="5" fillId="0" borderId="1" xfId="0" applyFont="1" applyFill="1" applyBorder="1" applyAlignment="1">
      <alignment horizontal="center" vertical="center"/>
    </xf>
    <xf numFmtId="0" fontId="5" fillId="0" borderId="1" xfId="0" applyFont="1" applyFill="1" applyBorder="1" applyAlignment="1">
      <alignment vertical="center"/>
    </xf>
    <xf numFmtId="0" fontId="5" fillId="0" borderId="1" xfId="0" applyFont="1" applyFill="1" applyBorder="1" applyAlignment="1">
      <alignment horizontal="left" vertical="center"/>
    </xf>
    <xf numFmtId="0" fontId="5" fillId="0" borderId="1" xfId="0" applyFont="1" applyFill="1" applyBorder="1" applyAlignment="1">
      <alignment horizontal="center" vertical="center" wrapText="1"/>
    </xf>
    <xf numFmtId="177" fontId="5" fillId="0" borderId="1" xfId="0" applyNumberFormat="1" applyFont="1" applyFill="1" applyBorder="1" applyAlignment="1">
      <alignment horizontal="center" vertical="center"/>
    </xf>
    <xf numFmtId="177" fontId="5" fillId="2" borderId="1" xfId="0" applyNumberFormat="1" applyFont="1" applyFill="1" applyBorder="1" applyAlignment="1">
      <alignment horizontal="center" vertical="center"/>
    </xf>
    <xf numFmtId="177" fontId="5" fillId="3" borderId="5" xfId="0" applyNumberFormat="1" applyFont="1" applyFill="1" applyBorder="1" applyAlignment="1">
      <alignment horizontal="center" vertical="center"/>
    </xf>
    <xf numFmtId="177" fontId="5" fillId="4" borderId="5" xfId="0" applyNumberFormat="1" applyFont="1" applyFill="1" applyBorder="1" applyAlignment="1">
      <alignment horizontal="center" vertical="center"/>
    </xf>
    <xf numFmtId="177" fontId="5" fillId="5" borderId="5" xfId="0" applyNumberFormat="1" applyFont="1" applyFill="1" applyBorder="1" applyAlignment="1">
      <alignment horizontal="center" vertical="center"/>
    </xf>
    <xf numFmtId="177" fontId="5" fillId="0" borderId="5" xfId="0" applyNumberFormat="1" applyFont="1" applyFill="1" applyBorder="1" applyAlignment="1">
      <alignment horizontal="center" vertical="center" wrapText="1"/>
    </xf>
    <xf numFmtId="180" fontId="6" fillId="0" borderId="1" xfId="0" applyNumberFormat="1" applyFont="1" applyFill="1" applyBorder="1" applyAlignment="1">
      <alignment horizontal="center" vertical="center" wrapText="1"/>
    </xf>
    <xf numFmtId="178" fontId="5" fillId="0" borderId="1" xfId="0" applyNumberFormat="1" applyFont="1" applyFill="1" applyBorder="1" applyAlignment="1">
      <alignment horizontal="center" vertical="center" wrapText="1"/>
    </xf>
    <xf numFmtId="178" fontId="5" fillId="0" borderId="1" xfId="0" applyNumberFormat="1" applyFont="1" applyFill="1" applyBorder="1" applyAlignment="1">
      <alignment horizontal="center" vertical="center"/>
    </xf>
    <xf numFmtId="181" fontId="5" fillId="0" borderId="1" xfId="0" applyNumberFormat="1" applyFont="1" applyFill="1" applyBorder="1" applyAlignment="1">
      <alignment horizontal="center" vertical="center"/>
    </xf>
    <xf numFmtId="0" fontId="2" fillId="0" borderId="0" xfId="0" applyFont="1" applyFill="1" applyBorder="1" applyAlignment="1">
      <alignment horizontal="center" vertical="center"/>
    </xf>
    <xf numFmtId="180" fontId="7" fillId="0" borderId="1" xfId="0" applyNumberFormat="1" applyFont="1" applyFill="1" applyBorder="1" applyAlignment="1">
      <alignment horizontal="center" vertical="center" wrapText="1"/>
    </xf>
    <xf numFmtId="181" fontId="3" fillId="0" borderId="1" xfId="0" applyNumberFormat="1" applyFont="1" applyFill="1" applyBorder="1" applyAlignment="1">
      <alignment horizontal="center" vertical="center"/>
    </xf>
    <xf numFmtId="181" fontId="3" fillId="0" borderId="2" xfId="0" applyNumberFormat="1" applyFont="1" applyFill="1" applyBorder="1" applyAlignment="1">
      <alignment horizontal="center" vertical="center" wrapText="1"/>
    </xf>
    <xf numFmtId="177" fontId="4" fillId="2" borderId="1" xfId="0" applyNumberFormat="1" applyFont="1" applyFill="1" applyBorder="1" applyAlignment="1">
      <alignment horizontal="center" vertical="center"/>
    </xf>
    <xf numFmtId="177" fontId="4" fillId="3" borderId="5" xfId="0" applyNumberFormat="1" applyFont="1" applyFill="1" applyBorder="1" applyAlignment="1">
      <alignment horizontal="center" vertical="center"/>
    </xf>
    <xf numFmtId="177" fontId="4" fillId="4" borderId="5" xfId="0" applyNumberFormat="1" applyFont="1" applyFill="1" applyBorder="1" applyAlignment="1">
      <alignment horizontal="center" vertical="center"/>
    </xf>
    <xf numFmtId="177" fontId="4" fillId="5" borderId="5" xfId="0" applyNumberFormat="1" applyFont="1" applyFill="1" applyBorder="1" applyAlignment="1">
      <alignment horizontal="center" vertical="center"/>
    </xf>
    <xf numFmtId="0" fontId="8" fillId="0" borderId="0" xfId="0" applyFont="1" applyFill="1" applyBorder="1" applyAlignment="1">
      <alignment horizontal="center" vertical="center"/>
    </xf>
    <xf numFmtId="0" fontId="7" fillId="0" borderId="0" xfId="0" applyFont="1" applyFill="1" applyBorder="1" applyAlignment="1">
      <alignment horizontal="center" vertical="center" wrapText="1"/>
    </xf>
    <xf numFmtId="176" fontId="1" fillId="0" borderId="0" xfId="0" applyNumberFormat="1" applyFont="1" applyFill="1" applyBorder="1" applyAlignment="1">
      <alignment vertical="center"/>
    </xf>
    <xf numFmtId="0" fontId="1" fillId="0" borderId="0" xfId="0" applyFont="1" applyFill="1" applyBorder="1" applyAlignment="1">
      <alignment vertical="center" wrapText="1"/>
    </xf>
    <xf numFmtId="0" fontId="1" fillId="0" borderId="0" xfId="0" applyFont="1" applyFill="1" applyBorder="1" applyAlignment="1">
      <alignment horizontal="center" vertical="center" wrapText="1"/>
    </xf>
    <xf numFmtId="0" fontId="1" fillId="0" borderId="0" xfId="0" applyFont="1" applyFill="1" applyBorder="1" applyAlignment="1">
      <alignment horizontal="left" vertical="center" wrapText="1"/>
    </xf>
    <xf numFmtId="0" fontId="3" fillId="0" borderId="0" xfId="0" applyFont="1" applyFill="1" applyBorder="1" applyAlignment="1">
      <alignment vertical="center" wrapText="1"/>
    </xf>
    <xf numFmtId="0" fontId="9" fillId="0" borderId="1" xfId="0" applyFont="1" applyFill="1" applyBorder="1" applyAlignment="1">
      <alignment horizontal="center" vertical="center"/>
    </xf>
    <xf numFmtId="0" fontId="9" fillId="0" borderId="1" xfId="0" applyFont="1" applyFill="1" applyBorder="1" applyAlignment="1">
      <alignment horizontal="center" vertical="center" wrapText="1"/>
    </xf>
    <xf numFmtId="0" fontId="10" fillId="0" borderId="1" xfId="0" applyFont="1" applyFill="1" applyBorder="1" applyAlignment="1">
      <alignment horizontal="center" vertical="center" wrapText="1"/>
    </xf>
    <xf numFmtId="176" fontId="7" fillId="0" borderId="1" xfId="0" applyNumberFormat="1" applyFont="1" applyFill="1" applyBorder="1" applyAlignment="1">
      <alignment horizontal="center" vertical="center" wrapText="1"/>
    </xf>
    <xf numFmtId="0" fontId="11" fillId="0"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177" fontId="7" fillId="0" borderId="1" xfId="0" applyNumberFormat="1" applyFont="1" applyFill="1" applyBorder="1" applyAlignment="1">
      <alignment horizontal="center" vertical="center" wrapText="1"/>
    </xf>
    <xf numFmtId="14" fontId="7" fillId="0" borderId="1" xfId="0" applyNumberFormat="1" applyFont="1" applyFill="1" applyBorder="1" applyAlignment="1">
      <alignment horizontal="center" vertical="center" wrapText="1"/>
    </xf>
    <xf numFmtId="14" fontId="11" fillId="0" borderId="1" xfId="0" applyNumberFormat="1" applyFont="1" applyFill="1" applyBorder="1" applyAlignment="1" applyProtection="1">
      <alignment horizontal="center" vertical="center" wrapText="1"/>
      <protection locked="0"/>
    </xf>
    <xf numFmtId="14" fontId="7" fillId="0" borderId="1" xfId="0" applyNumberFormat="1" applyFont="1" applyFill="1" applyBorder="1" applyAlignment="1" applyProtection="1">
      <alignment horizontal="center" vertical="center" wrapText="1"/>
      <protection locked="0"/>
    </xf>
    <xf numFmtId="14" fontId="11" fillId="0" borderId="1" xfId="0" applyNumberFormat="1" applyFont="1" applyFill="1" applyBorder="1" applyAlignment="1" applyProtection="1">
      <alignment horizontal="center" vertical="center" wrapText="1"/>
    </xf>
    <xf numFmtId="0" fontId="11" fillId="0" borderId="1" xfId="0" applyFont="1" applyFill="1" applyBorder="1" applyAlignment="1" applyProtection="1">
      <alignment horizontal="center" vertical="center" wrapText="1"/>
      <protection locked="0"/>
    </xf>
    <xf numFmtId="0" fontId="7" fillId="0" borderId="1" xfId="0" applyNumberFormat="1" applyFont="1" applyFill="1" applyBorder="1" applyAlignment="1" applyProtection="1">
      <alignment horizontal="center" vertical="center" wrapText="1"/>
    </xf>
    <xf numFmtId="14" fontId="7" fillId="0" borderId="1" xfId="0" applyNumberFormat="1" applyFont="1" applyFill="1" applyBorder="1" applyAlignment="1" applyProtection="1">
      <alignment horizontal="center" vertical="center" wrapText="1"/>
    </xf>
    <xf numFmtId="0" fontId="7" fillId="0" borderId="1" xfId="0" applyFont="1" applyFill="1" applyBorder="1" applyAlignment="1" applyProtection="1">
      <alignment horizontal="center" vertical="center" wrapText="1"/>
      <protection locked="0"/>
    </xf>
    <xf numFmtId="0" fontId="11" fillId="0" borderId="1" xfId="0" applyNumberFormat="1" applyFont="1" applyFill="1" applyBorder="1" applyAlignment="1">
      <alignment horizontal="left" vertical="center" wrapText="1"/>
    </xf>
    <xf numFmtId="178" fontId="7" fillId="0" borderId="1" xfId="0" applyNumberFormat="1" applyFont="1" applyFill="1" applyBorder="1" applyAlignment="1">
      <alignment horizontal="center" vertical="center" wrapText="1"/>
    </xf>
    <xf numFmtId="58" fontId="7" fillId="0" borderId="1" xfId="0" applyNumberFormat="1" applyFont="1" applyFill="1" applyBorder="1" applyAlignment="1">
      <alignment horizontal="center" vertical="center"/>
    </xf>
    <xf numFmtId="58" fontId="11" fillId="0" borderId="1" xfId="0" applyNumberFormat="1" applyFont="1" applyFill="1" applyBorder="1" applyAlignment="1">
      <alignment horizontal="center" vertical="center"/>
    </xf>
    <xf numFmtId="0" fontId="7" fillId="0" borderId="2" xfId="0" applyFont="1" applyFill="1" applyBorder="1" applyAlignment="1">
      <alignment horizontal="center" vertical="center" wrapText="1"/>
    </xf>
    <xf numFmtId="176" fontId="12" fillId="0" borderId="1" xfId="0" applyNumberFormat="1" applyFont="1" applyFill="1" applyBorder="1" applyAlignment="1">
      <alignment horizontal="center" vertical="center" wrapText="1"/>
    </xf>
    <xf numFmtId="0" fontId="12" fillId="0" borderId="1" xfId="0" applyFont="1" applyFill="1" applyBorder="1" applyAlignment="1">
      <alignment horizontal="center" vertical="center"/>
    </xf>
    <xf numFmtId="0" fontId="12" fillId="0" borderId="1" xfId="0" applyFont="1" applyFill="1" applyBorder="1" applyAlignment="1">
      <alignment vertical="center"/>
    </xf>
    <xf numFmtId="0" fontId="12" fillId="0" borderId="1" xfId="0" applyFont="1" applyFill="1" applyBorder="1" applyAlignment="1">
      <alignment horizontal="center" vertical="center" wrapText="1"/>
    </xf>
    <xf numFmtId="177" fontId="12" fillId="0" borderId="1" xfId="0" applyNumberFormat="1" applyFont="1" applyFill="1" applyBorder="1" applyAlignment="1">
      <alignment horizontal="center" vertical="center"/>
    </xf>
    <xf numFmtId="176" fontId="12" fillId="0" borderId="1" xfId="0" applyNumberFormat="1" applyFont="1" applyFill="1" applyBorder="1" applyAlignment="1">
      <alignment horizontal="center" vertical="center"/>
    </xf>
    <xf numFmtId="0" fontId="3" fillId="0" borderId="1" xfId="0" applyFont="1" applyFill="1" applyBorder="1" applyAlignment="1" applyProtection="1">
      <alignment horizontal="center" vertical="center" wrapText="1"/>
      <protection locked="0"/>
    </xf>
    <xf numFmtId="176" fontId="3" fillId="0" borderId="1" xfId="0" applyNumberFormat="1" applyFont="1" applyFill="1" applyBorder="1" applyAlignment="1">
      <alignment horizontal="center" vertical="center"/>
    </xf>
    <xf numFmtId="0" fontId="11" fillId="0" borderId="1" xfId="0" applyFont="1" applyFill="1" applyBorder="1" applyAlignment="1" applyProtection="1">
      <alignment vertical="center"/>
      <protection locked="0"/>
    </xf>
    <xf numFmtId="0" fontId="3" fillId="0" borderId="1" xfId="0" applyNumberFormat="1" applyFont="1" applyFill="1" applyBorder="1" applyAlignment="1" applyProtection="1">
      <alignment horizontal="center" vertical="center"/>
      <protection locked="0"/>
    </xf>
    <xf numFmtId="0" fontId="11" fillId="0" borderId="1" xfId="0" applyNumberFormat="1" applyFont="1" applyFill="1" applyBorder="1" applyAlignment="1" applyProtection="1">
      <alignment horizontal="center" vertical="center"/>
      <protection locked="0"/>
    </xf>
    <xf numFmtId="0" fontId="1" fillId="0" borderId="1" xfId="0" applyNumberFormat="1" applyFont="1" applyFill="1" applyBorder="1" applyAlignment="1">
      <alignment horizontal="center" vertical="center"/>
    </xf>
    <xf numFmtId="0" fontId="3" fillId="0" borderId="1" xfId="0" applyNumberFormat="1" applyFont="1" applyFill="1" applyBorder="1" applyAlignment="1" applyProtection="1">
      <alignment horizontal="center" vertical="center" wrapText="1"/>
      <protection locked="0"/>
    </xf>
    <xf numFmtId="0" fontId="3" fillId="0" borderId="1" xfId="0" applyFont="1" applyFill="1" applyBorder="1" applyAlignment="1" applyProtection="1">
      <alignment horizontal="center" vertical="center"/>
      <protection locked="0"/>
    </xf>
    <xf numFmtId="0" fontId="3" fillId="0" borderId="1" xfId="0" applyNumberFormat="1" applyFont="1" applyFill="1" applyBorder="1" applyAlignment="1">
      <alignment horizontal="left" vertical="center" wrapText="1"/>
    </xf>
    <xf numFmtId="179" fontId="12" fillId="0" borderId="1" xfId="0" applyNumberFormat="1" applyFont="1" applyFill="1" applyBorder="1" applyAlignment="1">
      <alignment horizontal="center" vertical="center"/>
    </xf>
    <xf numFmtId="0" fontId="13" fillId="0" borderId="2" xfId="0" applyFont="1" applyFill="1" applyBorder="1" applyAlignment="1">
      <alignment horizontal="center" vertical="center" wrapText="1"/>
    </xf>
    <xf numFmtId="0" fontId="13" fillId="0" borderId="0" xfId="0" applyFont="1" applyFill="1" applyBorder="1" applyAlignment="1">
      <alignment horizontal="center" vertical="center" wrapText="1"/>
    </xf>
    <xf numFmtId="0" fontId="3" fillId="0" borderId="0" xfId="0" applyFont="1" applyFill="1" applyBorder="1" applyAlignment="1" applyProtection="1">
      <alignment horizontal="center" vertical="center" wrapText="1"/>
      <protection locked="0"/>
    </xf>
    <xf numFmtId="0" fontId="4" fillId="0" borderId="7" xfId="0" applyFont="1" applyFill="1" applyBorder="1" applyAlignment="1">
      <alignment horizontal="center" vertical="center" wrapText="1"/>
    </xf>
    <xf numFmtId="0" fontId="10" fillId="0" borderId="2" xfId="0" applyFont="1" applyFill="1" applyBorder="1" applyAlignment="1">
      <alignment horizontal="center" vertical="center" wrapText="1"/>
    </xf>
    <xf numFmtId="0" fontId="3" fillId="0" borderId="1" xfId="0" applyFont="1" applyFill="1" applyBorder="1" applyAlignment="1" applyProtection="1">
      <alignment vertical="center"/>
      <protection locked="0"/>
    </xf>
    <xf numFmtId="0" fontId="3" fillId="0" borderId="2" xfId="0" applyFont="1" applyFill="1" applyBorder="1" applyAlignment="1" applyProtection="1">
      <alignment horizontal="left" vertical="center" wrapText="1"/>
      <protection locked="0"/>
    </xf>
    <xf numFmtId="179" fontId="3" fillId="0" borderId="1" xfId="0" applyNumberFormat="1" applyFont="1" applyFill="1" applyBorder="1" applyAlignment="1">
      <alignment horizontal="center" vertical="center"/>
    </xf>
    <xf numFmtId="0" fontId="3" fillId="0" borderId="2" xfId="0" applyFont="1" applyFill="1" applyBorder="1" applyAlignment="1">
      <alignment horizontal="center" vertical="center"/>
    </xf>
    <xf numFmtId="0" fontId="3" fillId="0" borderId="1" xfId="0" applyFont="1" applyFill="1" applyBorder="1" applyAlignment="1" applyProtection="1">
      <alignment horizontal="left" vertical="center" wrapText="1"/>
      <protection locked="0"/>
    </xf>
    <xf numFmtId="176" fontId="3" fillId="0" borderId="7" xfId="0" applyNumberFormat="1" applyFont="1" applyFill="1" applyBorder="1" applyAlignment="1">
      <alignment horizontal="center" vertical="center" wrapText="1"/>
    </xf>
    <xf numFmtId="176" fontId="3" fillId="0" borderId="5" xfId="0" applyNumberFormat="1" applyFont="1" applyFill="1" applyBorder="1" applyAlignment="1">
      <alignment horizontal="center" vertical="center"/>
    </xf>
    <xf numFmtId="0" fontId="3" fillId="0" borderId="2" xfId="0" applyFont="1" applyFill="1" applyBorder="1" applyAlignment="1">
      <alignment horizontal="left" vertical="center" wrapText="1"/>
    </xf>
    <xf numFmtId="0" fontId="12" fillId="0" borderId="1" xfId="0" applyFont="1" applyFill="1" applyBorder="1" applyAlignment="1">
      <alignment horizontal="left" vertical="center"/>
    </xf>
    <xf numFmtId="3" fontId="12" fillId="0" borderId="1" xfId="0" applyNumberFormat="1" applyFont="1" applyFill="1" applyBorder="1" applyAlignment="1">
      <alignment horizontal="center" vertical="center"/>
    </xf>
    <xf numFmtId="0" fontId="11" fillId="0" borderId="1" xfId="0" applyFont="1" applyFill="1" applyBorder="1" applyAlignment="1" applyProtection="1">
      <alignment horizontal="center" vertical="center"/>
      <protection locked="0"/>
    </xf>
    <xf numFmtId="0" fontId="3" fillId="0" borderId="8" xfId="0" applyFont="1" applyFill="1" applyBorder="1" applyAlignment="1">
      <alignment horizontal="left" vertical="center" wrapText="1"/>
    </xf>
    <xf numFmtId="0" fontId="3" fillId="0" borderId="8" xfId="0" applyNumberFormat="1" applyFont="1" applyFill="1" applyBorder="1" applyAlignment="1">
      <alignment horizontal="left" vertical="center" wrapText="1"/>
    </xf>
    <xf numFmtId="0" fontId="14" fillId="0" borderId="0" xfId="0" applyFont="1" applyFill="1" applyBorder="1" applyAlignment="1">
      <alignment vertical="center"/>
    </xf>
    <xf numFmtId="0" fontId="14" fillId="0" borderId="0" xfId="0" applyFont="1" applyFill="1" applyAlignment="1">
      <alignment vertical="center"/>
    </xf>
    <xf numFmtId="0" fontId="0" fillId="0" borderId="0" xfId="0" applyFill="1" applyAlignment="1">
      <alignment vertical="center"/>
    </xf>
    <xf numFmtId="0" fontId="14" fillId="0" borderId="0" xfId="0" applyFont="1" applyFill="1" applyBorder="1" applyAlignment="1">
      <alignment vertical="center" wrapText="1"/>
    </xf>
    <xf numFmtId="182" fontId="14" fillId="0" borderId="0" xfId="0" applyNumberFormat="1" applyFont="1" applyFill="1" applyBorder="1" applyAlignment="1">
      <alignment vertical="center"/>
    </xf>
    <xf numFmtId="0" fontId="15" fillId="0" borderId="9" xfId="0" applyFont="1" applyFill="1" applyBorder="1" applyAlignment="1">
      <alignment horizontal="center" vertical="center"/>
    </xf>
    <xf numFmtId="0" fontId="15" fillId="0" borderId="10" xfId="0" applyFont="1" applyFill="1" applyBorder="1" applyAlignment="1">
      <alignment horizontal="center" vertical="center"/>
    </xf>
    <xf numFmtId="0" fontId="14" fillId="7" borderId="10" xfId="0" applyFont="1" applyFill="1" applyBorder="1" applyAlignment="1">
      <alignment horizontal="left" vertical="center"/>
    </xf>
    <xf numFmtId="0" fontId="14" fillId="0" borderId="11" xfId="0" applyFont="1" applyFill="1" applyBorder="1" applyAlignment="1">
      <alignment horizontal="left" vertical="center"/>
    </xf>
    <xf numFmtId="0" fontId="15" fillId="0" borderId="12" xfId="0" applyFont="1" applyFill="1" applyBorder="1" applyAlignment="1">
      <alignment horizontal="center" vertical="center"/>
    </xf>
    <xf numFmtId="0" fontId="15" fillId="0" borderId="13" xfId="0" applyFont="1" applyFill="1" applyBorder="1" applyAlignment="1">
      <alignment horizontal="center" vertical="center"/>
    </xf>
    <xf numFmtId="0" fontId="15" fillId="0" borderId="13" xfId="0" applyFont="1" applyFill="1" applyBorder="1" applyAlignment="1">
      <alignment vertical="center"/>
    </xf>
    <xf numFmtId="14" fontId="14" fillId="8" borderId="14" xfId="0" applyNumberFormat="1" applyFont="1" applyFill="1" applyBorder="1" applyAlignment="1">
      <alignment horizontal="left" vertical="center"/>
    </xf>
    <xf numFmtId="0" fontId="16" fillId="0" borderId="1" xfId="0" applyFont="1" applyFill="1" applyBorder="1" applyAlignment="1">
      <alignment horizontal="center" vertical="center"/>
    </xf>
    <xf numFmtId="0" fontId="14" fillId="0" borderId="1" xfId="0" applyFont="1" applyFill="1" applyBorder="1" applyAlignment="1">
      <alignment horizontal="center" vertical="center"/>
    </xf>
    <xf numFmtId="0" fontId="16" fillId="0" borderId="1" xfId="0" applyFont="1" applyFill="1" applyBorder="1" applyAlignment="1">
      <alignment horizontal="center" vertical="center" wrapText="1"/>
    </xf>
    <xf numFmtId="182" fontId="16" fillId="0" borderId="1" xfId="0" applyNumberFormat="1" applyFont="1" applyFill="1" applyBorder="1" applyAlignment="1">
      <alignment horizontal="center" vertical="center"/>
    </xf>
    <xf numFmtId="0" fontId="16" fillId="0" borderId="6" xfId="0" applyFont="1" applyFill="1" applyBorder="1" applyAlignment="1">
      <alignment horizontal="center" vertical="center"/>
    </xf>
    <xf numFmtId="0" fontId="14" fillId="0" borderId="6" xfId="0" applyFont="1" applyFill="1" applyBorder="1" applyAlignment="1">
      <alignment horizontal="center" vertical="center"/>
    </xf>
    <xf numFmtId="183" fontId="14" fillId="0" borderId="1" xfId="0" applyNumberFormat="1" applyFont="1" applyFill="1" applyBorder="1" applyAlignment="1">
      <alignment horizontal="center" vertical="center"/>
    </xf>
    <xf numFmtId="183" fontId="16" fillId="0" borderId="1" xfId="0" applyNumberFormat="1" applyFont="1" applyFill="1" applyBorder="1" applyAlignment="1">
      <alignment horizontal="left" vertical="top" wrapText="1"/>
    </xf>
    <xf numFmtId="183" fontId="14" fillId="0" borderId="1" xfId="0" applyNumberFormat="1" applyFont="1" applyFill="1" applyBorder="1" applyAlignment="1">
      <alignment horizontal="center" vertical="center" wrapText="1"/>
    </xf>
    <xf numFmtId="184" fontId="16" fillId="0" borderId="1" xfId="0" applyNumberFormat="1" applyFont="1" applyFill="1" applyBorder="1" applyAlignment="1">
      <alignment horizontal="center" vertical="center"/>
    </xf>
    <xf numFmtId="184" fontId="14" fillId="0" borderId="1" xfId="0" applyNumberFormat="1" applyFont="1" applyFill="1" applyBorder="1" applyAlignment="1">
      <alignment horizontal="center" vertical="center"/>
    </xf>
    <xf numFmtId="0" fontId="16" fillId="0" borderId="15" xfId="0" applyFont="1" applyFill="1" applyBorder="1" applyAlignment="1">
      <alignment horizontal="center" vertical="center"/>
    </xf>
    <xf numFmtId="0" fontId="14" fillId="0" borderId="15" xfId="0" applyFont="1" applyFill="1" applyBorder="1" applyAlignment="1">
      <alignment horizontal="center" vertical="center"/>
    </xf>
    <xf numFmtId="0" fontId="1" fillId="0" borderId="6" xfId="0" applyFont="1" applyFill="1" applyBorder="1" applyAlignment="1">
      <alignment horizontal="center" vertical="center"/>
    </xf>
    <xf numFmtId="184" fontId="16" fillId="0" borderId="1" xfId="0" applyNumberFormat="1" applyFont="1" applyFill="1" applyBorder="1" applyAlignment="1">
      <alignment horizontal="center" vertical="center" wrapText="1"/>
    </xf>
    <xf numFmtId="0" fontId="17" fillId="0" borderId="1" xfId="0" applyFont="1" applyFill="1" applyBorder="1" applyAlignment="1">
      <alignment horizontal="center" vertical="center" wrapText="1"/>
    </xf>
    <xf numFmtId="0" fontId="1" fillId="0" borderId="15" xfId="0" applyFont="1" applyFill="1" applyBorder="1" applyAlignment="1">
      <alignment horizontal="center" vertical="center"/>
    </xf>
    <xf numFmtId="0" fontId="14" fillId="0" borderId="1" xfId="0" applyFont="1" applyFill="1" applyBorder="1" applyAlignment="1">
      <alignment horizontal="center" vertical="center" wrapText="1"/>
    </xf>
    <xf numFmtId="0" fontId="14" fillId="0" borderId="15" xfId="0" applyFont="1" applyFill="1" applyBorder="1" applyAlignment="1">
      <alignment horizontal="center" vertical="center" wrapText="1"/>
    </xf>
    <xf numFmtId="0" fontId="17" fillId="0" borderId="6" xfId="0" applyFont="1" applyFill="1" applyBorder="1" applyAlignment="1">
      <alignment horizontal="center" vertical="center"/>
    </xf>
    <xf numFmtId="0" fontId="16" fillId="0" borderId="16" xfId="0" applyFont="1" applyFill="1" applyBorder="1" applyAlignment="1">
      <alignment horizontal="center" vertical="center"/>
    </xf>
    <xf numFmtId="0" fontId="16" fillId="0" borderId="6" xfId="0" applyFont="1" applyFill="1" applyBorder="1" applyAlignment="1">
      <alignment horizontal="center" vertical="center" wrapText="1"/>
    </xf>
    <xf numFmtId="0" fontId="16" fillId="0" borderId="15" xfId="0" applyFont="1" applyFill="1" applyBorder="1" applyAlignment="1">
      <alignment horizontal="center" vertical="center" wrapText="1"/>
    </xf>
    <xf numFmtId="0" fontId="18" fillId="0" borderId="1" xfId="0" applyFont="1" applyFill="1" applyBorder="1" applyAlignment="1">
      <alignment horizontal="center" vertical="center"/>
    </xf>
    <xf numFmtId="0" fontId="16" fillId="0" borderId="1" xfId="0" applyNumberFormat="1" applyFont="1" applyFill="1" applyBorder="1" applyAlignment="1">
      <alignment horizontal="center" vertical="center"/>
    </xf>
    <xf numFmtId="0" fontId="17" fillId="0" borderId="6" xfId="0" applyFont="1" applyFill="1" applyBorder="1" applyAlignment="1">
      <alignment horizontal="center" vertical="center" wrapText="1"/>
    </xf>
    <xf numFmtId="0" fontId="17" fillId="0" borderId="15" xfId="0" applyFont="1" applyFill="1" applyBorder="1" applyAlignment="1">
      <alignment horizontal="center" vertical="center" wrapText="1"/>
    </xf>
    <xf numFmtId="0" fontId="17" fillId="0" borderId="16" xfId="0" applyFont="1" applyFill="1" applyBorder="1" applyAlignment="1">
      <alignment horizontal="center" vertical="center" wrapText="1"/>
    </xf>
    <xf numFmtId="180" fontId="16" fillId="0" borderId="1" xfId="0" applyNumberFormat="1" applyFont="1" applyFill="1" applyBorder="1" applyAlignment="1">
      <alignment horizontal="center" vertical="center"/>
    </xf>
    <xf numFmtId="185" fontId="16" fillId="0" borderId="1" xfId="0" applyNumberFormat="1" applyFont="1" applyFill="1" applyBorder="1" applyAlignment="1">
      <alignment horizontal="center" vertical="center"/>
    </xf>
    <xf numFmtId="183" fontId="17" fillId="0" borderId="1" xfId="0" applyNumberFormat="1" applyFont="1" applyFill="1" applyBorder="1" applyAlignment="1">
      <alignment horizontal="left" vertical="top" wrapText="1"/>
    </xf>
    <xf numFmtId="0" fontId="19" fillId="0" borderId="1" xfId="0" applyFont="1" applyFill="1" applyBorder="1" applyAlignment="1">
      <alignment horizontal="center" vertical="center" wrapText="1"/>
    </xf>
    <xf numFmtId="182" fontId="14" fillId="0" borderId="1" xfId="0" applyNumberFormat="1" applyFont="1" applyFill="1" applyBorder="1" applyAlignment="1">
      <alignment horizontal="center" vertical="center"/>
    </xf>
    <xf numFmtId="0" fontId="18" fillId="0" borderId="1" xfId="0" applyFont="1" applyFill="1" applyBorder="1" applyAlignment="1">
      <alignment horizontal="center" vertical="center" wrapText="1"/>
    </xf>
    <xf numFmtId="0" fontId="14" fillId="0" borderId="16" xfId="0" applyFont="1" applyFill="1" applyBorder="1" applyAlignment="1">
      <alignment horizontal="center" vertical="center" wrapText="1"/>
    </xf>
    <xf numFmtId="182" fontId="14" fillId="0" borderId="16" xfId="0" applyNumberFormat="1" applyFont="1" applyFill="1" applyBorder="1" applyAlignment="1">
      <alignment horizontal="center" vertical="center"/>
    </xf>
    <xf numFmtId="186" fontId="20" fillId="0" borderId="16" xfId="0" applyNumberFormat="1" applyFont="1" applyFill="1" applyBorder="1" applyAlignment="1">
      <alignment horizontal="center" vertical="center"/>
    </xf>
    <xf numFmtId="0" fontId="10" fillId="0" borderId="0" xfId="0" applyFont="1" applyFill="1" applyBorder="1" applyAlignment="1">
      <alignment horizontal="center" vertical="center" wrapText="1"/>
    </xf>
    <xf numFmtId="0" fontId="21" fillId="0" borderId="0" xfId="0" applyFont="1" applyFill="1" applyBorder="1" applyAlignment="1">
      <alignment horizontal="center" vertical="center" wrapText="1"/>
    </xf>
    <xf numFmtId="177" fontId="3" fillId="0" borderId="0" xfId="0" applyNumberFormat="1" applyFont="1" applyFill="1" applyBorder="1" applyAlignment="1">
      <alignment horizontal="center" vertical="center" wrapText="1"/>
    </xf>
    <xf numFmtId="0" fontId="3" fillId="0" borderId="0" xfId="0" applyFont="1" applyFill="1" applyBorder="1" applyAlignment="1">
      <alignment horizontal="left" vertical="center" wrapText="1"/>
    </xf>
    <xf numFmtId="176" fontId="10" fillId="0" borderId="1" xfId="0" applyNumberFormat="1" applyFont="1" applyFill="1" applyBorder="1" applyAlignment="1">
      <alignment horizontal="center" vertical="center" wrapText="1"/>
    </xf>
    <xf numFmtId="177" fontId="10" fillId="0" borderId="1" xfId="0" applyNumberFormat="1" applyFont="1" applyFill="1" applyBorder="1" applyAlignment="1">
      <alignment horizontal="center" vertical="center" wrapText="1"/>
    </xf>
    <xf numFmtId="0" fontId="10" fillId="0" borderId="1" xfId="0" applyFont="1" applyFill="1" applyBorder="1" applyAlignment="1">
      <alignment horizontal="left" vertical="center" wrapText="1"/>
    </xf>
    <xf numFmtId="176" fontId="21" fillId="0" borderId="1" xfId="0" applyNumberFormat="1" applyFont="1" applyFill="1" applyBorder="1" applyAlignment="1">
      <alignment horizontal="center" vertical="center" wrapText="1"/>
    </xf>
    <xf numFmtId="0" fontId="21" fillId="0" borderId="1" xfId="0" applyFont="1" applyFill="1" applyBorder="1" applyAlignment="1">
      <alignment horizontal="center" vertical="center" wrapText="1"/>
    </xf>
    <xf numFmtId="0" fontId="22" fillId="0" borderId="1" xfId="0" applyFont="1" applyFill="1" applyBorder="1" applyAlignment="1">
      <alignment horizontal="center" vertical="center" wrapText="1"/>
    </xf>
    <xf numFmtId="177" fontId="21" fillId="0" borderId="1" xfId="0" applyNumberFormat="1" applyFont="1" applyFill="1" applyBorder="1" applyAlignment="1">
      <alignment horizontal="center" vertical="center" wrapText="1"/>
    </xf>
    <xf numFmtId="58" fontId="21" fillId="0" borderId="1" xfId="0" applyNumberFormat="1" applyFont="1" applyFill="1" applyBorder="1" applyAlignment="1">
      <alignment horizontal="center" vertical="center" wrapText="1"/>
    </xf>
    <xf numFmtId="58" fontId="3" fillId="0" borderId="1" xfId="0" applyNumberFormat="1" applyFont="1" applyFill="1" applyBorder="1" applyAlignment="1">
      <alignment horizontal="left" vertical="center" wrapText="1"/>
    </xf>
    <xf numFmtId="177" fontId="12" fillId="0" borderId="1" xfId="0" applyNumberFormat="1" applyFont="1" applyFill="1" applyBorder="1" applyAlignment="1">
      <alignment horizontal="center" vertical="center" wrapText="1"/>
    </xf>
    <xf numFmtId="0" fontId="23" fillId="0" borderId="0" xfId="0" applyFont="1" applyFill="1" applyBorder="1" applyAlignment="1">
      <alignment horizontal="center" vertical="center" wrapText="1"/>
    </xf>
    <xf numFmtId="0" fontId="24" fillId="0" borderId="0" xfId="0" applyFont="1" applyFill="1" applyBorder="1" applyAlignment="1">
      <alignment horizontal="center" vertical="center" wrapText="1"/>
    </xf>
    <xf numFmtId="0" fontId="25" fillId="0" borderId="0" xfId="0" applyFont="1" applyFill="1" applyBorder="1" applyAlignment="1">
      <alignment horizontal="center" vertical="center" wrapText="1"/>
    </xf>
    <xf numFmtId="0" fontId="26" fillId="0" borderId="0" xfId="0" applyFont="1" applyFill="1" applyBorder="1" applyAlignment="1">
      <alignment horizontal="center" vertical="center" wrapText="1"/>
    </xf>
    <xf numFmtId="14" fontId="3" fillId="0" borderId="0" xfId="0" applyNumberFormat="1" applyFont="1" applyFill="1" applyBorder="1" applyAlignment="1">
      <alignment horizontal="center" vertical="center" wrapText="1"/>
    </xf>
    <xf numFmtId="0" fontId="11" fillId="0" borderId="0" xfId="0" applyNumberFormat="1" applyFont="1" applyFill="1" applyBorder="1" applyAlignment="1">
      <alignment horizontal="center" vertical="center" wrapText="1"/>
    </xf>
    <xf numFmtId="0" fontId="27" fillId="0" borderId="0" xfId="0" applyFont="1" applyFill="1" applyBorder="1" applyAlignment="1">
      <alignment horizontal="center" vertical="center" wrapText="1"/>
    </xf>
    <xf numFmtId="14" fontId="10" fillId="0" borderId="1" xfId="0" applyNumberFormat="1" applyFont="1" applyFill="1" applyBorder="1" applyAlignment="1">
      <alignment horizontal="center" vertical="center" wrapText="1"/>
    </xf>
    <xf numFmtId="0" fontId="28" fillId="0" borderId="1" xfId="0" applyNumberFormat="1" applyFont="1" applyFill="1" applyBorder="1" applyAlignment="1" applyProtection="1">
      <alignment horizontal="center" vertical="center" wrapText="1"/>
    </xf>
    <xf numFmtId="0" fontId="10" fillId="0" borderId="7" xfId="0" applyFont="1" applyFill="1" applyBorder="1" applyAlignment="1">
      <alignment horizontal="center" vertical="center" wrapText="1"/>
    </xf>
    <xf numFmtId="0" fontId="29" fillId="0" borderId="1" xfId="0" applyFont="1" applyFill="1" applyBorder="1" applyAlignment="1">
      <alignment horizontal="center" vertical="center" wrapText="1"/>
    </xf>
    <xf numFmtId="176" fontId="23" fillId="0" borderId="1" xfId="0" applyNumberFormat="1" applyFont="1" applyFill="1" applyBorder="1" applyAlignment="1">
      <alignment horizontal="center" vertical="center" wrapText="1"/>
    </xf>
    <xf numFmtId="0" fontId="23" fillId="0" borderId="1" xfId="0" applyFont="1" applyFill="1" applyBorder="1" applyAlignment="1">
      <alignment horizontal="center" vertical="center" wrapText="1"/>
    </xf>
    <xf numFmtId="0" fontId="30" fillId="0" borderId="1" xfId="0" applyFont="1" applyFill="1" applyBorder="1" applyAlignment="1">
      <alignment horizontal="center" vertical="center" wrapText="1"/>
    </xf>
    <xf numFmtId="177" fontId="23" fillId="0" borderId="1" xfId="0" applyNumberFormat="1" applyFont="1" applyFill="1" applyBorder="1" applyAlignment="1">
      <alignment horizontal="center" vertical="center" wrapText="1"/>
    </xf>
    <xf numFmtId="14" fontId="23" fillId="0" borderId="1" xfId="0" applyNumberFormat="1" applyFont="1" applyFill="1" applyBorder="1" applyAlignment="1">
      <alignment horizontal="center" vertical="center" wrapText="1"/>
    </xf>
    <xf numFmtId="14" fontId="30" fillId="0" borderId="1" xfId="0" applyNumberFormat="1" applyFont="1" applyFill="1" applyBorder="1" applyAlignment="1" applyProtection="1">
      <alignment horizontal="center" vertical="center" wrapText="1"/>
      <protection locked="0"/>
    </xf>
    <xf numFmtId="14" fontId="23" fillId="0" borderId="1" xfId="0" applyNumberFormat="1" applyFont="1" applyFill="1" applyBorder="1" applyAlignment="1" applyProtection="1">
      <alignment horizontal="center" vertical="center" wrapText="1"/>
      <protection locked="0"/>
    </xf>
    <xf numFmtId="14" fontId="23" fillId="0" borderId="1" xfId="0" applyNumberFormat="1" applyFont="1" applyFill="1" applyBorder="1" applyAlignment="1" applyProtection="1">
      <alignment horizontal="center" vertical="center" wrapText="1"/>
    </xf>
    <xf numFmtId="0" fontId="30" fillId="0" borderId="1" xfId="0" applyNumberFormat="1" applyFont="1" applyFill="1" applyBorder="1" applyAlignment="1" applyProtection="1">
      <alignment horizontal="center" vertical="center" wrapText="1"/>
      <protection locked="0"/>
    </xf>
    <xf numFmtId="0" fontId="23" fillId="0" borderId="1" xfId="0" applyNumberFormat="1" applyFont="1" applyFill="1" applyBorder="1" applyAlignment="1" applyProtection="1">
      <alignment horizontal="center" vertical="center" wrapText="1"/>
    </xf>
    <xf numFmtId="49" fontId="30" fillId="0" borderId="1" xfId="0" applyNumberFormat="1" applyFont="1" applyFill="1" applyBorder="1" applyAlignment="1" applyProtection="1">
      <alignment horizontal="center" vertical="center" wrapText="1"/>
      <protection locked="0"/>
    </xf>
    <xf numFmtId="0" fontId="30" fillId="0" borderId="1" xfId="0" applyNumberFormat="1" applyFont="1" applyFill="1" applyBorder="1" applyAlignment="1">
      <alignment horizontal="left" vertical="center" wrapText="1"/>
    </xf>
    <xf numFmtId="180" fontId="23" fillId="0" borderId="1" xfId="0" applyNumberFormat="1" applyFont="1" applyFill="1" applyBorder="1" applyAlignment="1">
      <alignment horizontal="center" vertical="center" wrapText="1"/>
    </xf>
    <xf numFmtId="178" fontId="23" fillId="0" borderId="1" xfId="0" applyNumberFormat="1" applyFont="1" applyFill="1" applyBorder="1" applyAlignment="1">
      <alignment horizontal="center" vertical="center" wrapText="1"/>
    </xf>
    <xf numFmtId="58" fontId="23" fillId="0" borderId="1" xfId="0" applyNumberFormat="1" applyFont="1" applyFill="1" applyBorder="1" applyAlignment="1">
      <alignment horizontal="center" vertical="center"/>
    </xf>
    <xf numFmtId="0" fontId="23" fillId="0" borderId="2" xfId="0" applyFont="1" applyFill="1" applyBorder="1" applyAlignment="1">
      <alignment horizontal="center" vertical="center" wrapText="1"/>
    </xf>
    <xf numFmtId="58" fontId="23" fillId="0" borderId="2" xfId="0" applyNumberFormat="1" applyFont="1" applyFill="1" applyBorder="1" applyAlignment="1">
      <alignment horizontal="center" vertical="center" wrapText="1"/>
    </xf>
    <xf numFmtId="0" fontId="30" fillId="0" borderId="1" xfId="0" applyFont="1" applyFill="1" applyBorder="1" applyAlignment="1" applyProtection="1">
      <alignment horizontal="center" vertical="center" wrapText="1"/>
      <protection locked="0"/>
    </xf>
    <xf numFmtId="49" fontId="23" fillId="0" borderId="1" xfId="0" applyNumberFormat="1" applyFont="1" applyFill="1" applyBorder="1" applyAlignment="1">
      <alignment horizontal="center" vertical="center" wrapText="1"/>
    </xf>
    <xf numFmtId="58" fontId="25" fillId="0" borderId="2" xfId="0" applyNumberFormat="1" applyFont="1" applyFill="1" applyBorder="1" applyAlignment="1">
      <alignment horizontal="center" vertical="center" wrapText="1"/>
    </xf>
    <xf numFmtId="58" fontId="25" fillId="0" borderId="8" xfId="0" applyNumberFormat="1" applyFont="1" applyFill="1" applyBorder="1" applyAlignment="1">
      <alignment horizontal="center" vertical="center" wrapText="1"/>
    </xf>
    <xf numFmtId="58" fontId="23" fillId="0" borderId="8" xfId="0" applyNumberFormat="1" applyFont="1" applyFill="1" applyBorder="1" applyAlignment="1">
      <alignment horizontal="center" vertical="center" wrapText="1"/>
    </xf>
    <xf numFmtId="0" fontId="23" fillId="0" borderId="1" xfId="0" applyFont="1" applyFill="1" applyBorder="1" applyAlignment="1" applyProtection="1">
      <alignment horizontal="center" vertical="center" wrapText="1"/>
      <protection locked="0"/>
    </xf>
    <xf numFmtId="58" fontId="23" fillId="0" borderId="7" xfId="0" applyNumberFormat="1" applyFont="1" applyFill="1" applyBorder="1" applyAlignment="1">
      <alignment horizontal="center" vertical="center" wrapText="1"/>
    </xf>
    <xf numFmtId="58" fontId="23" fillId="0" borderId="1" xfId="0" applyNumberFormat="1" applyFont="1" applyFill="1" applyBorder="1" applyAlignment="1">
      <alignment horizontal="center" vertical="center" wrapText="1"/>
    </xf>
    <xf numFmtId="0" fontId="23" fillId="0" borderId="1" xfId="0" applyNumberFormat="1" applyFont="1" applyFill="1" applyBorder="1" applyAlignment="1" applyProtection="1">
      <alignment horizontal="center" vertical="center" wrapText="1"/>
      <protection locked="0"/>
    </xf>
    <xf numFmtId="187" fontId="23" fillId="0" borderId="1" xfId="0" applyNumberFormat="1" applyFont="1" applyFill="1" applyBorder="1" applyAlignment="1">
      <alignment horizontal="center" vertical="center" wrapText="1"/>
    </xf>
    <xf numFmtId="0" fontId="23" fillId="0" borderId="1" xfId="0" applyFont="1" applyFill="1" applyBorder="1" applyAlignment="1">
      <alignment horizontal="center" vertical="center"/>
    </xf>
    <xf numFmtId="176" fontId="24" fillId="0" borderId="1" xfId="0" applyNumberFormat="1" applyFont="1" applyFill="1" applyBorder="1" applyAlignment="1">
      <alignment horizontal="center" vertical="center" wrapText="1"/>
    </xf>
    <xf numFmtId="0" fontId="24" fillId="0" borderId="1" xfId="0" applyFont="1" applyFill="1" applyBorder="1" applyAlignment="1">
      <alignment horizontal="center" vertical="center" wrapText="1"/>
    </xf>
    <xf numFmtId="0" fontId="31" fillId="0" borderId="1" xfId="0" applyFont="1" applyFill="1" applyBorder="1" applyAlignment="1">
      <alignment horizontal="center" vertical="center" wrapText="1"/>
    </xf>
    <xf numFmtId="177" fontId="24" fillId="0" borderId="1" xfId="0" applyNumberFormat="1" applyFont="1" applyFill="1" applyBorder="1" applyAlignment="1">
      <alignment horizontal="center" vertical="center" wrapText="1"/>
    </xf>
    <xf numFmtId="14" fontId="24" fillId="0" borderId="1" xfId="0" applyNumberFormat="1" applyFont="1" applyFill="1" applyBorder="1" applyAlignment="1">
      <alignment horizontal="center" vertical="center" wrapText="1"/>
    </xf>
    <xf numFmtId="14" fontId="31" fillId="0" borderId="1" xfId="0" applyNumberFormat="1" applyFont="1" applyFill="1" applyBorder="1" applyAlignment="1" applyProtection="1">
      <alignment horizontal="center" vertical="center" wrapText="1"/>
      <protection locked="0"/>
    </xf>
    <xf numFmtId="14" fontId="24" fillId="0" borderId="1" xfId="0" applyNumberFormat="1" applyFont="1" applyFill="1" applyBorder="1" applyAlignment="1" applyProtection="1">
      <alignment horizontal="center" vertical="center" wrapText="1"/>
      <protection locked="0"/>
    </xf>
    <xf numFmtId="14" fontId="24" fillId="0" borderId="1" xfId="0" applyNumberFormat="1" applyFont="1" applyFill="1" applyBorder="1" applyAlignment="1" applyProtection="1">
      <alignment horizontal="center" vertical="center" wrapText="1"/>
    </xf>
    <xf numFmtId="0" fontId="31" fillId="0" borderId="1" xfId="0" applyFont="1" applyFill="1" applyBorder="1" applyAlignment="1" applyProtection="1">
      <alignment horizontal="center" vertical="center" wrapText="1"/>
      <protection locked="0"/>
    </xf>
    <xf numFmtId="0" fontId="24" fillId="0" borderId="1" xfId="0" applyNumberFormat="1" applyFont="1" applyFill="1" applyBorder="1" applyAlignment="1" applyProtection="1">
      <alignment horizontal="center" vertical="center" wrapText="1"/>
    </xf>
    <xf numFmtId="0" fontId="31" fillId="0" borderId="1" xfId="0" applyNumberFormat="1" applyFont="1" applyFill="1" applyBorder="1" applyAlignment="1">
      <alignment horizontal="left" vertical="center" wrapText="1"/>
    </xf>
    <xf numFmtId="180" fontId="24" fillId="0" borderId="1" xfId="0" applyNumberFormat="1" applyFont="1" applyFill="1" applyBorder="1" applyAlignment="1">
      <alignment horizontal="center" vertical="center" wrapText="1"/>
    </xf>
    <xf numFmtId="178" fontId="24" fillId="0" borderId="1" xfId="0" applyNumberFormat="1" applyFont="1" applyFill="1" applyBorder="1" applyAlignment="1">
      <alignment horizontal="center" vertical="center" wrapText="1"/>
    </xf>
    <xf numFmtId="58" fontId="24" fillId="0" borderId="1" xfId="0" applyNumberFormat="1" applyFont="1" applyFill="1" applyBorder="1" applyAlignment="1">
      <alignment horizontal="center" vertical="center"/>
    </xf>
    <xf numFmtId="0" fontId="24" fillId="0" borderId="2" xfId="0" applyFont="1" applyFill="1" applyBorder="1" applyAlignment="1">
      <alignment horizontal="center" vertical="center" wrapText="1"/>
    </xf>
    <xf numFmtId="58" fontId="24" fillId="0" borderId="7" xfId="0" applyNumberFormat="1" applyFont="1" applyFill="1" applyBorder="1" applyAlignment="1">
      <alignment horizontal="center" vertical="center" wrapText="1"/>
    </xf>
    <xf numFmtId="58" fontId="24" fillId="0" borderId="1" xfId="0" applyNumberFormat="1" applyFont="1" applyFill="1" applyBorder="1" applyAlignment="1">
      <alignment horizontal="center" vertical="center" wrapText="1"/>
    </xf>
    <xf numFmtId="49" fontId="24" fillId="0" borderId="1" xfId="0" applyNumberFormat="1" applyFont="1" applyFill="1" applyBorder="1" applyAlignment="1">
      <alignment horizontal="center" vertical="center" wrapText="1"/>
    </xf>
    <xf numFmtId="0" fontId="24" fillId="0" borderId="1" xfId="0" applyFont="1" applyFill="1" applyBorder="1" applyAlignment="1" applyProtection="1">
      <alignment horizontal="center" vertical="center" wrapText="1"/>
      <protection locked="0"/>
    </xf>
    <xf numFmtId="187" fontId="24" fillId="0" borderId="1" xfId="0" applyNumberFormat="1" applyFont="1" applyFill="1" applyBorder="1" applyAlignment="1">
      <alignment horizontal="center" vertical="center" wrapText="1"/>
    </xf>
    <xf numFmtId="58" fontId="24" fillId="0" borderId="0" xfId="0" applyNumberFormat="1" applyFont="1" applyFill="1" applyBorder="1" applyAlignment="1">
      <alignment horizontal="center" vertical="center" wrapText="1"/>
    </xf>
    <xf numFmtId="176" fontId="25" fillId="0" borderId="1" xfId="0" applyNumberFormat="1" applyFont="1" applyFill="1" applyBorder="1" applyAlignment="1">
      <alignment horizontal="center" vertical="center" wrapText="1"/>
    </xf>
    <xf numFmtId="0" fontId="25" fillId="0" borderId="1" xfId="0" applyFont="1" applyFill="1" applyBorder="1" applyAlignment="1">
      <alignment horizontal="center" vertical="center" wrapText="1"/>
    </xf>
    <xf numFmtId="0" fontId="26" fillId="0" borderId="1" xfId="0" applyFont="1" applyFill="1" applyBorder="1" applyAlignment="1">
      <alignment horizontal="center" vertical="center" wrapText="1"/>
    </xf>
    <xf numFmtId="177" fontId="25" fillId="0" borderId="1" xfId="0" applyNumberFormat="1" applyFont="1" applyFill="1" applyBorder="1" applyAlignment="1">
      <alignment horizontal="center" vertical="center" wrapText="1"/>
    </xf>
    <xf numFmtId="14" fontId="25" fillId="0" borderId="1" xfId="0" applyNumberFormat="1" applyFont="1" applyFill="1" applyBorder="1" applyAlignment="1">
      <alignment horizontal="center" vertical="center" wrapText="1"/>
    </xf>
    <xf numFmtId="14" fontId="25" fillId="0" borderId="1" xfId="0" applyNumberFormat="1" applyFont="1" applyFill="1" applyBorder="1" applyAlignment="1" applyProtection="1">
      <alignment horizontal="center" vertical="center" wrapText="1"/>
      <protection locked="0"/>
    </xf>
    <xf numFmtId="14" fontId="26" fillId="0" borderId="1" xfId="0" applyNumberFormat="1" applyFont="1" applyFill="1" applyBorder="1" applyAlignment="1" applyProtection="1">
      <alignment horizontal="center" vertical="center" wrapText="1"/>
      <protection locked="0"/>
    </xf>
    <xf numFmtId="14" fontId="25" fillId="0" borderId="1" xfId="0" applyNumberFormat="1" applyFont="1" applyFill="1" applyBorder="1" applyAlignment="1" applyProtection="1">
      <alignment horizontal="center" vertical="center" wrapText="1"/>
    </xf>
    <xf numFmtId="0" fontId="25" fillId="0" borderId="1" xfId="0" applyNumberFormat="1" applyFont="1" applyFill="1" applyBorder="1" applyAlignment="1" applyProtection="1">
      <alignment horizontal="center" vertical="center" wrapText="1"/>
    </xf>
    <xf numFmtId="49" fontId="25" fillId="0" borderId="1" xfId="0" applyNumberFormat="1" applyFont="1" applyFill="1" applyBorder="1" applyAlignment="1">
      <alignment horizontal="center" vertical="center" wrapText="1"/>
    </xf>
    <xf numFmtId="0" fontId="26" fillId="0" borderId="1" xfId="0" applyNumberFormat="1" applyFont="1" applyFill="1" applyBorder="1" applyAlignment="1">
      <alignment horizontal="left" vertical="center" wrapText="1"/>
    </xf>
    <xf numFmtId="180" fontId="25" fillId="0" borderId="1" xfId="0" applyNumberFormat="1" applyFont="1" applyFill="1" applyBorder="1" applyAlignment="1">
      <alignment horizontal="center" vertical="center" wrapText="1"/>
    </xf>
    <xf numFmtId="178" fontId="25" fillId="0" borderId="1" xfId="0" applyNumberFormat="1" applyFont="1" applyFill="1" applyBorder="1" applyAlignment="1">
      <alignment horizontal="center" vertical="center" wrapText="1"/>
    </xf>
    <xf numFmtId="58" fontId="25" fillId="0" borderId="1" xfId="0" applyNumberFormat="1" applyFont="1" applyFill="1" applyBorder="1" applyAlignment="1">
      <alignment horizontal="center" vertical="center"/>
    </xf>
    <xf numFmtId="0" fontId="25" fillId="0" borderId="2" xfId="0" applyFont="1" applyFill="1" applyBorder="1" applyAlignment="1">
      <alignment horizontal="center" vertical="center" wrapText="1"/>
    </xf>
    <xf numFmtId="0" fontId="25" fillId="0" borderId="1" xfId="0" applyFont="1" applyFill="1" applyBorder="1" applyAlignment="1">
      <alignment horizontal="center" vertical="center"/>
    </xf>
    <xf numFmtId="0" fontId="26" fillId="0" borderId="1" xfId="0" applyNumberFormat="1" applyFont="1" applyFill="1" applyBorder="1" applyAlignment="1" applyProtection="1">
      <alignment horizontal="center" vertical="center" wrapText="1"/>
      <protection locked="0"/>
    </xf>
    <xf numFmtId="49" fontId="26" fillId="0" borderId="1" xfId="0" applyNumberFormat="1" applyFont="1" applyFill="1" applyBorder="1" applyAlignment="1" applyProtection="1">
      <alignment horizontal="center" vertical="center" wrapText="1"/>
      <protection locked="0"/>
    </xf>
    <xf numFmtId="0" fontId="23" fillId="0" borderId="7" xfId="0" applyFont="1" applyFill="1" applyBorder="1" applyAlignment="1">
      <alignment horizontal="center" vertical="center" wrapText="1"/>
    </xf>
    <xf numFmtId="0" fontId="32" fillId="0" borderId="1" xfId="0" applyFont="1" applyFill="1" applyBorder="1" applyAlignment="1">
      <alignment horizontal="center" vertical="center" wrapText="1"/>
    </xf>
    <xf numFmtId="176" fontId="26" fillId="0" borderId="1" xfId="0" applyNumberFormat="1" applyFont="1" applyFill="1" applyBorder="1" applyAlignment="1">
      <alignment horizontal="center" vertical="center" wrapText="1"/>
    </xf>
    <xf numFmtId="0" fontId="26" fillId="0" borderId="1" xfId="0" applyFont="1" applyFill="1" applyBorder="1" applyAlignment="1" applyProtection="1">
      <alignment horizontal="center" vertical="center" wrapText="1"/>
      <protection locked="0"/>
    </xf>
    <xf numFmtId="58" fontId="25" fillId="0" borderId="1" xfId="0" applyNumberFormat="1" applyFont="1" applyFill="1" applyBorder="1" applyAlignment="1">
      <alignment horizontal="center" vertical="center" wrapText="1"/>
    </xf>
    <xf numFmtId="58" fontId="26" fillId="0" borderId="1" xfId="0" applyNumberFormat="1" applyFont="1" applyFill="1" applyBorder="1" applyAlignment="1">
      <alignment horizontal="center" vertical="center"/>
    </xf>
    <xf numFmtId="176" fontId="25" fillId="0" borderId="17" xfId="0" applyNumberFormat="1" applyFont="1" applyFill="1" applyBorder="1" applyAlignment="1">
      <alignment horizontal="center" vertical="center" wrapText="1"/>
    </xf>
    <xf numFmtId="0" fontId="33" fillId="0" borderId="1" xfId="0" applyFont="1" applyFill="1" applyBorder="1">
      <alignment vertical="center"/>
    </xf>
    <xf numFmtId="0" fontId="6" fillId="0" borderId="1" xfId="0" applyFont="1" applyFill="1" applyBorder="1" applyAlignment="1">
      <alignment horizontal="center" vertical="center" wrapText="1"/>
    </xf>
    <xf numFmtId="14" fontId="26" fillId="0" borderId="1" xfId="0" applyNumberFormat="1" applyFont="1" applyFill="1" applyBorder="1" applyAlignment="1">
      <alignment horizontal="center" vertical="center" wrapText="1"/>
    </xf>
    <xf numFmtId="0" fontId="25" fillId="0" borderId="7" xfId="0" applyFont="1" applyFill="1" applyBorder="1" applyAlignment="1">
      <alignment horizontal="center" vertical="center" wrapText="1"/>
    </xf>
    <xf numFmtId="0" fontId="25" fillId="0" borderId="1" xfId="0" applyFont="1" applyFill="1" applyBorder="1" applyAlignment="1" applyProtection="1">
      <alignment horizontal="center" vertical="center" wrapText="1"/>
      <protection locked="0"/>
    </xf>
    <xf numFmtId="14" fontId="26" fillId="0" borderId="1" xfId="0" applyNumberFormat="1" applyFont="1" applyFill="1" applyBorder="1" applyAlignment="1" applyProtection="1">
      <alignment horizontal="center" vertical="center" wrapText="1"/>
    </xf>
    <xf numFmtId="177" fontId="25" fillId="6" borderId="1" xfId="0" applyNumberFormat="1" applyFont="1" applyFill="1" applyBorder="1" applyAlignment="1">
      <alignment horizontal="center" vertical="center" wrapText="1"/>
    </xf>
    <xf numFmtId="187" fontId="31" fillId="0" borderId="1" xfId="0" applyNumberFormat="1" applyFont="1" applyFill="1" applyBorder="1" applyAlignment="1">
      <alignment horizontal="center" vertical="center" wrapText="1"/>
    </xf>
    <xf numFmtId="176" fontId="25" fillId="0" borderId="6" xfId="0" applyNumberFormat="1" applyFont="1" applyFill="1" applyBorder="1" applyAlignment="1">
      <alignment horizontal="center" vertical="center" wrapText="1"/>
    </xf>
    <xf numFmtId="0" fontId="26" fillId="0" borderId="6" xfId="0" applyFont="1" applyFill="1" applyBorder="1" applyAlignment="1">
      <alignment horizontal="center" vertical="center" wrapText="1"/>
    </xf>
    <xf numFmtId="0" fontId="25" fillId="0" borderId="6" xfId="0" applyFont="1" applyFill="1" applyBorder="1" applyAlignment="1">
      <alignment horizontal="center" vertical="center" wrapText="1"/>
    </xf>
    <xf numFmtId="0" fontId="6" fillId="0" borderId="6" xfId="0" applyFont="1" applyFill="1" applyBorder="1" applyAlignment="1">
      <alignment horizontal="center" vertical="center" wrapText="1"/>
    </xf>
    <xf numFmtId="177" fontId="25" fillId="0" borderId="6" xfId="0" applyNumberFormat="1" applyFont="1" applyFill="1" applyBorder="1" applyAlignment="1">
      <alignment horizontal="center" vertical="center" wrapText="1"/>
    </xf>
    <xf numFmtId="14" fontId="26" fillId="0" borderId="6" xfId="0" applyNumberFormat="1" applyFont="1" applyFill="1" applyBorder="1" applyAlignment="1" applyProtection="1">
      <alignment horizontal="center" vertical="center" wrapText="1"/>
      <protection locked="0"/>
    </xf>
    <xf numFmtId="14" fontId="25" fillId="0" borderId="6" xfId="0" applyNumberFormat="1" applyFont="1" applyFill="1" applyBorder="1" applyAlignment="1" applyProtection="1">
      <alignment horizontal="center" vertical="center" wrapText="1"/>
      <protection locked="0"/>
    </xf>
    <xf numFmtId="14" fontId="25" fillId="0" borderId="6" xfId="0" applyNumberFormat="1" applyFont="1" applyFill="1" applyBorder="1" applyAlignment="1" applyProtection="1">
      <alignment horizontal="center" vertical="center" wrapText="1"/>
    </xf>
    <xf numFmtId="0" fontId="26" fillId="0" borderId="6" xfId="0" applyFont="1" applyFill="1" applyBorder="1" applyAlignment="1" applyProtection="1">
      <alignment horizontal="center" vertical="center" wrapText="1"/>
      <protection locked="0"/>
    </xf>
    <xf numFmtId="0" fontId="25" fillId="0" borderId="6" xfId="0" applyNumberFormat="1" applyFont="1" applyFill="1" applyBorder="1" applyAlignment="1" applyProtection="1">
      <alignment horizontal="center" vertical="center" wrapText="1"/>
    </xf>
    <xf numFmtId="0" fontId="25" fillId="0" borderId="6" xfId="0" applyFont="1" applyFill="1" applyBorder="1" applyAlignment="1" applyProtection="1">
      <alignment horizontal="center" vertical="center" wrapText="1"/>
      <protection locked="0"/>
    </xf>
    <xf numFmtId="0" fontId="26" fillId="0" borderId="6" xfId="0" applyNumberFormat="1" applyFont="1" applyFill="1" applyBorder="1" applyAlignment="1">
      <alignment horizontal="left" vertical="center" wrapText="1"/>
    </xf>
    <xf numFmtId="180" fontId="25" fillId="0" borderId="6" xfId="0" applyNumberFormat="1" applyFont="1" applyFill="1" applyBorder="1" applyAlignment="1">
      <alignment horizontal="center" vertical="center" wrapText="1"/>
    </xf>
    <xf numFmtId="178" fontId="25" fillId="0" borderId="6" xfId="0" applyNumberFormat="1" applyFont="1" applyFill="1" applyBorder="1" applyAlignment="1">
      <alignment horizontal="center" vertical="center" wrapText="1"/>
    </xf>
    <xf numFmtId="58" fontId="25" fillId="0" borderId="6" xfId="0" applyNumberFormat="1" applyFont="1" applyFill="1" applyBorder="1" applyAlignment="1">
      <alignment horizontal="center" vertical="center"/>
    </xf>
    <xf numFmtId="58" fontId="26" fillId="0" borderId="6" xfId="0" applyNumberFormat="1" applyFont="1" applyFill="1" applyBorder="1" applyAlignment="1">
      <alignment horizontal="center" vertical="center"/>
    </xf>
    <xf numFmtId="176" fontId="26" fillId="0" borderId="17" xfId="0" applyNumberFormat="1" applyFont="1" applyFill="1" applyBorder="1" applyAlignment="1">
      <alignment horizontal="center" vertical="center" wrapText="1"/>
    </xf>
    <xf numFmtId="14" fontId="26" fillId="0" borderId="17" xfId="0" applyNumberFormat="1" applyFont="1" applyFill="1" applyBorder="1" applyAlignment="1">
      <alignment horizontal="center" vertical="center" wrapText="1"/>
    </xf>
    <xf numFmtId="0" fontId="25" fillId="0" borderId="9" xfId="0" applyFont="1" applyFill="1" applyBorder="1" applyAlignment="1">
      <alignment horizontal="center" vertical="center" wrapText="1"/>
    </xf>
    <xf numFmtId="58" fontId="25" fillId="0" borderId="6" xfId="0" applyNumberFormat="1" applyFont="1" applyFill="1" applyBorder="1" applyAlignment="1">
      <alignment horizontal="center" vertical="center" wrapText="1"/>
    </xf>
    <xf numFmtId="0" fontId="26" fillId="0" borderId="17" xfId="0" applyFont="1" applyFill="1" applyBorder="1" applyAlignment="1">
      <alignment horizontal="center" vertical="center" wrapText="1"/>
    </xf>
    <xf numFmtId="0" fontId="25" fillId="0" borderId="17" xfId="0" applyFont="1" applyFill="1" applyBorder="1" applyAlignment="1">
      <alignment horizontal="center" vertical="center" wrapText="1"/>
    </xf>
    <xf numFmtId="177" fontId="25" fillId="0" borderId="17" xfId="0" applyNumberFormat="1" applyFont="1" applyFill="1" applyBorder="1" applyAlignment="1">
      <alignment horizontal="center" vertical="center" wrapText="1"/>
    </xf>
    <xf numFmtId="14" fontId="26" fillId="0" borderId="17" xfId="0" applyNumberFormat="1" applyFont="1" applyFill="1" applyBorder="1" applyAlignment="1" applyProtection="1">
      <alignment horizontal="center" vertical="center" wrapText="1"/>
      <protection locked="0"/>
    </xf>
    <xf numFmtId="14" fontId="25" fillId="0" borderId="17" xfId="0" applyNumberFormat="1" applyFont="1" applyFill="1" applyBorder="1" applyAlignment="1" applyProtection="1">
      <alignment horizontal="center" vertical="center" wrapText="1"/>
      <protection locked="0"/>
    </xf>
    <xf numFmtId="14" fontId="25" fillId="0" borderId="17" xfId="0" applyNumberFormat="1" applyFont="1" applyFill="1" applyBorder="1" applyAlignment="1" applyProtection="1">
      <alignment horizontal="center" vertical="center" wrapText="1"/>
    </xf>
    <xf numFmtId="0" fontId="26" fillId="0" borderId="17" xfId="0" applyFont="1" applyFill="1" applyBorder="1" applyAlignment="1" applyProtection="1">
      <alignment horizontal="center" vertical="center" wrapText="1"/>
      <protection locked="0"/>
    </xf>
    <xf numFmtId="0" fontId="25" fillId="0" borderId="17" xfId="0" applyNumberFormat="1" applyFont="1" applyFill="1" applyBorder="1" applyAlignment="1" applyProtection="1">
      <alignment horizontal="center" vertical="center" wrapText="1"/>
    </xf>
    <xf numFmtId="0" fontId="26" fillId="0" borderId="17" xfId="0" applyNumberFormat="1" applyFont="1" applyFill="1" applyBorder="1" applyAlignment="1">
      <alignment horizontal="left" vertical="center" wrapText="1"/>
    </xf>
    <xf numFmtId="180" fontId="25" fillId="0" borderId="17" xfId="0" applyNumberFormat="1" applyFont="1" applyFill="1" applyBorder="1" applyAlignment="1">
      <alignment horizontal="center" vertical="center" wrapText="1"/>
    </xf>
    <xf numFmtId="58" fontId="25" fillId="0" borderId="17" xfId="0" applyNumberFormat="1" applyFont="1" applyFill="1" applyBorder="1" applyAlignment="1">
      <alignment horizontal="center" vertical="center"/>
    </xf>
    <xf numFmtId="58" fontId="26" fillId="0" borderId="17" xfId="0" applyNumberFormat="1" applyFont="1" applyFill="1" applyBorder="1" applyAlignment="1">
      <alignment horizontal="center" vertical="center"/>
    </xf>
    <xf numFmtId="176" fontId="25" fillId="0" borderId="16" xfId="0" applyNumberFormat="1" applyFont="1" applyFill="1" applyBorder="1" applyAlignment="1">
      <alignment horizontal="center" vertical="center" wrapText="1"/>
    </xf>
    <xf numFmtId="0" fontId="26" fillId="0" borderId="16" xfId="0" applyFont="1" applyFill="1" applyBorder="1" applyAlignment="1">
      <alignment horizontal="center" vertical="center" wrapText="1"/>
    </xf>
    <xf numFmtId="0" fontId="25" fillId="0" borderId="16" xfId="0" applyFont="1" applyFill="1" applyBorder="1" applyAlignment="1">
      <alignment horizontal="center" vertical="center" wrapText="1"/>
    </xf>
    <xf numFmtId="177" fontId="25" fillId="0" borderId="16" xfId="0" applyNumberFormat="1" applyFont="1" applyFill="1" applyBorder="1" applyAlignment="1">
      <alignment horizontal="center" vertical="center" wrapText="1"/>
    </xf>
    <xf numFmtId="14" fontId="26" fillId="0" borderId="16" xfId="0" applyNumberFormat="1" applyFont="1" applyFill="1" applyBorder="1" applyAlignment="1" applyProtection="1">
      <alignment horizontal="center" vertical="center" wrapText="1"/>
      <protection locked="0"/>
    </xf>
    <xf numFmtId="14" fontId="25" fillId="0" borderId="16" xfId="0" applyNumberFormat="1" applyFont="1" applyFill="1" applyBorder="1" applyAlignment="1" applyProtection="1">
      <alignment horizontal="center" vertical="center" wrapText="1"/>
      <protection locked="0"/>
    </xf>
    <xf numFmtId="14" fontId="25" fillId="0" borderId="16" xfId="0" applyNumberFormat="1" applyFont="1" applyFill="1" applyBorder="1" applyAlignment="1" applyProtection="1">
      <alignment horizontal="center" vertical="center" wrapText="1"/>
    </xf>
    <xf numFmtId="0" fontId="26" fillId="0" borderId="16" xfId="0" applyFont="1" applyFill="1" applyBorder="1" applyAlignment="1" applyProtection="1">
      <alignment horizontal="center" vertical="center" wrapText="1"/>
      <protection locked="0"/>
    </xf>
    <xf numFmtId="0" fontId="25" fillId="0" borderId="16" xfId="0" applyNumberFormat="1" applyFont="1" applyFill="1" applyBorder="1" applyAlignment="1" applyProtection="1">
      <alignment horizontal="center" vertical="center" wrapText="1"/>
    </xf>
    <xf numFmtId="0" fontId="26" fillId="0" borderId="16" xfId="0" applyNumberFormat="1" applyFont="1" applyFill="1" applyBorder="1" applyAlignment="1">
      <alignment horizontal="left" vertical="center" wrapText="1"/>
    </xf>
    <xf numFmtId="180" fontId="25" fillId="0" borderId="16" xfId="0" applyNumberFormat="1" applyFont="1" applyFill="1" applyBorder="1" applyAlignment="1">
      <alignment horizontal="center" vertical="center" wrapText="1"/>
    </xf>
    <xf numFmtId="178" fontId="25" fillId="0" borderId="16" xfId="0" applyNumberFormat="1" applyFont="1" applyFill="1" applyBorder="1" applyAlignment="1">
      <alignment horizontal="center" vertical="center" wrapText="1"/>
    </xf>
    <xf numFmtId="58" fontId="25" fillId="0" borderId="16" xfId="0" applyNumberFormat="1" applyFont="1" applyFill="1" applyBorder="1" applyAlignment="1">
      <alignment horizontal="center" vertical="center"/>
    </xf>
    <xf numFmtId="58" fontId="26" fillId="0" borderId="16" xfId="0" applyNumberFormat="1" applyFont="1" applyFill="1" applyBorder="1" applyAlignment="1">
      <alignment horizontal="center" vertical="center"/>
    </xf>
    <xf numFmtId="14" fontId="26" fillId="6" borderId="1" xfId="0" applyNumberFormat="1" applyFont="1" applyFill="1" applyBorder="1" applyAlignment="1">
      <alignment horizontal="center" vertical="center" wrapText="1"/>
    </xf>
    <xf numFmtId="14" fontId="25" fillId="0" borderId="0" xfId="0" applyNumberFormat="1" applyFont="1" applyFill="1" applyBorder="1" applyAlignment="1" applyProtection="1">
      <alignment horizontal="center" vertical="center" wrapText="1"/>
      <protection locked="0"/>
    </xf>
    <xf numFmtId="177" fontId="26" fillId="0" borderId="1" xfId="0" applyNumberFormat="1" applyFont="1" applyFill="1" applyBorder="1" applyAlignment="1">
      <alignment horizontal="center" vertical="center" wrapText="1"/>
    </xf>
    <xf numFmtId="0" fontId="25" fillId="0" borderId="1" xfId="0" applyNumberFormat="1" applyFont="1" applyFill="1" applyBorder="1" applyAlignment="1" applyProtection="1">
      <alignment horizontal="center" vertical="center" wrapText="1"/>
      <protection locked="0"/>
    </xf>
    <xf numFmtId="0" fontId="26" fillId="0" borderId="1" xfId="0" applyFont="1" applyFill="1" applyBorder="1" applyAlignment="1">
      <alignment horizontal="left" vertical="center" wrapText="1"/>
    </xf>
    <xf numFmtId="178" fontId="26" fillId="0" borderId="1" xfId="0" applyNumberFormat="1" applyFont="1" applyFill="1" applyBorder="1" applyAlignment="1">
      <alignment horizontal="center" vertical="center" wrapText="1"/>
    </xf>
    <xf numFmtId="0" fontId="26" fillId="0" borderId="7" xfId="0" applyFont="1" applyFill="1" applyBorder="1" applyAlignment="1">
      <alignment horizontal="center" vertical="center" wrapText="1"/>
    </xf>
    <xf numFmtId="176" fontId="26" fillId="0" borderId="0" xfId="0" applyNumberFormat="1" applyFont="1" applyFill="1" applyBorder="1" applyAlignment="1">
      <alignment horizontal="center" vertical="center" wrapText="1"/>
    </xf>
    <xf numFmtId="177" fontId="26" fillId="0" borderId="0" xfId="0" applyNumberFormat="1" applyFont="1" applyFill="1" applyBorder="1" applyAlignment="1">
      <alignment horizontal="center" vertical="center" wrapText="1"/>
    </xf>
    <xf numFmtId="14" fontId="26" fillId="0" borderId="0" xfId="0" applyNumberFormat="1" applyFont="1" applyFill="1" applyBorder="1" applyAlignment="1">
      <alignment horizontal="center" vertical="center" wrapText="1"/>
    </xf>
    <xf numFmtId="14" fontId="26" fillId="0" borderId="0" xfId="0" applyNumberFormat="1" applyFont="1" applyFill="1" applyBorder="1" applyAlignment="1" applyProtection="1">
      <alignment horizontal="center" vertical="center" wrapText="1"/>
      <protection locked="0"/>
    </xf>
    <xf numFmtId="14" fontId="25" fillId="0" borderId="0" xfId="0" applyNumberFormat="1" applyFont="1" applyFill="1" applyBorder="1" applyAlignment="1" applyProtection="1">
      <alignment horizontal="center" vertical="center" wrapText="1"/>
    </xf>
    <xf numFmtId="0" fontId="26" fillId="0" borderId="0" xfId="0" applyNumberFormat="1" applyFont="1" applyFill="1" applyBorder="1" applyAlignment="1" applyProtection="1">
      <alignment horizontal="center" vertical="center" wrapText="1"/>
      <protection locked="0"/>
    </xf>
    <xf numFmtId="0" fontId="25" fillId="0" borderId="0" xfId="0" applyNumberFormat="1" applyFont="1" applyFill="1" applyBorder="1" applyAlignment="1" applyProtection="1">
      <alignment horizontal="center" vertical="center" wrapText="1"/>
      <protection locked="0"/>
    </xf>
    <xf numFmtId="0" fontId="26" fillId="0" borderId="0" xfId="0" applyFont="1" applyFill="1" applyBorder="1" applyAlignment="1" applyProtection="1">
      <alignment horizontal="center" vertical="center" wrapText="1"/>
      <protection locked="0"/>
    </xf>
    <xf numFmtId="0" fontId="26" fillId="0" borderId="0" xfId="0" applyFont="1" applyFill="1" applyBorder="1" applyAlignment="1">
      <alignment horizontal="left" vertical="center" wrapText="1"/>
    </xf>
    <xf numFmtId="180" fontId="25" fillId="0" borderId="0" xfId="0" applyNumberFormat="1" applyFont="1" applyFill="1" applyBorder="1" applyAlignment="1">
      <alignment horizontal="center" vertical="center" wrapText="1"/>
    </xf>
    <xf numFmtId="178" fontId="26" fillId="0" borderId="0" xfId="0" applyNumberFormat="1" applyFont="1" applyFill="1" applyBorder="1" applyAlignment="1">
      <alignment horizontal="center" vertical="center" wrapText="1"/>
    </xf>
    <xf numFmtId="58" fontId="25" fillId="0" borderId="0" xfId="0" applyNumberFormat="1" applyFont="1" applyFill="1" applyBorder="1" applyAlignment="1">
      <alignment horizontal="center" vertical="center"/>
    </xf>
    <xf numFmtId="0" fontId="26" fillId="0" borderId="0" xfId="0" applyNumberFormat="1" applyFont="1" applyFill="1" applyBorder="1" applyAlignment="1">
      <alignment horizontal="center" vertical="center" wrapText="1"/>
    </xf>
    <xf numFmtId="49" fontId="26" fillId="0" borderId="0" xfId="0" applyNumberFormat="1" applyFont="1" applyFill="1" applyBorder="1" applyAlignment="1" applyProtection="1">
      <alignment horizontal="center" vertical="center" wrapText="1"/>
      <protection locked="0"/>
    </xf>
    <xf numFmtId="0" fontId="26" fillId="0" borderId="0" xfId="0" applyNumberFormat="1" applyFont="1" applyFill="1" applyBorder="1" applyAlignment="1">
      <alignment horizontal="left" vertical="center" wrapText="1"/>
    </xf>
    <xf numFmtId="176" fontId="25" fillId="0" borderId="0" xfId="0" applyNumberFormat="1" applyFont="1" applyFill="1" applyBorder="1" applyAlignment="1">
      <alignment horizontal="center" vertical="center" wrapText="1"/>
    </xf>
    <xf numFmtId="177" fontId="25" fillId="0" borderId="0" xfId="0" applyNumberFormat="1" applyFont="1" applyFill="1" applyBorder="1" applyAlignment="1">
      <alignment horizontal="center" vertical="center" wrapText="1"/>
    </xf>
    <xf numFmtId="14" fontId="25" fillId="0" borderId="0" xfId="0" applyNumberFormat="1" applyFont="1" applyFill="1" applyBorder="1" applyAlignment="1">
      <alignment horizontal="center" vertical="center" wrapText="1"/>
    </xf>
    <xf numFmtId="0" fontId="25" fillId="0" borderId="0" xfId="0" applyNumberFormat="1" applyFont="1" applyFill="1" applyBorder="1" applyAlignment="1" applyProtection="1">
      <alignment horizontal="left" vertical="center" wrapText="1"/>
      <protection locked="0"/>
    </xf>
    <xf numFmtId="178" fontId="25" fillId="0" borderId="0" xfId="0" applyNumberFormat="1" applyFont="1" applyFill="1" applyBorder="1" applyAlignment="1">
      <alignment horizontal="center" vertical="center" wrapText="1"/>
    </xf>
    <xf numFmtId="0" fontId="25" fillId="0" borderId="0" xfId="0" applyFont="1" applyFill="1" applyBorder="1" applyAlignment="1" applyProtection="1">
      <alignment horizontal="center" vertical="center" wrapText="1"/>
      <protection locked="0"/>
    </xf>
    <xf numFmtId="180" fontId="26" fillId="0" borderId="0" xfId="0" applyNumberFormat="1" applyFont="1" applyFill="1" applyBorder="1" applyAlignment="1">
      <alignment horizontal="center" vertical="center" wrapText="1"/>
    </xf>
    <xf numFmtId="0" fontId="12" fillId="0" borderId="0" xfId="0" applyFont="1" applyFill="1" applyBorder="1" applyAlignment="1">
      <alignment horizontal="center" vertical="center" wrapText="1"/>
    </xf>
    <xf numFmtId="0" fontId="28" fillId="0" borderId="1" xfId="0" applyNumberFormat="1" applyFont="1" applyFill="1" applyBorder="1" applyAlignment="1">
      <alignment horizontal="center" vertical="center" wrapText="1"/>
    </xf>
    <xf numFmtId="14" fontId="12" fillId="0" borderId="1" xfId="0" applyNumberFormat="1" applyFont="1" applyFill="1" applyBorder="1" applyAlignment="1">
      <alignment horizontal="center" vertical="center" wrapText="1"/>
    </xf>
    <xf numFmtId="14" fontId="3" fillId="0" borderId="1" xfId="0" applyNumberFormat="1" applyFont="1" applyFill="1" applyBorder="1" applyAlignment="1" applyProtection="1">
      <alignment horizontal="center" vertical="center" wrapText="1"/>
      <protection locked="0"/>
    </xf>
    <xf numFmtId="14" fontId="12" fillId="0" borderId="1" xfId="0" applyNumberFormat="1" applyFont="1" applyFill="1" applyBorder="1" applyAlignment="1" applyProtection="1">
      <alignment horizontal="center" vertical="center" wrapText="1"/>
      <protection locked="0"/>
    </xf>
    <xf numFmtId="14" fontId="12" fillId="0" borderId="1" xfId="0" applyNumberFormat="1" applyFont="1" applyFill="1" applyBorder="1" applyAlignment="1" applyProtection="1">
      <alignment horizontal="center" vertical="center" wrapText="1"/>
    </xf>
    <xf numFmtId="0" fontId="6" fillId="0" borderId="1" xfId="0" applyNumberFormat="1" applyFont="1" applyFill="1" applyBorder="1" applyAlignment="1" applyProtection="1">
      <alignment horizontal="center" vertical="center" wrapText="1"/>
    </xf>
    <xf numFmtId="49" fontId="3" fillId="0" borderId="1" xfId="0" applyNumberFormat="1" applyFont="1" applyFill="1" applyBorder="1" applyAlignment="1" applyProtection="1">
      <alignment horizontal="center" vertical="center" wrapText="1"/>
      <protection locked="0"/>
    </xf>
    <xf numFmtId="180" fontId="12" fillId="0" borderId="1" xfId="0" applyNumberFormat="1" applyFont="1" applyFill="1" applyBorder="1" applyAlignment="1">
      <alignment horizontal="center" vertical="center" wrapText="1"/>
    </xf>
    <xf numFmtId="178" fontId="12" fillId="0" borderId="1" xfId="0" applyNumberFormat="1" applyFont="1" applyFill="1" applyBorder="1" applyAlignment="1">
      <alignment horizontal="center" vertical="center" wrapText="1"/>
    </xf>
    <xf numFmtId="58" fontId="12" fillId="0" borderId="1" xfId="0" applyNumberFormat="1" applyFont="1" applyFill="1" applyBorder="1" applyAlignment="1">
      <alignment horizontal="center" vertical="center"/>
    </xf>
    <xf numFmtId="0" fontId="12" fillId="0" borderId="2" xfId="0" applyFont="1" applyFill="1" applyBorder="1" applyAlignment="1">
      <alignment horizontal="center" vertical="center" wrapText="1"/>
    </xf>
    <xf numFmtId="177" fontId="3" fillId="0" borderId="1" xfId="0" applyNumberFormat="1" applyFont="1" applyFill="1" applyBorder="1" applyAlignment="1">
      <alignment horizontal="center" vertical="center" wrapText="1"/>
    </xf>
    <xf numFmtId="14" fontId="3" fillId="0" borderId="1" xfId="0" applyNumberFormat="1" applyFont="1" applyFill="1" applyBorder="1" applyAlignment="1">
      <alignment horizontal="center" vertical="center" wrapText="1"/>
    </xf>
    <xf numFmtId="0" fontId="3" fillId="0" borderId="1" xfId="0" applyFont="1" applyFill="1" applyBorder="1" applyAlignment="1">
      <alignment horizontal="left" vertical="center" wrapText="1"/>
    </xf>
    <xf numFmtId="180" fontId="3" fillId="0" borderId="1" xfId="0" applyNumberFormat="1" applyFont="1" applyFill="1" applyBorder="1" applyAlignment="1">
      <alignment horizontal="center" vertical="center" wrapText="1"/>
    </xf>
    <xf numFmtId="0" fontId="3" fillId="0" borderId="2" xfId="0" applyFont="1" applyFill="1" applyBorder="1" applyAlignment="1">
      <alignment horizontal="center" vertical="center" wrapText="1"/>
    </xf>
    <xf numFmtId="0" fontId="6" fillId="0" borderId="0" xfId="0" applyFont="1" applyFill="1" applyBorder="1" applyAlignment="1">
      <alignment horizontal="center" vertical="center" wrapText="1"/>
    </xf>
    <xf numFmtId="0" fontId="12" fillId="6" borderId="0" xfId="0" applyFont="1" applyFill="1" applyBorder="1" applyAlignment="1">
      <alignment horizontal="center" vertical="center" wrapText="1"/>
    </xf>
    <xf numFmtId="0" fontId="34" fillId="0" borderId="1" xfId="0" applyFont="1" applyFill="1" applyBorder="1" applyAlignment="1">
      <alignment horizontal="center" vertical="center" wrapText="1"/>
    </xf>
    <xf numFmtId="176" fontId="6" fillId="0" borderId="1" xfId="0" applyNumberFormat="1" applyFont="1" applyFill="1" applyBorder="1" applyAlignment="1">
      <alignment horizontal="center" vertical="center" wrapText="1"/>
    </xf>
    <xf numFmtId="177" fontId="6" fillId="0" borderId="1" xfId="0" applyNumberFormat="1" applyFont="1" applyFill="1" applyBorder="1" applyAlignment="1">
      <alignment horizontal="center" vertical="center" wrapText="1"/>
    </xf>
    <xf numFmtId="176" fontId="6" fillId="0" borderId="17" xfId="0" applyNumberFormat="1" applyFont="1" applyFill="1" applyBorder="1" applyAlignment="1">
      <alignment horizontal="center" vertical="center" wrapText="1"/>
    </xf>
    <xf numFmtId="14" fontId="6" fillId="0" borderId="1" xfId="0" applyNumberFormat="1" applyFont="1" applyFill="1" applyBorder="1" applyAlignment="1">
      <alignment horizontal="center" vertical="center" wrapText="1"/>
    </xf>
    <xf numFmtId="14" fontId="5" fillId="0" borderId="1" xfId="0" applyNumberFormat="1" applyFont="1" applyFill="1" applyBorder="1" applyAlignment="1" applyProtection="1">
      <alignment horizontal="center" vertical="center" wrapText="1"/>
      <protection locked="0"/>
    </xf>
    <xf numFmtId="14" fontId="6" fillId="0" borderId="1" xfId="0" applyNumberFormat="1" applyFont="1" applyFill="1" applyBorder="1" applyAlignment="1" applyProtection="1">
      <alignment horizontal="center" vertical="center" wrapText="1"/>
    </xf>
    <xf numFmtId="0" fontId="5" fillId="0" borderId="1" xfId="0" applyFont="1" applyFill="1" applyBorder="1" applyAlignment="1" applyProtection="1">
      <alignment horizontal="center" vertical="center" wrapText="1"/>
      <protection locked="0"/>
    </xf>
    <xf numFmtId="14" fontId="6" fillId="0" borderId="1" xfId="0" applyNumberFormat="1" applyFont="1" applyFill="1" applyBorder="1" applyAlignment="1" applyProtection="1">
      <alignment horizontal="center" vertical="center" wrapText="1"/>
      <protection locked="0"/>
    </xf>
    <xf numFmtId="0" fontId="6" fillId="0" borderId="1" xfId="0" applyFont="1" applyFill="1" applyBorder="1" applyAlignment="1" applyProtection="1">
      <alignment horizontal="center" vertical="center" wrapText="1"/>
      <protection locked="0"/>
    </xf>
    <xf numFmtId="0" fontId="5" fillId="0" borderId="1" xfId="0" applyNumberFormat="1" applyFont="1" applyFill="1" applyBorder="1" applyAlignment="1">
      <alignment horizontal="left" vertical="center" wrapText="1"/>
    </xf>
    <xf numFmtId="178" fontId="6" fillId="0" borderId="1" xfId="0" applyNumberFormat="1" applyFont="1" applyFill="1" applyBorder="1" applyAlignment="1">
      <alignment horizontal="center" vertical="center" wrapText="1"/>
    </xf>
    <xf numFmtId="58" fontId="6" fillId="0" borderId="1" xfId="0" applyNumberFormat="1" applyFont="1" applyFill="1" applyBorder="1" applyAlignment="1">
      <alignment horizontal="center" vertical="center"/>
    </xf>
    <xf numFmtId="58" fontId="5" fillId="0" borderId="1" xfId="0" applyNumberFormat="1" applyFont="1" applyFill="1" applyBorder="1" applyAlignment="1">
      <alignment horizontal="center" vertical="center"/>
    </xf>
    <xf numFmtId="0" fontId="6" fillId="0" borderId="2" xfId="0" applyFont="1" applyFill="1" applyBorder="1" applyAlignment="1">
      <alignment horizontal="center" vertical="center" wrapText="1"/>
    </xf>
    <xf numFmtId="176" fontId="5" fillId="6" borderId="1" xfId="0" applyNumberFormat="1" applyFont="1" applyFill="1" applyBorder="1" applyAlignment="1">
      <alignment horizontal="center" vertical="center" wrapText="1"/>
    </xf>
    <xf numFmtId="14" fontId="5" fillId="6" borderId="1" xfId="0" applyNumberFormat="1" applyFont="1" applyFill="1" applyBorder="1" applyAlignment="1">
      <alignment horizontal="center" vertical="center" wrapText="1"/>
    </xf>
    <xf numFmtId="14" fontId="5" fillId="0" borderId="1" xfId="0" applyNumberFormat="1" applyFont="1" applyFill="1" applyBorder="1" applyAlignment="1" applyProtection="1">
      <alignment horizontal="center" vertical="center" wrapText="1"/>
    </xf>
    <xf numFmtId="0" fontId="6" fillId="0" borderId="1" xfId="0" applyFont="1" applyFill="1" applyBorder="1" applyAlignment="1">
      <alignment horizontal="center" vertical="center"/>
    </xf>
    <xf numFmtId="14" fontId="5" fillId="0" borderId="1" xfId="0" applyNumberFormat="1" applyFont="1" applyFill="1" applyBorder="1" applyAlignment="1">
      <alignment horizontal="center" vertical="center" wrapText="1"/>
    </xf>
    <xf numFmtId="0" fontId="12" fillId="0" borderId="1" xfId="0" applyNumberFormat="1" applyFont="1" applyFill="1" applyBorder="1" applyAlignment="1" applyProtection="1">
      <alignment horizontal="center" vertical="center" wrapText="1"/>
    </xf>
    <xf numFmtId="58" fontId="35" fillId="0" borderId="1" xfId="0" applyNumberFormat="1" applyFont="1" applyFill="1" applyBorder="1" applyAlignment="1">
      <alignment horizontal="center" vertical="center"/>
    </xf>
    <xf numFmtId="176" fontId="12" fillId="6" borderId="1" xfId="0" applyNumberFormat="1" applyFont="1" applyFill="1" applyBorder="1" applyAlignment="1">
      <alignment horizontal="center" vertical="center" wrapText="1"/>
    </xf>
    <xf numFmtId="176" fontId="11" fillId="0" borderId="1" xfId="0" applyNumberFormat="1" applyFont="1" applyFill="1" applyBorder="1" applyAlignment="1">
      <alignment horizontal="center" vertical="center" wrapText="1"/>
    </xf>
    <xf numFmtId="14" fontId="35" fillId="0" borderId="1" xfId="0" applyNumberFormat="1" applyFont="1" applyFill="1" applyBorder="1" applyAlignment="1" applyProtection="1">
      <alignment horizontal="center" vertical="center" wrapText="1"/>
    </xf>
    <xf numFmtId="0" fontId="36" fillId="0" borderId="17" xfId="0" applyFont="1" applyFill="1" applyBorder="1" applyAlignment="1">
      <alignment horizontal="center" vertical="center"/>
    </xf>
    <xf numFmtId="49" fontId="35" fillId="0" borderId="1" xfId="0" applyNumberFormat="1" applyFont="1" applyFill="1" applyBorder="1" applyAlignment="1">
      <alignment horizontal="center" vertical="center" wrapText="1"/>
    </xf>
    <xf numFmtId="49" fontId="12" fillId="0" borderId="1" xfId="0" applyNumberFormat="1" applyFont="1" applyFill="1" applyBorder="1" applyAlignment="1">
      <alignment horizontal="center" vertical="center" wrapText="1"/>
    </xf>
    <xf numFmtId="0" fontId="35" fillId="0" borderId="1" xfId="0" applyNumberFormat="1" applyFont="1" applyFill="1" applyBorder="1" applyAlignment="1">
      <alignment horizontal="left" vertical="center" wrapText="1"/>
    </xf>
    <xf numFmtId="0" fontId="35" fillId="0" borderId="1" xfId="0" applyFont="1" applyFill="1" applyBorder="1" applyAlignment="1">
      <alignment horizontal="center" vertical="center" wrapText="1"/>
    </xf>
    <xf numFmtId="176" fontId="35" fillId="0" borderId="1" xfId="0" applyNumberFormat="1" applyFont="1" applyFill="1" applyBorder="1" applyAlignment="1">
      <alignment horizontal="center" vertical="center" wrapText="1"/>
    </xf>
    <xf numFmtId="0" fontId="11" fillId="0" borderId="1" xfId="0" applyNumberFormat="1" applyFont="1" applyFill="1" applyBorder="1" applyAlignment="1" applyProtection="1">
      <alignment horizontal="center" vertical="center" wrapText="1"/>
      <protection locked="0"/>
    </xf>
    <xf numFmtId="188" fontId="35" fillId="0" borderId="1" xfId="0" applyNumberFormat="1" applyFont="1" applyFill="1" applyBorder="1" applyAlignment="1">
      <alignment horizontal="center" vertical="center" wrapText="1"/>
    </xf>
    <xf numFmtId="0" fontId="12" fillId="0" borderId="1" xfId="0" applyFont="1" applyFill="1" applyBorder="1" applyAlignment="1" applyProtection="1">
      <alignment horizontal="center" vertical="center" wrapText="1"/>
      <protection locked="0"/>
    </xf>
    <xf numFmtId="176" fontId="11" fillId="6" borderId="1" xfId="0" applyNumberFormat="1" applyFont="1" applyFill="1" applyBorder="1" applyAlignment="1">
      <alignment horizontal="center" vertical="center" wrapText="1"/>
    </xf>
    <xf numFmtId="0" fontId="35" fillId="0" borderId="1" xfId="0" applyFont="1" applyFill="1" applyBorder="1" applyAlignment="1" applyProtection="1">
      <alignment horizontal="center" vertical="center" wrapText="1"/>
      <protection locked="0"/>
    </xf>
    <xf numFmtId="0" fontId="37" fillId="0" borderId="1" xfId="0" applyFont="1" applyFill="1" applyBorder="1" applyAlignment="1" applyProtection="1">
      <alignment horizontal="center" vertical="center" wrapText="1"/>
      <protection locked="0"/>
    </xf>
    <xf numFmtId="0" fontId="35" fillId="6" borderId="1" xfId="0" applyNumberFormat="1" applyFont="1" applyFill="1" applyBorder="1" applyAlignment="1">
      <alignment horizontal="left" vertical="center" wrapText="1"/>
    </xf>
    <xf numFmtId="176" fontId="35" fillId="6" borderId="1" xfId="0" applyNumberFormat="1" applyFont="1" applyFill="1" applyBorder="1" applyAlignment="1">
      <alignment horizontal="center" vertical="center" wrapText="1"/>
    </xf>
    <xf numFmtId="0" fontId="35" fillId="6" borderId="1" xfId="0" applyFont="1" applyFill="1" applyBorder="1" applyAlignment="1">
      <alignment horizontal="center" vertical="center" wrapText="1"/>
    </xf>
    <xf numFmtId="0" fontId="12" fillId="6" borderId="1" xfId="0" applyFont="1" applyFill="1" applyBorder="1" applyAlignment="1">
      <alignment horizontal="center" vertical="center" wrapText="1"/>
    </xf>
    <xf numFmtId="177" fontId="12" fillId="6" borderId="1" xfId="0" applyNumberFormat="1" applyFont="1" applyFill="1" applyBorder="1" applyAlignment="1">
      <alignment horizontal="center" vertical="center" wrapText="1"/>
    </xf>
    <xf numFmtId="14" fontId="12" fillId="6" borderId="1" xfId="0" applyNumberFormat="1" applyFont="1" applyFill="1" applyBorder="1" applyAlignment="1">
      <alignment horizontal="center" vertical="center" wrapText="1"/>
    </xf>
    <xf numFmtId="14" fontId="3" fillId="6" borderId="1" xfId="0" applyNumberFormat="1" applyFont="1" applyFill="1" applyBorder="1" applyAlignment="1" applyProtection="1">
      <alignment horizontal="center" vertical="center" wrapText="1"/>
      <protection locked="0"/>
    </xf>
    <xf numFmtId="14" fontId="12" fillId="6" borderId="1" xfId="0" applyNumberFormat="1" applyFont="1" applyFill="1" applyBorder="1" applyAlignment="1" applyProtection="1">
      <alignment horizontal="center" vertical="center" wrapText="1"/>
      <protection locked="0"/>
    </xf>
    <xf numFmtId="0" fontId="3" fillId="6" borderId="1" xfId="0" applyFont="1" applyFill="1" applyBorder="1" applyAlignment="1" applyProtection="1">
      <alignment horizontal="center" vertical="center" wrapText="1"/>
      <protection locked="0"/>
    </xf>
    <xf numFmtId="14" fontId="35" fillId="6" borderId="1" xfId="0" applyNumberFormat="1" applyFont="1" applyFill="1" applyBorder="1" applyAlignment="1" applyProtection="1">
      <alignment horizontal="center" vertical="center" wrapText="1"/>
    </xf>
    <xf numFmtId="0" fontId="11" fillId="6" borderId="1" xfId="0" applyFont="1" applyFill="1" applyBorder="1" applyAlignment="1" applyProtection="1">
      <alignment horizontal="center" vertical="center" wrapText="1"/>
      <protection locked="0"/>
    </xf>
    <xf numFmtId="180" fontId="12" fillId="6" borderId="1" xfId="0" applyNumberFormat="1" applyFont="1" applyFill="1" applyBorder="1" applyAlignment="1">
      <alignment horizontal="center" vertical="center" wrapText="1"/>
    </xf>
    <xf numFmtId="178" fontId="12" fillId="6" borderId="1" xfId="0" applyNumberFormat="1" applyFont="1" applyFill="1" applyBorder="1" applyAlignment="1">
      <alignment horizontal="center" vertical="center" wrapText="1"/>
    </xf>
    <xf numFmtId="58" fontId="12" fillId="6" borderId="1" xfId="0" applyNumberFormat="1" applyFont="1" applyFill="1" applyBorder="1" applyAlignment="1">
      <alignment horizontal="center" vertical="center"/>
    </xf>
    <xf numFmtId="0" fontId="12" fillId="6" borderId="2" xfId="0" applyFont="1" applyFill="1" applyBorder="1" applyAlignment="1">
      <alignment horizontal="center" vertical="center" wrapText="1"/>
    </xf>
    <xf numFmtId="0" fontId="11" fillId="0" borderId="0" xfId="0" applyNumberFormat="1" applyFont="1" applyFill="1" applyBorder="1" applyAlignment="1" applyProtection="1">
      <alignment horizontal="center" vertical="center" wrapText="1"/>
    </xf>
    <xf numFmtId="0" fontId="32" fillId="0" borderId="0" xfId="0" applyFont="1" applyFill="1" applyBorder="1" applyAlignment="1">
      <alignment horizontal="center" vertical="center" wrapText="1"/>
    </xf>
    <xf numFmtId="176" fontId="32" fillId="0" borderId="1" xfId="0" applyNumberFormat="1" applyFont="1" applyFill="1" applyBorder="1" applyAlignment="1">
      <alignment horizontal="center" vertical="center" wrapText="1"/>
    </xf>
    <xf numFmtId="0" fontId="38" fillId="0" borderId="1" xfId="0" applyFont="1" applyFill="1" applyBorder="1" applyAlignment="1">
      <alignment horizontal="center" vertical="center" wrapText="1"/>
    </xf>
    <xf numFmtId="177" fontId="32" fillId="0" borderId="1" xfId="0" applyNumberFormat="1" applyFont="1" applyFill="1" applyBorder="1" applyAlignment="1">
      <alignment horizontal="center" vertical="center" wrapText="1"/>
    </xf>
    <xf numFmtId="14" fontId="38" fillId="0" borderId="1" xfId="0" applyNumberFormat="1" applyFont="1" applyFill="1" applyBorder="1" applyAlignment="1">
      <alignment horizontal="center" vertical="center" wrapText="1"/>
    </xf>
    <xf numFmtId="14" fontId="38" fillId="0" borderId="1" xfId="0" applyNumberFormat="1" applyFont="1" applyFill="1" applyBorder="1" applyAlignment="1" applyProtection="1">
      <alignment horizontal="center" vertical="center" wrapText="1"/>
      <protection locked="0"/>
    </xf>
    <xf numFmtId="14" fontId="38" fillId="0" borderId="1" xfId="0" applyNumberFormat="1" applyFont="1" applyFill="1" applyBorder="1" applyAlignment="1" applyProtection="1">
      <alignment horizontal="center" vertical="center" wrapText="1"/>
    </xf>
    <xf numFmtId="14" fontId="32" fillId="0" borderId="1" xfId="0" applyNumberFormat="1" applyFont="1" applyFill="1" applyBorder="1" applyAlignment="1" applyProtection="1">
      <alignment horizontal="center" vertical="center" wrapText="1"/>
      <protection locked="0"/>
    </xf>
    <xf numFmtId="0" fontId="32" fillId="0" borderId="1" xfId="0" applyNumberFormat="1" applyFont="1" applyFill="1" applyBorder="1" applyAlignment="1" applyProtection="1">
      <alignment horizontal="center" vertical="center" wrapText="1"/>
    </xf>
    <xf numFmtId="14" fontId="32" fillId="0" borderId="1" xfId="0" applyNumberFormat="1" applyFont="1" applyFill="1" applyBorder="1" applyAlignment="1" applyProtection="1">
      <alignment horizontal="center" vertical="center" wrapText="1"/>
    </xf>
    <xf numFmtId="49" fontId="32" fillId="0" borderId="1" xfId="0" applyNumberFormat="1" applyFont="1" applyFill="1" applyBorder="1" applyAlignment="1">
      <alignment horizontal="center" vertical="center" wrapText="1"/>
    </xf>
    <xf numFmtId="0" fontId="38" fillId="0" borderId="1" xfId="0" applyNumberFormat="1" applyFont="1" applyFill="1" applyBorder="1" applyAlignment="1">
      <alignment horizontal="left" vertical="center" wrapText="1"/>
    </xf>
    <xf numFmtId="180" fontId="32" fillId="0" borderId="1" xfId="0" applyNumberFormat="1" applyFont="1" applyFill="1" applyBorder="1" applyAlignment="1">
      <alignment horizontal="center" vertical="center" wrapText="1"/>
    </xf>
    <xf numFmtId="178" fontId="32" fillId="0" borderId="1" xfId="0" applyNumberFormat="1" applyFont="1" applyFill="1" applyBorder="1" applyAlignment="1">
      <alignment horizontal="center" vertical="center" wrapText="1"/>
    </xf>
    <xf numFmtId="58" fontId="32" fillId="0" borderId="1" xfId="0" applyNumberFormat="1" applyFont="1" applyFill="1" applyBorder="1" applyAlignment="1">
      <alignment horizontal="center" vertical="center"/>
    </xf>
    <xf numFmtId="0" fontId="32" fillId="0" borderId="2" xfId="0" applyFont="1" applyFill="1" applyBorder="1" applyAlignment="1">
      <alignment horizontal="center" vertical="center" wrapText="1"/>
    </xf>
    <xf numFmtId="0" fontId="39" fillId="0" borderId="0" xfId="0" applyFont="1" applyFill="1" applyBorder="1" applyAlignment="1">
      <alignment horizontal="center" vertical="center"/>
    </xf>
    <xf numFmtId="0" fontId="23" fillId="0" borderId="0" xfId="0" applyFont="1" applyFill="1" applyBorder="1" applyAlignment="1">
      <alignment horizontal="center" vertical="center"/>
    </xf>
    <xf numFmtId="0" fontId="24" fillId="0" borderId="0" xfId="0" applyFont="1" applyFill="1" applyBorder="1" applyAlignment="1">
      <alignment horizontal="center" vertical="center"/>
    </xf>
    <xf numFmtId="0" fontId="12" fillId="0" borderId="0" xfId="0" applyFont="1" applyFill="1" applyBorder="1" applyAlignment="1">
      <alignment horizontal="center" vertical="center"/>
    </xf>
    <xf numFmtId="0" fontId="25" fillId="0" borderId="0" xfId="0" applyFont="1" applyFill="1" applyBorder="1" applyAlignment="1">
      <alignment horizontal="center" vertical="center"/>
    </xf>
    <xf numFmtId="0" fontId="40" fillId="0" borderId="0" xfId="0" applyFont="1" applyFill="1" applyBorder="1" applyAlignment="1">
      <alignment horizontal="center" vertical="center"/>
    </xf>
    <xf numFmtId="0" fontId="1" fillId="6" borderId="0" xfId="0" applyFont="1" applyFill="1" applyBorder="1" applyAlignment="1">
      <alignment horizontal="center" vertical="center"/>
    </xf>
    <xf numFmtId="0" fontId="7" fillId="0" borderId="0" xfId="0" applyFont="1" applyFill="1" applyBorder="1" applyAlignment="1">
      <alignment horizontal="center" vertical="center"/>
    </xf>
    <xf numFmtId="0" fontId="12" fillId="0" borderId="0" xfId="0" applyNumberFormat="1" applyFont="1" applyFill="1" applyBorder="1" applyAlignment="1">
      <alignment horizontal="center" vertical="center"/>
    </xf>
    <xf numFmtId="179" fontId="12" fillId="0" borderId="0" xfId="0" applyNumberFormat="1" applyFont="1" applyFill="1" applyBorder="1" applyAlignment="1">
      <alignment horizontal="center" vertical="center"/>
    </xf>
    <xf numFmtId="187" fontId="25" fillId="0" borderId="0" xfId="0" applyNumberFormat="1" applyFont="1" applyFill="1" applyBorder="1" applyAlignment="1">
      <alignment horizontal="center" vertical="center" wrapText="1"/>
    </xf>
    <xf numFmtId="187" fontId="23" fillId="0" borderId="0" xfId="0" applyNumberFormat="1" applyFont="1" applyFill="1" applyBorder="1" applyAlignment="1">
      <alignment horizontal="center" vertical="center" wrapText="1"/>
    </xf>
    <xf numFmtId="181" fontId="39" fillId="0" borderId="1" xfId="0" applyNumberFormat="1" applyFont="1" applyFill="1" applyBorder="1" applyAlignment="1">
      <alignment horizontal="center" vertical="center"/>
    </xf>
    <xf numFmtId="0" fontId="39" fillId="0" borderId="1" xfId="0" applyFont="1" applyFill="1" applyBorder="1" applyAlignment="1">
      <alignment horizontal="center" vertical="center"/>
    </xf>
    <xf numFmtId="0" fontId="39" fillId="0" borderId="1" xfId="0" applyFont="1" applyFill="1" applyBorder="1" applyAlignment="1">
      <alignment horizontal="center" vertical="center" wrapText="1"/>
    </xf>
    <xf numFmtId="0" fontId="39" fillId="0" borderId="1" xfId="0" applyNumberFormat="1" applyFont="1" applyFill="1" applyBorder="1" applyAlignment="1">
      <alignment horizontal="center" vertical="center"/>
    </xf>
    <xf numFmtId="0" fontId="39" fillId="0" borderId="1" xfId="50" applyFont="1" applyFill="1" applyBorder="1" applyAlignment="1">
      <alignment horizontal="center" vertical="center" wrapText="1"/>
    </xf>
    <xf numFmtId="179" fontId="39" fillId="0" borderId="1" xfId="0" applyNumberFormat="1" applyFont="1" applyFill="1" applyBorder="1" applyAlignment="1">
      <alignment horizontal="center" vertical="center"/>
    </xf>
    <xf numFmtId="187" fontId="39" fillId="0" borderId="1" xfId="1" applyNumberFormat="1" applyFont="1" applyFill="1" applyBorder="1" applyAlignment="1">
      <alignment horizontal="center" vertical="center" wrapText="1"/>
    </xf>
    <xf numFmtId="178" fontId="23" fillId="0" borderId="1" xfId="0" applyNumberFormat="1" applyFont="1" applyFill="1" applyBorder="1" applyAlignment="1">
      <alignment horizontal="center" vertical="center"/>
    </xf>
    <xf numFmtId="0" fontId="24" fillId="0" borderId="1" xfId="0" applyFont="1" applyFill="1" applyBorder="1" applyAlignment="1">
      <alignment horizontal="center" vertical="center"/>
    </xf>
    <xf numFmtId="178" fontId="24" fillId="0" borderId="1" xfId="0" applyNumberFormat="1" applyFont="1" applyFill="1" applyBorder="1" applyAlignment="1">
      <alignment horizontal="center" vertical="center"/>
    </xf>
    <xf numFmtId="178" fontId="25" fillId="0" borderId="1" xfId="0" applyNumberFormat="1" applyFont="1" applyFill="1" applyBorder="1" applyAlignment="1">
      <alignment horizontal="center" vertical="center"/>
    </xf>
    <xf numFmtId="187" fontId="26" fillId="0" borderId="1" xfId="0" applyNumberFormat="1" applyFont="1" applyFill="1" applyBorder="1" applyAlignment="1">
      <alignment horizontal="center" vertical="center" wrapText="1"/>
    </xf>
    <xf numFmtId="178" fontId="12" fillId="0" borderId="1" xfId="0" applyNumberFormat="1" applyFont="1" applyFill="1" applyBorder="1" applyAlignment="1">
      <alignment horizontal="center" vertical="center"/>
    </xf>
    <xf numFmtId="187" fontId="12" fillId="0" borderId="1" xfId="0" applyNumberFormat="1" applyFont="1" applyFill="1" applyBorder="1" applyAlignment="1">
      <alignment horizontal="center" vertical="center" wrapText="1"/>
    </xf>
    <xf numFmtId="187" fontId="25" fillId="0" borderId="1" xfId="0" applyNumberFormat="1" applyFont="1" applyFill="1" applyBorder="1" applyAlignment="1">
      <alignment horizontal="center" vertical="center" wrapText="1"/>
    </xf>
    <xf numFmtId="0" fontId="26" fillId="0" borderId="1" xfId="0" applyFont="1" applyFill="1" applyBorder="1" applyAlignment="1">
      <alignment horizontal="center" vertical="center"/>
    </xf>
    <xf numFmtId="0" fontId="37" fillId="0" borderId="1" xfId="0" applyFont="1" applyFill="1" applyBorder="1" applyAlignment="1">
      <alignment horizontal="center" vertical="center"/>
    </xf>
    <xf numFmtId="0" fontId="12" fillId="6" borderId="1" xfId="0" applyFont="1" applyFill="1" applyBorder="1" applyAlignment="1">
      <alignment horizontal="center" vertical="center"/>
    </xf>
    <xf numFmtId="178" fontId="12" fillId="6" borderId="1" xfId="0" applyNumberFormat="1" applyFont="1" applyFill="1" applyBorder="1" applyAlignment="1">
      <alignment horizontal="center" vertical="center"/>
    </xf>
    <xf numFmtId="187" fontId="23" fillId="6" borderId="1" xfId="0" applyNumberFormat="1" applyFont="1" applyFill="1" applyBorder="1" applyAlignment="1">
      <alignment horizontal="center" vertical="center" wrapText="1"/>
    </xf>
    <xf numFmtId="0" fontId="37" fillId="6" borderId="1" xfId="0" applyFont="1" applyFill="1" applyBorder="1" applyAlignment="1">
      <alignment horizontal="center" vertical="center"/>
    </xf>
    <xf numFmtId="176" fontId="7" fillId="0" borderId="1" xfId="0" applyNumberFormat="1" applyFont="1" applyFill="1" applyBorder="1" applyAlignment="1">
      <alignment horizontal="center" vertical="center"/>
    </xf>
    <xf numFmtId="0" fontId="7" fillId="0" borderId="1" xfId="0" applyFont="1" applyFill="1" applyBorder="1" applyAlignment="1">
      <alignment horizontal="center" vertical="center"/>
    </xf>
    <xf numFmtId="0" fontId="7" fillId="0" borderId="1" xfId="0" applyNumberFormat="1" applyFont="1" applyFill="1" applyBorder="1" applyAlignment="1">
      <alignment horizontal="center" vertical="center" wrapText="1"/>
    </xf>
    <xf numFmtId="0" fontId="7" fillId="0" borderId="1" xfId="0" applyNumberFormat="1" applyFont="1" applyFill="1" applyBorder="1" applyAlignment="1">
      <alignment horizontal="center" vertical="center"/>
    </xf>
    <xf numFmtId="0" fontId="7" fillId="0" borderId="0" xfId="0" applyFont="1" applyFill="1" applyBorder="1" applyAlignment="1" applyProtection="1">
      <alignment horizontal="center" vertical="center"/>
    </xf>
    <xf numFmtId="178" fontId="7" fillId="0" borderId="0" xfId="0" applyNumberFormat="1" applyFont="1" applyFill="1" applyBorder="1" applyAlignment="1" applyProtection="1">
      <alignment horizontal="center" vertical="center"/>
    </xf>
    <xf numFmtId="178" fontId="7" fillId="0" borderId="0" xfId="0" applyNumberFormat="1" applyFont="1" applyFill="1" applyAlignment="1" applyProtection="1">
      <alignment horizontal="center" vertical="center" wrapText="1"/>
    </xf>
    <xf numFmtId="178" fontId="7" fillId="0" borderId="0" xfId="0" applyNumberFormat="1" applyFont="1" applyFill="1" applyBorder="1" applyAlignment="1" applyProtection="1">
      <alignment horizontal="center" vertical="center" wrapText="1"/>
    </xf>
    <xf numFmtId="0" fontId="7" fillId="0" borderId="0" xfId="0" applyNumberFormat="1" applyFont="1" applyFill="1" applyBorder="1" applyAlignment="1">
      <alignment horizontal="center" vertical="center"/>
    </xf>
    <xf numFmtId="0" fontId="41" fillId="0" borderId="0" xfId="0" applyNumberFormat="1" applyFont="1" applyFill="1" applyBorder="1" applyAlignment="1">
      <alignment horizontal="center" vertical="center"/>
    </xf>
    <xf numFmtId="0" fontId="42" fillId="0" borderId="0" xfId="0" applyFont="1" applyFill="1" applyBorder="1" applyAlignment="1" applyProtection="1">
      <alignment horizontal="center" vertical="center"/>
    </xf>
    <xf numFmtId="0" fontId="43" fillId="0" borderId="0" xfId="0" applyFont="1" applyFill="1" applyBorder="1" applyAlignment="1">
      <alignment horizontal="center" vertical="center" wrapText="1"/>
    </xf>
    <xf numFmtId="178" fontId="12" fillId="0" borderId="0" xfId="0" applyNumberFormat="1" applyFont="1" applyFill="1" applyBorder="1" applyAlignment="1" applyProtection="1">
      <alignment horizontal="center" vertical="center"/>
    </xf>
    <xf numFmtId="0" fontId="32" fillId="0" borderId="1" xfId="0" applyFont="1" applyFill="1" applyBorder="1" applyAlignment="1">
      <alignment horizontal="center" vertical="center"/>
    </xf>
    <xf numFmtId="0" fontId="44" fillId="0" borderId="1" xfId="0" applyFont="1" applyFill="1" applyBorder="1" applyAlignment="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一般_Q67298 #10466 BEADOS CARRY CASE STUDIO_R0_SEP 30 09" xfId="49"/>
    <cellStyle name="常规_2014年Basic Concepts合同评审表(3)" xfId="50"/>
  </cellStyles>
  <dxfs count="1">
    <dxf>
      <font>
        <color rgb="FF9C0006"/>
      </font>
      <fill>
        <patternFill patternType="solid">
          <bgColor rgb="FFFFC7CE"/>
        </patternFill>
      </fill>
    </dxf>
  </dxfs>
  <tableStyles count="0" defaultTableStyle="TableStyleMedium2" defaultPivotStyle="PivotStyleLight16"/>
  <colors>
    <mruColors>
      <color rgb="00EB35D8"/>
      <color rgb="000B13BB"/>
      <color rgb="00FF0000"/>
      <color rgb="00E82EE6"/>
      <color rgb="00FFFF00"/>
    </mruColors>
  </colors>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884" dbFileVersion="0" changeLogVersion="0">
    <open main="102" threadCnt="1"/>
    <sheetInfos>
      <sheetInfo cellCmpFml="230" sheetStid="4">
        <open main="11" threadCnt="1"/>
      </sheetInfo>
      <sheetInfo cellCmpFml="26" sheetStid="5">
        <open main="1" threadCnt="1"/>
      </sheetInfo>
      <sheetInfo cellCmpFml="72" sheetStid="6">
        <open main="13" threadCnt="1"/>
      </sheetInfo>
      <sheetInfo cellCmpFml="10" sheetStid="7">
        <open main="1" threadCnt="1"/>
      </sheetInfo>
      <sheetInfo cellCmpFml="208" sheetStid="8">
        <open main="19" threadCnt="1"/>
      </sheetInfo>
      <sheetInfo cellCmpFml="5" sheetStid="14">
        <open main="2" threadCnt="1"/>
      </sheetInfo>
      <sheetInfo cellCmpFml="300" sheetStid="9">
        <open main="6" threadCnt="1"/>
      </sheetInfo>
      <sheetInfo cellCmpFml="4" sheetStid="11">
        <open main="1" threadCnt="1"/>
      </sheetInfo>
      <sheetInfo cellCmpFml="29" sheetStid="10">
        <open main="4" threadCnt="1"/>
      </sheetInfo>
      <sheetInfo cellCmpFml="0" sheetStid="13">
        <open threadCnt="1"/>
      </sheetInfo>
      <sheetInfo cellCmpFml="0" sheetStid="15">
        <open threadCnt="1"/>
      </sheetInfo>
    </sheetInfos>
  </bookInfo>
</woInfo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www.wps.cn/officeDocument/2023/relationships/woinfos" Target="woinfos.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customXml" Target="../customXml/item4.xml"/><Relationship Id="rId17" Type="http://schemas.openxmlformats.org/officeDocument/2006/relationships/customXml" Target="../customXml/item3.xml"/><Relationship Id="rId16" Type="http://schemas.openxmlformats.org/officeDocument/2006/relationships/customXml" Target="../customXml/item2.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customXml" Target="../customXml/item1.xml"/><Relationship Id="rId12" Type="http://schemas.openxmlformats.org/officeDocument/2006/relationships/externalLink" Target="externalLinks/externalLink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44</xdr:col>
      <xdr:colOff>412115</xdr:colOff>
      <xdr:row>20</xdr:row>
      <xdr:rowOff>0</xdr:rowOff>
    </xdr:from>
    <xdr:to>
      <xdr:col>48</xdr:col>
      <xdr:colOff>621665</xdr:colOff>
      <xdr:row>23</xdr:row>
      <xdr:rowOff>11430</xdr:rowOff>
    </xdr:to>
    <xdr:pic>
      <xdr:nvPicPr>
        <xdr:cNvPr id="2" name="图片 1"/>
        <xdr:cNvPicPr>
          <a:picLocks noChangeAspect="1"/>
        </xdr:cNvPicPr>
      </xdr:nvPicPr>
      <xdr:blipFill>
        <a:blip r:embed="rId1"/>
        <a:stretch>
          <a:fillRect/>
        </a:stretch>
      </xdr:blipFill>
      <xdr:spPr>
        <a:xfrm>
          <a:off x="44121070" y="6350000"/>
          <a:ext cx="3257550" cy="963930"/>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D:/Program Files/xwechat_files/wxid_o85mnlorst9a22_f27f/msg/file/2026-04/2026&#24180;&#20852;&#20449;&#25509;&#21333; (1).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A"/>
      <sheetName val="B"/>
      <sheetName val="C"/>
      <sheetName val="兴信1-12月"/>
      <sheetName val="各客每周报 (2)"/>
      <sheetName val="moose车间明细"/>
    </sheetNames>
    <sheetDataSet>
      <sheetData sheetId="0"/>
      <sheetData sheetId="1"/>
      <sheetData sheetId="2"/>
      <sheetData sheetId="3"/>
      <sheetData sheetId="4">
        <row r="2">
          <cell r="C2">
            <v>3683604.45</v>
          </cell>
          <cell r="D2">
            <v>1248171.6</v>
          </cell>
        </row>
      </sheetData>
      <sheetData sheetId="5"/>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xml"/><Relationship Id="rId1"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301"/>
  <sheetViews>
    <sheetView workbookViewId="0">
      <pane xSplit="8" ySplit="1" topLeftCell="I148" activePane="bottomRight" state="frozenSplit"/>
      <selection/>
      <selection pane="topRight"/>
      <selection pane="bottomLeft"/>
      <selection pane="bottomRight" activeCell="V63" sqref="V63"/>
    </sheetView>
  </sheetViews>
  <sheetFormatPr defaultColWidth="10" defaultRowHeight="11.25"/>
  <cols>
    <col min="1" max="1" width="16.1083333333333" style="471" customWidth="1"/>
    <col min="2" max="2" width="18.7333333333333" style="471" customWidth="1"/>
    <col min="3" max="3" width="22.775" style="471" customWidth="1"/>
    <col min="4" max="6" width="10.775" style="471" customWidth="1"/>
    <col min="7" max="7" width="22.775" style="471" customWidth="1"/>
    <col min="8" max="8" width="10.775" style="476" customWidth="1"/>
    <col min="9" max="10" width="7.66666666666667" style="471" customWidth="1"/>
    <col min="11" max="13" width="8.55833333333333" style="471" customWidth="1"/>
    <col min="14" max="14" width="18.5583333333333" style="471" customWidth="1"/>
    <col min="15" max="17" width="8.55833333333333" style="471" customWidth="1"/>
    <col min="18" max="18" width="9.66666666666667" style="471" customWidth="1"/>
    <col min="19" max="19" width="13" style="471" customWidth="1"/>
    <col min="20" max="20" width="9.66666666666667" style="471" customWidth="1"/>
    <col min="21" max="21" width="19.4416666666667" style="471" customWidth="1"/>
    <col min="22" max="29" width="9.44166666666667" style="471" customWidth="1"/>
    <col min="30" max="39" width="8.55833333333333" style="471" hidden="1" customWidth="1"/>
    <col min="40" max="42" width="9.66666666666667" style="471" hidden="1" customWidth="1"/>
    <col min="43" max="43" width="24.775" style="471" customWidth="1"/>
    <col min="44" max="46" width="13" style="471" customWidth="1"/>
    <col min="47" max="47" width="8.55833333333333" style="471" customWidth="1"/>
    <col min="48" max="48" width="13" style="471" customWidth="1"/>
    <col min="49" max="50" width="8.55833333333333" style="471" customWidth="1"/>
    <col min="51" max="58" width="8.55833333333333" style="471" hidden="1" customWidth="1"/>
    <col min="59" max="60" width="9.66666666666667" style="471" hidden="1" customWidth="1"/>
    <col min="61" max="61" width="8.55833333333333" style="471" customWidth="1"/>
    <col min="62" max="62" width="9.66666666666667" style="471" customWidth="1"/>
    <col min="63" max="70" width="8.55833333333333" style="471" customWidth="1"/>
    <col min="71" max="72" width="10.8416666666667" style="471" customWidth="1"/>
    <col min="73" max="73" width="13.1083333333333" style="477" customWidth="1"/>
    <col min="74" max="74" width="9.44166666666667" style="471" customWidth="1"/>
    <col min="75" max="75" width="11.1083333333333" style="471" customWidth="1"/>
    <col min="76" max="76" width="11.4416666666667" style="478" customWidth="1"/>
    <col min="77" max="77" width="9.63333333333333" style="479" customWidth="1"/>
    <col min="78" max="78" width="5.66666666666667" style="471" customWidth="1"/>
    <col min="79" max="16384" width="10" style="471"/>
  </cols>
  <sheetData>
    <row r="1" s="468" customFormat="1" ht="25" customHeight="1" spans="1:78">
      <c r="A1" s="480" t="s">
        <v>0</v>
      </c>
      <c r="B1" s="481" t="s">
        <v>1</v>
      </c>
      <c r="C1" s="482" t="s">
        <v>2</v>
      </c>
      <c r="D1" s="481" t="s">
        <v>3</v>
      </c>
      <c r="E1" s="481" t="s">
        <v>4</v>
      </c>
      <c r="F1" s="481" t="s">
        <v>5</v>
      </c>
      <c r="G1" s="481" t="s">
        <v>6</v>
      </c>
      <c r="H1" s="483" t="s">
        <v>7</v>
      </c>
      <c r="I1" s="481" t="s">
        <v>8</v>
      </c>
      <c r="J1" s="481" t="s">
        <v>9</v>
      </c>
      <c r="K1" s="484" t="s">
        <v>10</v>
      </c>
      <c r="L1" s="484" t="s">
        <v>11</v>
      </c>
      <c r="M1" s="484" t="s">
        <v>12</v>
      </c>
      <c r="N1" s="484" t="s">
        <v>13</v>
      </c>
      <c r="O1" s="484" t="s">
        <v>14</v>
      </c>
      <c r="P1" s="484" t="s">
        <v>15</v>
      </c>
      <c r="Q1" s="484" t="s">
        <v>16</v>
      </c>
      <c r="R1" s="484" t="s">
        <v>17</v>
      </c>
      <c r="S1" s="484" t="s">
        <v>18</v>
      </c>
      <c r="T1" s="482" t="s">
        <v>19</v>
      </c>
      <c r="U1" s="481" t="s">
        <v>20</v>
      </c>
      <c r="V1" s="481" t="s">
        <v>21</v>
      </c>
      <c r="W1" s="481" t="s">
        <v>22</v>
      </c>
      <c r="X1" s="481" t="s">
        <v>23</v>
      </c>
      <c r="Y1" s="481" t="s">
        <v>24</v>
      </c>
      <c r="Z1" s="481" t="s">
        <v>25</v>
      </c>
      <c r="AA1" s="481" t="s">
        <v>26</v>
      </c>
      <c r="AB1" s="481" t="s">
        <v>27</v>
      </c>
      <c r="AC1" s="481" t="s">
        <v>28</v>
      </c>
      <c r="AD1" s="482" t="s">
        <v>29</v>
      </c>
      <c r="AE1" s="482" t="s">
        <v>30</v>
      </c>
      <c r="AF1" s="482" t="s">
        <v>31</v>
      </c>
      <c r="AG1" s="482" t="s">
        <v>32</v>
      </c>
      <c r="AH1" s="482" t="s">
        <v>33</v>
      </c>
      <c r="AI1" s="482" t="s">
        <v>34</v>
      </c>
      <c r="AJ1" s="482" t="s">
        <v>35</v>
      </c>
      <c r="AK1" s="482" t="s">
        <v>36</v>
      </c>
      <c r="AL1" s="482" t="s">
        <v>37</v>
      </c>
      <c r="AM1" s="482" t="s">
        <v>38</v>
      </c>
      <c r="AN1" s="482" t="s">
        <v>39</v>
      </c>
      <c r="AO1" s="482" t="s">
        <v>40</v>
      </c>
      <c r="AP1" s="482" t="s">
        <v>41</v>
      </c>
      <c r="AQ1" s="482" t="s">
        <v>42</v>
      </c>
      <c r="AR1" s="482" t="s">
        <v>43</v>
      </c>
      <c r="AS1" s="482" t="s">
        <v>44</v>
      </c>
      <c r="AT1" s="482" t="s">
        <v>45</v>
      </c>
      <c r="AU1" s="482" t="s">
        <v>46</v>
      </c>
      <c r="AV1" s="482" t="s">
        <v>47</v>
      </c>
      <c r="AW1" s="482" t="s">
        <v>48</v>
      </c>
      <c r="AX1" s="482" t="s">
        <v>49</v>
      </c>
      <c r="AY1" s="482" t="s">
        <v>50</v>
      </c>
      <c r="AZ1" s="482" t="s">
        <v>51</v>
      </c>
      <c r="BA1" s="482" t="s">
        <v>52</v>
      </c>
      <c r="BB1" s="482" t="s">
        <v>53</v>
      </c>
      <c r="BC1" s="482" t="s">
        <v>54</v>
      </c>
      <c r="BD1" s="482" t="s">
        <v>55</v>
      </c>
      <c r="BE1" s="482" t="s">
        <v>56</v>
      </c>
      <c r="BF1" s="482" t="s">
        <v>57</v>
      </c>
      <c r="BG1" s="482" t="s">
        <v>58</v>
      </c>
      <c r="BH1" s="482" t="s">
        <v>59</v>
      </c>
      <c r="BI1" s="482" t="s">
        <v>60</v>
      </c>
      <c r="BJ1" s="482" t="s">
        <v>61</v>
      </c>
      <c r="BK1" s="482" t="s">
        <v>62</v>
      </c>
      <c r="BL1" s="482" t="s">
        <v>63</v>
      </c>
      <c r="BM1" s="482" t="s">
        <v>64</v>
      </c>
      <c r="BN1" s="482" t="s">
        <v>65</v>
      </c>
      <c r="BO1" s="482" t="s">
        <v>66</v>
      </c>
      <c r="BP1" s="482" t="s">
        <v>67</v>
      </c>
      <c r="BQ1" s="482" t="s">
        <v>68</v>
      </c>
      <c r="BR1" s="482" t="s">
        <v>69</v>
      </c>
      <c r="BS1" s="482" t="s">
        <v>70</v>
      </c>
      <c r="BT1" s="482" t="s">
        <v>71</v>
      </c>
      <c r="BU1" s="485" t="s">
        <v>72</v>
      </c>
      <c r="BV1" s="481" t="s">
        <v>73</v>
      </c>
      <c r="BW1" s="481" t="s">
        <v>74</v>
      </c>
      <c r="BX1" s="486" t="s">
        <v>75</v>
      </c>
      <c r="BY1" s="486" t="s">
        <v>76</v>
      </c>
      <c r="BZ1" s="481" t="s">
        <v>77</v>
      </c>
    </row>
    <row r="2" s="469" customFormat="1" ht="25" customHeight="1" spans="1:78">
      <c r="A2" s="223">
        <v>45902</v>
      </c>
      <c r="B2" s="223">
        <v>46132</v>
      </c>
      <c r="C2" s="224" t="s">
        <v>78</v>
      </c>
      <c r="D2" s="224" t="s">
        <v>79</v>
      </c>
      <c r="E2" s="224" t="s">
        <v>80</v>
      </c>
      <c r="F2" s="224" t="s">
        <v>16</v>
      </c>
      <c r="G2" s="224" t="s">
        <v>81</v>
      </c>
      <c r="H2" s="226">
        <v>2952</v>
      </c>
      <c r="I2" s="250">
        <v>6</v>
      </c>
      <c r="J2" s="250">
        <f t="shared" ref="J2:J65" si="0">H2/I2</f>
        <v>492</v>
      </c>
      <c r="K2" s="250"/>
      <c r="L2" s="250"/>
      <c r="M2" s="250"/>
      <c r="N2" s="250"/>
      <c r="O2" s="250"/>
      <c r="P2" s="250"/>
      <c r="Q2" s="250">
        <f>H2</f>
        <v>2952</v>
      </c>
      <c r="R2" s="250"/>
      <c r="S2" s="250"/>
      <c r="T2" s="250"/>
      <c r="U2" s="250"/>
      <c r="V2" s="250"/>
      <c r="W2" s="250"/>
      <c r="X2" s="250"/>
      <c r="Y2" s="250"/>
      <c r="Z2" s="250"/>
      <c r="AA2" s="250"/>
      <c r="AB2" s="250"/>
      <c r="AC2" s="250"/>
      <c r="AD2" s="250"/>
      <c r="AE2" s="250"/>
      <c r="AF2" s="250"/>
      <c r="AG2" s="250"/>
      <c r="AH2" s="250"/>
      <c r="AI2" s="250"/>
      <c r="AJ2" s="250"/>
      <c r="AK2" s="250"/>
      <c r="AL2" s="250"/>
      <c r="AM2" s="250"/>
      <c r="AN2" s="250"/>
      <c r="AO2" s="250"/>
      <c r="AP2" s="250"/>
      <c r="AQ2" s="250"/>
      <c r="AR2" s="250"/>
      <c r="AS2" s="250"/>
      <c r="AT2" s="250"/>
      <c r="AU2" s="250"/>
      <c r="AV2" s="250"/>
      <c r="AW2" s="250"/>
      <c r="AX2" s="250"/>
      <c r="AY2" s="250"/>
      <c r="AZ2" s="250"/>
      <c r="BA2" s="250"/>
      <c r="BB2" s="250"/>
      <c r="BC2" s="250"/>
      <c r="BD2" s="250"/>
      <c r="BE2" s="250"/>
      <c r="BF2" s="250"/>
      <c r="BG2" s="250"/>
      <c r="BH2" s="250"/>
      <c r="BI2" s="250"/>
      <c r="BJ2" s="250"/>
      <c r="BK2" s="250"/>
      <c r="BL2" s="250"/>
      <c r="BM2" s="250"/>
      <c r="BN2" s="250"/>
      <c r="BO2" s="250"/>
      <c r="BP2" s="250"/>
      <c r="BQ2" s="250"/>
      <c r="BR2" s="250"/>
      <c r="BS2" s="250"/>
      <c r="BT2" s="250"/>
      <c r="BU2" s="250"/>
      <c r="BV2" s="235">
        <v>3.126</v>
      </c>
      <c r="BW2" s="487">
        <f t="shared" ref="BW2:BW65" si="1">SUM(K2:BU2)*BV2</f>
        <v>9227.952</v>
      </c>
      <c r="BX2" s="487">
        <f t="shared" ref="BX2:BX65" si="2">BW2*7.75</f>
        <v>71516.628</v>
      </c>
      <c r="BY2" s="224" t="s">
        <v>82</v>
      </c>
      <c r="BZ2" s="250" t="s">
        <v>83</v>
      </c>
    </row>
    <row r="3" s="469" customFormat="1" ht="25" customHeight="1" spans="1:78">
      <c r="A3" s="223">
        <v>45902</v>
      </c>
      <c r="B3" s="223">
        <v>46132</v>
      </c>
      <c r="C3" s="224" t="s">
        <v>78</v>
      </c>
      <c r="D3" s="224" t="s">
        <v>84</v>
      </c>
      <c r="E3" s="224" t="s">
        <v>85</v>
      </c>
      <c r="F3" s="224" t="s">
        <v>16</v>
      </c>
      <c r="G3" s="224" t="s">
        <v>81</v>
      </c>
      <c r="H3" s="226">
        <v>48</v>
      </c>
      <c r="I3" s="250">
        <v>6</v>
      </c>
      <c r="J3" s="250">
        <f t="shared" si="0"/>
        <v>8</v>
      </c>
      <c r="K3" s="250"/>
      <c r="L3" s="250"/>
      <c r="M3" s="250"/>
      <c r="N3" s="250"/>
      <c r="O3" s="250"/>
      <c r="P3" s="250"/>
      <c r="Q3" s="250">
        <f>H3</f>
        <v>48</v>
      </c>
      <c r="R3" s="250"/>
      <c r="S3" s="250"/>
      <c r="T3" s="250"/>
      <c r="U3" s="250"/>
      <c r="V3" s="250"/>
      <c r="W3" s="250"/>
      <c r="X3" s="250"/>
      <c r="Y3" s="250"/>
      <c r="Z3" s="250"/>
      <c r="AA3" s="250"/>
      <c r="AB3" s="250"/>
      <c r="AC3" s="250"/>
      <c r="AD3" s="250"/>
      <c r="AE3" s="250"/>
      <c r="AF3" s="250"/>
      <c r="AG3" s="250"/>
      <c r="AH3" s="250"/>
      <c r="AI3" s="250"/>
      <c r="AJ3" s="250"/>
      <c r="AK3" s="250"/>
      <c r="AL3" s="250"/>
      <c r="AM3" s="250"/>
      <c r="AN3" s="250"/>
      <c r="AO3" s="250"/>
      <c r="AP3" s="250"/>
      <c r="AQ3" s="250"/>
      <c r="AR3" s="250"/>
      <c r="AS3" s="250"/>
      <c r="AT3" s="250"/>
      <c r="AU3" s="250"/>
      <c r="AV3" s="250"/>
      <c r="AW3" s="250"/>
      <c r="AX3" s="250"/>
      <c r="AY3" s="250"/>
      <c r="AZ3" s="250"/>
      <c r="BA3" s="250"/>
      <c r="BB3" s="250"/>
      <c r="BC3" s="250"/>
      <c r="BD3" s="250"/>
      <c r="BE3" s="250"/>
      <c r="BF3" s="250"/>
      <c r="BG3" s="250"/>
      <c r="BH3" s="250"/>
      <c r="BI3" s="250"/>
      <c r="BJ3" s="250"/>
      <c r="BK3" s="250"/>
      <c r="BL3" s="250"/>
      <c r="BM3" s="250"/>
      <c r="BN3" s="250"/>
      <c r="BO3" s="250"/>
      <c r="BP3" s="250"/>
      <c r="BQ3" s="250"/>
      <c r="BR3" s="250"/>
      <c r="BS3" s="250"/>
      <c r="BT3" s="250"/>
      <c r="BU3" s="250"/>
      <c r="BV3" s="235">
        <v>3.126</v>
      </c>
      <c r="BW3" s="487">
        <f t="shared" si="1"/>
        <v>150.048</v>
      </c>
      <c r="BX3" s="487">
        <f t="shared" si="2"/>
        <v>1162.872</v>
      </c>
      <c r="BY3" s="224" t="s">
        <v>86</v>
      </c>
      <c r="BZ3" s="250" t="s">
        <v>83</v>
      </c>
    </row>
    <row r="4" s="469" customFormat="1" ht="25" customHeight="1" spans="1:78">
      <c r="A4" s="223">
        <v>45954</v>
      </c>
      <c r="B4" s="223">
        <v>46008</v>
      </c>
      <c r="C4" s="224" t="s">
        <v>87</v>
      </c>
      <c r="D4" s="224" t="s">
        <v>88</v>
      </c>
      <c r="E4" s="224" t="s">
        <v>89</v>
      </c>
      <c r="F4" s="224" t="s">
        <v>90</v>
      </c>
      <c r="G4" s="224" t="s">
        <v>91</v>
      </c>
      <c r="H4" s="226">
        <v>7656</v>
      </c>
      <c r="I4" s="250">
        <v>6</v>
      </c>
      <c r="J4" s="250">
        <f t="shared" si="0"/>
        <v>1276</v>
      </c>
      <c r="K4" s="250"/>
      <c r="L4" s="250"/>
      <c r="M4" s="250"/>
      <c r="N4" s="250"/>
      <c r="O4" s="250"/>
      <c r="P4" s="250"/>
      <c r="Q4" s="250"/>
      <c r="R4" s="250"/>
      <c r="S4" s="250"/>
      <c r="T4" s="250"/>
      <c r="U4" s="250"/>
      <c r="V4" s="250"/>
      <c r="W4" s="250"/>
      <c r="X4" s="250"/>
      <c r="Y4" s="250"/>
      <c r="Z4" s="250"/>
      <c r="AA4" s="250"/>
      <c r="AB4" s="250"/>
      <c r="AC4" s="250"/>
      <c r="AD4" s="250"/>
      <c r="AE4" s="250"/>
      <c r="AF4" s="250"/>
      <c r="AG4" s="250"/>
      <c r="AH4" s="250"/>
      <c r="AI4" s="250"/>
      <c r="AJ4" s="250"/>
      <c r="AK4" s="250"/>
      <c r="AL4" s="250"/>
      <c r="AM4" s="250"/>
      <c r="AN4" s="250"/>
      <c r="AO4" s="250"/>
      <c r="AP4" s="250"/>
      <c r="AQ4" s="250"/>
      <c r="AR4" s="250"/>
      <c r="AS4" s="250"/>
      <c r="AT4" s="250"/>
      <c r="AU4" s="250"/>
      <c r="AV4" s="250">
        <f t="shared" ref="AV4:AV15" si="3">H4</f>
        <v>7656</v>
      </c>
      <c r="AW4" s="250"/>
      <c r="AX4" s="250"/>
      <c r="AY4" s="250"/>
      <c r="AZ4" s="250"/>
      <c r="BA4" s="250"/>
      <c r="BB4" s="250"/>
      <c r="BC4" s="250"/>
      <c r="BD4" s="250"/>
      <c r="BE4" s="250"/>
      <c r="BF4" s="250"/>
      <c r="BG4" s="250"/>
      <c r="BH4" s="250"/>
      <c r="BI4" s="250"/>
      <c r="BJ4" s="250"/>
      <c r="BK4" s="250"/>
      <c r="BL4" s="250"/>
      <c r="BM4" s="250"/>
      <c r="BN4" s="250"/>
      <c r="BO4" s="250"/>
      <c r="BP4" s="250"/>
      <c r="BQ4" s="250"/>
      <c r="BR4" s="250"/>
      <c r="BS4" s="250"/>
      <c r="BT4" s="250"/>
      <c r="BU4" s="250"/>
      <c r="BV4" s="235">
        <v>3.77</v>
      </c>
      <c r="BW4" s="487">
        <f t="shared" si="1"/>
        <v>28863.12</v>
      </c>
      <c r="BX4" s="487">
        <f t="shared" si="2"/>
        <v>223689.18</v>
      </c>
      <c r="BY4" s="249" t="s">
        <v>92</v>
      </c>
      <c r="BZ4" s="250" t="s">
        <v>93</v>
      </c>
    </row>
    <row r="5" s="469" customFormat="1" ht="25" customHeight="1" spans="1:78">
      <c r="A5" s="223">
        <v>45954</v>
      </c>
      <c r="B5" s="223">
        <v>46008</v>
      </c>
      <c r="C5" s="224" t="s">
        <v>87</v>
      </c>
      <c r="D5" s="224" t="s">
        <v>88</v>
      </c>
      <c r="E5" s="224" t="s">
        <v>89</v>
      </c>
      <c r="F5" s="224" t="s">
        <v>94</v>
      </c>
      <c r="G5" s="224" t="s">
        <v>95</v>
      </c>
      <c r="H5" s="226">
        <v>3828</v>
      </c>
      <c r="I5" s="250">
        <v>6</v>
      </c>
      <c r="J5" s="250">
        <f t="shared" si="0"/>
        <v>638</v>
      </c>
      <c r="K5" s="250"/>
      <c r="L5" s="250"/>
      <c r="M5" s="250"/>
      <c r="N5" s="250"/>
      <c r="O5" s="250"/>
      <c r="P5" s="250"/>
      <c r="Q5" s="250"/>
      <c r="R5" s="250"/>
      <c r="S5" s="250"/>
      <c r="T5" s="250"/>
      <c r="U5" s="250"/>
      <c r="V5" s="250"/>
      <c r="W5" s="250"/>
      <c r="X5" s="250"/>
      <c r="Y5" s="250"/>
      <c r="Z5" s="250"/>
      <c r="AA5" s="250"/>
      <c r="AB5" s="250"/>
      <c r="AC5" s="250"/>
      <c r="AD5" s="250"/>
      <c r="AE5" s="250"/>
      <c r="AF5" s="250"/>
      <c r="AG5" s="250"/>
      <c r="AH5" s="250"/>
      <c r="AI5" s="250"/>
      <c r="AJ5" s="250"/>
      <c r="AK5" s="250"/>
      <c r="AL5" s="250"/>
      <c r="AM5" s="250"/>
      <c r="AN5" s="250"/>
      <c r="AO5" s="250"/>
      <c r="AP5" s="250"/>
      <c r="AQ5" s="250"/>
      <c r="AR5" s="250"/>
      <c r="AS5" s="250"/>
      <c r="AT5" s="250"/>
      <c r="AU5" s="250"/>
      <c r="AV5" s="250">
        <f t="shared" si="3"/>
        <v>3828</v>
      </c>
      <c r="AW5" s="250"/>
      <c r="AX5" s="250"/>
      <c r="AY5" s="250"/>
      <c r="AZ5" s="250"/>
      <c r="BA5" s="250"/>
      <c r="BB5" s="250"/>
      <c r="BC5" s="250"/>
      <c r="BD5" s="250"/>
      <c r="BE5" s="250"/>
      <c r="BF5" s="250"/>
      <c r="BG5" s="250"/>
      <c r="BH5" s="250"/>
      <c r="BI5" s="250"/>
      <c r="BJ5" s="250"/>
      <c r="BK5" s="250"/>
      <c r="BL5" s="250"/>
      <c r="BM5" s="250"/>
      <c r="BN5" s="250"/>
      <c r="BO5" s="250"/>
      <c r="BP5" s="250"/>
      <c r="BQ5" s="250"/>
      <c r="BR5" s="250"/>
      <c r="BS5" s="250"/>
      <c r="BT5" s="250"/>
      <c r="BU5" s="250"/>
      <c r="BV5" s="235">
        <v>3.77</v>
      </c>
      <c r="BW5" s="487">
        <f t="shared" si="1"/>
        <v>14431.56</v>
      </c>
      <c r="BX5" s="487">
        <f t="shared" si="2"/>
        <v>111844.59</v>
      </c>
      <c r="BY5" s="249" t="s">
        <v>92</v>
      </c>
      <c r="BZ5" s="250" t="s">
        <v>93</v>
      </c>
    </row>
    <row r="6" s="469" customFormat="1" ht="25" customHeight="1" spans="1:78">
      <c r="A6" s="223">
        <v>45954</v>
      </c>
      <c r="B6" s="223">
        <v>46008</v>
      </c>
      <c r="C6" s="224" t="s">
        <v>87</v>
      </c>
      <c r="D6" s="224" t="s">
        <v>88</v>
      </c>
      <c r="E6" s="224" t="s">
        <v>89</v>
      </c>
      <c r="F6" s="224" t="s">
        <v>96</v>
      </c>
      <c r="G6" s="224" t="s">
        <v>97</v>
      </c>
      <c r="H6" s="226">
        <v>1914</v>
      </c>
      <c r="I6" s="250">
        <v>6</v>
      </c>
      <c r="J6" s="250">
        <f t="shared" si="0"/>
        <v>319</v>
      </c>
      <c r="K6" s="250"/>
      <c r="L6" s="250"/>
      <c r="M6" s="250"/>
      <c r="N6" s="250"/>
      <c r="O6" s="250"/>
      <c r="P6" s="250"/>
      <c r="Q6" s="250"/>
      <c r="R6" s="250"/>
      <c r="S6" s="250"/>
      <c r="T6" s="250"/>
      <c r="U6" s="250"/>
      <c r="V6" s="250"/>
      <c r="W6" s="250"/>
      <c r="X6" s="250"/>
      <c r="Y6" s="250"/>
      <c r="Z6" s="250"/>
      <c r="AA6" s="250"/>
      <c r="AB6" s="250"/>
      <c r="AC6" s="250"/>
      <c r="AD6" s="250"/>
      <c r="AE6" s="250"/>
      <c r="AF6" s="250"/>
      <c r="AG6" s="250"/>
      <c r="AH6" s="250"/>
      <c r="AI6" s="250"/>
      <c r="AJ6" s="250"/>
      <c r="AK6" s="250"/>
      <c r="AL6" s="250"/>
      <c r="AM6" s="250"/>
      <c r="AN6" s="250"/>
      <c r="AO6" s="250"/>
      <c r="AP6" s="250"/>
      <c r="AQ6" s="250"/>
      <c r="AR6" s="250"/>
      <c r="AS6" s="250"/>
      <c r="AT6" s="250"/>
      <c r="AU6" s="250"/>
      <c r="AV6" s="250">
        <f t="shared" si="3"/>
        <v>1914</v>
      </c>
      <c r="AW6" s="250"/>
      <c r="AX6" s="250"/>
      <c r="AY6" s="250"/>
      <c r="AZ6" s="250"/>
      <c r="BA6" s="250"/>
      <c r="BB6" s="250"/>
      <c r="BC6" s="250"/>
      <c r="BD6" s="250"/>
      <c r="BE6" s="250"/>
      <c r="BF6" s="250"/>
      <c r="BG6" s="250"/>
      <c r="BH6" s="250"/>
      <c r="BI6" s="250"/>
      <c r="BJ6" s="250"/>
      <c r="BK6" s="250"/>
      <c r="BL6" s="250"/>
      <c r="BM6" s="250"/>
      <c r="BN6" s="250"/>
      <c r="BO6" s="250"/>
      <c r="BP6" s="250"/>
      <c r="BQ6" s="250"/>
      <c r="BR6" s="250"/>
      <c r="BS6" s="250"/>
      <c r="BT6" s="250"/>
      <c r="BU6" s="250"/>
      <c r="BV6" s="235">
        <v>3.77</v>
      </c>
      <c r="BW6" s="487">
        <f t="shared" si="1"/>
        <v>7215.78</v>
      </c>
      <c r="BX6" s="487">
        <f t="shared" si="2"/>
        <v>55922.295</v>
      </c>
      <c r="BY6" s="249" t="s">
        <v>92</v>
      </c>
      <c r="BZ6" s="250" t="s">
        <v>93</v>
      </c>
    </row>
    <row r="7" s="469" customFormat="1" ht="25" customHeight="1" spans="1:78">
      <c r="A7" s="223">
        <v>45954</v>
      </c>
      <c r="B7" s="223">
        <v>46008</v>
      </c>
      <c r="C7" s="224" t="s">
        <v>87</v>
      </c>
      <c r="D7" s="224" t="s">
        <v>88</v>
      </c>
      <c r="E7" s="224" t="s">
        <v>89</v>
      </c>
      <c r="F7" s="224" t="s">
        <v>98</v>
      </c>
      <c r="G7" s="224" t="s">
        <v>99</v>
      </c>
      <c r="H7" s="226">
        <v>1914</v>
      </c>
      <c r="I7" s="250">
        <v>6</v>
      </c>
      <c r="J7" s="250">
        <f t="shared" si="0"/>
        <v>319</v>
      </c>
      <c r="K7" s="250"/>
      <c r="L7" s="250"/>
      <c r="M7" s="250"/>
      <c r="N7" s="250"/>
      <c r="O7" s="250"/>
      <c r="P7" s="250"/>
      <c r="Q7" s="250"/>
      <c r="R7" s="250"/>
      <c r="S7" s="250"/>
      <c r="T7" s="250"/>
      <c r="U7" s="250"/>
      <c r="V7" s="250"/>
      <c r="W7" s="250"/>
      <c r="X7" s="250"/>
      <c r="Y7" s="250"/>
      <c r="Z7" s="250"/>
      <c r="AA7" s="250"/>
      <c r="AB7" s="250"/>
      <c r="AC7" s="250"/>
      <c r="AD7" s="250"/>
      <c r="AE7" s="250"/>
      <c r="AF7" s="250"/>
      <c r="AG7" s="250"/>
      <c r="AH7" s="250"/>
      <c r="AI7" s="250"/>
      <c r="AJ7" s="250"/>
      <c r="AK7" s="250"/>
      <c r="AL7" s="250"/>
      <c r="AM7" s="250"/>
      <c r="AN7" s="250"/>
      <c r="AO7" s="250"/>
      <c r="AP7" s="250"/>
      <c r="AQ7" s="250"/>
      <c r="AR7" s="250"/>
      <c r="AS7" s="250"/>
      <c r="AT7" s="250"/>
      <c r="AU7" s="250"/>
      <c r="AV7" s="250">
        <f t="shared" si="3"/>
        <v>1914</v>
      </c>
      <c r="AW7" s="250"/>
      <c r="AX7" s="250"/>
      <c r="AY7" s="250"/>
      <c r="AZ7" s="250"/>
      <c r="BA7" s="250"/>
      <c r="BB7" s="250"/>
      <c r="BC7" s="250"/>
      <c r="BD7" s="250"/>
      <c r="BE7" s="250"/>
      <c r="BF7" s="250"/>
      <c r="BG7" s="250"/>
      <c r="BH7" s="250"/>
      <c r="BI7" s="250"/>
      <c r="BJ7" s="250"/>
      <c r="BK7" s="250"/>
      <c r="BL7" s="250"/>
      <c r="BM7" s="250"/>
      <c r="BN7" s="250"/>
      <c r="BO7" s="250"/>
      <c r="BP7" s="250"/>
      <c r="BQ7" s="250"/>
      <c r="BR7" s="250"/>
      <c r="BS7" s="250"/>
      <c r="BT7" s="250"/>
      <c r="BU7" s="250"/>
      <c r="BV7" s="235">
        <v>3.77</v>
      </c>
      <c r="BW7" s="487">
        <f t="shared" si="1"/>
        <v>7215.78</v>
      </c>
      <c r="BX7" s="487">
        <f t="shared" si="2"/>
        <v>55922.295</v>
      </c>
      <c r="BY7" s="249" t="s">
        <v>92</v>
      </c>
      <c r="BZ7" s="250" t="s">
        <v>93</v>
      </c>
    </row>
    <row r="8" s="469" customFormat="1" ht="25" customHeight="1" spans="1:78">
      <c r="A8" s="223">
        <v>45954</v>
      </c>
      <c r="B8" s="223">
        <v>46008</v>
      </c>
      <c r="C8" s="224" t="s">
        <v>87</v>
      </c>
      <c r="D8" s="224" t="s">
        <v>88</v>
      </c>
      <c r="E8" s="224" t="s">
        <v>100</v>
      </c>
      <c r="F8" s="224" t="s">
        <v>90</v>
      </c>
      <c r="G8" s="224" t="s">
        <v>91</v>
      </c>
      <c r="H8" s="226">
        <v>7968</v>
      </c>
      <c r="I8" s="250">
        <v>6</v>
      </c>
      <c r="J8" s="250">
        <f t="shared" si="0"/>
        <v>1328</v>
      </c>
      <c r="K8" s="250"/>
      <c r="L8" s="250"/>
      <c r="M8" s="250"/>
      <c r="N8" s="250"/>
      <c r="O8" s="250"/>
      <c r="P8" s="250"/>
      <c r="Q8" s="250"/>
      <c r="R8" s="250"/>
      <c r="S8" s="250"/>
      <c r="T8" s="250"/>
      <c r="U8" s="250"/>
      <c r="V8" s="250"/>
      <c r="W8" s="250"/>
      <c r="X8" s="250"/>
      <c r="Y8" s="250"/>
      <c r="Z8" s="250"/>
      <c r="AA8" s="250"/>
      <c r="AB8" s="250"/>
      <c r="AC8" s="250"/>
      <c r="AD8" s="250"/>
      <c r="AE8" s="250"/>
      <c r="AF8" s="250"/>
      <c r="AG8" s="250"/>
      <c r="AH8" s="250"/>
      <c r="AI8" s="250"/>
      <c r="AJ8" s="250"/>
      <c r="AK8" s="250"/>
      <c r="AL8" s="250"/>
      <c r="AM8" s="250"/>
      <c r="AN8" s="250"/>
      <c r="AO8" s="250"/>
      <c r="AP8" s="250"/>
      <c r="AQ8" s="250"/>
      <c r="AR8" s="250"/>
      <c r="AS8" s="250"/>
      <c r="AT8" s="250"/>
      <c r="AU8" s="250"/>
      <c r="AV8" s="250">
        <f t="shared" si="3"/>
        <v>7968</v>
      </c>
      <c r="AW8" s="250"/>
      <c r="AX8" s="250"/>
      <c r="AY8" s="250"/>
      <c r="AZ8" s="250"/>
      <c r="BA8" s="250"/>
      <c r="BB8" s="250"/>
      <c r="BC8" s="250"/>
      <c r="BD8" s="250"/>
      <c r="BE8" s="250"/>
      <c r="BF8" s="250"/>
      <c r="BG8" s="250"/>
      <c r="BH8" s="250"/>
      <c r="BI8" s="250"/>
      <c r="BJ8" s="250"/>
      <c r="BK8" s="250"/>
      <c r="BL8" s="250"/>
      <c r="BM8" s="250"/>
      <c r="BN8" s="250"/>
      <c r="BO8" s="250"/>
      <c r="BP8" s="250"/>
      <c r="BQ8" s="250"/>
      <c r="BR8" s="250"/>
      <c r="BS8" s="250"/>
      <c r="BT8" s="250"/>
      <c r="BU8" s="250"/>
      <c r="BV8" s="235">
        <v>3.77</v>
      </c>
      <c r="BW8" s="487">
        <f t="shared" si="1"/>
        <v>30039.36</v>
      </c>
      <c r="BX8" s="487">
        <f t="shared" si="2"/>
        <v>232805.04</v>
      </c>
      <c r="BY8" s="249" t="s">
        <v>101</v>
      </c>
      <c r="BZ8" s="250" t="s">
        <v>93</v>
      </c>
    </row>
    <row r="9" s="469" customFormat="1" ht="25" customHeight="1" spans="1:78">
      <c r="A9" s="223">
        <v>45954</v>
      </c>
      <c r="B9" s="223">
        <v>46008</v>
      </c>
      <c r="C9" s="224" t="s">
        <v>87</v>
      </c>
      <c r="D9" s="224" t="s">
        <v>88</v>
      </c>
      <c r="E9" s="224" t="s">
        <v>100</v>
      </c>
      <c r="F9" s="224" t="s">
        <v>94</v>
      </c>
      <c r="G9" s="224" t="s">
        <v>95</v>
      </c>
      <c r="H9" s="226">
        <v>3984</v>
      </c>
      <c r="I9" s="250">
        <v>6</v>
      </c>
      <c r="J9" s="250">
        <f t="shared" si="0"/>
        <v>664</v>
      </c>
      <c r="K9" s="250"/>
      <c r="L9" s="250"/>
      <c r="M9" s="250"/>
      <c r="N9" s="250"/>
      <c r="O9" s="250"/>
      <c r="P9" s="250"/>
      <c r="Q9" s="250"/>
      <c r="R9" s="250"/>
      <c r="S9" s="250"/>
      <c r="T9" s="250"/>
      <c r="U9" s="250"/>
      <c r="V9" s="250"/>
      <c r="W9" s="250"/>
      <c r="X9" s="250"/>
      <c r="Y9" s="250"/>
      <c r="Z9" s="250"/>
      <c r="AA9" s="250"/>
      <c r="AB9" s="250"/>
      <c r="AC9" s="250"/>
      <c r="AD9" s="250"/>
      <c r="AE9" s="250"/>
      <c r="AF9" s="250"/>
      <c r="AG9" s="250"/>
      <c r="AH9" s="250"/>
      <c r="AI9" s="250"/>
      <c r="AJ9" s="250"/>
      <c r="AK9" s="250"/>
      <c r="AL9" s="250"/>
      <c r="AM9" s="250"/>
      <c r="AN9" s="250"/>
      <c r="AO9" s="250"/>
      <c r="AP9" s="250"/>
      <c r="AQ9" s="250"/>
      <c r="AR9" s="250"/>
      <c r="AS9" s="250"/>
      <c r="AT9" s="250"/>
      <c r="AU9" s="250"/>
      <c r="AV9" s="250">
        <f t="shared" si="3"/>
        <v>3984</v>
      </c>
      <c r="AW9" s="250"/>
      <c r="AX9" s="250"/>
      <c r="AY9" s="250"/>
      <c r="AZ9" s="250"/>
      <c r="BA9" s="250"/>
      <c r="BB9" s="250"/>
      <c r="BC9" s="250"/>
      <c r="BD9" s="250"/>
      <c r="BE9" s="250"/>
      <c r="BF9" s="250"/>
      <c r="BG9" s="250"/>
      <c r="BH9" s="250"/>
      <c r="BI9" s="250"/>
      <c r="BJ9" s="250"/>
      <c r="BK9" s="250"/>
      <c r="BL9" s="250"/>
      <c r="BM9" s="250"/>
      <c r="BN9" s="250"/>
      <c r="BO9" s="250"/>
      <c r="BP9" s="250"/>
      <c r="BQ9" s="250"/>
      <c r="BR9" s="250"/>
      <c r="BS9" s="250"/>
      <c r="BT9" s="250"/>
      <c r="BU9" s="250"/>
      <c r="BV9" s="235">
        <v>3.77</v>
      </c>
      <c r="BW9" s="487">
        <f t="shared" si="1"/>
        <v>15019.68</v>
      </c>
      <c r="BX9" s="487">
        <f t="shared" si="2"/>
        <v>116402.52</v>
      </c>
      <c r="BY9" s="249" t="s">
        <v>101</v>
      </c>
      <c r="BZ9" s="250" t="s">
        <v>93</v>
      </c>
    </row>
    <row r="10" s="469" customFormat="1" ht="25" customHeight="1" spans="1:78">
      <c r="A10" s="223">
        <v>45954</v>
      </c>
      <c r="B10" s="223">
        <v>46008</v>
      </c>
      <c r="C10" s="224" t="s">
        <v>87</v>
      </c>
      <c r="D10" s="224" t="s">
        <v>88</v>
      </c>
      <c r="E10" s="224" t="s">
        <v>100</v>
      </c>
      <c r="F10" s="224" t="s">
        <v>96</v>
      </c>
      <c r="G10" s="224" t="s">
        <v>97</v>
      </c>
      <c r="H10" s="226">
        <v>1992</v>
      </c>
      <c r="I10" s="250">
        <v>6</v>
      </c>
      <c r="J10" s="250">
        <f t="shared" si="0"/>
        <v>332</v>
      </c>
      <c r="K10" s="250"/>
      <c r="L10" s="250"/>
      <c r="M10" s="250"/>
      <c r="N10" s="250"/>
      <c r="O10" s="250"/>
      <c r="P10" s="250"/>
      <c r="Q10" s="250"/>
      <c r="R10" s="250"/>
      <c r="S10" s="250"/>
      <c r="T10" s="250"/>
      <c r="U10" s="250"/>
      <c r="V10" s="250"/>
      <c r="W10" s="250"/>
      <c r="X10" s="250"/>
      <c r="Y10" s="250"/>
      <c r="Z10" s="250"/>
      <c r="AA10" s="250"/>
      <c r="AB10" s="250"/>
      <c r="AC10" s="250"/>
      <c r="AD10" s="250"/>
      <c r="AE10" s="250"/>
      <c r="AF10" s="250"/>
      <c r="AG10" s="250"/>
      <c r="AH10" s="250"/>
      <c r="AI10" s="250"/>
      <c r="AJ10" s="250"/>
      <c r="AK10" s="250"/>
      <c r="AL10" s="250"/>
      <c r="AM10" s="250"/>
      <c r="AN10" s="250"/>
      <c r="AO10" s="250"/>
      <c r="AP10" s="250"/>
      <c r="AQ10" s="250"/>
      <c r="AR10" s="250"/>
      <c r="AS10" s="250"/>
      <c r="AT10" s="250"/>
      <c r="AU10" s="250"/>
      <c r="AV10" s="250">
        <f t="shared" si="3"/>
        <v>1992</v>
      </c>
      <c r="AW10" s="250"/>
      <c r="AX10" s="250"/>
      <c r="AY10" s="250"/>
      <c r="AZ10" s="250"/>
      <c r="BA10" s="250"/>
      <c r="BB10" s="250"/>
      <c r="BC10" s="250"/>
      <c r="BD10" s="250"/>
      <c r="BE10" s="250"/>
      <c r="BF10" s="250"/>
      <c r="BG10" s="250"/>
      <c r="BH10" s="250"/>
      <c r="BI10" s="250"/>
      <c r="BJ10" s="250"/>
      <c r="BK10" s="250"/>
      <c r="BL10" s="250"/>
      <c r="BM10" s="250"/>
      <c r="BN10" s="250"/>
      <c r="BO10" s="250"/>
      <c r="BP10" s="250"/>
      <c r="BQ10" s="250"/>
      <c r="BR10" s="250"/>
      <c r="BS10" s="250"/>
      <c r="BT10" s="250"/>
      <c r="BU10" s="250"/>
      <c r="BV10" s="235">
        <v>3.77</v>
      </c>
      <c r="BW10" s="487">
        <f t="shared" si="1"/>
        <v>7509.84</v>
      </c>
      <c r="BX10" s="487">
        <f t="shared" si="2"/>
        <v>58201.26</v>
      </c>
      <c r="BY10" s="249" t="s">
        <v>101</v>
      </c>
      <c r="BZ10" s="250" t="s">
        <v>93</v>
      </c>
    </row>
    <row r="11" s="469" customFormat="1" ht="25" customHeight="1" spans="1:78">
      <c r="A11" s="223">
        <v>45954</v>
      </c>
      <c r="B11" s="223">
        <v>46008</v>
      </c>
      <c r="C11" s="224" t="s">
        <v>87</v>
      </c>
      <c r="D11" s="224" t="s">
        <v>88</v>
      </c>
      <c r="E11" s="224" t="s">
        <v>100</v>
      </c>
      <c r="F11" s="224" t="s">
        <v>98</v>
      </c>
      <c r="G11" s="224" t="s">
        <v>99</v>
      </c>
      <c r="H11" s="226">
        <v>1992</v>
      </c>
      <c r="I11" s="250">
        <v>6</v>
      </c>
      <c r="J11" s="250">
        <f t="shared" si="0"/>
        <v>332</v>
      </c>
      <c r="K11" s="250"/>
      <c r="L11" s="250"/>
      <c r="M11" s="250"/>
      <c r="N11" s="250"/>
      <c r="O11" s="250"/>
      <c r="P11" s="250"/>
      <c r="Q11" s="250"/>
      <c r="R11" s="250"/>
      <c r="S11" s="250"/>
      <c r="T11" s="250"/>
      <c r="U11" s="250"/>
      <c r="V11" s="250"/>
      <c r="W11" s="250"/>
      <c r="X11" s="250"/>
      <c r="Y11" s="250"/>
      <c r="Z11" s="250"/>
      <c r="AA11" s="250"/>
      <c r="AB11" s="250"/>
      <c r="AC11" s="250"/>
      <c r="AD11" s="250"/>
      <c r="AE11" s="250"/>
      <c r="AF11" s="250"/>
      <c r="AG11" s="250"/>
      <c r="AH11" s="250"/>
      <c r="AI11" s="250"/>
      <c r="AJ11" s="250"/>
      <c r="AK11" s="250"/>
      <c r="AL11" s="250"/>
      <c r="AM11" s="250"/>
      <c r="AN11" s="250"/>
      <c r="AO11" s="250"/>
      <c r="AP11" s="250"/>
      <c r="AQ11" s="250"/>
      <c r="AR11" s="250"/>
      <c r="AS11" s="250"/>
      <c r="AT11" s="250"/>
      <c r="AU11" s="250"/>
      <c r="AV11" s="250">
        <f t="shared" si="3"/>
        <v>1992</v>
      </c>
      <c r="AW11" s="250"/>
      <c r="AX11" s="250"/>
      <c r="AY11" s="250"/>
      <c r="AZ11" s="250"/>
      <c r="BA11" s="250"/>
      <c r="BB11" s="250"/>
      <c r="BC11" s="250"/>
      <c r="BD11" s="250"/>
      <c r="BE11" s="250"/>
      <c r="BF11" s="250"/>
      <c r="BG11" s="250"/>
      <c r="BH11" s="250"/>
      <c r="BI11" s="250"/>
      <c r="BJ11" s="250"/>
      <c r="BK11" s="250"/>
      <c r="BL11" s="250"/>
      <c r="BM11" s="250"/>
      <c r="BN11" s="250"/>
      <c r="BO11" s="250"/>
      <c r="BP11" s="250"/>
      <c r="BQ11" s="250"/>
      <c r="BR11" s="250"/>
      <c r="BS11" s="250"/>
      <c r="BT11" s="250"/>
      <c r="BU11" s="250"/>
      <c r="BV11" s="235">
        <v>3.77</v>
      </c>
      <c r="BW11" s="487">
        <f t="shared" si="1"/>
        <v>7509.84</v>
      </c>
      <c r="BX11" s="487">
        <f t="shared" si="2"/>
        <v>58201.26</v>
      </c>
      <c r="BY11" s="249" t="s">
        <v>101</v>
      </c>
      <c r="BZ11" s="250" t="s">
        <v>93</v>
      </c>
    </row>
    <row r="12" s="469" customFormat="1" ht="25" customHeight="1" spans="1:78">
      <c r="A12" s="223">
        <v>45954</v>
      </c>
      <c r="B12" s="223">
        <v>46008</v>
      </c>
      <c r="C12" s="224" t="s">
        <v>87</v>
      </c>
      <c r="D12" s="224" t="s">
        <v>88</v>
      </c>
      <c r="E12" s="224" t="s">
        <v>102</v>
      </c>
      <c r="F12" s="224" t="s">
        <v>90</v>
      </c>
      <c r="G12" s="224" t="s">
        <v>91</v>
      </c>
      <c r="H12" s="226">
        <v>5736</v>
      </c>
      <c r="I12" s="250">
        <v>6</v>
      </c>
      <c r="J12" s="250">
        <f t="shared" si="0"/>
        <v>956</v>
      </c>
      <c r="K12" s="250"/>
      <c r="L12" s="250"/>
      <c r="M12" s="250"/>
      <c r="N12" s="250"/>
      <c r="O12" s="250"/>
      <c r="P12" s="250"/>
      <c r="Q12" s="250"/>
      <c r="R12" s="250"/>
      <c r="S12" s="250"/>
      <c r="T12" s="250"/>
      <c r="U12" s="250"/>
      <c r="V12" s="250"/>
      <c r="W12" s="250"/>
      <c r="X12" s="250"/>
      <c r="Y12" s="250"/>
      <c r="Z12" s="250"/>
      <c r="AA12" s="250"/>
      <c r="AB12" s="250"/>
      <c r="AC12" s="250"/>
      <c r="AD12" s="250"/>
      <c r="AE12" s="250"/>
      <c r="AF12" s="250"/>
      <c r="AG12" s="250"/>
      <c r="AH12" s="250"/>
      <c r="AI12" s="250"/>
      <c r="AJ12" s="250"/>
      <c r="AK12" s="250"/>
      <c r="AL12" s="250"/>
      <c r="AM12" s="250"/>
      <c r="AN12" s="250"/>
      <c r="AO12" s="250"/>
      <c r="AP12" s="250"/>
      <c r="AQ12" s="250"/>
      <c r="AR12" s="250"/>
      <c r="AS12" s="250"/>
      <c r="AT12" s="250"/>
      <c r="AU12" s="250"/>
      <c r="AV12" s="250">
        <f t="shared" si="3"/>
        <v>5736</v>
      </c>
      <c r="AW12" s="250"/>
      <c r="AX12" s="250"/>
      <c r="AY12" s="250"/>
      <c r="AZ12" s="250"/>
      <c r="BA12" s="250"/>
      <c r="BB12" s="250"/>
      <c r="BC12" s="250"/>
      <c r="BD12" s="250"/>
      <c r="BE12" s="250"/>
      <c r="BF12" s="250"/>
      <c r="BG12" s="250"/>
      <c r="BH12" s="250"/>
      <c r="BI12" s="250"/>
      <c r="BJ12" s="250"/>
      <c r="BK12" s="250"/>
      <c r="BL12" s="250"/>
      <c r="BM12" s="250"/>
      <c r="BN12" s="250"/>
      <c r="BO12" s="250"/>
      <c r="BP12" s="250"/>
      <c r="BQ12" s="250"/>
      <c r="BR12" s="250"/>
      <c r="BS12" s="250"/>
      <c r="BT12" s="250"/>
      <c r="BU12" s="250"/>
      <c r="BV12" s="235">
        <v>3.77</v>
      </c>
      <c r="BW12" s="487">
        <f t="shared" si="1"/>
        <v>21624.72</v>
      </c>
      <c r="BX12" s="487">
        <f t="shared" si="2"/>
        <v>167591.58</v>
      </c>
      <c r="BY12" s="249" t="s">
        <v>103</v>
      </c>
      <c r="BZ12" s="250" t="s">
        <v>93</v>
      </c>
    </row>
    <row r="13" s="469" customFormat="1" ht="25" customHeight="1" spans="1:78">
      <c r="A13" s="223">
        <v>45954</v>
      </c>
      <c r="B13" s="223">
        <v>46008</v>
      </c>
      <c r="C13" s="224" t="s">
        <v>87</v>
      </c>
      <c r="D13" s="224" t="s">
        <v>88</v>
      </c>
      <c r="E13" s="224" t="s">
        <v>102</v>
      </c>
      <c r="F13" s="224" t="s">
        <v>94</v>
      </c>
      <c r="G13" s="224" t="s">
        <v>95</v>
      </c>
      <c r="H13" s="226">
        <v>2868</v>
      </c>
      <c r="I13" s="250">
        <v>6</v>
      </c>
      <c r="J13" s="250">
        <f t="shared" si="0"/>
        <v>478</v>
      </c>
      <c r="K13" s="250"/>
      <c r="L13" s="250"/>
      <c r="M13" s="250"/>
      <c r="N13" s="250"/>
      <c r="O13" s="250"/>
      <c r="P13" s="250"/>
      <c r="Q13" s="250"/>
      <c r="R13" s="250"/>
      <c r="S13" s="250"/>
      <c r="T13" s="250"/>
      <c r="U13" s="250"/>
      <c r="V13" s="250"/>
      <c r="W13" s="250"/>
      <c r="X13" s="250"/>
      <c r="Y13" s="250"/>
      <c r="Z13" s="250"/>
      <c r="AA13" s="250"/>
      <c r="AB13" s="250"/>
      <c r="AC13" s="250"/>
      <c r="AD13" s="250"/>
      <c r="AE13" s="250"/>
      <c r="AF13" s="250"/>
      <c r="AG13" s="250"/>
      <c r="AH13" s="250"/>
      <c r="AI13" s="250"/>
      <c r="AJ13" s="250"/>
      <c r="AK13" s="250"/>
      <c r="AL13" s="250"/>
      <c r="AM13" s="250"/>
      <c r="AN13" s="250"/>
      <c r="AO13" s="250"/>
      <c r="AP13" s="250"/>
      <c r="AQ13" s="250"/>
      <c r="AR13" s="250"/>
      <c r="AS13" s="250"/>
      <c r="AT13" s="250"/>
      <c r="AU13" s="250"/>
      <c r="AV13" s="250">
        <f t="shared" si="3"/>
        <v>2868</v>
      </c>
      <c r="AW13" s="250"/>
      <c r="AX13" s="250"/>
      <c r="AY13" s="250"/>
      <c r="AZ13" s="250"/>
      <c r="BA13" s="250"/>
      <c r="BB13" s="250"/>
      <c r="BC13" s="250"/>
      <c r="BD13" s="250"/>
      <c r="BE13" s="250"/>
      <c r="BF13" s="250"/>
      <c r="BG13" s="250"/>
      <c r="BH13" s="250"/>
      <c r="BI13" s="250"/>
      <c r="BJ13" s="250"/>
      <c r="BK13" s="250"/>
      <c r="BL13" s="250"/>
      <c r="BM13" s="250"/>
      <c r="BN13" s="250"/>
      <c r="BO13" s="250"/>
      <c r="BP13" s="250"/>
      <c r="BQ13" s="250"/>
      <c r="BR13" s="250"/>
      <c r="BS13" s="250"/>
      <c r="BT13" s="250"/>
      <c r="BU13" s="250"/>
      <c r="BV13" s="235">
        <v>3.77</v>
      </c>
      <c r="BW13" s="487">
        <f t="shared" si="1"/>
        <v>10812.36</v>
      </c>
      <c r="BX13" s="487">
        <f t="shared" si="2"/>
        <v>83795.79</v>
      </c>
      <c r="BY13" s="249" t="s">
        <v>103</v>
      </c>
      <c r="BZ13" s="250" t="s">
        <v>93</v>
      </c>
    </row>
    <row r="14" s="469" customFormat="1" ht="25" customHeight="1" spans="1:78">
      <c r="A14" s="223">
        <v>45954</v>
      </c>
      <c r="B14" s="223">
        <v>46008</v>
      </c>
      <c r="C14" s="224" t="s">
        <v>87</v>
      </c>
      <c r="D14" s="224" t="s">
        <v>88</v>
      </c>
      <c r="E14" s="224" t="s">
        <v>102</v>
      </c>
      <c r="F14" s="224" t="s">
        <v>96</v>
      </c>
      <c r="G14" s="224" t="s">
        <v>97</v>
      </c>
      <c r="H14" s="226">
        <v>1434</v>
      </c>
      <c r="I14" s="250">
        <v>6</v>
      </c>
      <c r="J14" s="250">
        <f t="shared" si="0"/>
        <v>239</v>
      </c>
      <c r="K14" s="250"/>
      <c r="L14" s="250"/>
      <c r="M14" s="250"/>
      <c r="N14" s="250"/>
      <c r="O14" s="250"/>
      <c r="P14" s="250"/>
      <c r="Q14" s="250"/>
      <c r="R14" s="250"/>
      <c r="S14" s="250"/>
      <c r="T14" s="250"/>
      <c r="U14" s="250"/>
      <c r="V14" s="250"/>
      <c r="W14" s="250"/>
      <c r="X14" s="250"/>
      <c r="Y14" s="250"/>
      <c r="Z14" s="250"/>
      <c r="AA14" s="250"/>
      <c r="AB14" s="250"/>
      <c r="AC14" s="250"/>
      <c r="AD14" s="250"/>
      <c r="AE14" s="250"/>
      <c r="AF14" s="250"/>
      <c r="AG14" s="250"/>
      <c r="AH14" s="250"/>
      <c r="AI14" s="250"/>
      <c r="AJ14" s="250"/>
      <c r="AK14" s="250"/>
      <c r="AL14" s="250"/>
      <c r="AM14" s="250"/>
      <c r="AN14" s="250"/>
      <c r="AO14" s="250"/>
      <c r="AP14" s="250"/>
      <c r="AQ14" s="250"/>
      <c r="AR14" s="250"/>
      <c r="AS14" s="250"/>
      <c r="AT14" s="250"/>
      <c r="AU14" s="250"/>
      <c r="AV14" s="250">
        <f t="shared" si="3"/>
        <v>1434</v>
      </c>
      <c r="AW14" s="250"/>
      <c r="AX14" s="250"/>
      <c r="AY14" s="250"/>
      <c r="AZ14" s="250"/>
      <c r="BA14" s="250"/>
      <c r="BB14" s="250"/>
      <c r="BC14" s="250"/>
      <c r="BD14" s="250"/>
      <c r="BE14" s="250"/>
      <c r="BF14" s="250"/>
      <c r="BG14" s="250"/>
      <c r="BH14" s="250"/>
      <c r="BI14" s="250"/>
      <c r="BJ14" s="250"/>
      <c r="BK14" s="250"/>
      <c r="BL14" s="250"/>
      <c r="BM14" s="250"/>
      <c r="BN14" s="250"/>
      <c r="BO14" s="250"/>
      <c r="BP14" s="250"/>
      <c r="BQ14" s="250"/>
      <c r="BR14" s="250"/>
      <c r="BS14" s="250"/>
      <c r="BT14" s="250"/>
      <c r="BU14" s="250"/>
      <c r="BV14" s="235">
        <v>3.77</v>
      </c>
      <c r="BW14" s="487">
        <f t="shared" si="1"/>
        <v>5406.18</v>
      </c>
      <c r="BX14" s="487">
        <f t="shared" si="2"/>
        <v>41897.895</v>
      </c>
      <c r="BY14" s="249" t="s">
        <v>103</v>
      </c>
      <c r="BZ14" s="250" t="s">
        <v>93</v>
      </c>
    </row>
    <row r="15" s="469" customFormat="1" ht="25" customHeight="1" spans="1:78">
      <c r="A15" s="223">
        <v>45954</v>
      </c>
      <c r="B15" s="223">
        <v>46008</v>
      </c>
      <c r="C15" s="224" t="s">
        <v>87</v>
      </c>
      <c r="D15" s="224" t="s">
        <v>88</v>
      </c>
      <c r="E15" s="224" t="s">
        <v>102</v>
      </c>
      <c r="F15" s="224" t="s">
        <v>98</v>
      </c>
      <c r="G15" s="224" t="s">
        <v>99</v>
      </c>
      <c r="H15" s="226">
        <v>1434</v>
      </c>
      <c r="I15" s="250">
        <v>6</v>
      </c>
      <c r="J15" s="250">
        <f t="shared" si="0"/>
        <v>239</v>
      </c>
      <c r="K15" s="250"/>
      <c r="L15" s="250"/>
      <c r="M15" s="250"/>
      <c r="N15" s="250"/>
      <c r="O15" s="250"/>
      <c r="P15" s="250"/>
      <c r="Q15" s="250"/>
      <c r="R15" s="250"/>
      <c r="S15" s="250"/>
      <c r="T15" s="250"/>
      <c r="U15" s="250"/>
      <c r="V15" s="250"/>
      <c r="W15" s="250"/>
      <c r="X15" s="250"/>
      <c r="Y15" s="250"/>
      <c r="Z15" s="250"/>
      <c r="AA15" s="250"/>
      <c r="AB15" s="250"/>
      <c r="AC15" s="250"/>
      <c r="AD15" s="250"/>
      <c r="AE15" s="250"/>
      <c r="AF15" s="250"/>
      <c r="AG15" s="250"/>
      <c r="AH15" s="250"/>
      <c r="AI15" s="250"/>
      <c r="AJ15" s="250"/>
      <c r="AK15" s="250"/>
      <c r="AL15" s="250"/>
      <c r="AM15" s="250"/>
      <c r="AN15" s="250"/>
      <c r="AO15" s="250"/>
      <c r="AP15" s="250"/>
      <c r="AQ15" s="250"/>
      <c r="AR15" s="250"/>
      <c r="AS15" s="250"/>
      <c r="AT15" s="250"/>
      <c r="AU15" s="250"/>
      <c r="AV15" s="250">
        <f t="shared" si="3"/>
        <v>1434</v>
      </c>
      <c r="AW15" s="250"/>
      <c r="AX15" s="250"/>
      <c r="AY15" s="250"/>
      <c r="AZ15" s="250"/>
      <c r="BA15" s="250"/>
      <c r="BB15" s="250"/>
      <c r="BC15" s="250"/>
      <c r="BD15" s="250"/>
      <c r="BE15" s="250"/>
      <c r="BF15" s="250"/>
      <c r="BG15" s="250"/>
      <c r="BH15" s="250"/>
      <c r="BI15" s="250"/>
      <c r="BJ15" s="250"/>
      <c r="BK15" s="250"/>
      <c r="BL15" s="250"/>
      <c r="BM15" s="250"/>
      <c r="BN15" s="250"/>
      <c r="BO15" s="250"/>
      <c r="BP15" s="250"/>
      <c r="BQ15" s="250"/>
      <c r="BR15" s="250"/>
      <c r="BS15" s="250"/>
      <c r="BT15" s="250"/>
      <c r="BU15" s="250"/>
      <c r="BV15" s="235">
        <v>3.77</v>
      </c>
      <c r="BW15" s="487">
        <f t="shared" si="1"/>
        <v>5406.18</v>
      </c>
      <c r="BX15" s="487">
        <f t="shared" si="2"/>
        <v>41897.895</v>
      </c>
      <c r="BY15" s="249" t="s">
        <v>103</v>
      </c>
      <c r="BZ15" s="250" t="s">
        <v>93</v>
      </c>
    </row>
    <row r="16" s="469" customFormat="1" ht="25" customHeight="1" spans="1:78">
      <c r="A16" s="223">
        <v>45960</v>
      </c>
      <c r="B16" s="223">
        <v>46014</v>
      </c>
      <c r="C16" s="224" t="s">
        <v>104</v>
      </c>
      <c r="D16" s="224" t="s">
        <v>105</v>
      </c>
      <c r="E16" s="224" t="s">
        <v>106</v>
      </c>
      <c r="F16" s="224" t="s">
        <v>107</v>
      </c>
      <c r="G16" s="224" t="s">
        <v>108</v>
      </c>
      <c r="H16" s="226">
        <v>7008</v>
      </c>
      <c r="I16" s="250">
        <v>12</v>
      </c>
      <c r="J16" s="250">
        <f t="shared" si="0"/>
        <v>584</v>
      </c>
      <c r="K16" s="250"/>
      <c r="L16" s="250"/>
      <c r="M16" s="250"/>
      <c r="N16" s="250"/>
      <c r="O16" s="250"/>
      <c r="P16" s="250"/>
      <c r="Q16" s="250"/>
      <c r="R16" s="250">
        <f>H16</f>
        <v>7008</v>
      </c>
      <c r="S16" s="250"/>
      <c r="T16" s="250"/>
      <c r="U16" s="250"/>
      <c r="V16" s="250"/>
      <c r="W16" s="250"/>
      <c r="X16" s="250"/>
      <c r="Y16" s="250"/>
      <c r="Z16" s="250"/>
      <c r="AA16" s="250"/>
      <c r="AB16" s="250"/>
      <c r="AC16" s="250"/>
      <c r="AD16" s="250"/>
      <c r="AE16" s="250"/>
      <c r="AF16" s="250"/>
      <c r="AG16" s="250"/>
      <c r="AH16" s="250"/>
      <c r="AI16" s="250"/>
      <c r="AJ16" s="250"/>
      <c r="AK16" s="250"/>
      <c r="AL16" s="250"/>
      <c r="AM16" s="250"/>
      <c r="AN16" s="250"/>
      <c r="AO16" s="250"/>
      <c r="AP16" s="250"/>
      <c r="AQ16" s="250"/>
      <c r="AR16" s="250"/>
      <c r="AS16" s="250"/>
      <c r="AT16" s="250"/>
      <c r="AU16" s="250"/>
      <c r="AV16" s="250"/>
      <c r="AW16" s="250"/>
      <c r="AX16" s="250"/>
      <c r="AY16" s="250"/>
      <c r="AZ16" s="250"/>
      <c r="BA16" s="250"/>
      <c r="BB16" s="250"/>
      <c r="BC16" s="250"/>
      <c r="BD16" s="250"/>
      <c r="BE16" s="250"/>
      <c r="BF16" s="250"/>
      <c r="BG16" s="250"/>
      <c r="BH16" s="250"/>
      <c r="BI16" s="250"/>
      <c r="BJ16" s="250"/>
      <c r="BK16" s="250"/>
      <c r="BL16" s="250"/>
      <c r="BM16" s="250"/>
      <c r="BN16" s="250"/>
      <c r="BO16" s="250"/>
      <c r="BP16" s="250"/>
      <c r="BQ16" s="250"/>
      <c r="BR16" s="250"/>
      <c r="BS16" s="250"/>
      <c r="BT16" s="250"/>
      <c r="BU16" s="250"/>
      <c r="BV16" s="235">
        <v>1.38</v>
      </c>
      <c r="BW16" s="487">
        <f t="shared" si="1"/>
        <v>9671.04</v>
      </c>
      <c r="BX16" s="487">
        <f t="shared" si="2"/>
        <v>74950.56</v>
      </c>
      <c r="BY16" s="249" t="s">
        <v>109</v>
      </c>
      <c r="BZ16" s="250" t="s">
        <v>83</v>
      </c>
    </row>
    <row r="17" s="469" customFormat="1" ht="25" customHeight="1" spans="1:78">
      <c r="A17" s="223">
        <v>45960</v>
      </c>
      <c r="B17" s="223">
        <v>46014</v>
      </c>
      <c r="C17" s="224" t="s">
        <v>104</v>
      </c>
      <c r="D17" s="224" t="s">
        <v>105</v>
      </c>
      <c r="E17" s="224" t="s">
        <v>106</v>
      </c>
      <c r="F17" s="224" t="s">
        <v>27</v>
      </c>
      <c r="G17" s="224" t="s">
        <v>110</v>
      </c>
      <c r="H17" s="226">
        <v>2004</v>
      </c>
      <c r="I17" s="250">
        <v>6</v>
      </c>
      <c r="J17" s="250">
        <f t="shared" si="0"/>
        <v>334</v>
      </c>
      <c r="K17" s="250"/>
      <c r="L17" s="250"/>
      <c r="M17" s="250"/>
      <c r="N17" s="250"/>
      <c r="O17" s="250"/>
      <c r="P17" s="250"/>
      <c r="Q17" s="250"/>
      <c r="R17" s="250"/>
      <c r="S17" s="250"/>
      <c r="T17" s="250"/>
      <c r="U17" s="250"/>
      <c r="V17" s="250"/>
      <c r="W17" s="250"/>
      <c r="X17" s="250"/>
      <c r="Y17" s="250"/>
      <c r="Z17" s="250"/>
      <c r="AA17" s="250"/>
      <c r="AB17" s="250">
        <f>H17</f>
        <v>2004</v>
      </c>
      <c r="AC17" s="250"/>
      <c r="AD17" s="250"/>
      <c r="AE17" s="250"/>
      <c r="AF17" s="250"/>
      <c r="AG17" s="250"/>
      <c r="AH17" s="250"/>
      <c r="AI17" s="250"/>
      <c r="AJ17" s="250"/>
      <c r="AK17" s="250"/>
      <c r="AL17" s="250"/>
      <c r="AM17" s="250"/>
      <c r="AN17" s="250"/>
      <c r="AO17" s="250"/>
      <c r="AP17" s="250"/>
      <c r="AQ17" s="250"/>
      <c r="AR17" s="250"/>
      <c r="AS17" s="250"/>
      <c r="AT17" s="250"/>
      <c r="AU17" s="250"/>
      <c r="AV17" s="250"/>
      <c r="AW17" s="250"/>
      <c r="AX17" s="250"/>
      <c r="AY17" s="250"/>
      <c r="AZ17" s="250"/>
      <c r="BA17" s="250"/>
      <c r="BB17" s="250"/>
      <c r="BC17" s="250"/>
      <c r="BD17" s="250"/>
      <c r="BE17" s="250"/>
      <c r="BF17" s="250"/>
      <c r="BG17" s="250"/>
      <c r="BH17" s="250"/>
      <c r="BI17" s="250"/>
      <c r="BJ17" s="250"/>
      <c r="BK17" s="250"/>
      <c r="BL17" s="250"/>
      <c r="BM17" s="250"/>
      <c r="BN17" s="250"/>
      <c r="BO17" s="250"/>
      <c r="BP17" s="250"/>
      <c r="BQ17" s="250"/>
      <c r="BR17" s="250"/>
      <c r="BS17" s="250"/>
      <c r="BT17" s="250"/>
      <c r="BU17" s="250"/>
      <c r="BV17" s="235">
        <v>2.969</v>
      </c>
      <c r="BW17" s="487">
        <f t="shared" si="1"/>
        <v>5949.876</v>
      </c>
      <c r="BX17" s="487">
        <f t="shared" si="2"/>
        <v>46111.539</v>
      </c>
      <c r="BY17" s="249" t="s">
        <v>109</v>
      </c>
      <c r="BZ17" s="250" t="s">
        <v>83</v>
      </c>
    </row>
    <row r="18" s="469" customFormat="1" ht="25" customHeight="1" spans="1:78">
      <c r="A18" s="223">
        <v>45960</v>
      </c>
      <c r="B18" s="223">
        <v>46014</v>
      </c>
      <c r="C18" s="224" t="s">
        <v>104</v>
      </c>
      <c r="D18" s="224" t="s">
        <v>105</v>
      </c>
      <c r="E18" s="224" t="s">
        <v>106</v>
      </c>
      <c r="F18" s="224" t="s">
        <v>46</v>
      </c>
      <c r="G18" s="224" t="s">
        <v>111</v>
      </c>
      <c r="H18" s="226">
        <v>3198</v>
      </c>
      <c r="I18" s="250">
        <v>6</v>
      </c>
      <c r="J18" s="250">
        <f t="shared" si="0"/>
        <v>533</v>
      </c>
      <c r="K18" s="250"/>
      <c r="L18" s="250"/>
      <c r="M18" s="250"/>
      <c r="N18" s="250"/>
      <c r="O18" s="250"/>
      <c r="P18" s="250"/>
      <c r="Q18" s="250"/>
      <c r="R18" s="250"/>
      <c r="S18" s="250"/>
      <c r="T18" s="250"/>
      <c r="U18" s="250"/>
      <c r="V18" s="250"/>
      <c r="W18" s="250"/>
      <c r="X18" s="250"/>
      <c r="Y18" s="250"/>
      <c r="Z18" s="250"/>
      <c r="AA18" s="250"/>
      <c r="AB18" s="250"/>
      <c r="AC18" s="250"/>
      <c r="AD18" s="250"/>
      <c r="AE18" s="250"/>
      <c r="AF18" s="250"/>
      <c r="AG18" s="250"/>
      <c r="AH18" s="250"/>
      <c r="AI18" s="250"/>
      <c r="AJ18" s="250"/>
      <c r="AK18" s="250"/>
      <c r="AL18" s="250"/>
      <c r="AM18" s="250"/>
      <c r="AN18" s="250"/>
      <c r="AO18" s="250"/>
      <c r="AP18" s="250"/>
      <c r="AQ18" s="250"/>
      <c r="AR18" s="250"/>
      <c r="AS18" s="250"/>
      <c r="AT18" s="250"/>
      <c r="AU18" s="250">
        <f>H18</f>
        <v>3198</v>
      </c>
      <c r="AV18" s="250"/>
      <c r="AW18" s="250"/>
      <c r="AX18" s="250"/>
      <c r="AY18" s="250"/>
      <c r="AZ18" s="250"/>
      <c r="BA18" s="250"/>
      <c r="BB18" s="250"/>
      <c r="BC18" s="250"/>
      <c r="BD18" s="250"/>
      <c r="BE18" s="250"/>
      <c r="BF18" s="250"/>
      <c r="BG18" s="250"/>
      <c r="BH18" s="250"/>
      <c r="BI18" s="250"/>
      <c r="BJ18" s="250"/>
      <c r="BK18" s="250"/>
      <c r="BL18" s="250"/>
      <c r="BM18" s="250"/>
      <c r="BN18" s="250"/>
      <c r="BO18" s="250"/>
      <c r="BP18" s="250"/>
      <c r="BQ18" s="250"/>
      <c r="BR18" s="250"/>
      <c r="BS18" s="250"/>
      <c r="BT18" s="250"/>
      <c r="BU18" s="250"/>
      <c r="BV18" s="235">
        <v>2.993</v>
      </c>
      <c r="BW18" s="487">
        <f t="shared" si="1"/>
        <v>9571.614</v>
      </c>
      <c r="BX18" s="487">
        <f t="shared" si="2"/>
        <v>74180.0085</v>
      </c>
      <c r="BY18" s="249" t="s">
        <v>109</v>
      </c>
      <c r="BZ18" s="250" t="s">
        <v>83</v>
      </c>
    </row>
    <row r="19" s="469" customFormat="1" ht="25" customHeight="1" spans="1:78">
      <c r="A19" s="223">
        <v>45960</v>
      </c>
      <c r="B19" s="223">
        <v>46014</v>
      </c>
      <c r="C19" s="224" t="s">
        <v>104</v>
      </c>
      <c r="D19" s="224" t="s">
        <v>105</v>
      </c>
      <c r="E19" s="224" t="s">
        <v>106</v>
      </c>
      <c r="F19" s="224" t="s">
        <v>14</v>
      </c>
      <c r="G19" s="224" t="s">
        <v>112</v>
      </c>
      <c r="H19" s="226">
        <v>2400</v>
      </c>
      <c r="I19" s="250">
        <v>6</v>
      </c>
      <c r="J19" s="250">
        <f t="shared" si="0"/>
        <v>400</v>
      </c>
      <c r="K19" s="250"/>
      <c r="L19" s="250"/>
      <c r="M19" s="250"/>
      <c r="N19" s="250"/>
      <c r="O19" s="250">
        <f>H19</f>
        <v>2400</v>
      </c>
      <c r="P19" s="250"/>
      <c r="Q19" s="250"/>
      <c r="R19" s="250"/>
      <c r="S19" s="250"/>
      <c r="T19" s="250"/>
      <c r="U19" s="250"/>
      <c r="V19" s="250"/>
      <c r="W19" s="250"/>
      <c r="X19" s="250"/>
      <c r="Y19" s="250"/>
      <c r="Z19" s="250"/>
      <c r="AA19" s="250"/>
      <c r="AB19" s="250"/>
      <c r="AC19" s="250"/>
      <c r="AD19" s="250"/>
      <c r="AE19" s="250"/>
      <c r="AF19" s="250"/>
      <c r="AG19" s="250"/>
      <c r="AH19" s="250"/>
      <c r="AI19" s="250"/>
      <c r="AJ19" s="250"/>
      <c r="AK19" s="250"/>
      <c r="AL19" s="250"/>
      <c r="AM19" s="250"/>
      <c r="AN19" s="250"/>
      <c r="AO19" s="250"/>
      <c r="AP19" s="250"/>
      <c r="AQ19" s="250"/>
      <c r="AR19" s="250"/>
      <c r="AS19" s="250"/>
      <c r="AT19" s="250"/>
      <c r="AU19" s="250"/>
      <c r="AV19" s="250"/>
      <c r="AW19" s="250"/>
      <c r="AX19" s="250"/>
      <c r="AY19" s="250"/>
      <c r="AZ19" s="250"/>
      <c r="BA19" s="250"/>
      <c r="BB19" s="250"/>
      <c r="BC19" s="250"/>
      <c r="BD19" s="250"/>
      <c r="BE19" s="250"/>
      <c r="BF19" s="250"/>
      <c r="BG19" s="250"/>
      <c r="BH19" s="250"/>
      <c r="BI19" s="250"/>
      <c r="BJ19" s="250"/>
      <c r="BK19" s="250"/>
      <c r="BL19" s="250"/>
      <c r="BM19" s="250"/>
      <c r="BN19" s="250"/>
      <c r="BO19" s="250"/>
      <c r="BP19" s="250"/>
      <c r="BQ19" s="250"/>
      <c r="BR19" s="250"/>
      <c r="BS19" s="250"/>
      <c r="BT19" s="250"/>
      <c r="BU19" s="250"/>
      <c r="BV19" s="235">
        <v>2.971</v>
      </c>
      <c r="BW19" s="487">
        <f t="shared" si="1"/>
        <v>7130.4</v>
      </c>
      <c r="BX19" s="487">
        <f t="shared" si="2"/>
        <v>55260.6</v>
      </c>
      <c r="BY19" s="249" t="s">
        <v>109</v>
      </c>
      <c r="BZ19" s="250" t="s">
        <v>83</v>
      </c>
    </row>
    <row r="20" s="469" customFormat="1" ht="25" customHeight="1" spans="1:78">
      <c r="A20" s="223">
        <v>45966</v>
      </c>
      <c r="B20" s="223">
        <v>46021</v>
      </c>
      <c r="C20" s="224" t="s">
        <v>113</v>
      </c>
      <c r="D20" s="224" t="s">
        <v>114</v>
      </c>
      <c r="E20" s="224" t="s">
        <v>115</v>
      </c>
      <c r="F20" s="224" t="s">
        <v>19</v>
      </c>
      <c r="G20" s="224" t="s">
        <v>116</v>
      </c>
      <c r="H20" s="226">
        <v>14004</v>
      </c>
      <c r="I20" s="250">
        <v>12</v>
      </c>
      <c r="J20" s="250">
        <f t="shared" si="0"/>
        <v>1167</v>
      </c>
      <c r="K20" s="250"/>
      <c r="L20" s="250"/>
      <c r="M20" s="250"/>
      <c r="N20" s="250"/>
      <c r="O20" s="250"/>
      <c r="P20" s="250"/>
      <c r="Q20" s="250"/>
      <c r="R20" s="250"/>
      <c r="S20" s="250"/>
      <c r="T20" s="250">
        <f>H20</f>
        <v>14004</v>
      </c>
      <c r="U20" s="250"/>
      <c r="V20" s="250"/>
      <c r="W20" s="250"/>
      <c r="X20" s="250"/>
      <c r="Y20" s="250"/>
      <c r="Z20" s="250"/>
      <c r="AA20" s="250"/>
      <c r="AB20" s="250"/>
      <c r="AC20" s="250"/>
      <c r="AD20" s="250"/>
      <c r="AE20" s="250"/>
      <c r="AF20" s="250"/>
      <c r="AG20" s="250"/>
      <c r="AH20" s="250"/>
      <c r="AI20" s="250"/>
      <c r="AJ20" s="250"/>
      <c r="AK20" s="250"/>
      <c r="AL20" s="250"/>
      <c r="AM20" s="250"/>
      <c r="AN20" s="250"/>
      <c r="AO20" s="250"/>
      <c r="AP20" s="250"/>
      <c r="AQ20" s="250"/>
      <c r="AR20" s="250"/>
      <c r="AS20" s="250"/>
      <c r="AT20" s="250"/>
      <c r="AU20" s="250"/>
      <c r="AV20" s="250"/>
      <c r="AW20" s="250"/>
      <c r="AX20" s="250"/>
      <c r="AY20" s="250"/>
      <c r="AZ20" s="250"/>
      <c r="BA20" s="250"/>
      <c r="BB20" s="250"/>
      <c r="BC20" s="250"/>
      <c r="BD20" s="250"/>
      <c r="BE20" s="250"/>
      <c r="BF20" s="250"/>
      <c r="BG20" s="250"/>
      <c r="BH20" s="250"/>
      <c r="BI20" s="250"/>
      <c r="BJ20" s="250"/>
      <c r="BK20" s="250"/>
      <c r="BL20" s="250"/>
      <c r="BM20" s="250"/>
      <c r="BN20" s="250"/>
      <c r="BO20" s="250"/>
      <c r="BP20" s="250"/>
      <c r="BQ20" s="250"/>
      <c r="BR20" s="250"/>
      <c r="BS20" s="250"/>
      <c r="BT20" s="250"/>
      <c r="BU20" s="250"/>
      <c r="BV20" s="235">
        <v>1.469</v>
      </c>
      <c r="BW20" s="487">
        <f t="shared" si="1"/>
        <v>20571.876</v>
      </c>
      <c r="BX20" s="487">
        <f t="shared" si="2"/>
        <v>159432.039</v>
      </c>
      <c r="BY20" s="249" t="s">
        <v>117</v>
      </c>
      <c r="BZ20" s="250" t="s">
        <v>83</v>
      </c>
    </row>
    <row r="21" s="469" customFormat="1" ht="25" customHeight="1" spans="1:78">
      <c r="A21" s="223">
        <v>45966</v>
      </c>
      <c r="B21" s="223">
        <v>46021</v>
      </c>
      <c r="C21" s="224" t="s">
        <v>113</v>
      </c>
      <c r="D21" s="224" t="s">
        <v>114</v>
      </c>
      <c r="E21" s="224" t="s">
        <v>115</v>
      </c>
      <c r="F21" s="224" t="s">
        <v>46</v>
      </c>
      <c r="G21" s="224" t="s">
        <v>111</v>
      </c>
      <c r="H21" s="226">
        <v>6000</v>
      </c>
      <c r="I21" s="250">
        <v>6</v>
      </c>
      <c r="J21" s="250">
        <f t="shared" si="0"/>
        <v>1000</v>
      </c>
      <c r="K21" s="250"/>
      <c r="L21" s="250"/>
      <c r="M21" s="250"/>
      <c r="N21" s="250"/>
      <c r="O21" s="250"/>
      <c r="P21" s="250"/>
      <c r="Q21" s="250"/>
      <c r="R21" s="250"/>
      <c r="S21" s="250"/>
      <c r="T21" s="250"/>
      <c r="U21" s="250"/>
      <c r="V21" s="250"/>
      <c r="W21" s="250"/>
      <c r="X21" s="250"/>
      <c r="Y21" s="250"/>
      <c r="Z21" s="250"/>
      <c r="AA21" s="250"/>
      <c r="AB21" s="250"/>
      <c r="AC21" s="250"/>
      <c r="AD21" s="250"/>
      <c r="AE21" s="250"/>
      <c r="AF21" s="250"/>
      <c r="AG21" s="250"/>
      <c r="AH21" s="250"/>
      <c r="AI21" s="250"/>
      <c r="AJ21" s="250"/>
      <c r="AK21" s="250"/>
      <c r="AL21" s="250"/>
      <c r="AM21" s="250"/>
      <c r="AN21" s="250"/>
      <c r="AO21" s="250"/>
      <c r="AP21" s="250"/>
      <c r="AQ21" s="250"/>
      <c r="AR21" s="250"/>
      <c r="AS21" s="250"/>
      <c r="AT21" s="250"/>
      <c r="AU21" s="250">
        <f>H21</f>
        <v>6000</v>
      </c>
      <c r="AV21" s="250"/>
      <c r="AW21" s="250"/>
      <c r="AX21" s="250"/>
      <c r="AY21" s="250"/>
      <c r="AZ21" s="250"/>
      <c r="BA21" s="250"/>
      <c r="BB21" s="250"/>
      <c r="BC21" s="250"/>
      <c r="BD21" s="250"/>
      <c r="BE21" s="250"/>
      <c r="BF21" s="250"/>
      <c r="BG21" s="250"/>
      <c r="BH21" s="250"/>
      <c r="BI21" s="250"/>
      <c r="BJ21" s="250"/>
      <c r="BK21" s="250"/>
      <c r="BL21" s="250"/>
      <c r="BM21" s="250"/>
      <c r="BN21" s="250"/>
      <c r="BO21" s="250"/>
      <c r="BP21" s="250"/>
      <c r="BQ21" s="250"/>
      <c r="BR21" s="250"/>
      <c r="BS21" s="250"/>
      <c r="BT21" s="250"/>
      <c r="BU21" s="250"/>
      <c r="BV21" s="235">
        <v>2.942</v>
      </c>
      <c r="BW21" s="487">
        <f t="shared" si="1"/>
        <v>17652</v>
      </c>
      <c r="BX21" s="487">
        <f t="shared" si="2"/>
        <v>136803</v>
      </c>
      <c r="BY21" s="249" t="s">
        <v>117</v>
      </c>
      <c r="BZ21" s="250" t="s">
        <v>83</v>
      </c>
    </row>
    <row r="22" s="469" customFormat="1" ht="25" customHeight="1" spans="1:78">
      <c r="A22" s="223">
        <v>45966</v>
      </c>
      <c r="B22" s="223">
        <v>46021</v>
      </c>
      <c r="C22" s="224" t="s">
        <v>113</v>
      </c>
      <c r="D22" s="224" t="s">
        <v>114</v>
      </c>
      <c r="E22" s="224" t="s">
        <v>115</v>
      </c>
      <c r="F22" s="224" t="s">
        <v>118</v>
      </c>
      <c r="G22" s="224" t="s">
        <v>119</v>
      </c>
      <c r="H22" s="226">
        <v>4002</v>
      </c>
      <c r="I22" s="250">
        <v>6</v>
      </c>
      <c r="J22" s="250">
        <f t="shared" si="0"/>
        <v>667</v>
      </c>
      <c r="K22" s="250"/>
      <c r="L22" s="250"/>
      <c r="M22" s="250"/>
      <c r="N22" s="250"/>
      <c r="O22" s="250"/>
      <c r="P22" s="250"/>
      <c r="Q22" s="250"/>
      <c r="R22" s="250"/>
      <c r="S22" s="250"/>
      <c r="T22" s="250"/>
      <c r="U22" s="250"/>
      <c r="V22" s="250"/>
      <c r="W22" s="250"/>
      <c r="X22" s="250"/>
      <c r="Y22" s="250"/>
      <c r="Z22" s="250"/>
      <c r="AA22" s="250"/>
      <c r="AB22" s="250"/>
      <c r="AC22" s="250"/>
      <c r="AD22" s="250"/>
      <c r="AE22" s="250"/>
      <c r="AF22" s="250"/>
      <c r="AG22" s="250"/>
      <c r="AH22" s="250"/>
      <c r="AI22" s="250"/>
      <c r="AJ22" s="250"/>
      <c r="AK22" s="250"/>
      <c r="AL22" s="250"/>
      <c r="AM22" s="250"/>
      <c r="AN22" s="250"/>
      <c r="AO22" s="250"/>
      <c r="AP22" s="250"/>
      <c r="AQ22" s="250">
        <f>H22</f>
        <v>4002</v>
      </c>
      <c r="AR22" s="250"/>
      <c r="AS22" s="250"/>
      <c r="AT22" s="250"/>
      <c r="AU22" s="250"/>
      <c r="AV22" s="250"/>
      <c r="AW22" s="250"/>
      <c r="AX22" s="250"/>
      <c r="AY22" s="250"/>
      <c r="AZ22" s="250"/>
      <c r="BA22" s="250"/>
      <c r="BB22" s="250"/>
      <c r="BC22" s="250"/>
      <c r="BD22" s="250"/>
      <c r="BE22" s="250"/>
      <c r="BF22" s="250"/>
      <c r="BG22" s="250"/>
      <c r="BH22" s="250"/>
      <c r="BI22" s="250"/>
      <c r="BJ22" s="250"/>
      <c r="BK22" s="250"/>
      <c r="BL22" s="250"/>
      <c r="BM22" s="250"/>
      <c r="BN22" s="250"/>
      <c r="BO22" s="250"/>
      <c r="BP22" s="250"/>
      <c r="BQ22" s="250"/>
      <c r="BR22" s="250"/>
      <c r="BS22" s="250"/>
      <c r="BT22" s="250"/>
      <c r="BU22" s="250"/>
      <c r="BV22" s="235">
        <v>3.855</v>
      </c>
      <c r="BW22" s="487">
        <f t="shared" si="1"/>
        <v>15427.71</v>
      </c>
      <c r="BX22" s="487">
        <f t="shared" si="2"/>
        <v>119564.7525</v>
      </c>
      <c r="BY22" s="249" t="s">
        <v>117</v>
      </c>
      <c r="BZ22" s="250" t="s">
        <v>83</v>
      </c>
    </row>
    <row r="23" s="469" customFormat="1" ht="25" customHeight="1" spans="1:78">
      <c r="A23" s="223">
        <v>45968</v>
      </c>
      <c r="B23" s="223">
        <v>46044</v>
      </c>
      <c r="C23" s="224" t="s">
        <v>78</v>
      </c>
      <c r="D23" s="224" t="s">
        <v>79</v>
      </c>
      <c r="E23" s="224" t="s">
        <v>120</v>
      </c>
      <c r="F23" s="224" t="s">
        <v>12</v>
      </c>
      <c r="G23" s="224" t="s">
        <v>121</v>
      </c>
      <c r="H23" s="226">
        <v>1686</v>
      </c>
      <c r="I23" s="226">
        <v>6</v>
      </c>
      <c r="J23" s="250">
        <f t="shared" si="0"/>
        <v>281</v>
      </c>
      <c r="K23" s="250"/>
      <c r="L23" s="250"/>
      <c r="M23" s="250">
        <f>H23</f>
        <v>1686</v>
      </c>
      <c r="N23" s="250"/>
      <c r="O23" s="250"/>
      <c r="P23" s="250"/>
      <c r="Q23" s="250"/>
      <c r="R23" s="250"/>
      <c r="S23" s="250"/>
      <c r="T23" s="250"/>
      <c r="U23" s="250"/>
      <c r="V23" s="250"/>
      <c r="W23" s="250"/>
      <c r="X23" s="250"/>
      <c r="Y23" s="250"/>
      <c r="Z23" s="250"/>
      <c r="AA23" s="250"/>
      <c r="AB23" s="250"/>
      <c r="AC23" s="250"/>
      <c r="AD23" s="250"/>
      <c r="AE23" s="250"/>
      <c r="AF23" s="250"/>
      <c r="AG23" s="250"/>
      <c r="AH23" s="250"/>
      <c r="AI23" s="250"/>
      <c r="AJ23" s="250"/>
      <c r="AK23" s="250"/>
      <c r="AL23" s="250"/>
      <c r="AM23" s="250"/>
      <c r="AN23" s="250"/>
      <c r="AO23" s="250"/>
      <c r="AP23" s="250"/>
      <c r="AQ23" s="250"/>
      <c r="AR23" s="250"/>
      <c r="AS23" s="250"/>
      <c r="AT23" s="250"/>
      <c r="AU23" s="250"/>
      <c r="AV23" s="250"/>
      <c r="AW23" s="250"/>
      <c r="AX23" s="250"/>
      <c r="AY23" s="250"/>
      <c r="AZ23" s="250"/>
      <c r="BA23" s="250"/>
      <c r="BB23" s="250"/>
      <c r="BC23" s="250"/>
      <c r="BD23" s="250"/>
      <c r="BE23" s="250"/>
      <c r="BF23" s="250"/>
      <c r="BG23" s="250"/>
      <c r="BH23" s="250"/>
      <c r="BI23" s="250"/>
      <c r="BJ23" s="250"/>
      <c r="BK23" s="250"/>
      <c r="BL23" s="250"/>
      <c r="BM23" s="250"/>
      <c r="BN23" s="250"/>
      <c r="BO23" s="250"/>
      <c r="BP23" s="250"/>
      <c r="BQ23" s="250"/>
      <c r="BR23" s="250"/>
      <c r="BS23" s="250"/>
      <c r="BT23" s="250"/>
      <c r="BU23" s="250"/>
      <c r="BV23" s="235">
        <v>3.958</v>
      </c>
      <c r="BW23" s="487">
        <f t="shared" si="1"/>
        <v>6673.188</v>
      </c>
      <c r="BX23" s="487">
        <f t="shared" si="2"/>
        <v>51717.207</v>
      </c>
      <c r="BY23" s="249" t="s">
        <v>122</v>
      </c>
      <c r="BZ23" s="250" t="s">
        <v>83</v>
      </c>
    </row>
    <row r="24" s="469" customFormat="1" ht="25" customHeight="1" spans="1:78">
      <c r="A24" s="223">
        <v>45968</v>
      </c>
      <c r="B24" s="223">
        <v>46044</v>
      </c>
      <c r="C24" s="224" t="s">
        <v>78</v>
      </c>
      <c r="D24" s="224" t="s">
        <v>84</v>
      </c>
      <c r="E24" s="224" t="s">
        <v>123</v>
      </c>
      <c r="F24" s="224" t="s">
        <v>12</v>
      </c>
      <c r="G24" s="224" t="s">
        <v>121</v>
      </c>
      <c r="H24" s="226">
        <v>114</v>
      </c>
      <c r="I24" s="226">
        <v>6</v>
      </c>
      <c r="J24" s="250">
        <f t="shared" si="0"/>
        <v>19</v>
      </c>
      <c r="K24" s="250"/>
      <c r="L24" s="250"/>
      <c r="M24" s="250">
        <f>H24</f>
        <v>114</v>
      </c>
      <c r="N24" s="250"/>
      <c r="O24" s="250"/>
      <c r="P24" s="250"/>
      <c r="Q24" s="250"/>
      <c r="R24" s="250"/>
      <c r="S24" s="250"/>
      <c r="T24" s="250"/>
      <c r="U24" s="250"/>
      <c r="V24" s="250"/>
      <c r="W24" s="250"/>
      <c r="X24" s="250"/>
      <c r="Y24" s="250"/>
      <c r="Z24" s="250"/>
      <c r="AA24" s="250"/>
      <c r="AB24" s="250"/>
      <c r="AC24" s="250"/>
      <c r="AD24" s="250"/>
      <c r="AE24" s="250"/>
      <c r="AF24" s="250"/>
      <c r="AG24" s="250"/>
      <c r="AH24" s="250"/>
      <c r="AI24" s="250"/>
      <c r="AJ24" s="250"/>
      <c r="AK24" s="250"/>
      <c r="AL24" s="250"/>
      <c r="AM24" s="250"/>
      <c r="AN24" s="250"/>
      <c r="AO24" s="250"/>
      <c r="AP24" s="250"/>
      <c r="AQ24" s="250"/>
      <c r="AR24" s="250"/>
      <c r="AS24" s="250"/>
      <c r="AT24" s="250"/>
      <c r="AU24" s="250"/>
      <c r="AV24" s="250"/>
      <c r="AW24" s="250"/>
      <c r="AX24" s="250"/>
      <c r="AY24" s="250"/>
      <c r="AZ24" s="250"/>
      <c r="BA24" s="250"/>
      <c r="BB24" s="250"/>
      <c r="BC24" s="250"/>
      <c r="BD24" s="250"/>
      <c r="BE24" s="250"/>
      <c r="BF24" s="250"/>
      <c r="BG24" s="250"/>
      <c r="BH24" s="250"/>
      <c r="BI24" s="250"/>
      <c r="BJ24" s="250"/>
      <c r="BK24" s="250"/>
      <c r="BL24" s="250"/>
      <c r="BM24" s="250"/>
      <c r="BN24" s="250"/>
      <c r="BO24" s="250"/>
      <c r="BP24" s="250"/>
      <c r="BQ24" s="250"/>
      <c r="BR24" s="250"/>
      <c r="BS24" s="250"/>
      <c r="BT24" s="250"/>
      <c r="BU24" s="250"/>
      <c r="BV24" s="235">
        <v>3.958</v>
      </c>
      <c r="BW24" s="487">
        <f t="shared" si="1"/>
        <v>451.212</v>
      </c>
      <c r="BX24" s="487">
        <f t="shared" si="2"/>
        <v>3496.893</v>
      </c>
      <c r="BY24" s="249" t="s">
        <v>124</v>
      </c>
      <c r="BZ24" s="250" t="s">
        <v>83</v>
      </c>
    </row>
    <row r="25" s="469" customFormat="1" ht="25" customHeight="1" spans="1:78">
      <c r="A25" s="223">
        <v>45974</v>
      </c>
      <c r="B25" s="223">
        <v>46053</v>
      </c>
      <c r="C25" s="224" t="s">
        <v>125</v>
      </c>
      <c r="D25" s="224" t="s">
        <v>126</v>
      </c>
      <c r="E25" s="224" t="s">
        <v>127</v>
      </c>
      <c r="F25" s="224" t="s">
        <v>10</v>
      </c>
      <c r="G25" s="224" t="s">
        <v>128</v>
      </c>
      <c r="H25" s="226">
        <v>4110</v>
      </c>
      <c r="I25" s="226">
        <v>6</v>
      </c>
      <c r="J25" s="250">
        <f t="shared" si="0"/>
        <v>685</v>
      </c>
      <c r="K25" s="250">
        <f>H25</f>
        <v>4110</v>
      </c>
      <c r="L25" s="250"/>
      <c r="M25" s="250"/>
      <c r="N25" s="250"/>
      <c r="O25" s="250"/>
      <c r="P25" s="250"/>
      <c r="Q25" s="250"/>
      <c r="R25" s="250"/>
      <c r="S25" s="250"/>
      <c r="T25" s="250"/>
      <c r="U25" s="250"/>
      <c r="V25" s="250"/>
      <c r="W25" s="250"/>
      <c r="X25" s="250"/>
      <c r="Y25" s="250"/>
      <c r="Z25" s="250"/>
      <c r="AA25" s="250"/>
      <c r="AB25" s="250"/>
      <c r="AC25" s="250"/>
      <c r="AD25" s="250"/>
      <c r="AE25" s="250"/>
      <c r="AF25" s="250"/>
      <c r="AG25" s="250"/>
      <c r="AH25" s="250"/>
      <c r="AI25" s="250"/>
      <c r="AJ25" s="250"/>
      <c r="AK25" s="250"/>
      <c r="AL25" s="250"/>
      <c r="AM25" s="250"/>
      <c r="AN25" s="250"/>
      <c r="AO25" s="250"/>
      <c r="AP25" s="250"/>
      <c r="AQ25" s="250"/>
      <c r="AR25" s="250"/>
      <c r="AS25" s="250"/>
      <c r="AT25" s="250"/>
      <c r="AU25" s="250"/>
      <c r="AV25" s="250"/>
      <c r="AW25" s="250"/>
      <c r="AX25" s="250"/>
      <c r="AY25" s="250"/>
      <c r="AZ25" s="250"/>
      <c r="BA25" s="250"/>
      <c r="BB25" s="250"/>
      <c r="BC25" s="250"/>
      <c r="BD25" s="250"/>
      <c r="BE25" s="250"/>
      <c r="BF25" s="250"/>
      <c r="BG25" s="250"/>
      <c r="BH25" s="250"/>
      <c r="BI25" s="250"/>
      <c r="BJ25" s="250"/>
      <c r="BK25" s="250"/>
      <c r="BL25" s="250"/>
      <c r="BM25" s="250"/>
      <c r="BN25" s="250"/>
      <c r="BO25" s="250"/>
      <c r="BP25" s="250"/>
      <c r="BQ25" s="250"/>
      <c r="BR25" s="250"/>
      <c r="BS25" s="250"/>
      <c r="BT25" s="250"/>
      <c r="BU25" s="250"/>
      <c r="BV25" s="235">
        <v>3.283</v>
      </c>
      <c r="BW25" s="487">
        <f t="shared" si="1"/>
        <v>13493.13</v>
      </c>
      <c r="BX25" s="487">
        <f t="shared" si="2"/>
        <v>104571.7575</v>
      </c>
      <c r="BY25" s="249" t="s">
        <v>129</v>
      </c>
      <c r="BZ25" s="250" t="s">
        <v>83</v>
      </c>
    </row>
    <row r="26" s="469" customFormat="1" ht="25" customHeight="1" spans="1:78">
      <c r="A26" s="223">
        <v>45974</v>
      </c>
      <c r="B26" s="223">
        <v>46053</v>
      </c>
      <c r="C26" s="224" t="s">
        <v>125</v>
      </c>
      <c r="D26" s="224" t="s">
        <v>126</v>
      </c>
      <c r="E26" s="224" t="s">
        <v>127</v>
      </c>
      <c r="F26" s="224" t="s">
        <v>27</v>
      </c>
      <c r="G26" s="224" t="s">
        <v>110</v>
      </c>
      <c r="H26" s="226">
        <v>4110</v>
      </c>
      <c r="I26" s="226">
        <v>6</v>
      </c>
      <c r="J26" s="250">
        <f t="shared" si="0"/>
        <v>685</v>
      </c>
      <c r="K26" s="250"/>
      <c r="L26" s="250"/>
      <c r="M26" s="250"/>
      <c r="N26" s="250"/>
      <c r="O26" s="250"/>
      <c r="P26" s="250"/>
      <c r="Q26" s="250"/>
      <c r="R26" s="250"/>
      <c r="S26" s="250"/>
      <c r="T26" s="250"/>
      <c r="U26" s="250"/>
      <c r="V26" s="250"/>
      <c r="W26" s="250"/>
      <c r="X26" s="250"/>
      <c r="Y26" s="250"/>
      <c r="Z26" s="250"/>
      <c r="AA26" s="250"/>
      <c r="AB26" s="250">
        <f>H26</f>
        <v>4110</v>
      </c>
      <c r="AC26" s="250"/>
      <c r="AD26" s="250"/>
      <c r="AE26" s="250"/>
      <c r="AF26" s="250"/>
      <c r="AG26" s="250"/>
      <c r="AH26" s="250"/>
      <c r="AI26" s="250"/>
      <c r="AJ26" s="250"/>
      <c r="AK26" s="250"/>
      <c r="AL26" s="250"/>
      <c r="AM26" s="250"/>
      <c r="AN26" s="250"/>
      <c r="AO26" s="250"/>
      <c r="AP26" s="250"/>
      <c r="AQ26" s="250"/>
      <c r="AR26" s="250"/>
      <c r="AS26" s="250"/>
      <c r="AT26" s="250"/>
      <c r="AU26" s="250"/>
      <c r="AV26" s="250"/>
      <c r="AW26" s="250"/>
      <c r="AX26" s="250"/>
      <c r="AY26" s="250"/>
      <c r="AZ26" s="250"/>
      <c r="BA26" s="250"/>
      <c r="BB26" s="250"/>
      <c r="BC26" s="250"/>
      <c r="BD26" s="250"/>
      <c r="BE26" s="250"/>
      <c r="BF26" s="250"/>
      <c r="BG26" s="250"/>
      <c r="BH26" s="250"/>
      <c r="BI26" s="250"/>
      <c r="BJ26" s="250"/>
      <c r="BK26" s="250"/>
      <c r="BL26" s="250"/>
      <c r="BM26" s="250"/>
      <c r="BN26" s="250"/>
      <c r="BO26" s="250"/>
      <c r="BP26" s="250"/>
      <c r="BQ26" s="250"/>
      <c r="BR26" s="250"/>
      <c r="BS26" s="250"/>
      <c r="BT26" s="250"/>
      <c r="BU26" s="250"/>
      <c r="BV26" s="235">
        <v>2.969</v>
      </c>
      <c r="BW26" s="487">
        <f t="shared" si="1"/>
        <v>12202.59</v>
      </c>
      <c r="BX26" s="487">
        <f t="shared" si="2"/>
        <v>94570.0725</v>
      </c>
      <c r="BY26" s="249" t="s">
        <v>129</v>
      </c>
      <c r="BZ26" s="250" t="s">
        <v>83</v>
      </c>
    </row>
    <row r="27" s="469" customFormat="1" ht="25" customHeight="1" spans="1:78">
      <c r="A27" s="223">
        <v>45983</v>
      </c>
      <c r="B27" s="223">
        <v>46053</v>
      </c>
      <c r="C27" s="224" t="s">
        <v>130</v>
      </c>
      <c r="D27" s="224" t="s">
        <v>131</v>
      </c>
      <c r="E27" s="224" t="s">
        <v>132</v>
      </c>
      <c r="F27" s="224" t="s">
        <v>133</v>
      </c>
      <c r="G27" s="226" t="s">
        <v>72</v>
      </c>
      <c r="H27" s="226">
        <v>120</v>
      </c>
      <c r="I27" s="226">
        <v>1</v>
      </c>
      <c r="J27" s="250">
        <f t="shared" si="0"/>
        <v>120</v>
      </c>
      <c r="K27" s="250"/>
      <c r="L27" s="250"/>
      <c r="M27" s="250"/>
      <c r="N27" s="250"/>
      <c r="O27" s="250"/>
      <c r="P27" s="250"/>
      <c r="Q27" s="250"/>
      <c r="R27" s="250"/>
      <c r="S27" s="250"/>
      <c r="T27" s="250"/>
      <c r="U27" s="250"/>
      <c r="V27" s="250"/>
      <c r="W27" s="250"/>
      <c r="X27" s="250"/>
      <c r="Y27" s="250"/>
      <c r="Z27" s="250"/>
      <c r="AA27" s="250"/>
      <c r="AB27" s="250"/>
      <c r="AC27" s="250"/>
      <c r="AD27" s="250"/>
      <c r="AE27" s="250"/>
      <c r="AF27" s="250"/>
      <c r="AG27" s="250"/>
      <c r="AH27" s="250"/>
      <c r="AI27" s="250"/>
      <c r="AJ27" s="250"/>
      <c r="AK27" s="250"/>
      <c r="AL27" s="250"/>
      <c r="AM27" s="250"/>
      <c r="AN27" s="250"/>
      <c r="AO27" s="250"/>
      <c r="AP27" s="250"/>
      <c r="AQ27" s="250"/>
      <c r="AR27" s="250"/>
      <c r="AS27" s="250"/>
      <c r="AT27" s="250"/>
      <c r="AU27" s="250"/>
      <c r="AV27" s="250"/>
      <c r="AW27" s="250"/>
      <c r="AX27" s="250"/>
      <c r="AY27" s="250"/>
      <c r="AZ27" s="250"/>
      <c r="BA27" s="250"/>
      <c r="BB27" s="250"/>
      <c r="BC27" s="250"/>
      <c r="BD27" s="250"/>
      <c r="BE27" s="250"/>
      <c r="BF27" s="250"/>
      <c r="BG27" s="250"/>
      <c r="BH27" s="250"/>
      <c r="BI27" s="250"/>
      <c r="BJ27" s="250"/>
      <c r="BK27" s="250"/>
      <c r="BL27" s="250"/>
      <c r="BM27" s="250"/>
      <c r="BN27" s="250"/>
      <c r="BO27" s="250"/>
      <c r="BP27" s="250"/>
      <c r="BQ27" s="250"/>
      <c r="BR27" s="250"/>
      <c r="BS27" s="250"/>
      <c r="BT27" s="250"/>
      <c r="BU27" s="250">
        <f>H27</f>
        <v>120</v>
      </c>
      <c r="BV27" s="235">
        <v>1389.696</v>
      </c>
      <c r="BW27" s="487">
        <f t="shared" si="1"/>
        <v>166763.52</v>
      </c>
      <c r="BX27" s="487">
        <f t="shared" si="2"/>
        <v>1292417.28</v>
      </c>
      <c r="BY27" s="249" t="s">
        <v>134</v>
      </c>
      <c r="BZ27" s="250" t="s">
        <v>83</v>
      </c>
    </row>
    <row r="28" s="469" customFormat="1" ht="25" customHeight="1" spans="1:78">
      <c r="A28" s="223">
        <v>45988</v>
      </c>
      <c r="B28" s="223">
        <v>46059</v>
      </c>
      <c r="C28" s="225" t="s">
        <v>78</v>
      </c>
      <c r="D28" s="224" t="s">
        <v>84</v>
      </c>
      <c r="E28" s="224" t="s">
        <v>135</v>
      </c>
      <c r="F28" s="224" t="s">
        <v>136</v>
      </c>
      <c r="G28" s="226" t="s">
        <v>137</v>
      </c>
      <c r="H28" s="250">
        <v>498</v>
      </c>
      <c r="I28" s="250">
        <v>6</v>
      </c>
      <c r="J28" s="250">
        <f t="shared" si="0"/>
        <v>83</v>
      </c>
      <c r="K28" s="250"/>
      <c r="L28" s="250"/>
      <c r="M28" s="250"/>
      <c r="N28" s="250"/>
      <c r="O28" s="250"/>
      <c r="P28" s="250"/>
      <c r="Q28" s="250"/>
      <c r="R28" s="250"/>
      <c r="S28" s="250"/>
      <c r="T28" s="250"/>
      <c r="U28" s="250">
        <f>H28</f>
        <v>498</v>
      </c>
      <c r="V28" s="250"/>
      <c r="W28" s="250"/>
      <c r="X28" s="250"/>
      <c r="Y28" s="250"/>
      <c r="Z28" s="250"/>
      <c r="AA28" s="250"/>
      <c r="AB28" s="250"/>
      <c r="AC28" s="250"/>
      <c r="AD28" s="250"/>
      <c r="AE28" s="250"/>
      <c r="AF28" s="250"/>
      <c r="AG28" s="250"/>
      <c r="AH28" s="250"/>
      <c r="AI28" s="250"/>
      <c r="AJ28" s="250"/>
      <c r="AK28" s="250"/>
      <c r="AL28" s="250"/>
      <c r="AM28" s="250"/>
      <c r="AN28" s="250"/>
      <c r="AO28" s="250"/>
      <c r="AP28" s="250"/>
      <c r="AQ28" s="250"/>
      <c r="AR28" s="250"/>
      <c r="AS28" s="250"/>
      <c r="AT28" s="250"/>
      <c r="AU28" s="250"/>
      <c r="AV28" s="250"/>
      <c r="AW28" s="250"/>
      <c r="AX28" s="250"/>
      <c r="AY28" s="250"/>
      <c r="AZ28" s="250"/>
      <c r="BA28" s="250"/>
      <c r="BB28" s="250"/>
      <c r="BC28" s="250"/>
      <c r="BD28" s="250"/>
      <c r="BE28" s="250"/>
      <c r="BF28" s="250"/>
      <c r="BG28" s="250"/>
      <c r="BH28" s="250"/>
      <c r="BI28" s="250"/>
      <c r="BJ28" s="250"/>
      <c r="BK28" s="250"/>
      <c r="BL28" s="250"/>
      <c r="BM28" s="250"/>
      <c r="BN28" s="250"/>
      <c r="BO28" s="250"/>
      <c r="BP28" s="250"/>
      <c r="BQ28" s="250"/>
      <c r="BR28" s="250"/>
      <c r="BS28" s="250"/>
      <c r="BT28" s="250"/>
      <c r="BU28" s="250"/>
      <c r="BV28" s="235">
        <v>3.924</v>
      </c>
      <c r="BW28" s="487">
        <f t="shared" si="1"/>
        <v>1954.152</v>
      </c>
      <c r="BX28" s="487">
        <f t="shared" si="2"/>
        <v>15144.678</v>
      </c>
      <c r="BY28" s="249" t="s">
        <v>138</v>
      </c>
      <c r="BZ28" s="250" t="s">
        <v>83</v>
      </c>
    </row>
    <row r="29" s="469" customFormat="1" ht="25" customHeight="1" spans="1:78">
      <c r="A29" s="223">
        <v>45988</v>
      </c>
      <c r="B29" s="223">
        <v>46091</v>
      </c>
      <c r="C29" s="225" t="s">
        <v>78</v>
      </c>
      <c r="D29" s="224" t="s">
        <v>79</v>
      </c>
      <c r="E29" s="224" t="s">
        <v>139</v>
      </c>
      <c r="F29" s="224" t="s">
        <v>12</v>
      </c>
      <c r="G29" s="226" t="s">
        <v>121</v>
      </c>
      <c r="H29" s="226">
        <v>1710</v>
      </c>
      <c r="I29" s="250">
        <v>6</v>
      </c>
      <c r="J29" s="250">
        <f t="shared" si="0"/>
        <v>285</v>
      </c>
      <c r="K29" s="250"/>
      <c r="L29" s="250"/>
      <c r="M29" s="250">
        <f>H29</f>
        <v>1710</v>
      </c>
      <c r="N29" s="250"/>
      <c r="O29" s="250"/>
      <c r="P29" s="250"/>
      <c r="Q29" s="250"/>
      <c r="R29" s="250"/>
      <c r="S29" s="250"/>
      <c r="T29" s="250"/>
      <c r="U29" s="250"/>
      <c r="V29" s="250"/>
      <c r="W29" s="250"/>
      <c r="X29" s="250"/>
      <c r="Y29" s="250"/>
      <c r="Z29" s="250"/>
      <c r="AA29" s="250"/>
      <c r="AB29" s="250"/>
      <c r="AC29" s="250"/>
      <c r="AD29" s="250"/>
      <c r="AE29" s="250"/>
      <c r="AF29" s="250"/>
      <c r="AG29" s="250"/>
      <c r="AH29" s="250"/>
      <c r="AI29" s="250"/>
      <c r="AJ29" s="250"/>
      <c r="AK29" s="250"/>
      <c r="AL29" s="250"/>
      <c r="AM29" s="250"/>
      <c r="AN29" s="250"/>
      <c r="AO29" s="250"/>
      <c r="AP29" s="250"/>
      <c r="AQ29" s="250"/>
      <c r="AR29" s="250"/>
      <c r="AS29" s="250"/>
      <c r="AT29" s="250"/>
      <c r="AU29" s="250"/>
      <c r="AV29" s="250"/>
      <c r="AW29" s="250"/>
      <c r="AX29" s="250"/>
      <c r="AY29" s="250"/>
      <c r="AZ29" s="250"/>
      <c r="BA29" s="250"/>
      <c r="BB29" s="250"/>
      <c r="BC29" s="250"/>
      <c r="BD29" s="250"/>
      <c r="BE29" s="250"/>
      <c r="BF29" s="250"/>
      <c r="BG29" s="250"/>
      <c r="BH29" s="250"/>
      <c r="BI29" s="250"/>
      <c r="BJ29" s="250"/>
      <c r="BK29" s="250"/>
      <c r="BL29" s="250"/>
      <c r="BM29" s="250"/>
      <c r="BN29" s="250"/>
      <c r="BO29" s="250"/>
      <c r="BP29" s="250"/>
      <c r="BQ29" s="250"/>
      <c r="BR29" s="250"/>
      <c r="BS29" s="250"/>
      <c r="BT29" s="250"/>
      <c r="BU29" s="250"/>
      <c r="BV29" s="235">
        <v>3.958</v>
      </c>
      <c r="BW29" s="487">
        <f t="shared" si="1"/>
        <v>6768.18</v>
      </c>
      <c r="BX29" s="487">
        <f t="shared" si="2"/>
        <v>52453.395</v>
      </c>
      <c r="BY29" s="249" t="s">
        <v>140</v>
      </c>
      <c r="BZ29" s="250" t="s">
        <v>83</v>
      </c>
    </row>
    <row r="30" s="469" customFormat="1" ht="25" customHeight="1" spans="1:78">
      <c r="A30" s="223">
        <v>45988</v>
      </c>
      <c r="B30" s="223">
        <v>46091</v>
      </c>
      <c r="C30" s="225" t="s">
        <v>78</v>
      </c>
      <c r="D30" s="224" t="s">
        <v>84</v>
      </c>
      <c r="E30" s="224" t="s">
        <v>141</v>
      </c>
      <c r="F30" s="224" t="s">
        <v>12</v>
      </c>
      <c r="G30" s="226" t="s">
        <v>121</v>
      </c>
      <c r="H30" s="226">
        <v>90</v>
      </c>
      <c r="I30" s="250">
        <v>6</v>
      </c>
      <c r="J30" s="250">
        <f t="shared" si="0"/>
        <v>15</v>
      </c>
      <c r="K30" s="250"/>
      <c r="L30" s="250"/>
      <c r="M30" s="250">
        <f>H30</f>
        <v>90</v>
      </c>
      <c r="N30" s="250"/>
      <c r="O30" s="250"/>
      <c r="P30" s="250"/>
      <c r="Q30" s="250"/>
      <c r="R30" s="250"/>
      <c r="S30" s="250"/>
      <c r="T30" s="250"/>
      <c r="U30" s="250"/>
      <c r="V30" s="250"/>
      <c r="W30" s="250"/>
      <c r="X30" s="250"/>
      <c r="Y30" s="250"/>
      <c r="Z30" s="250"/>
      <c r="AA30" s="250"/>
      <c r="AB30" s="250"/>
      <c r="AC30" s="250"/>
      <c r="AD30" s="250"/>
      <c r="AE30" s="250"/>
      <c r="AF30" s="250"/>
      <c r="AG30" s="250"/>
      <c r="AH30" s="250"/>
      <c r="AI30" s="250"/>
      <c r="AJ30" s="250"/>
      <c r="AK30" s="250"/>
      <c r="AL30" s="250"/>
      <c r="AM30" s="250"/>
      <c r="AN30" s="250"/>
      <c r="AO30" s="250"/>
      <c r="AP30" s="250"/>
      <c r="AQ30" s="250"/>
      <c r="AR30" s="250"/>
      <c r="AS30" s="250"/>
      <c r="AT30" s="250"/>
      <c r="AU30" s="250"/>
      <c r="AV30" s="250"/>
      <c r="AW30" s="250"/>
      <c r="AX30" s="250"/>
      <c r="AY30" s="250"/>
      <c r="AZ30" s="250"/>
      <c r="BA30" s="250"/>
      <c r="BB30" s="250"/>
      <c r="BC30" s="250"/>
      <c r="BD30" s="250"/>
      <c r="BE30" s="250"/>
      <c r="BF30" s="250"/>
      <c r="BG30" s="250"/>
      <c r="BH30" s="250"/>
      <c r="BI30" s="250"/>
      <c r="BJ30" s="250"/>
      <c r="BK30" s="250"/>
      <c r="BL30" s="250"/>
      <c r="BM30" s="250"/>
      <c r="BN30" s="250"/>
      <c r="BO30" s="250"/>
      <c r="BP30" s="250"/>
      <c r="BQ30" s="250"/>
      <c r="BR30" s="250"/>
      <c r="BS30" s="250"/>
      <c r="BT30" s="250"/>
      <c r="BU30" s="250"/>
      <c r="BV30" s="235">
        <v>3.958</v>
      </c>
      <c r="BW30" s="487">
        <f t="shared" si="1"/>
        <v>356.22</v>
      </c>
      <c r="BX30" s="487">
        <f t="shared" si="2"/>
        <v>2760.705</v>
      </c>
      <c r="BY30" s="249" t="s">
        <v>142</v>
      </c>
      <c r="BZ30" s="250" t="s">
        <v>83</v>
      </c>
    </row>
    <row r="31" s="469" customFormat="1" ht="25" customHeight="1" spans="1:78">
      <c r="A31" s="223">
        <v>45993</v>
      </c>
      <c r="B31" s="223">
        <v>46059</v>
      </c>
      <c r="C31" s="225" t="s">
        <v>78</v>
      </c>
      <c r="D31" s="224" t="s">
        <v>79</v>
      </c>
      <c r="E31" s="224" t="s">
        <v>143</v>
      </c>
      <c r="F31" s="224" t="s">
        <v>49</v>
      </c>
      <c r="G31" s="226" t="s">
        <v>144</v>
      </c>
      <c r="H31" s="250">
        <v>800</v>
      </c>
      <c r="I31" s="250">
        <v>4</v>
      </c>
      <c r="J31" s="250">
        <f t="shared" si="0"/>
        <v>200</v>
      </c>
      <c r="K31" s="250"/>
      <c r="L31" s="250"/>
      <c r="M31" s="250"/>
      <c r="N31" s="250"/>
      <c r="O31" s="250"/>
      <c r="P31" s="250"/>
      <c r="Q31" s="250"/>
      <c r="R31" s="250"/>
      <c r="S31" s="250"/>
      <c r="T31" s="250"/>
      <c r="U31" s="250"/>
      <c r="V31" s="250"/>
      <c r="W31" s="250"/>
      <c r="X31" s="250"/>
      <c r="Y31" s="250"/>
      <c r="Z31" s="250"/>
      <c r="AA31" s="250"/>
      <c r="AB31" s="250"/>
      <c r="AC31" s="250"/>
      <c r="AD31" s="250"/>
      <c r="AE31" s="250"/>
      <c r="AF31" s="250"/>
      <c r="AG31" s="250"/>
      <c r="AH31" s="250"/>
      <c r="AI31" s="250"/>
      <c r="AJ31" s="250"/>
      <c r="AK31" s="250"/>
      <c r="AL31" s="250"/>
      <c r="AM31" s="250"/>
      <c r="AN31" s="250"/>
      <c r="AO31" s="250"/>
      <c r="AP31" s="250"/>
      <c r="AQ31" s="250"/>
      <c r="AR31" s="250"/>
      <c r="AS31" s="250"/>
      <c r="AT31" s="250"/>
      <c r="AU31" s="250"/>
      <c r="AV31" s="250"/>
      <c r="AW31" s="250"/>
      <c r="AX31" s="250">
        <f>H31</f>
        <v>800</v>
      </c>
      <c r="AY31" s="250"/>
      <c r="AZ31" s="250"/>
      <c r="BA31" s="250"/>
      <c r="BB31" s="250"/>
      <c r="BC31" s="250"/>
      <c r="BD31" s="250"/>
      <c r="BE31" s="250"/>
      <c r="BF31" s="250"/>
      <c r="BG31" s="250"/>
      <c r="BH31" s="250"/>
      <c r="BI31" s="250"/>
      <c r="BJ31" s="250"/>
      <c r="BK31" s="250"/>
      <c r="BL31" s="250"/>
      <c r="BM31" s="250"/>
      <c r="BN31" s="250"/>
      <c r="BO31" s="250"/>
      <c r="BP31" s="250"/>
      <c r="BQ31" s="250"/>
      <c r="BR31" s="250"/>
      <c r="BS31" s="250"/>
      <c r="BT31" s="250"/>
      <c r="BU31" s="250"/>
      <c r="BV31" s="235">
        <v>10.262</v>
      </c>
      <c r="BW31" s="487">
        <f t="shared" si="1"/>
        <v>8209.6</v>
      </c>
      <c r="BX31" s="487">
        <f t="shared" si="2"/>
        <v>63624.4</v>
      </c>
      <c r="BY31" s="249" t="s">
        <v>145</v>
      </c>
      <c r="BZ31" s="250" t="s">
        <v>146</v>
      </c>
    </row>
    <row r="32" s="469" customFormat="1" ht="25" customHeight="1" spans="1:78">
      <c r="A32" s="223">
        <v>45993</v>
      </c>
      <c r="B32" s="223">
        <v>46059</v>
      </c>
      <c r="C32" s="225" t="s">
        <v>78</v>
      </c>
      <c r="D32" s="224" t="s">
        <v>84</v>
      </c>
      <c r="E32" s="224" t="s">
        <v>147</v>
      </c>
      <c r="F32" s="224" t="s">
        <v>136</v>
      </c>
      <c r="G32" s="226" t="s">
        <v>137</v>
      </c>
      <c r="H32" s="250">
        <v>36</v>
      </c>
      <c r="I32" s="250">
        <v>6</v>
      </c>
      <c r="J32" s="250">
        <f t="shared" si="0"/>
        <v>6</v>
      </c>
      <c r="K32" s="250"/>
      <c r="L32" s="250"/>
      <c r="M32" s="250"/>
      <c r="N32" s="250"/>
      <c r="O32" s="250"/>
      <c r="P32" s="250"/>
      <c r="Q32" s="250"/>
      <c r="R32" s="250"/>
      <c r="S32" s="250"/>
      <c r="T32" s="250"/>
      <c r="U32" s="250">
        <f>H32</f>
        <v>36</v>
      </c>
      <c r="V32" s="250"/>
      <c r="W32" s="250"/>
      <c r="X32" s="250"/>
      <c r="Y32" s="250"/>
      <c r="Z32" s="250"/>
      <c r="AA32" s="250"/>
      <c r="AB32" s="250"/>
      <c r="AC32" s="250"/>
      <c r="AD32" s="250"/>
      <c r="AE32" s="250"/>
      <c r="AF32" s="250"/>
      <c r="AG32" s="250"/>
      <c r="AH32" s="250"/>
      <c r="AI32" s="250"/>
      <c r="AJ32" s="250"/>
      <c r="AK32" s="250"/>
      <c r="AL32" s="250"/>
      <c r="AM32" s="250"/>
      <c r="AN32" s="250"/>
      <c r="AO32" s="250"/>
      <c r="AP32" s="250"/>
      <c r="AQ32" s="250"/>
      <c r="AR32" s="250"/>
      <c r="AS32" s="250"/>
      <c r="AT32" s="250"/>
      <c r="AU32" s="250"/>
      <c r="AV32" s="250"/>
      <c r="AW32" s="250"/>
      <c r="AX32" s="250"/>
      <c r="AY32" s="250"/>
      <c r="AZ32" s="250"/>
      <c r="BA32" s="250"/>
      <c r="BB32" s="250"/>
      <c r="BC32" s="250"/>
      <c r="BD32" s="250"/>
      <c r="BE32" s="250"/>
      <c r="BF32" s="250"/>
      <c r="BG32" s="250"/>
      <c r="BH32" s="250"/>
      <c r="BI32" s="250"/>
      <c r="BJ32" s="250"/>
      <c r="BK32" s="250"/>
      <c r="BL32" s="250"/>
      <c r="BM32" s="250"/>
      <c r="BN32" s="250"/>
      <c r="BO32" s="250"/>
      <c r="BP32" s="250"/>
      <c r="BQ32" s="250"/>
      <c r="BR32" s="250"/>
      <c r="BS32" s="250"/>
      <c r="BT32" s="250"/>
      <c r="BU32" s="250"/>
      <c r="BV32" s="235">
        <v>3.924</v>
      </c>
      <c r="BW32" s="487">
        <f t="shared" si="1"/>
        <v>141.264</v>
      </c>
      <c r="BX32" s="487">
        <f t="shared" si="2"/>
        <v>1094.796</v>
      </c>
      <c r="BY32" s="249" t="s">
        <v>148</v>
      </c>
      <c r="BZ32" s="250" t="s">
        <v>83</v>
      </c>
    </row>
    <row r="33" s="469" customFormat="1" ht="25" customHeight="1" spans="1:78">
      <c r="A33" s="223">
        <v>45993</v>
      </c>
      <c r="B33" s="223">
        <v>46059</v>
      </c>
      <c r="C33" s="225" t="s">
        <v>78</v>
      </c>
      <c r="D33" s="224" t="s">
        <v>84</v>
      </c>
      <c r="E33" s="224" t="s">
        <v>147</v>
      </c>
      <c r="F33" s="224" t="s">
        <v>49</v>
      </c>
      <c r="G33" s="226" t="s">
        <v>144</v>
      </c>
      <c r="H33" s="250">
        <v>68</v>
      </c>
      <c r="I33" s="250">
        <v>4</v>
      </c>
      <c r="J33" s="250">
        <f t="shared" si="0"/>
        <v>17</v>
      </c>
      <c r="K33" s="250"/>
      <c r="L33" s="250"/>
      <c r="M33" s="250"/>
      <c r="N33" s="250"/>
      <c r="O33" s="250"/>
      <c r="P33" s="250"/>
      <c r="Q33" s="250"/>
      <c r="R33" s="250"/>
      <c r="S33" s="250"/>
      <c r="T33" s="250"/>
      <c r="U33" s="250"/>
      <c r="V33" s="250"/>
      <c r="W33" s="250"/>
      <c r="X33" s="250"/>
      <c r="Y33" s="250"/>
      <c r="Z33" s="250"/>
      <c r="AA33" s="250"/>
      <c r="AB33" s="250"/>
      <c r="AC33" s="250"/>
      <c r="AD33" s="250"/>
      <c r="AE33" s="250"/>
      <c r="AF33" s="250"/>
      <c r="AG33" s="250"/>
      <c r="AH33" s="250"/>
      <c r="AI33" s="250"/>
      <c r="AJ33" s="250"/>
      <c r="AK33" s="250"/>
      <c r="AL33" s="250"/>
      <c r="AM33" s="250"/>
      <c r="AN33" s="250"/>
      <c r="AO33" s="250"/>
      <c r="AP33" s="250"/>
      <c r="AQ33" s="250"/>
      <c r="AR33" s="250"/>
      <c r="AS33" s="250"/>
      <c r="AT33" s="250"/>
      <c r="AU33" s="250"/>
      <c r="AV33" s="250"/>
      <c r="AW33" s="250"/>
      <c r="AX33" s="250">
        <f>H33</f>
        <v>68</v>
      </c>
      <c r="AY33" s="250"/>
      <c r="AZ33" s="250"/>
      <c r="BA33" s="250"/>
      <c r="BB33" s="250"/>
      <c r="BC33" s="250"/>
      <c r="BD33" s="250"/>
      <c r="BE33" s="250"/>
      <c r="BF33" s="250"/>
      <c r="BG33" s="250"/>
      <c r="BH33" s="250"/>
      <c r="BI33" s="250"/>
      <c r="BJ33" s="250"/>
      <c r="BK33" s="250"/>
      <c r="BL33" s="250"/>
      <c r="BM33" s="250"/>
      <c r="BN33" s="250"/>
      <c r="BO33" s="250"/>
      <c r="BP33" s="250"/>
      <c r="BQ33" s="250"/>
      <c r="BR33" s="250"/>
      <c r="BS33" s="250"/>
      <c r="BT33" s="250"/>
      <c r="BU33" s="250"/>
      <c r="BV33" s="235">
        <v>10.262</v>
      </c>
      <c r="BW33" s="487">
        <f t="shared" si="1"/>
        <v>697.816</v>
      </c>
      <c r="BX33" s="487">
        <f t="shared" si="2"/>
        <v>5408.074</v>
      </c>
      <c r="BY33" s="249" t="s">
        <v>148</v>
      </c>
      <c r="BZ33" s="250" t="s">
        <v>146</v>
      </c>
    </row>
    <row r="34" s="469" customFormat="1" ht="25" customHeight="1" spans="1:78">
      <c r="A34" s="223">
        <v>45994</v>
      </c>
      <c r="B34" s="223">
        <v>46052</v>
      </c>
      <c r="C34" s="224" t="s">
        <v>149</v>
      </c>
      <c r="D34" s="224" t="s">
        <v>150</v>
      </c>
      <c r="E34" s="224" t="s">
        <v>151</v>
      </c>
      <c r="F34" s="224" t="s">
        <v>67</v>
      </c>
      <c r="G34" s="226" t="s">
        <v>152</v>
      </c>
      <c r="H34" s="250">
        <v>5004</v>
      </c>
      <c r="I34" s="250">
        <v>6</v>
      </c>
      <c r="J34" s="250">
        <f t="shared" si="0"/>
        <v>834</v>
      </c>
      <c r="K34" s="250"/>
      <c r="L34" s="250"/>
      <c r="M34" s="250"/>
      <c r="N34" s="250"/>
      <c r="O34" s="250"/>
      <c r="P34" s="250"/>
      <c r="Q34" s="250"/>
      <c r="R34" s="250"/>
      <c r="S34" s="250"/>
      <c r="T34" s="250"/>
      <c r="U34" s="250"/>
      <c r="V34" s="250"/>
      <c r="W34" s="250"/>
      <c r="X34" s="250"/>
      <c r="Y34" s="250"/>
      <c r="Z34" s="250"/>
      <c r="AA34" s="250"/>
      <c r="AB34" s="250"/>
      <c r="AC34" s="250"/>
      <c r="AD34" s="250"/>
      <c r="AE34" s="250"/>
      <c r="AF34" s="250"/>
      <c r="AG34" s="250"/>
      <c r="AH34" s="250"/>
      <c r="AI34" s="250"/>
      <c r="AJ34" s="250"/>
      <c r="AK34" s="250"/>
      <c r="AL34" s="250"/>
      <c r="AM34" s="250"/>
      <c r="AN34" s="250"/>
      <c r="AO34" s="250"/>
      <c r="AP34" s="250"/>
      <c r="AQ34" s="250"/>
      <c r="AR34" s="250"/>
      <c r="AS34" s="250"/>
      <c r="AT34" s="250"/>
      <c r="AU34" s="250"/>
      <c r="AV34" s="250"/>
      <c r="AW34" s="250"/>
      <c r="AX34" s="250"/>
      <c r="AY34" s="250"/>
      <c r="AZ34" s="250"/>
      <c r="BA34" s="250"/>
      <c r="BB34" s="250"/>
      <c r="BC34" s="250"/>
      <c r="BD34" s="250"/>
      <c r="BE34" s="250"/>
      <c r="BF34" s="250"/>
      <c r="BG34" s="250"/>
      <c r="BH34" s="250"/>
      <c r="BI34" s="250"/>
      <c r="BJ34" s="250"/>
      <c r="BK34" s="250"/>
      <c r="BL34" s="250"/>
      <c r="BM34" s="250"/>
      <c r="BN34" s="250"/>
      <c r="BO34" s="250"/>
      <c r="BP34" s="250">
        <f>H34</f>
        <v>5004</v>
      </c>
      <c r="BQ34" s="250"/>
      <c r="BR34" s="250"/>
      <c r="BS34" s="250"/>
      <c r="BT34" s="250"/>
      <c r="BU34" s="250"/>
      <c r="BV34" s="235">
        <v>3.905</v>
      </c>
      <c r="BW34" s="487">
        <f t="shared" si="1"/>
        <v>19540.62</v>
      </c>
      <c r="BX34" s="487">
        <f t="shared" si="2"/>
        <v>151439.805</v>
      </c>
      <c r="BY34" s="249" t="s">
        <v>153</v>
      </c>
      <c r="BZ34" s="250" t="s">
        <v>83</v>
      </c>
    </row>
    <row r="35" s="469" customFormat="1" ht="25" customHeight="1" spans="1:78">
      <c r="A35" s="223">
        <v>46006</v>
      </c>
      <c r="B35" s="223">
        <v>46056</v>
      </c>
      <c r="C35" s="224" t="s">
        <v>154</v>
      </c>
      <c r="D35" s="224" t="s">
        <v>155</v>
      </c>
      <c r="E35" s="224" t="s">
        <v>156</v>
      </c>
      <c r="F35" s="226" t="s">
        <v>107</v>
      </c>
      <c r="G35" s="250" t="s">
        <v>108</v>
      </c>
      <c r="H35" s="250">
        <v>4752</v>
      </c>
      <c r="I35" s="250">
        <v>6</v>
      </c>
      <c r="J35" s="250">
        <f t="shared" si="0"/>
        <v>792</v>
      </c>
      <c r="K35" s="250"/>
      <c r="L35" s="250"/>
      <c r="M35" s="250"/>
      <c r="N35" s="250"/>
      <c r="O35" s="250"/>
      <c r="P35" s="250"/>
      <c r="Q35" s="250"/>
      <c r="R35" s="250">
        <f>H35</f>
        <v>4752</v>
      </c>
      <c r="S35" s="250"/>
      <c r="T35" s="250"/>
      <c r="U35" s="250"/>
      <c r="V35" s="250"/>
      <c r="W35" s="250"/>
      <c r="X35" s="250"/>
      <c r="Y35" s="250"/>
      <c r="Z35" s="250"/>
      <c r="AA35" s="250"/>
      <c r="AB35" s="250"/>
      <c r="AC35" s="250"/>
      <c r="AD35" s="250"/>
      <c r="AE35" s="250"/>
      <c r="AF35" s="250"/>
      <c r="AG35" s="250"/>
      <c r="AH35" s="250"/>
      <c r="AI35" s="250"/>
      <c r="AJ35" s="250"/>
      <c r="AK35" s="250"/>
      <c r="AL35" s="250"/>
      <c r="AM35" s="250"/>
      <c r="AN35" s="250"/>
      <c r="AO35" s="250"/>
      <c r="AP35" s="250"/>
      <c r="AQ35" s="250"/>
      <c r="AR35" s="250"/>
      <c r="AS35" s="250"/>
      <c r="AT35" s="250"/>
      <c r="AU35" s="250"/>
      <c r="AV35" s="250"/>
      <c r="AW35" s="250"/>
      <c r="AX35" s="250"/>
      <c r="AY35" s="250"/>
      <c r="AZ35" s="250"/>
      <c r="BA35" s="250"/>
      <c r="BB35" s="250"/>
      <c r="BC35" s="250"/>
      <c r="BD35" s="250"/>
      <c r="BE35" s="250"/>
      <c r="BF35" s="250"/>
      <c r="BG35" s="250"/>
      <c r="BH35" s="250"/>
      <c r="BI35" s="250"/>
      <c r="BJ35" s="250"/>
      <c r="BK35" s="250"/>
      <c r="BL35" s="250"/>
      <c r="BM35" s="250"/>
      <c r="BN35" s="250"/>
      <c r="BO35" s="250"/>
      <c r="BP35" s="250"/>
      <c r="BQ35" s="250"/>
      <c r="BR35" s="250"/>
      <c r="BS35" s="250"/>
      <c r="BT35" s="250"/>
      <c r="BU35" s="250"/>
      <c r="BV35" s="235">
        <v>1.38</v>
      </c>
      <c r="BW35" s="487">
        <f t="shared" si="1"/>
        <v>6557.76</v>
      </c>
      <c r="BX35" s="487">
        <f t="shared" si="2"/>
        <v>50822.64</v>
      </c>
      <c r="BY35" s="249" t="s">
        <v>157</v>
      </c>
      <c r="BZ35" s="250" t="s">
        <v>83</v>
      </c>
    </row>
    <row r="36" s="469" customFormat="1" ht="25" customHeight="1" spans="1:78">
      <c r="A36" s="223">
        <v>46006</v>
      </c>
      <c r="B36" s="223">
        <v>46056</v>
      </c>
      <c r="C36" s="224" t="s">
        <v>154</v>
      </c>
      <c r="D36" s="224" t="s">
        <v>155</v>
      </c>
      <c r="E36" s="224" t="s">
        <v>156</v>
      </c>
      <c r="F36" s="226" t="s">
        <v>14</v>
      </c>
      <c r="G36" s="250" t="s">
        <v>112</v>
      </c>
      <c r="H36" s="250">
        <v>1020</v>
      </c>
      <c r="I36" s="250">
        <v>6</v>
      </c>
      <c r="J36" s="250">
        <f t="shared" si="0"/>
        <v>170</v>
      </c>
      <c r="K36" s="250"/>
      <c r="L36" s="250"/>
      <c r="M36" s="250"/>
      <c r="N36" s="250"/>
      <c r="O36" s="250">
        <f>H36</f>
        <v>1020</v>
      </c>
      <c r="P36" s="250"/>
      <c r="Q36" s="250"/>
      <c r="R36" s="250"/>
      <c r="S36" s="250"/>
      <c r="T36" s="250"/>
      <c r="U36" s="250"/>
      <c r="V36" s="250"/>
      <c r="W36" s="250"/>
      <c r="X36" s="250"/>
      <c r="Y36" s="250"/>
      <c r="Z36" s="250"/>
      <c r="AA36" s="250"/>
      <c r="AB36" s="250"/>
      <c r="AC36" s="250"/>
      <c r="AD36" s="250"/>
      <c r="AE36" s="250"/>
      <c r="AF36" s="250"/>
      <c r="AG36" s="250"/>
      <c r="AH36" s="250"/>
      <c r="AI36" s="250"/>
      <c r="AJ36" s="250"/>
      <c r="AK36" s="250"/>
      <c r="AL36" s="250"/>
      <c r="AM36" s="250"/>
      <c r="AN36" s="250"/>
      <c r="AO36" s="250"/>
      <c r="AP36" s="250"/>
      <c r="AQ36" s="250"/>
      <c r="AR36" s="250"/>
      <c r="AS36" s="250"/>
      <c r="AT36" s="250"/>
      <c r="AU36" s="250"/>
      <c r="AV36" s="250"/>
      <c r="AW36" s="250"/>
      <c r="AX36" s="250"/>
      <c r="AY36" s="250"/>
      <c r="AZ36" s="250"/>
      <c r="BA36" s="250"/>
      <c r="BB36" s="250"/>
      <c r="BC36" s="250"/>
      <c r="BD36" s="250"/>
      <c r="BE36" s="250"/>
      <c r="BF36" s="250"/>
      <c r="BG36" s="250"/>
      <c r="BH36" s="250"/>
      <c r="BI36" s="250"/>
      <c r="BJ36" s="250"/>
      <c r="BK36" s="250"/>
      <c r="BL36" s="250"/>
      <c r="BM36" s="250"/>
      <c r="BN36" s="250"/>
      <c r="BO36" s="250"/>
      <c r="BP36" s="250"/>
      <c r="BQ36" s="250"/>
      <c r="BR36" s="250"/>
      <c r="BS36" s="250"/>
      <c r="BT36" s="250"/>
      <c r="BU36" s="250"/>
      <c r="BV36" s="235">
        <v>2.971</v>
      </c>
      <c r="BW36" s="487">
        <f t="shared" si="1"/>
        <v>3030.42</v>
      </c>
      <c r="BX36" s="487">
        <f t="shared" si="2"/>
        <v>23485.755</v>
      </c>
      <c r="BY36" s="249" t="s">
        <v>157</v>
      </c>
      <c r="BZ36" s="250" t="s">
        <v>83</v>
      </c>
    </row>
    <row r="37" s="469" customFormat="1" ht="25" customHeight="1" spans="1:78">
      <c r="A37" s="223">
        <v>46006</v>
      </c>
      <c r="B37" s="223">
        <v>46056</v>
      </c>
      <c r="C37" s="224" t="s">
        <v>154</v>
      </c>
      <c r="D37" s="224" t="s">
        <v>155</v>
      </c>
      <c r="E37" s="224" t="s">
        <v>156</v>
      </c>
      <c r="F37" s="226" t="s">
        <v>27</v>
      </c>
      <c r="G37" s="250" t="s">
        <v>110</v>
      </c>
      <c r="H37" s="250">
        <v>6360</v>
      </c>
      <c r="I37" s="250">
        <v>6</v>
      </c>
      <c r="J37" s="250">
        <f t="shared" si="0"/>
        <v>1060</v>
      </c>
      <c r="K37" s="250"/>
      <c r="L37" s="250"/>
      <c r="M37" s="250"/>
      <c r="N37" s="250"/>
      <c r="O37" s="250"/>
      <c r="P37" s="250"/>
      <c r="Q37" s="250"/>
      <c r="R37" s="250"/>
      <c r="S37" s="250"/>
      <c r="T37" s="250"/>
      <c r="U37" s="250"/>
      <c r="V37" s="250"/>
      <c r="W37" s="250"/>
      <c r="X37" s="250"/>
      <c r="Y37" s="250"/>
      <c r="Z37" s="250"/>
      <c r="AA37" s="250"/>
      <c r="AB37" s="250">
        <f>H37</f>
        <v>6360</v>
      </c>
      <c r="AC37" s="250"/>
      <c r="AD37" s="250"/>
      <c r="AE37" s="250"/>
      <c r="AF37" s="250"/>
      <c r="AG37" s="250"/>
      <c r="AH37" s="250"/>
      <c r="AI37" s="250"/>
      <c r="AJ37" s="250"/>
      <c r="AK37" s="250"/>
      <c r="AL37" s="250"/>
      <c r="AM37" s="250"/>
      <c r="AN37" s="250"/>
      <c r="AO37" s="250"/>
      <c r="AP37" s="250"/>
      <c r="AQ37" s="250"/>
      <c r="AR37" s="250"/>
      <c r="AS37" s="250"/>
      <c r="AT37" s="250"/>
      <c r="AU37" s="250"/>
      <c r="AV37" s="250"/>
      <c r="AW37" s="250"/>
      <c r="AX37" s="250"/>
      <c r="AY37" s="250"/>
      <c r="AZ37" s="250"/>
      <c r="BA37" s="250"/>
      <c r="BB37" s="250"/>
      <c r="BC37" s="250"/>
      <c r="BD37" s="250"/>
      <c r="BE37" s="250"/>
      <c r="BF37" s="250"/>
      <c r="BG37" s="250"/>
      <c r="BH37" s="250"/>
      <c r="BI37" s="250"/>
      <c r="BJ37" s="250"/>
      <c r="BK37" s="250"/>
      <c r="BL37" s="250"/>
      <c r="BM37" s="250"/>
      <c r="BN37" s="250"/>
      <c r="BO37" s="250"/>
      <c r="BP37" s="250"/>
      <c r="BQ37" s="250"/>
      <c r="BR37" s="250"/>
      <c r="BS37" s="250"/>
      <c r="BT37" s="250"/>
      <c r="BU37" s="250"/>
      <c r="BV37" s="235">
        <v>2.969</v>
      </c>
      <c r="BW37" s="487">
        <f t="shared" si="1"/>
        <v>18882.84</v>
      </c>
      <c r="BX37" s="487">
        <f t="shared" si="2"/>
        <v>146342.01</v>
      </c>
      <c r="BY37" s="249" t="s">
        <v>157</v>
      </c>
      <c r="BZ37" s="250" t="s">
        <v>83</v>
      </c>
    </row>
    <row r="38" s="469" customFormat="1" ht="25" customHeight="1" spans="1:78">
      <c r="A38" s="223">
        <v>46008</v>
      </c>
      <c r="B38" s="223">
        <v>46050</v>
      </c>
      <c r="C38" s="224" t="s">
        <v>158</v>
      </c>
      <c r="D38" s="224" t="s">
        <v>159</v>
      </c>
      <c r="E38" s="224" t="s">
        <v>160</v>
      </c>
      <c r="F38" s="250" t="s">
        <v>21</v>
      </c>
      <c r="G38" s="250" t="s">
        <v>161</v>
      </c>
      <c r="H38" s="250">
        <v>306</v>
      </c>
      <c r="I38" s="250">
        <v>6</v>
      </c>
      <c r="J38" s="250">
        <f t="shared" si="0"/>
        <v>51</v>
      </c>
      <c r="K38" s="250"/>
      <c r="L38" s="250"/>
      <c r="M38" s="250"/>
      <c r="N38" s="250"/>
      <c r="O38" s="250"/>
      <c r="P38" s="250"/>
      <c r="Q38" s="250"/>
      <c r="R38" s="250"/>
      <c r="S38" s="250"/>
      <c r="T38" s="250"/>
      <c r="U38" s="250"/>
      <c r="V38" s="250">
        <f>H38</f>
        <v>306</v>
      </c>
      <c r="W38" s="250"/>
      <c r="X38" s="250"/>
      <c r="Y38" s="250"/>
      <c r="Z38" s="250"/>
      <c r="AA38" s="250"/>
      <c r="AB38" s="250"/>
      <c r="AC38" s="250"/>
      <c r="AD38" s="250"/>
      <c r="AE38" s="250"/>
      <c r="AF38" s="250"/>
      <c r="AG38" s="250"/>
      <c r="AH38" s="250"/>
      <c r="AI38" s="250"/>
      <c r="AJ38" s="250"/>
      <c r="AK38" s="250"/>
      <c r="AL38" s="250"/>
      <c r="AM38" s="250"/>
      <c r="AN38" s="250"/>
      <c r="AO38" s="250"/>
      <c r="AP38" s="250"/>
      <c r="AQ38" s="250"/>
      <c r="AR38" s="250"/>
      <c r="AS38" s="250"/>
      <c r="AT38" s="250"/>
      <c r="AU38" s="250"/>
      <c r="AV38" s="250"/>
      <c r="AW38" s="250"/>
      <c r="AX38" s="250"/>
      <c r="AY38" s="250"/>
      <c r="AZ38" s="250"/>
      <c r="BA38" s="250"/>
      <c r="BB38" s="250"/>
      <c r="BC38" s="250"/>
      <c r="BD38" s="250"/>
      <c r="BE38" s="250"/>
      <c r="BF38" s="250"/>
      <c r="BG38" s="250"/>
      <c r="BH38" s="250"/>
      <c r="BI38" s="250"/>
      <c r="BJ38" s="250"/>
      <c r="BK38" s="250"/>
      <c r="BL38" s="250"/>
      <c r="BM38" s="250"/>
      <c r="BN38" s="250"/>
      <c r="BO38" s="250"/>
      <c r="BP38" s="250"/>
      <c r="BQ38" s="250"/>
      <c r="BR38" s="250"/>
      <c r="BS38" s="250"/>
      <c r="BT38" s="250"/>
      <c r="BU38" s="250"/>
      <c r="BV38" s="235">
        <v>3.648</v>
      </c>
      <c r="BW38" s="487">
        <f t="shared" si="1"/>
        <v>1116.288</v>
      </c>
      <c r="BX38" s="487">
        <f t="shared" si="2"/>
        <v>8651.232</v>
      </c>
      <c r="BY38" s="249" t="s">
        <v>162</v>
      </c>
      <c r="BZ38" s="250" t="s">
        <v>83</v>
      </c>
    </row>
    <row r="39" s="469" customFormat="1" ht="25" customHeight="1" spans="1:78">
      <c r="A39" s="223">
        <v>46008</v>
      </c>
      <c r="B39" s="223">
        <v>46050</v>
      </c>
      <c r="C39" s="224" t="s">
        <v>158</v>
      </c>
      <c r="D39" s="224" t="s">
        <v>159</v>
      </c>
      <c r="E39" s="224" t="s">
        <v>160</v>
      </c>
      <c r="F39" s="250" t="s">
        <v>14</v>
      </c>
      <c r="G39" s="250" t="s">
        <v>112</v>
      </c>
      <c r="H39" s="250">
        <v>360</v>
      </c>
      <c r="I39" s="250">
        <v>6</v>
      </c>
      <c r="J39" s="250">
        <f t="shared" si="0"/>
        <v>60</v>
      </c>
      <c r="K39" s="250"/>
      <c r="L39" s="250"/>
      <c r="M39" s="250"/>
      <c r="N39" s="250"/>
      <c r="O39" s="250">
        <f>H39</f>
        <v>360</v>
      </c>
      <c r="P39" s="250"/>
      <c r="Q39" s="250"/>
      <c r="R39" s="250"/>
      <c r="S39" s="250"/>
      <c r="T39" s="250"/>
      <c r="U39" s="250"/>
      <c r="V39" s="250"/>
      <c r="W39" s="250"/>
      <c r="X39" s="250"/>
      <c r="Y39" s="250"/>
      <c r="Z39" s="250"/>
      <c r="AA39" s="250"/>
      <c r="AB39" s="250"/>
      <c r="AC39" s="250"/>
      <c r="AD39" s="250"/>
      <c r="AE39" s="250"/>
      <c r="AF39" s="250"/>
      <c r="AG39" s="250"/>
      <c r="AH39" s="250"/>
      <c r="AI39" s="250"/>
      <c r="AJ39" s="250"/>
      <c r="AK39" s="250"/>
      <c r="AL39" s="250"/>
      <c r="AM39" s="250"/>
      <c r="AN39" s="250"/>
      <c r="AO39" s="250"/>
      <c r="AP39" s="250"/>
      <c r="AQ39" s="250"/>
      <c r="AR39" s="250"/>
      <c r="AS39" s="250"/>
      <c r="AT39" s="250"/>
      <c r="AU39" s="250"/>
      <c r="AV39" s="250"/>
      <c r="AW39" s="250"/>
      <c r="AX39" s="250"/>
      <c r="AY39" s="250"/>
      <c r="AZ39" s="250"/>
      <c r="BA39" s="250"/>
      <c r="BB39" s="250"/>
      <c r="BC39" s="250"/>
      <c r="BD39" s="250"/>
      <c r="BE39" s="250"/>
      <c r="BF39" s="250"/>
      <c r="BG39" s="250"/>
      <c r="BH39" s="250"/>
      <c r="BI39" s="250"/>
      <c r="BJ39" s="250"/>
      <c r="BK39" s="250"/>
      <c r="BL39" s="250"/>
      <c r="BM39" s="250"/>
      <c r="BN39" s="250"/>
      <c r="BO39" s="250"/>
      <c r="BP39" s="250"/>
      <c r="BQ39" s="250"/>
      <c r="BR39" s="250"/>
      <c r="BS39" s="250"/>
      <c r="BT39" s="250"/>
      <c r="BU39" s="250"/>
      <c r="BV39" s="235">
        <v>3.09</v>
      </c>
      <c r="BW39" s="487">
        <f t="shared" si="1"/>
        <v>1112.4</v>
      </c>
      <c r="BX39" s="487">
        <f t="shared" si="2"/>
        <v>8621.1</v>
      </c>
      <c r="BY39" s="249" t="s">
        <v>162</v>
      </c>
      <c r="BZ39" s="250" t="s">
        <v>83</v>
      </c>
    </row>
    <row r="40" s="469" customFormat="1" ht="25" customHeight="1" spans="1:78">
      <c r="A40" s="223">
        <v>46008</v>
      </c>
      <c r="B40" s="223">
        <v>46050</v>
      </c>
      <c r="C40" s="224" t="s">
        <v>158</v>
      </c>
      <c r="D40" s="224" t="s">
        <v>159</v>
      </c>
      <c r="E40" s="224" t="s">
        <v>160</v>
      </c>
      <c r="F40" s="250" t="s">
        <v>26</v>
      </c>
      <c r="G40" s="250" t="s">
        <v>163</v>
      </c>
      <c r="H40" s="250">
        <v>300</v>
      </c>
      <c r="I40" s="250">
        <v>4</v>
      </c>
      <c r="J40" s="250">
        <f t="shared" si="0"/>
        <v>75</v>
      </c>
      <c r="K40" s="250"/>
      <c r="L40" s="250"/>
      <c r="M40" s="250"/>
      <c r="N40" s="250"/>
      <c r="O40" s="250"/>
      <c r="P40" s="250"/>
      <c r="Q40" s="250"/>
      <c r="R40" s="250"/>
      <c r="S40" s="250"/>
      <c r="T40" s="250"/>
      <c r="U40" s="250"/>
      <c r="V40" s="250"/>
      <c r="W40" s="250"/>
      <c r="X40" s="250"/>
      <c r="Y40" s="250"/>
      <c r="Z40" s="250"/>
      <c r="AA40" s="250">
        <f>H40</f>
        <v>300</v>
      </c>
      <c r="AB40" s="250"/>
      <c r="AC40" s="250"/>
      <c r="AD40" s="250"/>
      <c r="AE40" s="250"/>
      <c r="AF40" s="250"/>
      <c r="AG40" s="250"/>
      <c r="AH40" s="250"/>
      <c r="AI40" s="250"/>
      <c r="AJ40" s="250"/>
      <c r="AK40" s="250"/>
      <c r="AL40" s="250"/>
      <c r="AM40" s="250"/>
      <c r="AN40" s="250"/>
      <c r="AO40" s="250"/>
      <c r="AP40" s="250"/>
      <c r="AQ40" s="250"/>
      <c r="AR40" s="250"/>
      <c r="AS40" s="250"/>
      <c r="AT40" s="250"/>
      <c r="AU40" s="250"/>
      <c r="AV40" s="250"/>
      <c r="AW40" s="250"/>
      <c r="AX40" s="250"/>
      <c r="AY40" s="250"/>
      <c r="AZ40" s="250"/>
      <c r="BA40" s="250"/>
      <c r="BB40" s="250"/>
      <c r="BC40" s="250"/>
      <c r="BD40" s="250"/>
      <c r="BE40" s="250"/>
      <c r="BF40" s="250"/>
      <c r="BG40" s="250"/>
      <c r="BH40" s="250"/>
      <c r="BI40" s="250"/>
      <c r="BJ40" s="250"/>
      <c r="BK40" s="250"/>
      <c r="BL40" s="250"/>
      <c r="BM40" s="250"/>
      <c r="BN40" s="250"/>
      <c r="BO40" s="250"/>
      <c r="BP40" s="250"/>
      <c r="BQ40" s="250"/>
      <c r="BR40" s="250"/>
      <c r="BS40" s="250"/>
      <c r="BT40" s="250"/>
      <c r="BU40" s="250"/>
      <c r="BV40" s="235">
        <v>5.064</v>
      </c>
      <c r="BW40" s="487">
        <f t="shared" si="1"/>
        <v>1519.2</v>
      </c>
      <c r="BX40" s="487">
        <f t="shared" si="2"/>
        <v>11773.8</v>
      </c>
      <c r="BY40" s="249" t="s">
        <v>162</v>
      </c>
      <c r="BZ40" s="250" t="s">
        <v>83</v>
      </c>
    </row>
    <row r="41" s="469" customFormat="1" ht="25" customHeight="1" spans="1:78">
      <c r="A41" s="223">
        <v>46008</v>
      </c>
      <c r="B41" s="223">
        <v>46050</v>
      </c>
      <c r="C41" s="224" t="s">
        <v>158</v>
      </c>
      <c r="D41" s="224" t="s">
        <v>159</v>
      </c>
      <c r="E41" s="224" t="s">
        <v>160</v>
      </c>
      <c r="F41" s="250" t="s">
        <v>164</v>
      </c>
      <c r="G41" s="250" t="s">
        <v>137</v>
      </c>
      <c r="H41" s="250">
        <v>306</v>
      </c>
      <c r="I41" s="250">
        <v>9</v>
      </c>
      <c r="J41" s="250">
        <f t="shared" si="0"/>
        <v>34</v>
      </c>
      <c r="K41" s="250"/>
      <c r="L41" s="250"/>
      <c r="M41" s="250"/>
      <c r="N41" s="250"/>
      <c r="O41" s="250"/>
      <c r="P41" s="250"/>
      <c r="Q41" s="250"/>
      <c r="R41" s="250"/>
      <c r="S41" s="250"/>
      <c r="T41" s="250"/>
      <c r="U41" s="250">
        <f>H41</f>
        <v>306</v>
      </c>
      <c r="V41" s="250"/>
      <c r="W41" s="250"/>
      <c r="X41" s="250"/>
      <c r="Y41" s="250"/>
      <c r="Z41" s="250"/>
      <c r="AA41" s="250"/>
      <c r="AB41" s="250"/>
      <c r="AC41" s="250"/>
      <c r="AD41" s="250"/>
      <c r="AE41" s="250"/>
      <c r="AF41" s="250"/>
      <c r="AG41" s="250"/>
      <c r="AH41" s="250"/>
      <c r="AI41" s="250"/>
      <c r="AJ41" s="250"/>
      <c r="AK41" s="250"/>
      <c r="AL41" s="250"/>
      <c r="AM41" s="250"/>
      <c r="AN41" s="250"/>
      <c r="AO41" s="250"/>
      <c r="AP41" s="250"/>
      <c r="AQ41" s="250"/>
      <c r="AR41" s="250"/>
      <c r="AS41" s="250"/>
      <c r="AT41" s="250"/>
      <c r="AU41" s="250"/>
      <c r="AV41" s="250"/>
      <c r="AW41" s="250"/>
      <c r="AX41" s="250"/>
      <c r="AY41" s="250"/>
      <c r="AZ41" s="250"/>
      <c r="BA41" s="250"/>
      <c r="BB41" s="250"/>
      <c r="BC41" s="250"/>
      <c r="BD41" s="250"/>
      <c r="BE41" s="250"/>
      <c r="BF41" s="250"/>
      <c r="BG41" s="250"/>
      <c r="BH41" s="250"/>
      <c r="BI41" s="250"/>
      <c r="BJ41" s="250"/>
      <c r="BK41" s="250"/>
      <c r="BL41" s="250"/>
      <c r="BM41" s="250"/>
      <c r="BN41" s="250"/>
      <c r="BO41" s="250"/>
      <c r="BP41" s="250"/>
      <c r="BQ41" s="250"/>
      <c r="BR41" s="250"/>
      <c r="BS41" s="250"/>
      <c r="BT41" s="250"/>
      <c r="BU41" s="250"/>
      <c r="BV41" s="235">
        <v>3.87</v>
      </c>
      <c r="BW41" s="487">
        <f t="shared" si="1"/>
        <v>1184.22</v>
      </c>
      <c r="BX41" s="487">
        <f t="shared" si="2"/>
        <v>9177.705</v>
      </c>
      <c r="BY41" s="249" t="s">
        <v>162</v>
      </c>
      <c r="BZ41" s="250" t="s">
        <v>83</v>
      </c>
    </row>
    <row r="42" s="469" customFormat="1" ht="25" customHeight="1" spans="1:78">
      <c r="A42" s="223">
        <v>46008</v>
      </c>
      <c r="B42" s="223">
        <v>46050</v>
      </c>
      <c r="C42" s="224" t="s">
        <v>158</v>
      </c>
      <c r="D42" s="224" t="s">
        <v>159</v>
      </c>
      <c r="E42" s="224" t="s">
        <v>160</v>
      </c>
      <c r="F42" s="250" t="s">
        <v>165</v>
      </c>
      <c r="G42" s="250" t="s">
        <v>166</v>
      </c>
      <c r="H42" s="250">
        <v>300</v>
      </c>
      <c r="I42" s="250">
        <v>6</v>
      </c>
      <c r="J42" s="250">
        <f t="shared" si="0"/>
        <v>50</v>
      </c>
      <c r="K42" s="250"/>
      <c r="L42" s="250"/>
      <c r="M42" s="250"/>
      <c r="N42" s="250"/>
      <c r="O42" s="250"/>
      <c r="P42" s="250"/>
      <c r="Q42" s="250"/>
      <c r="R42" s="250"/>
      <c r="S42" s="250">
        <f>H42</f>
        <v>300</v>
      </c>
      <c r="T42" s="250"/>
      <c r="U42" s="250"/>
      <c r="V42" s="250"/>
      <c r="W42" s="250"/>
      <c r="X42" s="250"/>
      <c r="Y42" s="250"/>
      <c r="Z42" s="250"/>
      <c r="AA42" s="250"/>
      <c r="AB42" s="250"/>
      <c r="AC42" s="250"/>
      <c r="AD42" s="250"/>
      <c r="AE42" s="250"/>
      <c r="AF42" s="250"/>
      <c r="AG42" s="250"/>
      <c r="AH42" s="250"/>
      <c r="AI42" s="250"/>
      <c r="AJ42" s="250"/>
      <c r="AK42" s="250"/>
      <c r="AL42" s="250"/>
      <c r="AM42" s="250"/>
      <c r="AN42" s="250"/>
      <c r="AO42" s="250"/>
      <c r="AP42" s="250"/>
      <c r="AQ42" s="250"/>
      <c r="AR42" s="250"/>
      <c r="AS42" s="250"/>
      <c r="AT42" s="250"/>
      <c r="AU42" s="250"/>
      <c r="AV42" s="250"/>
      <c r="AW42" s="250"/>
      <c r="AX42" s="250"/>
      <c r="AY42" s="250"/>
      <c r="AZ42" s="250"/>
      <c r="BA42" s="250"/>
      <c r="BB42" s="250"/>
      <c r="BC42" s="250"/>
      <c r="BD42" s="250"/>
      <c r="BE42" s="250"/>
      <c r="BF42" s="250"/>
      <c r="BG42" s="250"/>
      <c r="BH42" s="250"/>
      <c r="BI42" s="250"/>
      <c r="BJ42" s="250"/>
      <c r="BK42" s="250"/>
      <c r="BL42" s="250"/>
      <c r="BM42" s="250"/>
      <c r="BN42" s="250"/>
      <c r="BO42" s="250"/>
      <c r="BP42" s="250"/>
      <c r="BQ42" s="250"/>
      <c r="BR42" s="250"/>
      <c r="BS42" s="250"/>
      <c r="BT42" s="250"/>
      <c r="BU42" s="250"/>
      <c r="BV42" s="235">
        <v>1.209</v>
      </c>
      <c r="BW42" s="487">
        <f t="shared" si="1"/>
        <v>362.7</v>
      </c>
      <c r="BX42" s="487">
        <f t="shared" si="2"/>
        <v>2810.925</v>
      </c>
      <c r="BY42" s="249" t="s">
        <v>162</v>
      </c>
      <c r="BZ42" s="250" t="s">
        <v>83</v>
      </c>
    </row>
    <row r="43" s="469" customFormat="1" ht="25" customHeight="1" spans="1:78">
      <c r="A43" s="223">
        <v>46008</v>
      </c>
      <c r="B43" s="223">
        <v>46045</v>
      </c>
      <c r="C43" s="224" t="s">
        <v>167</v>
      </c>
      <c r="D43" s="224" t="s">
        <v>155</v>
      </c>
      <c r="E43" s="224" t="s">
        <v>168</v>
      </c>
      <c r="F43" s="250" t="s">
        <v>165</v>
      </c>
      <c r="G43" s="250" t="s">
        <v>166</v>
      </c>
      <c r="H43" s="250">
        <v>3948</v>
      </c>
      <c r="I43" s="250">
        <v>6</v>
      </c>
      <c r="J43" s="250">
        <f t="shared" si="0"/>
        <v>658</v>
      </c>
      <c r="K43" s="250"/>
      <c r="L43" s="250"/>
      <c r="M43" s="250"/>
      <c r="N43" s="250"/>
      <c r="O43" s="250"/>
      <c r="P43" s="250"/>
      <c r="Q43" s="250"/>
      <c r="R43" s="250"/>
      <c r="S43" s="250">
        <f>H43</f>
        <v>3948</v>
      </c>
      <c r="T43" s="250"/>
      <c r="U43" s="250"/>
      <c r="V43" s="250"/>
      <c r="W43" s="250"/>
      <c r="X43" s="250"/>
      <c r="Y43" s="250"/>
      <c r="Z43" s="250"/>
      <c r="AA43" s="250"/>
      <c r="AB43" s="250"/>
      <c r="AC43" s="250"/>
      <c r="AD43" s="250"/>
      <c r="AE43" s="250"/>
      <c r="AF43" s="250"/>
      <c r="AG43" s="250"/>
      <c r="AH43" s="250"/>
      <c r="AI43" s="250"/>
      <c r="AJ43" s="250"/>
      <c r="AK43" s="250"/>
      <c r="AL43" s="250"/>
      <c r="AM43" s="250"/>
      <c r="AN43" s="250"/>
      <c r="AO43" s="250"/>
      <c r="AP43" s="250"/>
      <c r="AQ43" s="250"/>
      <c r="AR43" s="250"/>
      <c r="AS43" s="250"/>
      <c r="AT43" s="250"/>
      <c r="AU43" s="250"/>
      <c r="AV43" s="250"/>
      <c r="AW43" s="250"/>
      <c r="AX43" s="250"/>
      <c r="AY43" s="250"/>
      <c r="AZ43" s="250"/>
      <c r="BA43" s="250"/>
      <c r="BB43" s="250"/>
      <c r="BC43" s="250"/>
      <c r="BD43" s="250"/>
      <c r="BE43" s="250"/>
      <c r="BF43" s="250"/>
      <c r="BG43" s="250"/>
      <c r="BH43" s="250"/>
      <c r="BI43" s="250"/>
      <c r="BJ43" s="250"/>
      <c r="BK43" s="250"/>
      <c r="BL43" s="250"/>
      <c r="BM43" s="250"/>
      <c r="BN43" s="250"/>
      <c r="BO43" s="250"/>
      <c r="BP43" s="250"/>
      <c r="BQ43" s="250"/>
      <c r="BR43" s="250"/>
      <c r="BS43" s="250"/>
      <c r="BT43" s="250"/>
      <c r="BU43" s="250"/>
      <c r="BV43" s="235">
        <v>1.15</v>
      </c>
      <c r="BW43" s="487">
        <f t="shared" si="1"/>
        <v>4540.2</v>
      </c>
      <c r="BX43" s="487">
        <f t="shared" si="2"/>
        <v>35186.55</v>
      </c>
      <c r="BY43" s="249" t="s">
        <v>169</v>
      </c>
      <c r="BZ43" s="250" t="s">
        <v>83</v>
      </c>
    </row>
    <row r="44" s="469" customFormat="1" ht="25" customHeight="1" spans="1:78">
      <c r="A44" s="223">
        <v>46008</v>
      </c>
      <c r="B44" s="223">
        <v>46059</v>
      </c>
      <c r="C44" s="225" t="s">
        <v>78</v>
      </c>
      <c r="D44" s="224" t="s">
        <v>79</v>
      </c>
      <c r="E44" s="224" t="s">
        <v>170</v>
      </c>
      <c r="F44" s="250" t="s">
        <v>27</v>
      </c>
      <c r="G44" s="250" t="s">
        <v>110</v>
      </c>
      <c r="H44" s="250">
        <v>1728</v>
      </c>
      <c r="I44" s="250">
        <v>6</v>
      </c>
      <c r="J44" s="250">
        <f t="shared" si="0"/>
        <v>288</v>
      </c>
      <c r="K44" s="250"/>
      <c r="L44" s="250"/>
      <c r="M44" s="250"/>
      <c r="N44" s="250"/>
      <c r="O44" s="250"/>
      <c r="P44" s="250"/>
      <c r="Q44" s="250"/>
      <c r="R44" s="250"/>
      <c r="S44" s="250"/>
      <c r="T44" s="250"/>
      <c r="U44" s="250"/>
      <c r="V44" s="250"/>
      <c r="W44" s="250"/>
      <c r="X44" s="250"/>
      <c r="Y44" s="250"/>
      <c r="Z44" s="250"/>
      <c r="AA44" s="250"/>
      <c r="AB44" s="250">
        <f>H44</f>
        <v>1728</v>
      </c>
      <c r="AC44" s="250"/>
      <c r="AD44" s="250"/>
      <c r="AE44" s="250"/>
      <c r="AF44" s="250"/>
      <c r="AG44" s="250"/>
      <c r="AH44" s="250"/>
      <c r="AI44" s="250"/>
      <c r="AJ44" s="250"/>
      <c r="AK44" s="250"/>
      <c r="AL44" s="250"/>
      <c r="AM44" s="250"/>
      <c r="AN44" s="250"/>
      <c r="AO44" s="250"/>
      <c r="AP44" s="250"/>
      <c r="AQ44" s="250"/>
      <c r="AR44" s="250"/>
      <c r="AS44" s="250"/>
      <c r="AT44" s="250"/>
      <c r="AU44" s="250"/>
      <c r="AV44" s="250"/>
      <c r="AW44" s="250"/>
      <c r="AX44" s="250"/>
      <c r="AY44" s="250"/>
      <c r="AZ44" s="250"/>
      <c r="BA44" s="250"/>
      <c r="BB44" s="250"/>
      <c r="BC44" s="250"/>
      <c r="BD44" s="250"/>
      <c r="BE44" s="250"/>
      <c r="BF44" s="250"/>
      <c r="BG44" s="250"/>
      <c r="BH44" s="250"/>
      <c r="BI44" s="250"/>
      <c r="BJ44" s="250"/>
      <c r="BK44" s="250"/>
      <c r="BL44" s="250"/>
      <c r="BM44" s="250"/>
      <c r="BN44" s="250"/>
      <c r="BO44" s="250"/>
      <c r="BP44" s="250"/>
      <c r="BQ44" s="250"/>
      <c r="BR44" s="250"/>
      <c r="BS44" s="250"/>
      <c r="BT44" s="250"/>
      <c r="BU44" s="250"/>
      <c r="BV44" s="235">
        <v>3.088</v>
      </c>
      <c r="BW44" s="487">
        <f t="shared" si="1"/>
        <v>5336.064</v>
      </c>
      <c r="BX44" s="487">
        <f t="shared" si="2"/>
        <v>41354.496</v>
      </c>
      <c r="BY44" s="249" t="s">
        <v>171</v>
      </c>
      <c r="BZ44" s="250" t="s">
        <v>83</v>
      </c>
    </row>
    <row r="45" s="469" customFormat="1" ht="25" customHeight="1" spans="1:78">
      <c r="A45" s="223">
        <v>46008</v>
      </c>
      <c r="B45" s="223">
        <v>46059</v>
      </c>
      <c r="C45" s="225" t="s">
        <v>78</v>
      </c>
      <c r="D45" s="224" t="s">
        <v>84</v>
      </c>
      <c r="E45" s="224" t="s">
        <v>172</v>
      </c>
      <c r="F45" s="250" t="s">
        <v>27</v>
      </c>
      <c r="G45" s="250" t="s">
        <v>110</v>
      </c>
      <c r="H45" s="250">
        <v>276</v>
      </c>
      <c r="I45" s="250">
        <v>6</v>
      </c>
      <c r="J45" s="250">
        <f t="shared" si="0"/>
        <v>46</v>
      </c>
      <c r="K45" s="250"/>
      <c r="L45" s="250"/>
      <c r="M45" s="250"/>
      <c r="N45" s="250"/>
      <c r="O45" s="250"/>
      <c r="P45" s="250"/>
      <c r="Q45" s="250"/>
      <c r="R45" s="250"/>
      <c r="S45" s="250"/>
      <c r="T45" s="250"/>
      <c r="U45" s="250"/>
      <c r="V45" s="250"/>
      <c r="W45" s="250"/>
      <c r="X45" s="250"/>
      <c r="Y45" s="250"/>
      <c r="Z45" s="250"/>
      <c r="AA45" s="250"/>
      <c r="AB45" s="250">
        <f>H45</f>
        <v>276</v>
      </c>
      <c r="AC45" s="250"/>
      <c r="AD45" s="250"/>
      <c r="AE45" s="250"/>
      <c r="AF45" s="250"/>
      <c r="AG45" s="250"/>
      <c r="AH45" s="250"/>
      <c r="AI45" s="250"/>
      <c r="AJ45" s="250"/>
      <c r="AK45" s="250"/>
      <c r="AL45" s="250"/>
      <c r="AM45" s="250"/>
      <c r="AN45" s="250"/>
      <c r="AO45" s="250"/>
      <c r="AP45" s="250"/>
      <c r="AQ45" s="250"/>
      <c r="AR45" s="250"/>
      <c r="AS45" s="250"/>
      <c r="AT45" s="250"/>
      <c r="AU45" s="250"/>
      <c r="AV45" s="250"/>
      <c r="AW45" s="250"/>
      <c r="AX45" s="250"/>
      <c r="AY45" s="250"/>
      <c r="AZ45" s="250"/>
      <c r="BA45" s="250"/>
      <c r="BB45" s="250"/>
      <c r="BC45" s="250"/>
      <c r="BD45" s="250"/>
      <c r="BE45" s="250"/>
      <c r="BF45" s="250"/>
      <c r="BG45" s="250"/>
      <c r="BH45" s="250"/>
      <c r="BI45" s="250"/>
      <c r="BJ45" s="250"/>
      <c r="BK45" s="250"/>
      <c r="BL45" s="250"/>
      <c r="BM45" s="250"/>
      <c r="BN45" s="250"/>
      <c r="BO45" s="250"/>
      <c r="BP45" s="250"/>
      <c r="BQ45" s="250"/>
      <c r="BR45" s="250"/>
      <c r="BS45" s="250"/>
      <c r="BT45" s="250"/>
      <c r="BU45" s="250"/>
      <c r="BV45" s="235">
        <v>3.088</v>
      </c>
      <c r="BW45" s="487">
        <f t="shared" si="1"/>
        <v>852.288</v>
      </c>
      <c r="BX45" s="487">
        <f t="shared" si="2"/>
        <v>6605.232</v>
      </c>
      <c r="BY45" s="249" t="s">
        <v>173</v>
      </c>
      <c r="BZ45" s="250" t="s">
        <v>83</v>
      </c>
    </row>
    <row r="46" s="470" customFormat="1" ht="25" customHeight="1" spans="1:78">
      <c r="A46" s="251">
        <v>46010</v>
      </c>
      <c r="B46" s="251">
        <v>46167</v>
      </c>
      <c r="C46" s="252" t="s">
        <v>174</v>
      </c>
      <c r="D46" s="252" t="s">
        <v>175</v>
      </c>
      <c r="E46" s="252" t="s">
        <v>176</v>
      </c>
      <c r="F46" s="488" t="s">
        <v>10</v>
      </c>
      <c r="G46" s="488" t="s">
        <v>128</v>
      </c>
      <c r="H46" s="488">
        <v>804</v>
      </c>
      <c r="I46" s="488">
        <v>6</v>
      </c>
      <c r="J46" s="488">
        <f t="shared" si="0"/>
        <v>134</v>
      </c>
      <c r="K46" s="488">
        <f>H46</f>
        <v>804</v>
      </c>
      <c r="L46" s="488"/>
      <c r="M46" s="488"/>
      <c r="N46" s="488"/>
      <c r="O46" s="488"/>
      <c r="P46" s="488"/>
      <c r="Q46" s="488"/>
      <c r="R46" s="488"/>
      <c r="S46" s="488"/>
      <c r="T46" s="488"/>
      <c r="U46" s="488"/>
      <c r="V46" s="488"/>
      <c r="W46" s="488"/>
      <c r="X46" s="488"/>
      <c r="Y46" s="488"/>
      <c r="Z46" s="488"/>
      <c r="AA46" s="488"/>
      <c r="AB46" s="488"/>
      <c r="AC46" s="488"/>
      <c r="AD46" s="488"/>
      <c r="AE46" s="488"/>
      <c r="AF46" s="488"/>
      <c r="AG46" s="488"/>
      <c r="AH46" s="488"/>
      <c r="AI46" s="488"/>
      <c r="AJ46" s="488"/>
      <c r="AK46" s="488"/>
      <c r="AL46" s="488"/>
      <c r="AM46" s="488"/>
      <c r="AN46" s="488"/>
      <c r="AO46" s="488"/>
      <c r="AP46" s="488"/>
      <c r="AQ46" s="488"/>
      <c r="AR46" s="488"/>
      <c r="AS46" s="488"/>
      <c r="AT46" s="488"/>
      <c r="AU46" s="488"/>
      <c r="AV46" s="488"/>
      <c r="AW46" s="488"/>
      <c r="AX46" s="488"/>
      <c r="AY46" s="488"/>
      <c r="AZ46" s="488"/>
      <c r="BA46" s="488"/>
      <c r="BB46" s="488"/>
      <c r="BC46" s="488"/>
      <c r="BD46" s="488"/>
      <c r="BE46" s="488"/>
      <c r="BF46" s="488"/>
      <c r="BG46" s="488"/>
      <c r="BH46" s="488"/>
      <c r="BI46" s="488"/>
      <c r="BJ46" s="488"/>
      <c r="BK46" s="488"/>
      <c r="BL46" s="488"/>
      <c r="BM46" s="488"/>
      <c r="BN46" s="488"/>
      <c r="BO46" s="488"/>
      <c r="BP46" s="488"/>
      <c r="BQ46" s="488"/>
      <c r="BR46" s="488"/>
      <c r="BS46" s="488"/>
      <c r="BT46" s="488"/>
      <c r="BU46" s="488"/>
      <c r="BV46" s="262">
        <v>3.405</v>
      </c>
      <c r="BW46" s="489">
        <f t="shared" si="1"/>
        <v>2737.62</v>
      </c>
      <c r="BX46" s="489">
        <f t="shared" si="2"/>
        <v>21216.555</v>
      </c>
      <c r="BY46" s="252" t="s">
        <v>177</v>
      </c>
      <c r="BZ46" s="488" t="s">
        <v>83</v>
      </c>
    </row>
    <row r="47" s="470" customFormat="1" ht="25" customHeight="1" spans="1:78">
      <c r="A47" s="251">
        <v>46010</v>
      </c>
      <c r="B47" s="251">
        <v>46167</v>
      </c>
      <c r="C47" s="252" t="s">
        <v>174</v>
      </c>
      <c r="D47" s="252" t="s">
        <v>175</v>
      </c>
      <c r="E47" s="252" t="s">
        <v>176</v>
      </c>
      <c r="F47" s="488" t="s">
        <v>11</v>
      </c>
      <c r="G47" s="488" t="s">
        <v>178</v>
      </c>
      <c r="H47" s="488">
        <v>504</v>
      </c>
      <c r="I47" s="488">
        <v>6</v>
      </c>
      <c r="J47" s="488">
        <f t="shared" si="0"/>
        <v>84</v>
      </c>
      <c r="K47" s="488"/>
      <c r="L47" s="488">
        <f>H47</f>
        <v>504</v>
      </c>
      <c r="M47" s="488"/>
      <c r="N47" s="488"/>
      <c r="O47" s="488"/>
      <c r="P47" s="488"/>
      <c r="Q47" s="488"/>
      <c r="R47" s="488"/>
      <c r="S47" s="488"/>
      <c r="T47" s="488"/>
      <c r="U47" s="488"/>
      <c r="V47" s="488"/>
      <c r="W47" s="488"/>
      <c r="X47" s="488"/>
      <c r="Y47" s="488"/>
      <c r="Z47" s="488"/>
      <c r="AA47" s="488"/>
      <c r="AB47" s="488"/>
      <c r="AC47" s="488"/>
      <c r="AD47" s="488"/>
      <c r="AE47" s="488"/>
      <c r="AF47" s="488"/>
      <c r="AG47" s="488"/>
      <c r="AH47" s="488"/>
      <c r="AI47" s="488"/>
      <c r="AJ47" s="488"/>
      <c r="AK47" s="488"/>
      <c r="AL47" s="488"/>
      <c r="AM47" s="488"/>
      <c r="AN47" s="488"/>
      <c r="AO47" s="488"/>
      <c r="AP47" s="488"/>
      <c r="AQ47" s="488"/>
      <c r="AR47" s="488"/>
      <c r="AS47" s="488"/>
      <c r="AT47" s="488"/>
      <c r="AU47" s="488"/>
      <c r="AV47" s="488"/>
      <c r="AW47" s="488"/>
      <c r="AX47" s="488"/>
      <c r="AY47" s="488"/>
      <c r="AZ47" s="488"/>
      <c r="BA47" s="488"/>
      <c r="BB47" s="488"/>
      <c r="BC47" s="488"/>
      <c r="BD47" s="488"/>
      <c r="BE47" s="488"/>
      <c r="BF47" s="488"/>
      <c r="BG47" s="488"/>
      <c r="BH47" s="488"/>
      <c r="BI47" s="488"/>
      <c r="BJ47" s="488"/>
      <c r="BK47" s="488"/>
      <c r="BL47" s="488"/>
      <c r="BM47" s="488"/>
      <c r="BN47" s="488"/>
      <c r="BO47" s="488"/>
      <c r="BP47" s="488"/>
      <c r="BQ47" s="488"/>
      <c r="BR47" s="488"/>
      <c r="BS47" s="488"/>
      <c r="BT47" s="488"/>
      <c r="BU47" s="488"/>
      <c r="BV47" s="262">
        <v>3.149</v>
      </c>
      <c r="BW47" s="489">
        <f t="shared" si="1"/>
        <v>1587.096</v>
      </c>
      <c r="BX47" s="489">
        <f t="shared" si="2"/>
        <v>12299.994</v>
      </c>
      <c r="BY47" s="252" t="s">
        <v>177</v>
      </c>
      <c r="BZ47" s="488" t="s">
        <v>83</v>
      </c>
    </row>
    <row r="48" s="470" customFormat="1" ht="25" customHeight="1" spans="1:78">
      <c r="A48" s="251">
        <v>46010</v>
      </c>
      <c r="B48" s="251">
        <v>46167</v>
      </c>
      <c r="C48" s="252" t="s">
        <v>174</v>
      </c>
      <c r="D48" s="252" t="s">
        <v>175</v>
      </c>
      <c r="E48" s="252" t="s">
        <v>176</v>
      </c>
      <c r="F48" s="488" t="s">
        <v>14</v>
      </c>
      <c r="G48" s="488" t="s">
        <v>112</v>
      </c>
      <c r="H48" s="488">
        <v>504</v>
      </c>
      <c r="I48" s="488">
        <v>6</v>
      </c>
      <c r="J48" s="488">
        <f t="shared" si="0"/>
        <v>84</v>
      </c>
      <c r="K48" s="488"/>
      <c r="L48" s="488"/>
      <c r="M48" s="488"/>
      <c r="N48" s="488"/>
      <c r="O48" s="488">
        <f>H48</f>
        <v>504</v>
      </c>
      <c r="P48" s="488"/>
      <c r="Q48" s="488"/>
      <c r="R48" s="488"/>
      <c r="S48" s="488"/>
      <c r="T48" s="488"/>
      <c r="U48" s="488"/>
      <c r="V48" s="488"/>
      <c r="W48" s="488"/>
      <c r="X48" s="488"/>
      <c r="Y48" s="488"/>
      <c r="Z48" s="488"/>
      <c r="AA48" s="488"/>
      <c r="AB48" s="488"/>
      <c r="AC48" s="488"/>
      <c r="AD48" s="488"/>
      <c r="AE48" s="488"/>
      <c r="AF48" s="488"/>
      <c r="AG48" s="488"/>
      <c r="AH48" s="488"/>
      <c r="AI48" s="488"/>
      <c r="AJ48" s="488"/>
      <c r="AK48" s="488"/>
      <c r="AL48" s="488"/>
      <c r="AM48" s="488"/>
      <c r="AN48" s="488"/>
      <c r="AO48" s="488"/>
      <c r="AP48" s="488"/>
      <c r="AQ48" s="488"/>
      <c r="AR48" s="488"/>
      <c r="AS48" s="488"/>
      <c r="AT48" s="488"/>
      <c r="AU48" s="488"/>
      <c r="AV48" s="488"/>
      <c r="AW48" s="488"/>
      <c r="AX48" s="488"/>
      <c r="AY48" s="488"/>
      <c r="AZ48" s="488"/>
      <c r="BA48" s="488"/>
      <c r="BB48" s="488"/>
      <c r="BC48" s="488"/>
      <c r="BD48" s="488"/>
      <c r="BE48" s="488"/>
      <c r="BF48" s="488"/>
      <c r="BG48" s="488"/>
      <c r="BH48" s="488"/>
      <c r="BI48" s="488"/>
      <c r="BJ48" s="488"/>
      <c r="BK48" s="488"/>
      <c r="BL48" s="488"/>
      <c r="BM48" s="488"/>
      <c r="BN48" s="488"/>
      <c r="BO48" s="488"/>
      <c r="BP48" s="488"/>
      <c r="BQ48" s="488"/>
      <c r="BR48" s="488"/>
      <c r="BS48" s="488"/>
      <c r="BT48" s="488"/>
      <c r="BU48" s="488"/>
      <c r="BV48" s="262">
        <v>3.09</v>
      </c>
      <c r="BW48" s="489">
        <f t="shared" si="1"/>
        <v>1557.36</v>
      </c>
      <c r="BX48" s="489">
        <f t="shared" si="2"/>
        <v>12069.54</v>
      </c>
      <c r="BY48" s="252" t="s">
        <v>177</v>
      </c>
      <c r="BZ48" s="488" t="s">
        <v>83</v>
      </c>
    </row>
    <row r="49" s="469" customFormat="1" ht="25" customHeight="1" spans="1:78">
      <c r="A49" s="223">
        <v>46010</v>
      </c>
      <c r="B49" s="223">
        <v>46094</v>
      </c>
      <c r="C49" s="224" t="s">
        <v>179</v>
      </c>
      <c r="D49" s="224" t="s">
        <v>180</v>
      </c>
      <c r="E49" s="224" t="s">
        <v>181</v>
      </c>
      <c r="F49" s="250" t="s">
        <v>10</v>
      </c>
      <c r="G49" s="250" t="s">
        <v>128</v>
      </c>
      <c r="H49" s="250">
        <v>804</v>
      </c>
      <c r="I49" s="250">
        <v>6</v>
      </c>
      <c r="J49" s="250">
        <f t="shared" si="0"/>
        <v>134</v>
      </c>
      <c r="K49" s="250">
        <f>H49</f>
        <v>804</v>
      </c>
      <c r="L49" s="250"/>
      <c r="M49" s="250"/>
      <c r="N49" s="250"/>
      <c r="O49" s="250"/>
      <c r="P49" s="250"/>
      <c r="Q49" s="250"/>
      <c r="R49" s="250"/>
      <c r="S49" s="250"/>
      <c r="T49" s="250"/>
      <c r="U49" s="250"/>
      <c r="V49" s="250"/>
      <c r="W49" s="250"/>
      <c r="X49" s="250"/>
      <c r="Y49" s="250"/>
      <c r="Z49" s="250"/>
      <c r="AA49" s="250"/>
      <c r="AB49" s="250"/>
      <c r="AC49" s="250"/>
      <c r="AD49" s="250"/>
      <c r="AE49" s="250"/>
      <c r="AF49" s="250"/>
      <c r="AG49" s="250"/>
      <c r="AH49" s="250"/>
      <c r="AI49" s="250"/>
      <c r="AJ49" s="250"/>
      <c r="AK49" s="250"/>
      <c r="AL49" s="250"/>
      <c r="AM49" s="250"/>
      <c r="AN49" s="250"/>
      <c r="AO49" s="250"/>
      <c r="AP49" s="250"/>
      <c r="AQ49" s="250"/>
      <c r="AR49" s="250"/>
      <c r="AS49" s="250"/>
      <c r="AT49" s="250"/>
      <c r="AU49" s="250"/>
      <c r="AV49" s="250"/>
      <c r="AW49" s="250"/>
      <c r="AX49" s="250"/>
      <c r="AY49" s="250"/>
      <c r="AZ49" s="250"/>
      <c r="BA49" s="250"/>
      <c r="BB49" s="250"/>
      <c r="BC49" s="250"/>
      <c r="BD49" s="250"/>
      <c r="BE49" s="250"/>
      <c r="BF49" s="250"/>
      <c r="BG49" s="250"/>
      <c r="BH49" s="250"/>
      <c r="BI49" s="250"/>
      <c r="BJ49" s="250"/>
      <c r="BK49" s="250"/>
      <c r="BL49" s="250"/>
      <c r="BM49" s="250"/>
      <c r="BN49" s="250"/>
      <c r="BO49" s="250"/>
      <c r="BP49" s="250"/>
      <c r="BQ49" s="250"/>
      <c r="BR49" s="250"/>
      <c r="BS49" s="250"/>
      <c r="BT49" s="250"/>
      <c r="BU49" s="250"/>
      <c r="BV49" s="235">
        <v>3.405</v>
      </c>
      <c r="BW49" s="487">
        <f t="shared" si="1"/>
        <v>2737.62</v>
      </c>
      <c r="BX49" s="487">
        <f t="shared" si="2"/>
        <v>21216.555</v>
      </c>
      <c r="BY49" s="224" t="s">
        <v>182</v>
      </c>
      <c r="BZ49" s="250" t="s">
        <v>83</v>
      </c>
    </row>
    <row r="50" s="469" customFormat="1" ht="25" customHeight="1" spans="1:78">
      <c r="A50" s="223">
        <v>46010</v>
      </c>
      <c r="B50" s="223">
        <v>46094</v>
      </c>
      <c r="C50" s="224" t="s">
        <v>179</v>
      </c>
      <c r="D50" s="224" t="s">
        <v>180</v>
      </c>
      <c r="E50" s="224" t="s">
        <v>181</v>
      </c>
      <c r="F50" s="250" t="s">
        <v>11</v>
      </c>
      <c r="G50" s="250" t="s">
        <v>178</v>
      </c>
      <c r="H50" s="250">
        <v>504</v>
      </c>
      <c r="I50" s="250">
        <v>6</v>
      </c>
      <c r="J50" s="250">
        <f t="shared" si="0"/>
        <v>84</v>
      </c>
      <c r="K50" s="250"/>
      <c r="L50" s="250">
        <f>H50</f>
        <v>504</v>
      </c>
      <c r="M50" s="250"/>
      <c r="N50" s="250"/>
      <c r="O50" s="250"/>
      <c r="P50" s="250"/>
      <c r="Q50" s="250"/>
      <c r="R50" s="250"/>
      <c r="S50" s="250"/>
      <c r="T50" s="250"/>
      <c r="U50" s="250"/>
      <c r="V50" s="250"/>
      <c r="W50" s="250"/>
      <c r="X50" s="250"/>
      <c r="Y50" s="250"/>
      <c r="Z50" s="250"/>
      <c r="AA50" s="250"/>
      <c r="AB50" s="250"/>
      <c r="AC50" s="250"/>
      <c r="AD50" s="250"/>
      <c r="AE50" s="250"/>
      <c r="AF50" s="250"/>
      <c r="AG50" s="250"/>
      <c r="AH50" s="250"/>
      <c r="AI50" s="250"/>
      <c r="AJ50" s="250"/>
      <c r="AK50" s="250"/>
      <c r="AL50" s="250"/>
      <c r="AM50" s="250"/>
      <c r="AN50" s="250"/>
      <c r="AO50" s="250"/>
      <c r="AP50" s="250"/>
      <c r="AQ50" s="250"/>
      <c r="AR50" s="250"/>
      <c r="AS50" s="250"/>
      <c r="AT50" s="250"/>
      <c r="AU50" s="250"/>
      <c r="AV50" s="250"/>
      <c r="AW50" s="250"/>
      <c r="AX50" s="250"/>
      <c r="AY50" s="250"/>
      <c r="AZ50" s="250"/>
      <c r="BA50" s="250"/>
      <c r="BB50" s="250"/>
      <c r="BC50" s="250"/>
      <c r="BD50" s="250"/>
      <c r="BE50" s="250"/>
      <c r="BF50" s="250"/>
      <c r="BG50" s="250"/>
      <c r="BH50" s="250"/>
      <c r="BI50" s="250"/>
      <c r="BJ50" s="250"/>
      <c r="BK50" s="250"/>
      <c r="BL50" s="250"/>
      <c r="BM50" s="250"/>
      <c r="BN50" s="250"/>
      <c r="BO50" s="250"/>
      <c r="BP50" s="250"/>
      <c r="BQ50" s="250"/>
      <c r="BR50" s="250"/>
      <c r="BS50" s="250"/>
      <c r="BT50" s="250"/>
      <c r="BU50" s="250"/>
      <c r="BV50" s="235">
        <v>3.149</v>
      </c>
      <c r="BW50" s="487">
        <f t="shared" si="1"/>
        <v>1587.096</v>
      </c>
      <c r="BX50" s="487">
        <f t="shared" si="2"/>
        <v>12299.994</v>
      </c>
      <c r="BY50" s="224" t="s">
        <v>182</v>
      </c>
      <c r="BZ50" s="250" t="s">
        <v>83</v>
      </c>
    </row>
    <row r="51" s="469" customFormat="1" ht="25" customHeight="1" spans="1:78">
      <c r="A51" s="223">
        <v>46010</v>
      </c>
      <c r="B51" s="223">
        <v>46094</v>
      </c>
      <c r="C51" s="224" t="s">
        <v>179</v>
      </c>
      <c r="D51" s="224" t="s">
        <v>180</v>
      </c>
      <c r="E51" s="224" t="s">
        <v>181</v>
      </c>
      <c r="F51" s="250" t="s">
        <v>14</v>
      </c>
      <c r="G51" s="250" t="s">
        <v>112</v>
      </c>
      <c r="H51" s="250">
        <v>504</v>
      </c>
      <c r="I51" s="250">
        <v>6</v>
      </c>
      <c r="J51" s="250">
        <f t="shared" si="0"/>
        <v>84</v>
      </c>
      <c r="K51" s="250"/>
      <c r="L51" s="250"/>
      <c r="M51" s="250"/>
      <c r="N51" s="250"/>
      <c r="O51" s="250">
        <f>H51</f>
        <v>504</v>
      </c>
      <c r="P51" s="250"/>
      <c r="Q51" s="250"/>
      <c r="R51" s="250"/>
      <c r="S51" s="250"/>
      <c r="T51" s="250"/>
      <c r="U51" s="250"/>
      <c r="V51" s="250"/>
      <c r="W51" s="250"/>
      <c r="X51" s="250"/>
      <c r="Y51" s="250"/>
      <c r="Z51" s="250"/>
      <c r="AA51" s="250"/>
      <c r="AB51" s="250"/>
      <c r="AC51" s="250"/>
      <c r="AD51" s="250"/>
      <c r="AE51" s="250"/>
      <c r="AF51" s="250"/>
      <c r="AG51" s="250"/>
      <c r="AH51" s="250"/>
      <c r="AI51" s="250"/>
      <c r="AJ51" s="250"/>
      <c r="AK51" s="250"/>
      <c r="AL51" s="250"/>
      <c r="AM51" s="250"/>
      <c r="AN51" s="250"/>
      <c r="AO51" s="250"/>
      <c r="AP51" s="250"/>
      <c r="AQ51" s="250"/>
      <c r="AR51" s="250"/>
      <c r="AS51" s="250"/>
      <c r="AT51" s="250"/>
      <c r="AU51" s="250"/>
      <c r="AV51" s="250"/>
      <c r="AW51" s="250"/>
      <c r="AX51" s="250"/>
      <c r="AY51" s="250"/>
      <c r="AZ51" s="250"/>
      <c r="BA51" s="250"/>
      <c r="BB51" s="250"/>
      <c r="BC51" s="250"/>
      <c r="BD51" s="250"/>
      <c r="BE51" s="250"/>
      <c r="BF51" s="250"/>
      <c r="BG51" s="250"/>
      <c r="BH51" s="250"/>
      <c r="BI51" s="250"/>
      <c r="BJ51" s="250"/>
      <c r="BK51" s="250"/>
      <c r="BL51" s="250"/>
      <c r="BM51" s="250"/>
      <c r="BN51" s="250"/>
      <c r="BO51" s="250"/>
      <c r="BP51" s="250"/>
      <c r="BQ51" s="250"/>
      <c r="BR51" s="250"/>
      <c r="BS51" s="250"/>
      <c r="BT51" s="250"/>
      <c r="BU51" s="250"/>
      <c r="BV51" s="235">
        <v>3.09</v>
      </c>
      <c r="BW51" s="487">
        <f t="shared" si="1"/>
        <v>1557.36</v>
      </c>
      <c r="BX51" s="487">
        <f t="shared" si="2"/>
        <v>12069.54</v>
      </c>
      <c r="BY51" s="224" t="s">
        <v>182</v>
      </c>
      <c r="BZ51" s="250" t="s">
        <v>83</v>
      </c>
    </row>
    <row r="52" s="471" customFormat="1" ht="25" customHeight="1" spans="1:78">
      <c r="A52" s="223">
        <v>46010</v>
      </c>
      <c r="B52" s="223">
        <v>46094</v>
      </c>
      <c r="C52" s="224" t="s">
        <v>183</v>
      </c>
      <c r="D52" s="224" t="s">
        <v>184</v>
      </c>
      <c r="E52" s="224" t="s">
        <v>185</v>
      </c>
      <c r="F52" s="250" t="s">
        <v>10</v>
      </c>
      <c r="G52" s="250" t="s">
        <v>128</v>
      </c>
      <c r="H52" s="250">
        <v>204</v>
      </c>
      <c r="I52" s="250">
        <v>6</v>
      </c>
      <c r="J52" s="250">
        <f t="shared" si="0"/>
        <v>34</v>
      </c>
      <c r="K52" s="250">
        <f>H52</f>
        <v>204</v>
      </c>
      <c r="L52" s="250"/>
      <c r="M52" s="250"/>
      <c r="N52" s="250"/>
      <c r="O52" s="250"/>
      <c r="P52" s="250"/>
      <c r="Q52" s="250"/>
      <c r="R52" s="250"/>
      <c r="S52" s="250"/>
      <c r="T52" s="250"/>
      <c r="U52" s="250"/>
      <c r="V52" s="250"/>
      <c r="W52" s="250"/>
      <c r="X52" s="250"/>
      <c r="Y52" s="250"/>
      <c r="Z52" s="250"/>
      <c r="AA52" s="250"/>
      <c r="AB52" s="250"/>
      <c r="AC52" s="250"/>
      <c r="AD52" s="250"/>
      <c r="AE52" s="250"/>
      <c r="AF52" s="250"/>
      <c r="AG52" s="250"/>
      <c r="AH52" s="250"/>
      <c r="AI52" s="250"/>
      <c r="AJ52" s="250"/>
      <c r="AK52" s="250"/>
      <c r="AL52" s="250"/>
      <c r="AM52" s="250"/>
      <c r="AN52" s="250"/>
      <c r="AO52" s="250"/>
      <c r="AP52" s="250"/>
      <c r="AQ52" s="250"/>
      <c r="AR52" s="250"/>
      <c r="AS52" s="250"/>
      <c r="AT52" s="250"/>
      <c r="AU52" s="250"/>
      <c r="AV52" s="250"/>
      <c r="AW52" s="250"/>
      <c r="AX52" s="250"/>
      <c r="AY52" s="250"/>
      <c r="AZ52" s="250"/>
      <c r="BA52" s="250"/>
      <c r="BB52" s="250"/>
      <c r="BC52" s="250"/>
      <c r="BD52" s="250"/>
      <c r="BE52" s="250"/>
      <c r="BF52" s="250"/>
      <c r="BG52" s="250"/>
      <c r="BH52" s="250"/>
      <c r="BI52" s="250"/>
      <c r="BJ52" s="250"/>
      <c r="BK52" s="250"/>
      <c r="BL52" s="250"/>
      <c r="BM52" s="250"/>
      <c r="BN52" s="250"/>
      <c r="BO52" s="250"/>
      <c r="BP52" s="250"/>
      <c r="BQ52" s="250"/>
      <c r="BR52" s="250"/>
      <c r="BS52" s="250"/>
      <c r="BT52" s="250"/>
      <c r="BU52" s="250"/>
      <c r="BV52" s="235">
        <v>3.405</v>
      </c>
      <c r="BW52" s="487">
        <f t="shared" si="1"/>
        <v>694.62</v>
      </c>
      <c r="BX52" s="487">
        <f t="shared" si="2"/>
        <v>5383.305</v>
      </c>
      <c r="BY52" s="224" t="s">
        <v>186</v>
      </c>
      <c r="BZ52" s="250" t="s">
        <v>83</v>
      </c>
    </row>
    <row r="53" s="471" customFormat="1" ht="25" customHeight="1" spans="1:78">
      <c r="A53" s="223">
        <v>46010</v>
      </c>
      <c r="B53" s="223">
        <v>46094</v>
      </c>
      <c r="C53" s="224" t="s">
        <v>183</v>
      </c>
      <c r="D53" s="224" t="s">
        <v>184</v>
      </c>
      <c r="E53" s="224" t="s">
        <v>185</v>
      </c>
      <c r="F53" s="250" t="s">
        <v>11</v>
      </c>
      <c r="G53" s="250" t="s">
        <v>178</v>
      </c>
      <c r="H53" s="250">
        <v>162</v>
      </c>
      <c r="I53" s="250">
        <v>6</v>
      </c>
      <c r="J53" s="250">
        <f t="shared" si="0"/>
        <v>27</v>
      </c>
      <c r="K53" s="250"/>
      <c r="L53" s="250">
        <f>H53</f>
        <v>162</v>
      </c>
      <c r="M53" s="250"/>
      <c r="N53" s="250"/>
      <c r="O53" s="250"/>
      <c r="P53" s="250"/>
      <c r="Q53" s="250"/>
      <c r="R53" s="250"/>
      <c r="S53" s="250"/>
      <c r="T53" s="250"/>
      <c r="U53" s="250"/>
      <c r="V53" s="250"/>
      <c r="W53" s="250"/>
      <c r="X53" s="250"/>
      <c r="Y53" s="250"/>
      <c r="Z53" s="250"/>
      <c r="AA53" s="250"/>
      <c r="AB53" s="250"/>
      <c r="AC53" s="250"/>
      <c r="AD53" s="250"/>
      <c r="AE53" s="250"/>
      <c r="AF53" s="250"/>
      <c r="AG53" s="250"/>
      <c r="AH53" s="250"/>
      <c r="AI53" s="250"/>
      <c r="AJ53" s="250"/>
      <c r="AK53" s="250"/>
      <c r="AL53" s="250"/>
      <c r="AM53" s="250"/>
      <c r="AN53" s="250"/>
      <c r="AO53" s="250"/>
      <c r="AP53" s="250"/>
      <c r="AQ53" s="250"/>
      <c r="AR53" s="250"/>
      <c r="AS53" s="250"/>
      <c r="AT53" s="250"/>
      <c r="AU53" s="250"/>
      <c r="AV53" s="250"/>
      <c r="AW53" s="250"/>
      <c r="AX53" s="250"/>
      <c r="AY53" s="250"/>
      <c r="AZ53" s="250"/>
      <c r="BA53" s="250"/>
      <c r="BB53" s="250"/>
      <c r="BC53" s="250"/>
      <c r="BD53" s="250"/>
      <c r="BE53" s="250"/>
      <c r="BF53" s="250"/>
      <c r="BG53" s="250"/>
      <c r="BH53" s="250"/>
      <c r="BI53" s="250"/>
      <c r="BJ53" s="250"/>
      <c r="BK53" s="250"/>
      <c r="BL53" s="250"/>
      <c r="BM53" s="250"/>
      <c r="BN53" s="250"/>
      <c r="BO53" s="250"/>
      <c r="BP53" s="250"/>
      <c r="BQ53" s="250"/>
      <c r="BR53" s="250"/>
      <c r="BS53" s="250"/>
      <c r="BT53" s="250"/>
      <c r="BU53" s="250"/>
      <c r="BV53" s="235">
        <v>3.149</v>
      </c>
      <c r="BW53" s="487">
        <f t="shared" si="1"/>
        <v>510.138</v>
      </c>
      <c r="BX53" s="487">
        <f t="shared" si="2"/>
        <v>3953.5695</v>
      </c>
      <c r="BY53" s="224" t="s">
        <v>186</v>
      </c>
      <c r="BZ53" s="250" t="s">
        <v>83</v>
      </c>
    </row>
    <row r="54" s="471" customFormat="1" ht="25" customHeight="1" spans="1:78">
      <c r="A54" s="223">
        <v>46010</v>
      </c>
      <c r="B54" s="223">
        <v>46094</v>
      </c>
      <c r="C54" s="224" t="s">
        <v>183</v>
      </c>
      <c r="D54" s="224" t="s">
        <v>184</v>
      </c>
      <c r="E54" s="224" t="s">
        <v>185</v>
      </c>
      <c r="F54" s="250" t="s">
        <v>14</v>
      </c>
      <c r="G54" s="250" t="s">
        <v>112</v>
      </c>
      <c r="H54" s="250">
        <v>162</v>
      </c>
      <c r="I54" s="250">
        <v>6</v>
      </c>
      <c r="J54" s="250">
        <f t="shared" si="0"/>
        <v>27</v>
      </c>
      <c r="K54" s="250"/>
      <c r="L54" s="250"/>
      <c r="M54" s="250"/>
      <c r="N54" s="250"/>
      <c r="O54" s="250">
        <f>H54</f>
        <v>162</v>
      </c>
      <c r="P54" s="250"/>
      <c r="Q54" s="250"/>
      <c r="R54" s="250"/>
      <c r="S54" s="250"/>
      <c r="T54" s="250"/>
      <c r="U54" s="250"/>
      <c r="V54" s="250"/>
      <c r="W54" s="250"/>
      <c r="X54" s="250"/>
      <c r="Y54" s="250"/>
      <c r="Z54" s="250"/>
      <c r="AA54" s="250"/>
      <c r="AB54" s="250"/>
      <c r="AC54" s="250"/>
      <c r="AD54" s="250"/>
      <c r="AE54" s="250"/>
      <c r="AF54" s="250"/>
      <c r="AG54" s="250"/>
      <c r="AH54" s="250"/>
      <c r="AI54" s="250"/>
      <c r="AJ54" s="250"/>
      <c r="AK54" s="250"/>
      <c r="AL54" s="250"/>
      <c r="AM54" s="250"/>
      <c r="AN54" s="250"/>
      <c r="AO54" s="250"/>
      <c r="AP54" s="250"/>
      <c r="AQ54" s="250"/>
      <c r="AR54" s="250"/>
      <c r="AS54" s="250"/>
      <c r="AT54" s="250"/>
      <c r="AU54" s="250"/>
      <c r="AV54" s="250"/>
      <c r="AW54" s="250"/>
      <c r="AX54" s="250"/>
      <c r="AY54" s="250"/>
      <c r="AZ54" s="250"/>
      <c r="BA54" s="250"/>
      <c r="BB54" s="250"/>
      <c r="BC54" s="250"/>
      <c r="BD54" s="250"/>
      <c r="BE54" s="250"/>
      <c r="BF54" s="250"/>
      <c r="BG54" s="250"/>
      <c r="BH54" s="250"/>
      <c r="BI54" s="250"/>
      <c r="BJ54" s="250"/>
      <c r="BK54" s="250"/>
      <c r="BL54" s="250"/>
      <c r="BM54" s="250"/>
      <c r="BN54" s="250"/>
      <c r="BO54" s="250"/>
      <c r="BP54" s="250"/>
      <c r="BQ54" s="250"/>
      <c r="BR54" s="250"/>
      <c r="BS54" s="250"/>
      <c r="BT54" s="250"/>
      <c r="BU54" s="250"/>
      <c r="BV54" s="235">
        <v>3.09</v>
      </c>
      <c r="BW54" s="487">
        <f t="shared" si="1"/>
        <v>500.58</v>
      </c>
      <c r="BX54" s="487">
        <f t="shared" si="2"/>
        <v>3879.495</v>
      </c>
      <c r="BY54" s="224" t="s">
        <v>186</v>
      </c>
      <c r="BZ54" s="250" t="s">
        <v>83</v>
      </c>
    </row>
    <row r="55" s="469" customFormat="1" ht="25" customHeight="1" spans="1:78">
      <c r="A55" s="223">
        <v>46015</v>
      </c>
      <c r="B55" s="223">
        <v>46087</v>
      </c>
      <c r="C55" s="224" t="s">
        <v>187</v>
      </c>
      <c r="D55" s="224" t="s">
        <v>188</v>
      </c>
      <c r="E55" s="224" t="s">
        <v>189</v>
      </c>
      <c r="F55" s="224" t="s">
        <v>49</v>
      </c>
      <c r="G55" s="224" t="s">
        <v>144</v>
      </c>
      <c r="H55" s="226">
        <v>1400</v>
      </c>
      <c r="I55" s="226">
        <v>4</v>
      </c>
      <c r="J55" s="250">
        <f t="shared" si="0"/>
        <v>350</v>
      </c>
      <c r="K55" s="250"/>
      <c r="L55" s="250"/>
      <c r="M55" s="250"/>
      <c r="N55" s="250"/>
      <c r="O55" s="250"/>
      <c r="P55" s="250"/>
      <c r="Q55" s="250"/>
      <c r="R55" s="250"/>
      <c r="S55" s="250"/>
      <c r="T55" s="250"/>
      <c r="U55" s="250"/>
      <c r="V55" s="250"/>
      <c r="W55" s="250"/>
      <c r="X55" s="250"/>
      <c r="Y55" s="250"/>
      <c r="Z55" s="250"/>
      <c r="AA55" s="250"/>
      <c r="AB55" s="250"/>
      <c r="AC55" s="250"/>
      <c r="AD55" s="250"/>
      <c r="AE55" s="250"/>
      <c r="AF55" s="250"/>
      <c r="AG55" s="250"/>
      <c r="AH55" s="250"/>
      <c r="AI55" s="250"/>
      <c r="AJ55" s="250"/>
      <c r="AK55" s="250"/>
      <c r="AL55" s="250"/>
      <c r="AM55" s="250"/>
      <c r="AN55" s="250"/>
      <c r="AO55" s="250"/>
      <c r="AP55" s="250"/>
      <c r="AQ55" s="250"/>
      <c r="AR55" s="250"/>
      <c r="AS55" s="250"/>
      <c r="AT55" s="250"/>
      <c r="AU55" s="250"/>
      <c r="AV55" s="250"/>
      <c r="AW55" s="250"/>
      <c r="AX55" s="250">
        <f>H55</f>
        <v>1400</v>
      </c>
      <c r="AY55" s="250"/>
      <c r="AZ55" s="250"/>
      <c r="BA55" s="250"/>
      <c r="BB55" s="250"/>
      <c r="BC55" s="250"/>
      <c r="BD55" s="250"/>
      <c r="BE55" s="250"/>
      <c r="BF55" s="250"/>
      <c r="BG55" s="250"/>
      <c r="BH55" s="250"/>
      <c r="BI55" s="250"/>
      <c r="BJ55" s="250"/>
      <c r="BK55" s="250"/>
      <c r="BL55" s="250"/>
      <c r="BM55" s="250"/>
      <c r="BN55" s="250"/>
      <c r="BO55" s="250"/>
      <c r="BP55" s="250"/>
      <c r="BQ55" s="250"/>
      <c r="BR55" s="250"/>
      <c r="BS55" s="250"/>
      <c r="BT55" s="250"/>
      <c r="BU55" s="250"/>
      <c r="BV55" s="235">
        <v>9.9</v>
      </c>
      <c r="BW55" s="487">
        <f t="shared" si="1"/>
        <v>13860</v>
      </c>
      <c r="BX55" s="487">
        <f t="shared" si="2"/>
        <v>107415</v>
      </c>
      <c r="BY55" s="249" t="s">
        <v>190</v>
      </c>
      <c r="BZ55" s="250" t="s">
        <v>146</v>
      </c>
    </row>
    <row r="56" s="469" customFormat="1" ht="25" customHeight="1" spans="1:78">
      <c r="A56" s="223">
        <v>46015</v>
      </c>
      <c r="B56" s="223">
        <v>46045</v>
      </c>
      <c r="C56" s="224" t="s">
        <v>78</v>
      </c>
      <c r="D56" s="224" t="s">
        <v>79</v>
      </c>
      <c r="E56" s="224" t="s">
        <v>191</v>
      </c>
      <c r="F56" s="226" t="s">
        <v>49</v>
      </c>
      <c r="G56" s="250" t="s">
        <v>144</v>
      </c>
      <c r="H56" s="250">
        <v>712</v>
      </c>
      <c r="I56" s="250">
        <v>4</v>
      </c>
      <c r="J56" s="250">
        <f t="shared" si="0"/>
        <v>178</v>
      </c>
      <c r="K56" s="250"/>
      <c r="L56" s="250"/>
      <c r="M56" s="250"/>
      <c r="N56" s="250"/>
      <c r="O56" s="250"/>
      <c r="P56" s="250"/>
      <c r="Q56" s="250"/>
      <c r="R56" s="250"/>
      <c r="S56" s="250"/>
      <c r="T56" s="250"/>
      <c r="U56" s="250"/>
      <c r="V56" s="250"/>
      <c r="W56" s="250"/>
      <c r="X56" s="250"/>
      <c r="Y56" s="250"/>
      <c r="Z56" s="250"/>
      <c r="AA56" s="250"/>
      <c r="AB56" s="250"/>
      <c r="AC56" s="250"/>
      <c r="AD56" s="250"/>
      <c r="AE56" s="250"/>
      <c r="AF56" s="250"/>
      <c r="AG56" s="250"/>
      <c r="AH56" s="250"/>
      <c r="AI56" s="250"/>
      <c r="AJ56" s="250"/>
      <c r="AK56" s="250"/>
      <c r="AL56" s="250"/>
      <c r="AM56" s="250"/>
      <c r="AN56" s="250"/>
      <c r="AO56" s="250"/>
      <c r="AP56" s="250"/>
      <c r="AQ56" s="250"/>
      <c r="AR56" s="250"/>
      <c r="AS56" s="250"/>
      <c r="AT56" s="250"/>
      <c r="AU56" s="250"/>
      <c r="AV56" s="250"/>
      <c r="AW56" s="250"/>
      <c r="AX56" s="250">
        <f>H56</f>
        <v>712</v>
      </c>
      <c r="AY56" s="250"/>
      <c r="AZ56" s="250"/>
      <c r="BA56" s="250"/>
      <c r="BB56" s="250"/>
      <c r="BC56" s="250"/>
      <c r="BD56" s="250"/>
      <c r="BE56" s="250"/>
      <c r="BF56" s="250"/>
      <c r="BG56" s="250"/>
      <c r="BH56" s="250"/>
      <c r="BI56" s="250"/>
      <c r="BJ56" s="250"/>
      <c r="BK56" s="250"/>
      <c r="BL56" s="250"/>
      <c r="BM56" s="250"/>
      <c r="BN56" s="250"/>
      <c r="BO56" s="250"/>
      <c r="BP56" s="250"/>
      <c r="BQ56" s="250"/>
      <c r="BR56" s="250"/>
      <c r="BS56" s="250"/>
      <c r="BT56" s="250"/>
      <c r="BU56" s="250"/>
      <c r="BV56" s="235">
        <v>10.262</v>
      </c>
      <c r="BW56" s="487">
        <f t="shared" si="1"/>
        <v>7306.544</v>
      </c>
      <c r="BX56" s="487">
        <f t="shared" si="2"/>
        <v>56625.716</v>
      </c>
      <c r="BY56" s="249" t="s">
        <v>192</v>
      </c>
      <c r="BZ56" s="250" t="s">
        <v>146</v>
      </c>
    </row>
    <row r="57" s="469" customFormat="1" ht="25" customHeight="1" spans="1:78">
      <c r="A57" s="223">
        <v>46015</v>
      </c>
      <c r="B57" s="223">
        <v>46045</v>
      </c>
      <c r="C57" s="224" t="s">
        <v>78</v>
      </c>
      <c r="D57" s="224" t="s">
        <v>84</v>
      </c>
      <c r="E57" s="224" t="s">
        <v>193</v>
      </c>
      <c r="F57" s="226" t="s">
        <v>49</v>
      </c>
      <c r="G57" s="250" t="s">
        <v>144</v>
      </c>
      <c r="H57" s="250">
        <v>80</v>
      </c>
      <c r="I57" s="250">
        <v>4</v>
      </c>
      <c r="J57" s="250">
        <f t="shared" si="0"/>
        <v>20</v>
      </c>
      <c r="K57" s="250"/>
      <c r="L57" s="250"/>
      <c r="M57" s="250"/>
      <c r="N57" s="250"/>
      <c r="O57" s="250"/>
      <c r="P57" s="250"/>
      <c r="Q57" s="250"/>
      <c r="R57" s="250"/>
      <c r="S57" s="250"/>
      <c r="T57" s="250"/>
      <c r="U57" s="250"/>
      <c r="V57" s="250"/>
      <c r="W57" s="250"/>
      <c r="X57" s="250"/>
      <c r="Y57" s="250"/>
      <c r="Z57" s="250"/>
      <c r="AA57" s="250"/>
      <c r="AB57" s="250"/>
      <c r="AC57" s="250"/>
      <c r="AD57" s="250"/>
      <c r="AE57" s="250"/>
      <c r="AF57" s="250"/>
      <c r="AG57" s="250"/>
      <c r="AH57" s="250"/>
      <c r="AI57" s="250"/>
      <c r="AJ57" s="250"/>
      <c r="AK57" s="250"/>
      <c r="AL57" s="250"/>
      <c r="AM57" s="250"/>
      <c r="AN57" s="250"/>
      <c r="AO57" s="250"/>
      <c r="AP57" s="250"/>
      <c r="AQ57" s="250"/>
      <c r="AR57" s="250"/>
      <c r="AS57" s="250"/>
      <c r="AT57" s="250"/>
      <c r="AU57" s="250"/>
      <c r="AV57" s="250"/>
      <c r="AW57" s="250"/>
      <c r="AX57" s="250">
        <f>H57</f>
        <v>80</v>
      </c>
      <c r="AY57" s="250"/>
      <c r="AZ57" s="250"/>
      <c r="BA57" s="250"/>
      <c r="BB57" s="250"/>
      <c r="BC57" s="250"/>
      <c r="BD57" s="250"/>
      <c r="BE57" s="250"/>
      <c r="BF57" s="250"/>
      <c r="BG57" s="250"/>
      <c r="BH57" s="250"/>
      <c r="BI57" s="250"/>
      <c r="BJ57" s="250"/>
      <c r="BK57" s="250"/>
      <c r="BL57" s="250"/>
      <c r="BM57" s="250"/>
      <c r="BN57" s="250"/>
      <c r="BO57" s="250"/>
      <c r="BP57" s="250"/>
      <c r="BQ57" s="250"/>
      <c r="BR57" s="250"/>
      <c r="BS57" s="250"/>
      <c r="BT57" s="250"/>
      <c r="BU57" s="250"/>
      <c r="BV57" s="235">
        <v>10.262</v>
      </c>
      <c r="BW57" s="487">
        <f t="shared" si="1"/>
        <v>820.96</v>
      </c>
      <c r="BX57" s="487">
        <f t="shared" si="2"/>
        <v>6362.44</v>
      </c>
      <c r="BY57" s="249" t="s">
        <v>194</v>
      </c>
      <c r="BZ57" s="250" t="s">
        <v>146</v>
      </c>
    </row>
    <row r="58" s="469" customFormat="1" ht="25" customHeight="1" spans="1:78">
      <c r="A58" s="223">
        <v>46020</v>
      </c>
      <c r="B58" s="223">
        <v>46094</v>
      </c>
      <c r="C58" s="224" t="s">
        <v>195</v>
      </c>
      <c r="D58" s="224" t="s">
        <v>184</v>
      </c>
      <c r="E58" s="224" t="s">
        <v>196</v>
      </c>
      <c r="F58" s="250" t="s">
        <v>10</v>
      </c>
      <c r="G58" s="250" t="s">
        <v>128</v>
      </c>
      <c r="H58" s="250">
        <v>654</v>
      </c>
      <c r="I58" s="250">
        <v>6</v>
      </c>
      <c r="J58" s="250">
        <f t="shared" si="0"/>
        <v>109</v>
      </c>
      <c r="K58" s="250">
        <f>H58</f>
        <v>654</v>
      </c>
      <c r="L58" s="250"/>
      <c r="M58" s="250"/>
      <c r="N58" s="250"/>
      <c r="O58" s="250"/>
      <c r="P58" s="250"/>
      <c r="Q58" s="250"/>
      <c r="R58" s="250"/>
      <c r="S58" s="250"/>
      <c r="T58" s="250"/>
      <c r="U58" s="250"/>
      <c r="V58" s="250"/>
      <c r="W58" s="250"/>
      <c r="X58" s="250"/>
      <c r="Y58" s="250"/>
      <c r="Z58" s="250"/>
      <c r="AA58" s="250"/>
      <c r="AB58" s="250"/>
      <c r="AC58" s="250"/>
      <c r="AD58" s="250"/>
      <c r="AE58" s="250"/>
      <c r="AF58" s="250"/>
      <c r="AG58" s="250"/>
      <c r="AH58" s="250"/>
      <c r="AI58" s="250"/>
      <c r="AJ58" s="250"/>
      <c r="AK58" s="250"/>
      <c r="AL58" s="250"/>
      <c r="AM58" s="250"/>
      <c r="AN58" s="250"/>
      <c r="AO58" s="250"/>
      <c r="AP58" s="250"/>
      <c r="AQ58" s="250"/>
      <c r="AR58" s="250"/>
      <c r="AS58" s="250"/>
      <c r="AT58" s="250"/>
      <c r="AU58" s="250"/>
      <c r="AV58" s="250"/>
      <c r="AW58" s="250"/>
      <c r="AX58" s="250"/>
      <c r="AY58" s="250"/>
      <c r="AZ58" s="250"/>
      <c r="BA58" s="250"/>
      <c r="BB58" s="250"/>
      <c r="BC58" s="250"/>
      <c r="BD58" s="250"/>
      <c r="BE58" s="250"/>
      <c r="BF58" s="250"/>
      <c r="BG58" s="250"/>
      <c r="BH58" s="250"/>
      <c r="BI58" s="250"/>
      <c r="BJ58" s="250"/>
      <c r="BK58" s="250"/>
      <c r="BL58" s="250"/>
      <c r="BM58" s="250"/>
      <c r="BN58" s="250"/>
      <c r="BO58" s="250"/>
      <c r="BP58" s="250"/>
      <c r="BQ58" s="250"/>
      <c r="BR58" s="250"/>
      <c r="BS58" s="250"/>
      <c r="BT58" s="250"/>
      <c r="BU58" s="250"/>
      <c r="BV58" s="235">
        <v>3.405</v>
      </c>
      <c r="BW58" s="487">
        <f t="shared" si="1"/>
        <v>2226.87</v>
      </c>
      <c r="BX58" s="487">
        <f t="shared" si="2"/>
        <v>17258.2425</v>
      </c>
      <c r="BY58" s="249" t="s">
        <v>197</v>
      </c>
      <c r="BZ58" s="250" t="s">
        <v>83</v>
      </c>
    </row>
    <row r="59" s="469" customFormat="1" ht="25" customHeight="1" spans="1:78">
      <c r="A59" s="223">
        <v>46020</v>
      </c>
      <c r="B59" s="223">
        <v>46094</v>
      </c>
      <c r="C59" s="224" t="s">
        <v>195</v>
      </c>
      <c r="D59" s="224" t="s">
        <v>184</v>
      </c>
      <c r="E59" s="224" t="s">
        <v>196</v>
      </c>
      <c r="F59" s="250" t="s">
        <v>11</v>
      </c>
      <c r="G59" s="250" t="s">
        <v>178</v>
      </c>
      <c r="H59" s="250">
        <v>522</v>
      </c>
      <c r="I59" s="250">
        <v>6</v>
      </c>
      <c r="J59" s="250">
        <f t="shared" si="0"/>
        <v>87</v>
      </c>
      <c r="K59" s="250"/>
      <c r="L59" s="250">
        <f>H59</f>
        <v>522</v>
      </c>
      <c r="M59" s="250"/>
      <c r="N59" s="250"/>
      <c r="O59" s="250"/>
      <c r="P59" s="250"/>
      <c r="Q59" s="250"/>
      <c r="R59" s="250"/>
      <c r="S59" s="250"/>
      <c r="T59" s="250"/>
      <c r="U59" s="250"/>
      <c r="V59" s="250"/>
      <c r="W59" s="250"/>
      <c r="X59" s="250"/>
      <c r="Y59" s="250"/>
      <c r="Z59" s="250"/>
      <c r="AA59" s="250"/>
      <c r="AB59" s="250"/>
      <c r="AC59" s="250"/>
      <c r="AD59" s="250"/>
      <c r="AE59" s="250"/>
      <c r="AF59" s="250"/>
      <c r="AG59" s="250"/>
      <c r="AH59" s="250"/>
      <c r="AI59" s="250"/>
      <c r="AJ59" s="250"/>
      <c r="AK59" s="250"/>
      <c r="AL59" s="250"/>
      <c r="AM59" s="250"/>
      <c r="AN59" s="250"/>
      <c r="AO59" s="250"/>
      <c r="AP59" s="250"/>
      <c r="AQ59" s="250"/>
      <c r="AR59" s="250"/>
      <c r="AS59" s="250"/>
      <c r="AT59" s="250"/>
      <c r="AU59" s="250"/>
      <c r="AV59" s="250"/>
      <c r="AW59" s="250"/>
      <c r="AX59" s="250"/>
      <c r="AY59" s="250"/>
      <c r="AZ59" s="250"/>
      <c r="BA59" s="250"/>
      <c r="BB59" s="250"/>
      <c r="BC59" s="250"/>
      <c r="BD59" s="250"/>
      <c r="BE59" s="250"/>
      <c r="BF59" s="250"/>
      <c r="BG59" s="250"/>
      <c r="BH59" s="250"/>
      <c r="BI59" s="250"/>
      <c r="BJ59" s="250"/>
      <c r="BK59" s="250"/>
      <c r="BL59" s="250"/>
      <c r="BM59" s="250"/>
      <c r="BN59" s="250"/>
      <c r="BO59" s="250"/>
      <c r="BP59" s="250"/>
      <c r="BQ59" s="250"/>
      <c r="BR59" s="250"/>
      <c r="BS59" s="250"/>
      <c r="BT59" s="250"/>
      <c r="BU59" s="250"/>
      <c r="BV59" s="235">
        <v>3.149</v>
      </c>
      <c r="BW59" s="487">
        <f t="shared" si="1"/>
        <v>1643.778</v>
      </c>
      <c r="BX59" s="487">
        <f t="shared" si="2"/>
        <v>12739.2795</v>
      </c>
      <c r="BY59" s="249" t="s">
        <v>197</v>
      </c>
      <c r="BZ59" s="250" t="s">
        <v>83</v>
      </c>
    </row>
    <row r="60" s="469" customFormat="1" ht="25" customHeight="1" spans="1:78">
      <c r="A60" s="223">
        <v>46020</v>
      </c>
      <c r="B60" s="223">
        <v>46094</v>
      </c>
      <c r="C60" s="224" t="s">
        <v>195</v>
      </c>
      <c r="D60" s="224" t="s">
        <v>184</v>
      </c>
      <c r="E60" s="224" t="s">
        <v>196</v>
      </c>
      <c r="F60" s="250" t="s">
        <v>14</v>
      </c>
      <c r="G60" s="250" t="s">
        <v>112</v>
      </c>
      <c r="H60" s="250">
        <v>522</v>
      </c>
      <c r="I60" s="250">
        <v>6</v>
      </c>
      <c r="J60" s="250">
        <f t="shared" si="0"/>
        <v>87</v>
      </c>
      <c r="K60" s="250"/>
      <c r="L60" s="250"/>
      <c r="M60" s="250"/>
      <c r="N60" s="250"/>
      <c r="O60" s="250">
        <f>H60</f>
        <v>522</v>
      </c>
      <c r="P60" s="250"/>
      <c r="Q60" s="250"/>
      <c r="R60" s="250"/>
      <c r="S60" s="250"/>
      <c r="T60" s="250"/>
      <c r="U60" s="250"/>
      <c r="V60" s="250"/>
      <c r="W60" s="250"/>
      <c r="X60" s="250"/>
      <c r="Y60" s="250"/>
      <c r="Z60" s="250"/>
      <c r="AA60" s="250"/>
      <c r="AB60" s="250"/>
      <c r="AC60" s="250"/>
      <c r="AD60" s="250"/>
      <c r="AE60" s="250"/>
      <c r="AF60" s="250"/>
      <c r="AG60" s="250"/>
      <c r="AH60" s="250"/>
      <c r="AI60" s="250"/>
      <c r="AJ60" s="250"/>
      <c r="AK60" s="250"/>
      <c r="AL60" s="250"/>
      <c r="AM60" s="250"/>
      <c r="AN60" s="250"/>
      <c r="AO60" s="250"/>
      <c r="AP60" s="250"/>
      <c r="AQ60" s="250"/>
      <c r="AR60" s="250"/>
      <c r="AS60" s="250"/>
      <c r="AT60" s="250"/>
      <c r="AU60" s="250"/>
      <c r="AV60" s="250"/>
      <c r="AW60" s="250"/>
      <c r="AX60" s="250"/>
      <c r="AY60" s="250"/>
      <c r="AZ60" s="250"/>
      <c r="BA60" s="250"/>
      <c r="BB60" s="250"/>
      <c r="BC60" s="250"/>
      <c r="BD60" s="250"/>
      <c r="BE60" s="250"/>
      <c r="BF60" s="250"/>
      <c r="BG60" s="250"/>
      <c r="BH60" s="250"/>
      <c r="BI60" s="250"/>
      <c r="BJ60" s="250"/>
      <c r="BK60" s="250"/>
      <c r="BL60" s="250"/>
      <c r="BM60" s="250"/>
      <c r="BN60" s="250"/>
      <c r="BO60" s="250"/>
      <c r="BP60" s="250"/>
      <c r="BQ60" s="250"/>
      <c r="BR60" s="250"/>
      <c r="BS60" s="250"/>
      <c r="BT60" s="250"/>
      <c r="BU60" s="250"/>
      <c r="BV60" s="235">
        <v>3.09</v>
      </c>
      <c r="BW60" s="487">
        <f t="shared" si="1"/>
        <v>1612.98</v>
      </c>
      <c r="BX60" s="487">
        <f t="shared" si="2"/>
        <v>12500.595</v>
      </c>
      <c r="BY60" s="249" t="s">
        <v>197</v>
      </c>
      <c r="BZ60" s="250" t="s">
        <v>83</v>
      </c>
    </row>
    <row r="61" s="469" customFormat="1" ht="25" customHeight="1" spans="1:78">
      <c r="A61" s="223">
        <v>46020</v>
      </c>
      <c r="B61" s="223">
        <v>46094</v>
      </c>
      <c r="C61" s="224" t="s">
        <v>195</v>
      </c>
      <c r="D61" s="224" t="s">
        <v>184</v>
      </c>
      <c r="E61" s="224" t="s">
        <v>198</v>
      </c>
      <c r="F61" s="250" t="s">
        <v>10</v>
      </c>
      <c r="G61" s="250" t="s">
        <v>128</v>
      </c>
      <c r="H61" s="250">
        <v>150</v>
      </c>
      <c r="I61" s="250">
        <v>6</v>
      </c>
      <c r="J61" s="250">
        <f t="shared" si="0"/>
        <v>25</v>
      </c>
      <c r="K61" s="250">
        <f>H61</f>
        <v>150</v>
      </c>
      <c r="L61" s="250"/>
      <c r="M61" s="250"/>
      <c r="N61" s="250"/>
      <c r="O61" s="250"/>
      <c r="P61" s="250"/>
      <c r="Q61" s="250"/>
      <c r="R61" s="250"/>
      <c r="S61" s="250"/>
      <c r="T61" s="250"/>
      <c r="U61" s="250"/>
      <c r="V61" s="250"/>
      <c r="W61" s="250"/>
      <c r="X61" s="250"/>
      <c r="Y61" s="250"/>
      <c r="Z61" s="250"/>
      <c r="AA61" s="250"/>
      <c r="AB61" s="250"/>
      <c r="AC61" s="250"/>
      <c r="AD61" s="250"/>
      <c r="AE61" s="250"/>
      <c r="AF61" s="250"/>
      <c r="AG61" s="250"/>
      <c r="AH61" s="250"/>
      <c r="AI61" s="250"/>
      <c r="AJ61" s="250"/>
      <c r="AK61" s="250"/>
      <c r="AL61" s="250"/>
      <c r="AM61" s="250"/>
      <c r="AN61" s="250"/>
      <c r="AO61" s="250"/>
      <c r="AP61" s="250"/>
      <c r="AQ61" s="250"/>
      <c r="AR61" s="250"/>
      <c r="AS61" s="250"/>
      <c r="AT61" s="250"/>
      <c r="AU61" s="250"/>
      <c r="AV61" s="250"/>
      <c r="AW61" s="250"/>
      <c r="AX61" s="250"/>
      <c r="AY61" s="250"/>
      <c r="AZ61" s="250"/>
      <c r="BA61" s="250"/>
      <c r="BB61" s="250"/>
      <c r="BC61" s="250"/>
      <c r="BD61" s="250"/>
      <c r="BE61" s="250"/>
      <c r="BF61" s="250"/>
      <c r="BG61" s="250"/>
      <c r="BH61" s="250"/>
      <c r="BI61" s="250"/>
      <c r="BJ61" s="250"/>
      <c r="BK61" s="250"/>
      <c r="BL61" s="250"/>
      <c r="BM61" s="250"/>
      <c r="BN61" s="250"/>
      <c r="BO61" s="250"/>
      <c r="BP61" s="250"/>
      <c r="BQ61" s="250"/>
      <c r="BR61" s="250"/>
      <c r="BS61" s="250"/>
      <c r="BT61" s="250"/>
      <c r="BU61" s="250"/>
      <c r="BV61" s="235">
        <v>3.405</v>
      </c>
      <c r="BW61" s="487">
        <f t="shared" si="1"/>
        <v>510.75</v>
      </c>
      <c r="BX61" s="487">
        <f t="shared" si="2"/>
        <v>3958.3125</v>
      </c>
      <c r="BY61" s="249" t="s">
        <v>199</v>
      </c>
      <c r="BZ61" s="250" t="s">
        <v>83</v>
      </c>
    </row>
    <row r="62" s="469" customFormat="1" ht="25" customHeight="1" spans="1:78">
      <c r="A62" s="223">
        <v>46020</v>
      </c>
      <c r="B62" s="223">
        <v>46094</v>
      </c>
      <c r="C62" s="224" t="s">
        <v>195</v>
      </c>
      <c r="D62" s="224" t="s">
        <v>184</v>
      </c>
      <c r="E62" s="224" t="s">
        <v>198</v>
      </c>
      <c r="F62" s="250" t="s">
        <v>11</v>
      </c>
      <c r="G62" s="250" t="s">
        <v>178</v>
      </c>
      <c r="H62" s="250">
        <v>120</v>
      </c>
      <c r="I62" s="250">
        <v>6</v>
      </c>
      <c r="J62" s="250">
        <f t="shared" si="0"/>
        <v>20</v>
      </c>
      <c r="K62" s="250"/>
      <c r="L62" s="250">
        <f>H62</f>
        <v>120</v>
      </c>
      <c r="M62" s="250"/>
      <c r="N62" s="250"/>
      <c r="O62" s="250"/>
      <c r="P62" s="250"/>
      <c r="Q62" s="250"/>
      <c r="R62" s="250"/>
      <c r="S62" s="250"/>
      <c r="T62" s="250"/>
      <c r="U62" s="250"/>
      <c r="V62" s="250"/>
      <c r="W62" s="250"/>
      <c r="X62" s="250"/>
      <c r="Y62" s="250"/>
      <c r="Z62" s="250"/>
      <c r="AA62" s="250"/>
      <c r="AB62" s="250"/>
      <c r="AC62" s="250"/>
      <c r="AD62" s="250"/>
      <c r="AE62" s="250"/>
      <c r="AF62" s="250"/>
      <c r="AG62" s="250"/>
      <c r="AH62" s="250"/>
      <c r="AI62" s="250"/>
      <c r="AJ62" s="250"/>
      <c r="AK62" s="250"/>
      <c r="AL62" s="250"/>
      <c r="AM62" s="250"/>
      <c r="AN62" s="250"/>
      <c r="AO62" s="250"/>
      <c r="AP62" s="250"/>
      <c r="AQ62" s="250"/>
      <c r="AR62" s="250"/>
      <c r="AS62" s="250"/>
      <c r="AT62" s="250"/>
      <c r="AU62" s="250"/>
      <c r="AV62" s="250"/>
      <c r="AW62" s="250"/>
      <c r="AX62" s="250"/>
      <c r="AY62" s="250"/>
      <c r="AZ62" s="250"/>
      <c r="BA62" s="250"/>
      <c r="BB62" s="250"/>
      <c r="BC62" s="250"/>
      <c r="BD62" s="250"/>
      <c r="BE62" s="250"/>
      <c r="BF62" s="250"/>
      <c r="BG62" s="250"/>
      <c r="BH62" s="250"/>
      <c r="BI62" s="250"/>
      <c r="BJ62" s="250"/>
      <c r="BK62" s="250"/>
      <c r="BL62" s="250"/>
      <c r="BM62" s="250"/>
      <c r="BN62" s="250"/>
      <c r="BO62" s="250"/>
      <c r="BP62" s="250"/>
      <c r="BQ62" s="250"/>
      <c r="BR62" s="250"/>
      <c r="BS62" s="250"/>
      <c r="BT62" s="250"/>
      <c r="BU62" s="250"/>
      <c r="BV62" s="235">
        <v>3.149</v>
      </c>
      <c r="BW62" s="487">
        <f t="shared" si="1"/>
        <v>377.88</v>
      </c>
      <c r="BX62" s="487">
        <f t="shared" si="2"/>
        <v>2928.57</v>
      </c>
      <c r="BY62" s="249" t="s">
        <v>199</v>
      </c>
      <c r="BZ62" s="250" t="s">
        <v>83</v>
      </c>
    </row>
    <row r="63" s="469" customFormat="1" ht="25" customHeight="1" spans="1:78">
      <c r="A63" s="223">
        <v>46020</v>
      </c>
      <c r="B63" s="223">
        <v>46094</v>
      </c>
      <c r="C63" s="224" t="s">
        <v>195</v>
      </c>
      <c r="D63" s="224" t="s">
        <v>184</v>
      </c>
      <c r="E63" s="224" t="s">
        <v>198</v>
      </c>
      <c r="F63" s="250" t="s">
        <v>14</v>
      </c>
      <c r="G63" s="250" t="s">
        <v>112</v>
      </c>
      <c r="H63" s="250">
        <v>120</v>
      </c>
      <c r="I63" s="250">
        <v>6</v>
      </c>
      <c r="J63" s="250">
        <f t="shared" si="0"/>
        <v>20</v>
      </c>
      <c r="K63" s="250"/>
      <c r="L63" s="250"/>
      <c r="M63" s="250"/>
      <c r="N63" s="250"/>
      <c r="O63" s="250">
        <f>H63</f>
        <v>120</v>
      </c>
      <c r="P63" s="250"/>
      <c r="Q63" s="250"/>
      <c r="R63" s="250"/>
      <c r="S63" s="250"/>
      <c r="T63" s="250"/>
      <c r="U63" s="250"/>
      <c r="V63" s="250"/>
      <c r="W63" s="250"/>
      <c r="X63" s="250"/>
      <c r="Y63" s="250"/>
      <c r="Z63" s="250"/>
      <c r="AA63" s="250"/>
      <c r="AB63" s="250"/>
      <c r="AC63" s="250"/>
      <c r="AD63" s="250"/>
      <c r="AE63" s="250"/>
      <c r="AF63" s="250"/>
      <c r="AG63" s="250"/>
      <c r="AH63" s="250"/>
      <c r="AI63" s="250"/>
      <c r="AJ63" s="250"/>
      <c r="AK63" s="250"/>
      <c r="AL63" s="250"/>
      <c r="AM63" s="250"/>
      <c r="AN63" s="250"/>
      <c r="AO63" s="250"/>
      <c r="AP63" s="250"/>
      <c r="AQ63" s="250"/>
      <c r="AR63" s="250"/>
      <c r="AS63" s="250"/>
      <c r="AT63" s="250"/>
      <c r="AU63" s="250"/>
      <c r="AV63" s="250"/>
      <c r="AW63" s="250"/>
      <c r="AX63" s="250"/>
      <c r="AY63" s="250"/>
      <c r="AZ63" s="250"/>
      <c r="BA63" s="250"/>
      <c r="BB63" s="250"/>
      <c r="BC63" s="250"/>
      <c r="BD63" s="250"/>
      <c r="BE63" s="250"/>
      <c r="BF63" s="250"/>
      <c r="BG63" s="250"/>
      <c r="BH63" s="250"/>
      <c r="BI63" s="250"/>
      <c r="BJ63" s="250"/>
      <c r="BK63" s="250"/>
      <c r="BL63" s="250"/>
      <c r="BM63" s="250"/>
      <c r="BN63" s="250"/>
      <c r="BO63" s="250"/>
      <c r="BP63" s="250"/>
      <c r="BQ63" s="250"/>
      <c r="BR63" s="250"/>
      <c r="BS63" s="250"/>
      <c r="BT63" s="250"/>
      <c r="BU63" s="250"/>
      <c r="BV63" s="235">
        <v>3.09</v>
      </c>
      <c r="BW63" s="487">
        <f t="shared" si="1"/>
        <v>370.8</v>
      </c>
      <c r="BX63" s="487">
        <f t="shared" si="2"/>
        <v>2873.7</v>
      </c>
      <c r="BY63" s="249" t="s">
        <v>199</v>
      </c>
      <c r="BZ63" s="250" t="s">
        <v>83</v>
      </c>
    </row>
    <row r="64" s="469" customFormat="1" ht="25" customHeight="1" spans="1:78">
      <c r="A64" s="223">
        <v>46022</v>
      </c>
      <c r="B64" s="223">
        <v>46080</v>
      </c>
      <c r="C64" s="224" t="s">
        <v>200</v>
      </c>
      <c r="D64" s="224" t="s">
        <v>105</v>
      </c>
      <c r="E64" s="224" t="s">
        <v>201</v>
      </c>
      <c r="F64" s="226" t="s">
        <v>49</v>
      </c>
      <c r="G64" s="250" t="s">
        <v>144</v>
      </c>
      <c r="H64" s="250">
        <v>5800</v>
      </c>
      <c r="I64" s="250">
        <v>4</v>
      </c>
      <c r="J64" s="250">
        <f t="shared" si="0"/>
        <v>1450</v>
      </c>
      <c r="K64" s="250"/>
      <c r="L64" s="250"/>
      <c r="M64" s="250"/>
      <c r="N64" s="250"/>
      <c r="O64" s="250"/>
      <c r="P64" s="250"/>
      <c r="Q64" s="250"/>
      <c r="R64" s="250"/>
      <c r="S64" s="250"/>
      <c r="T64" s="250"/>
      <c r="U64" s="250"/>
      <c r="V64" s="250"/>
      <c r="W64" s="250"/>
      <c r="X64" s="250"/>
      <c r="Y64" s="250"/>
      <c r="Z64" s="250"/>
      <c r="AA64" s="250"/>
      <c r="AB64" s="250"/>
      <c r="AC64" s="250"/>
      <c r="AD64" s="250"/>
      <c r="AE64" s="250"/>
      <c r="AF64" s="250"/>
      <c r="AG64" s="250"/>
      <c r="AH64" s="250"/>
      <c r="AI64" s="250"/>
      <c r="AJ64" s="250"/>
      <c r="AK64" s="250"/>
      <c r="AL64" s="250"/>
      <c r="AM64" s="250"/>
      <c r="AN64" s="250"/>
      <c r="AO64" s="250"/>
      <c r="AP64" s="250"/>
      <c r="AQ64" s="250"/>
      <c r="AR64" s="250"/>
      <c r="AS64" s="250"/>
      <c r="AT64" s="250"/>
      <c r="AU64" s="250"/>
      <c r="AV64" s="250"/>
      <c r="AW64" s="250"/>
      <c r="AX64" s="250">
        <f>H64</f>
        <v>5800</v>
      </c>
      <c r="AY64" s="250"/>
      <c r="AZ64" s="250"/>
      <c r="BA64" s="250"/>
      <c r="BB64" s="250"/>
      <c r="BC64" s="250"/>
      <c r="BD64" s="250"/>
      <c r="BE64" s="250"/>
      <c r="BF64" s="250"/>
      <c r="BG64" s="250"/>
      <c r="BH64" s="250"/>
      <c r="BI64" s="250"/>
      <c r="BJ64" s="250"/>
      <c r="BK64" s="250"/>
      <c r="BL64" s="250"/>
      <c r="BM64" s="250"/>
      <c r="BN64" s="250"/>
      <c r="BO64" s="250"/>
      <c r="BP64" s="250"/>
      <c r="BQ64" s="250"/>
      <c r="BR64" s="250"/>
      <c r="BS64" s="250"/>
      <c r="BT64" s="250"/>
      <c r="BU64" s="250"/>
      <c r="BV64" s="235">
        <v>9.67</v>
      </c>
      <c r="BW64" s="487">
        <f t="shared" si="1"/>
        <v>56086</v>
      </c>
      <c r="BX64" s="487">
        <f t="shared" si="2"/>
        <v>434666.5</v>
      </c>
      <c r="BY64" s="249" t="s">
        <v>202</v>
      </c>
      <c r="BZ64" s="250" t="s">
        <v>146</v>
      </c>
    </row>
    <row r="65" s="469" customFormat="1" ht="25" customHeight="1" spans="1:78">
      <c r="A65" s="223">
        <v>46029</v>
      </c>
      <c r="B65" s="223">
        <v>46094</v>
      </c>
      <c r="C65" s="224" t="s">
        <v>203</v>
      </c>
      <c r="D65" s="224" t="s">
        <v>131</v>
      </c>
      <c r="E65" s="224" t="s">
        <v>204</v>
      </c>
      <c r="F65" s="250" t="s">
        <v>49</v>
      </c>
      <c r="G65" s="250" t="s">
        <v>144</v>
      </c>
      <c r="H65" s="250">
        <v>5788</v>
      </c>
      <c r="I65" s="250">
        <v>4</v>
      </c>
      <c r="J65" s="250">
        <f t="shared" si="0"/>
        <v>1447</v>
      </c>
      <c r="K65" s="250"/>
      <c r="L65" s="250"/>
      <c r="M65" s="250"/>
      <c r="N65" s="250"/>
      <c r="O65" s="250"/>
      <c r="P65" s="250"/>
      <c r="Q65" s="250"/>
      <c r="R65" s="250"/>
      <c r="S65" s="250"/>
      <c r="T65" s="250"/>
      <c r="U65" s="250"/>
      <c r="V65" s="250"/>
      <c r="W65" s="250"/>
      <c r="X65" s="250"/>
      <c r="Y65" s="250"/>
      <c r="Z65" s="250"/>
      <c r="AA65" s="250"/>
      <c r="AB65" s="250"/>
      <c r="AC65" s="250"/>
      <c r="AD65" s="250"/>
      <c r="AE65" s="250"/>
      <c r="AF65" s="250"/>
      <c r="AG65" s="250"/>
      <c r="AH65" s="250"/>
      <c r="AI65" s="250"/>
      <c r="AJ65" s="250"/>
      <c r="AK65" s="250"/>
      <c r="AL65" s="250"/>
      <c r="AM65" s="250"/>
      <c r="AN65" s="250"/>
      <c r="AO65" s="250"/>
      <c r="AP65" s="250"/>
      <c r="AQ65" s="250"/>
      <c r="AR65" s="250"/>
      <c r="AS65" s="250"/>
      <c r="AT65" s="250"/>
      <c r="AU65" s="250"/>
      <c r="AV65" s="250"/>
      <c r="AW65" s="250"/>
      <c r="AX65" s="250">
        <f>H65</f>
        <v>5788</v>
      </c>
      <c r="AY65" s="250"/>
      <c r="AZ65" s="250"/>
      <c r="BA65" s="250"/>
      <c r="BB65" s="250"/>
      <c r="BC65" s="250"/>
      <c r="BD65" s="250"/>
      <c r="BE65" s="250"/>
      <c r="BF65" s="250"/>
      <c r="BG65" s="250"/>
      <c r="BH65" s="250"/>
      <c r="BI65" s="250"/>
      <c r="BJ65" s="250"/>
      <c r="BK65" s="250"/>
      <c r="BL65" s="250"/>
      <c r="BM65" s="250"/>
      <c r="BN65" s="250"/>
      <c r="BO65" s="250"/>
      <c r="BP65" s="250"/>
      <c r="BQ65" s="250"/>
      <c r="BR65" s="250"/>
      <c r="BS65" s="250"/>
      <c r="BT65" s="250"/>
      <c r="BU65" s="250"/>
      <c r="BV65" s="235">
        <v>9.67</v>
      </c>
      <c r="BW65" s="487">
        <f t="shared" si="1"/>
        <v>55969.96</v>
      </c>
      <c r="BX65" s="487">
        <f t="shared" si="2"/>
        <v>433767.19</v>
      </c>
      <c r="BY65" s="249" t="s">
        <v>205</v>
      </c>
      <c r="BZ65" s="250" t="s">
        <v>146</v>
      </c>
    </row>
    <row r="66" s="469" customFormat="1" ht="25" customHeight="1" spans="1:78">
      <c r="A66" s="223">
        <v>46042</v>
      </c>
      <c r="B66" s="223">
        <v>46122</v>
      </c>
      <c r="C66" s="224" t="s">
        <v>78</v>
      </c>
      <c r="D66" s="224" t="s">
        <v>79</v>
      </c>
      <c r="E66" s="224" t="s">
        <v>206</v>
      </c>
      <c r="F66" s="250" t="s">
        <v>49</v>
      </c>
      <c r="G66" s="250" t="s">
        <v>144</v>
      </c>
      <c r="H66" s="250">
        <v>1044</v>
      </c>
      <c r="I66" s="250">
        <v>4</v>
      </c>
      <c r="J66" s="250">
        <f t="shared" ref="J66:J129" si="4">H66/I66</f>
        <v>261</v>
      </c>
      <c r="K66" s="250"/>
      <c r="L66" s="250"/>
      <c r="M66" s="250"/>
      <c r="N66" s="250"/>
      <c r="O66" s="250"/>
      <c r="P66" s="250"/>
      <c r="Q66" s="250"/>
      <c r="R66" s="250"/>
      <c r="S66" s="250"/>
      <c r="T66" s="250"/>
      <c r="U66" s="250"/>
      <c r="V66" s="250"/>
      <c r="W66" s="250"/>
      <c r="X66" s="250"/>
      <c r="Y66" s="250"/>
      <c r="Z66" s="250"/>
      <c r="AA66" s="250"/>
      <c r="AB66" s="250"/>
      <c r="AC66" s="250"/>
      <c r="AD66" s="250"/>
      <c r="AE66" s="250"/>
      <c r="AF66" s="250"/>
      <c r="AG66" s="250"/>
      <c r="AH66" s="250"/>
      <c r="AI66" s="250"/>
      <c r="AJ66" s="250"/>
      <c r="AK66" s="250"/>
      <c r="AL66" s="250"/>
      <c r="AM66" s="250"/>
      <c r="AN66" s="250"/>
      <c r="AO66" s="250"/>
      <c r="AP66" s="250"/>
      <c r="AQ66" s="250"/>
      <c r="AR66" s="250"/>
      <c r="AS66" s="250"/>
      <c r="AT66" s="250"/>
      <c r="AU66" s="250"/>
      <c r="AV66" s="250"/>
      <c r="AW66" s="250"/>
      <c r="AX66" s="250">
        <f>H66</f>
        <v>1044</v>
      </c>
      <c r="AY66" s="250"/>
      <c r="AZ66" s="250"/>
      <c r="BA66" s="250"/>
      <c r="BB66" s="250"/>
      <c r="BC66" s="250"/>
      <c r="BD66" s="250"/>
      <c r="BE66" s="250"/>
      <c r="BF66" s="250"/>
      <c r="BG66" s="250"/>
      <c r="BH66" s="250"/>
      <c r="BI66" s="250"/>
      <c r="BJ66" s="250"/>
      <c r="BK66" s="250"/>
      <c r="BL66" s="250"/>
      <c r="BM66" s="250"/>
      <c r="BN66" s="250"/>
      <c r="BO66" s="250"/>
      <c r="BP66" s="250"/>
      <c r="BQ66" s="250"/>
      <c r="BR66" s="250"/>
      <c r="BS66" s="250"/>
      <c r="BT66" s="250"/>
      <c r="BU66" s="250"/>
      <c r="BV66" s="235">
        <v>10.262</v>
      </c>
      <c r="BW66" s="487">
        <f t="shared" ref="BW66:BW129" si="5">SUM(K66:BU66)*BV66</f>
        <v>10713.528</v>
      </c>
      <c r="BX66" s="487">
        <f t="shared" ref="BX66:BX129" si="6">BW66*7.75</f>
        <v>83029.842</v>
      </c>
      <c r="BY66" s="224" t="s">
        <v>207</v>
      </c>
      <c r="BZ66" s="250" t="s">
        <v>146</v>
      </c>
    </row>
    <row r="67" s="469" customFormat="1" ht="25" customHeight="1" spans="1:78">
      <c r="A67" s="223">
        <v>46050</v>
      </c>
      <c r="B67" s="223">
        <v>46125</v>
      </c>
      <c r="C67" s="224" t="s">
        <v>78</v>
      </c>
      <c r="D67" s="224" t="s">
        <v>79</v>
      </c>
      <c r="E67" s="224" t="s">
        <v>208</v>
      </c>
      <c r="F67" s="226" t="s">
        <v>49</v>
      </c>
      <c r="G67" s="250" t="s">
        <v>144</v>
      </c>
      <c r="H67" s="250">
        <v>844</v>
      </c>
      <c r="I67" s="250">
        <v>4</v>
      </c>
      <c r="J67" s="250">
        <f t="shared" si="4"/>
        <v>211</v>
      </c>
      <c r="K67" s="250"/>
      <c r="L67" s="250"/>
      <c r="M67" s="250"/>
      <c r="N67" s="250"/>
      <c r="O67" s="250"/>
      <c r="P67" s="250"/>
      <c r="Q67" s="250"/>
      <c r="R67" s="250"/>
      <c r="S67" s="250"/>
      <c r="T67" s="250"/>
      <c r="U67" s="250"/>
      <c r="V67" s="250"/>
      <c r="W67" s="250"/>
      <c r="X67" s="250"/>
      <c r="Y67" s="250"/>
      <c r="Z67" s="250"/>
      <c r="AA67" s="250"/>
      <c r="AB67" s="250"/>
      <c r="AC67" s="250"/>
      <c r="AD67" s="250"/>
      <c r="AE67" s="250"/>
      <c r="AF67" s="250"/>
      <c r="AG67" s="250"/>
      <c r="AH67" s="250"/>
      <c r="AI67" s="250"/>
      <c r="AJ67" s="250"/>
      <c r="AK67" s="250"/>
      <c r="AL67" s="250"/>
      <c r="AM67" s="250"/>
      <c r="AN67" s="250"/>
      <c r="AO67" s="250"/>
      <c r="AP67" s="250"/>
      <c r="AQ67" s="250"/>
      <c r="AR67" s="250"/>
      <c r="AS67" s="250"/>
      <c r="AT67" s="250"/>
      <c r="AU67" s="250"/>
      <c r="AV67" s="250"/>
      <c r="AW67" s="250"/>
      <c r="AX67" s="250">
        <f>H67</f>
        <v>844</v>
      </c>
      <c r="AY67" s="250"/>
      <c r="AZ67" s="250"/>
      <c r="BA67" s="250"/>
      <c r="BB67" s="250"/>
      <c r="BC67" s="250"/>
      <c r="BD67" s="250"/>
      <c r="BE67" s="250"/>
      <c r="BF67" s="250"/>
      <c r="BG67" s="250"/>
      <c r="BH67" s="250"/>
      <c r="BI67" s="250"/>
      <c r="BJ67" s="250"/>
      <c r="BK67" s="250"/>
      <c r="BL67" s="250"/>
      <c r="BM67" s="250"/>
      <c r="BN67" s="250"/>
      <c r="BO67" s="250"/>
      <c r="BP67" s="250"/>
      <c r="BQ67" s="250"/>
      <c r="BR67" s="250"/>
      <c r="BS67" s="250"/>
      <c r="BT67" s="250"/>
      <c r="BU67" s="250"/>
      <c r="BV67" s="235">
        <v>10.262</v>
      </c>
      <c r="BW67" s="487">
        <f t="shared" si="5"/>
        <v>8661.128</v>
      </c>
      <c r="BX67" s="487">
        <f t="shared" si="6"/>
        <v>67123.742</v>
      </c>
      <c r="BY67" s="224" t="s">
        <v>209</v>
      </c>
      <c r="BZ67" s="250" t="s">
        <v>146</v>
      </c>
    </row>
    <row r="68" s="469" customFormat="1" ht="25" customHeight="1" spans="1:78">
      <c r="A68" s="223">
        <v>46050</v>
      </c>
      <c r="B68" s="223">
        <v>46125</v>
      </c>
      <c r="C68" s="224" t="s">
        <v>78</v>
      </c>
      <c r="D68" s="224" t="s">
        <v>84</v>
      </c>
      <c r="E68" s="224" t="s">
        <v>210</v>
      </c>
      <c r="F68" s="226" t="s">
        <v>49</v>
      </c>
      <c r="G68" s="250" t="s">
        <v>144</v>
      </c>
      <c r="H68" s="250">
        <v>24</v>
      </c>
      <c r="I68" s="250">
        <v>4</v>
      </c>
      <c r="J68" s="250">
        <f t="shared" si="4"/>
        <v>6</v>
      </c>
      <c r="K68" s="250"/>
      <c r="L68" s="250"/>
      <c r="M68" s="250"/>
      <c r="N68" s="250"/>
      <c r="O68" s="250"/>
      <c r="P68" s="250"/>
      <c r="Q68" s="250"/>
      <c r="R68" s="250"/>
      <c r="S68" s="250"/>
      <c r="T68" s="250"/>
      <c r="U68" s="250"/>
      <c r="V68" s="250"/>
      <c r="W68" s="250"/>
      <c r="X68" s="250"/>
      <c r="Y68" s="250"/>
      <c r="Z68" s="250"/>
      <c r="AA68" s="250"/>
      <c r="AB68" s="250"/>
      <c r="AC68" s="250"/>
      <c r="AD68" s="250"/>
      <c r="AE68" s="250"/>
      <c r="AF68" s="250"/>
      <c r="AG68" s="250"/>
      <c r="AH68" s="250"/>
      <c r="AI68" s="250"/>
      <c r="AJ68" s="250"/>
      <c r="AK68" s="250"/>
      <c r="AL68" s="250"/>
      <c r="AM68" s="250"/>
      <c r="AN68" s="250"/>
      <c r="AO68" s="250"/>
      <c r="AP68" s="250"/>
      <c r="AQ68" s="250"/>
      <c r="AR68" s="250"/>
      <c r="AS68" s="250"/>
      <c r="AT68" s="250"/>
      <c r="AU68" s="250"/>
      <c r="AV68" s="250"/>
      <c r="AW68" s="250"/>
      <c r="AX68" s="250">
        <f>H68</f>
        <v>24</v>
      </c>
      <c r="AY68" s="250"/>
      <c r="AZ68" s="250"/>
      <c r="BA68" s="250"/>
      <c r="BB68" s="250"/>
      <c r="BC68" s="250"/>
      <c r="BD68" s="250"/>
      <c r="BE68" s="250"/>
      <c r="BF68" s="250"/>
      <c r="BG68" s="250"/>
      <c r="BH68" s="250"/>
      <c r="BI68" s="250"/>
      <c r="BJ68" s="250"/>
      <c r="BK68" s="250"/>
      <c r="BL68" s="250"/>
      <c r="BM68" s="250"/>
      <c r="BN68" s="250"/>
      <c r="BO68" s="250"/>
      <c r="BP68" s="250"/>
      <c r="BQ68" s="250"/>
      <c r="BR68" s="250"/>
      <c r="BS68" s="250"/>
      <c r="BT68" s="250"/>
      <c r="BU68" s="250"/>
      <c r="BV68" s="235">
        <v>10.262</v>
      </c>
      <c r="BW68" s="487">
        <f t="shared" si="5"/>
        <v>246.288</v>
      </c>
      <c r="BX68" s="487">
        <f t="shared" si="6"/>
        <v>1908.732</v>
      </c>
      <c r="BY68" s="224" t="s">
        <v>211</v>
      </c>
      <c r="BZ68" s="250" t="s">
        <v>146</v>
      </c>
    </row>
    <row r="69" s="469" customFormat="1" ht="25" customHeight="1" spans="1:78">
      <c r="A69" s="223">
        <v>46057</v>
      </c>
      <c r="B69" s="223">
        <v>46111</v>
      </c>
      <c r="C69" s="224" t="s">
        <v>78</v>
      </c>
      <c r="D69" s="224" t="s">
        <v>79</v>
      </c>
      <c r="E69" s="224" t="s">
        <v>212</v>
      </c>
      <c r="F69" s="226" t="s">
        <v>12</v>
      </c>
      <c r="G69" s="250" t="s">
        <v>121</v>
      </c>
      <c r="H69" s="250">
        <v>1560</v>
      </c>
      <c r="I69" s="250">
        <v>6</v>
      </c>
      <c r="J69" s="250">
        <f t="shared" si="4"/>
        <v>260</v>
      </c>
      <c r="K69" s="250"/>
      <c r="L69" s="250"/>
      <c r="M69" s="250">
        <f>H69</f>
        <v>1560</v>
      </c>
      <c r="N69" s="250"/>
      <c r="O69" s="250"/>
      <c r="P69" s="250"/>
      <c r="Q69" s="250"/>
      <c r="R69" s="250"/>
      <c r="S69" s="250"/>
      <c r="T69" s="250"/>
      <c r="U69" s="250"/>
      <c r="V69" s="250"/>
      <c r="W69" s="250"/>
      <c r="X69" s="250"/>
      <c r="Y69" s="250"/>
      <c r="Z69" s="250"/>
      <c r="AA69" s="250"/>
      <c r="AB69" s="250"/>
      <c r="AC69" s="250"/>
      <c r="AD69" s="250"/>
      <c r="AE69" s="250"/>
      <c r="AF69" s="250"/>
      <c r="AG69" s="250"/>
      <c r="AH69" s="250"/>
      <c r="AI69" s="250"/>
      <c r="AJ69" s="250"/>
      <c r="AK69" s="250"/>
      <c r="AL69" s="250"/>
      <c r="AM69" s="250"/>
      <c r="AN69" s="250"/>
      <c r="AO69" s="250"/>
      <c r="AP69" s="250"/>
      <c r="AQ69" s="250"/>
      <c r="AR69" s="250"/>
      <c r="AS69" s="250"/>
      <c r="AT69" s="250"/>
      <c r="AU69" s="250"/>
      <c r="AV69" s="250"/>
      <c r="AW69" s="250"/>
      <c r="AX69" s="250"/>
      <c r="AY69" s="250"/>
      <c r="AZ69" s="250"/>
      <c r="BA69" s="250"/>
      <c r="BB69" s="250"/>
      <c r="BC69" s="250"/>
      <c r="BD69" s="250"/>
      <c r="BE69" s="250"/>
      <c r="BF69" s="250"/>
      <c r="BG69" s="250"/>
      <c r="BH69" s="250"/>
      <c r="BI69" s="250"/>
      <c r="BJ69" s="250"/>
      <c r="BK69" s="250"/>
      <c r="BL69" s="250"/>
      <c r="BM69" s="250"/>
      <c r="BN69" s="250"/>
      <c r="BO69" s="250"/>
      <c r="BP69" s="250"/>
      <c r="BQ69" s="250"/>
      <c r="BR69" s="250"/>
      <c r="BS69" s="250"/>
      <c r="BT69" s="250"/>
      <c r="BU69" s="250"/>
      <c r="BV69" s="235">
        <v>3.958</v>
      </c>
      <c r="BW69" s="487">
        <f t="shared" si="5"/>
        <v>6174.48</v>
      </c>
      <c r="BX69" s="487">
        <f t="shared" si="6"/>
        <v>47852.22</v>
      </c>
      <c r="BY69" s="249" t="s">
        <v>213</v>
      </c>
      <c r="BZ69" s="250" t="s">
        <v>83</v>
      </c>
    </row>
    <row r="70" s="469" customFormat="1" ht="25" customHeight="1" spans="1:78">
      <c r="A70" s="223">
        <v>46057</v>
      </c>
      <c r="B70" s="223">
        <v>46111</v>
      </c>
      <c r="C70" s="224" t="s">
        <v>78</v>
      </c>
      <c r="D70" s="224" t="s">
        <v>84</v>
      </c>
      <c r="E70" s="224" t="s">
        <v>214</v>
      </c>
      <c r="F70" s="226" t="s">
        <v>12</v>
      </c>
      <c r="G70" s="250" t="s">
        <v>121</v>
      </c>
      <c r="H70" s="250">
        <v>240</v>
      </c>
      <c r="I70" s="250">
        <v>6</v>
      </c>
      <c r="J70" s="250">
        <f t="shared" si="4"/>
        <v>40</v>
      </c>
      <c r="K70" s="250"/>
      <c r="L70" s="250"/>
      <c r="M70" s="250">
        <f>H70</f>
        <v>240</v>
      </c>
      <c r="N70" s="250"/>
      <c r="O70" s="250"/>
      <c r="P70" s="250"/>
      <c r="Q70" s="250"/>
      <c r="R70" s="250"/>
      <c r="S70" s="250"/>
      <c r="T70" s="250"/>
      <c r="U70" s="250"/>
      <c r="V70" s="250"/>
      <c r="W70" s="250"/>
      <c r="X70" s="250"/>
      <c r="Y70" s="250"/>
      <c r="Z70" s="250"/>
      <c r="AA70" s="250"/>
      <c r="AB70" s="250"/>
      <c r="AC70" s="250"/>
      <c r="AD70" s="250"/>
      <c r="AE70" s="250"/>
      <c r="AF70" s="250"/>
      <c r="AG70" s="250"/>
      <c r="AH70" s="250"/>
      <c r="AI70" s="250"/>
      <c r="AJ70" s="250"/>
      <c r="AK70" s="250"/>
      <c r="AL70" s="250"/>
      <c r="AM70" s="250"/>
      <c r="AN70" s="250"/>
      <c r="AO70" s="250"/>
      <c r="AP70" s="250"/>
      <c r="AQ70" s="250"/>
      <c r="AR70" s="250"/>
      <c r="AS70" s="250"/>
      <c r="AT70" s="250"/>
      <c r="AU70" s="250"/>
      <c r="AV70" s="250"/>
      <c r="AW70" s="250"/>
      <c r="AX70" s="250"/>
      <c r="AY70" s="250"/>
      <c r="AZ70" s="250"/>
      <c r="BA70" s="250"/>
      <c r="BB70" s="250"/>
      <c r="BC70" s="250"/>
      <c r="BD70" s="250"/>
      <c r="BE70" s="250"/>
      <c r="BF70" s="250"/>
      <c r="BG70" s="250"/>
      <c r="BH70" s="250"/>
      <c r="BI70" s="250"/>
      <c r="BJ70" s="250"/>
      <c r="BK70" s="250"/>
      <c r="BL70" s="250"/>
      <c r="BM70" s="250"/>
      <c r="BN70" s="250"/>
      <c r="BO70" s="250"/>
      <c r="BP70" s="250"/>
      <c r="BQ70" s="250"/>
      <c r="BR70" s="250"/>
      <c r="BS70" s="250"/>
      <c r="BT70" s="250"/>
      <c r="BU70" s="250"/>
      <c r="BV70" s="235">
        <v>3.958</v>
      </c>
      <c r="BW70" s="487">
        <f t="shared" si="5"/>
        <v>949.92</v>
      </c>
      <c r="BX70" s="487">
        <f t="shared" si="6"/>
        <v>7361.88</v>
      </c>
      <c r="BY70" s="249" t="s">
        <v>215</v>
      </c>
      <c r="BZ70" s="250" t="s">
        <v>83</v>
      </c>
    </row>
    <row r="71" s="469" customFormat="1" ht="25" customHeight="1" spans="1:78">
      <c r="A71" s="223">
        <v>46057</v>
      </c>
      <c r="B71" s="223">
        <v>46111</v>
      </c>
      <c r="C71" s="224" t="s">
        <v>78</v>
      </c>
      <c r="D71" s="224" t="s">
        <v>79</v>
      </c>
      <c r="E71" s="224" t="s">
        <v>216</v>
      </c>
      <c r="F71" s="226" t="s">
        <v>136</v>
      </c>
      <c r="G71" s="250" t="s">
        <v>137</v>
      </c>
      <c r="H71" s="250">
        <v>1500</v>
      </c>
      <c r="I71" s="250">
        <v>6</v>
      </c>
      <c r="J71" s="250">
        <f t="shared" si="4"/>
        <v>250</v>
      </c>
      <c r="K71" s="250"/>
      <c r="L71" s="250"/>
      <c r="M71" s="250"/>
      <c r="N71" s="250"/>
      <c r="O71" s="250"/>
      <c r="P71" s="250"/>
      <c r="Q71" s="250"/>
      <c r="R71" s="250"/>
      <c r="S71" s="250"/>
      <c r="T71" s="250"/>
      <c r="U71" s="250">
        <f>H71</f>
        <v>1500</v>
      </c>
      <c r="V71" s="250"/>
      <c r="W71" s="250"/>
      <c r="X71" s="250"/>
      <c r="Y71" s="250"/>
      <c r="Z71" s="250"/>
      <c r="AA71" s="250"/>
      <c r="AB71" s="250"/>
      <c r="AC71" s="250"/>
      <c r="AD71" s="250"/>
      <c r="AE71" s="250"/>
      <c r="AF71" s="250"/>
      <c r="AG71" s="250"/>
      <c r="AH71" s="250"/>
      <c r="AI71" s="250"/>
      <c r="AJ71" s="250"/>
      <c r="AK71" s="250"/>
      <c r="AL71" s="250"/>
      <c r="AM71" s="250"/>
      <c r="AN71" s="250"/>
      <c r="AO71" s="250"/>
      <c r="AP71" s="250"/>
      <c r="AQ71" s="250"/>
      <c r="AR71" s="250"/>
      <c r="AS71" s="250"/>
      <c r="AT71" s="250"/>
      <c r="AU71" s="250"/>
      <c r="AV71" s="250"/>
      <c r="AW71" s="250"/>
      <c r="AX71" s="250"/>
      <c r="AY71" s="250"/>
      <c r="AZ71" s="250"/>
      <c r="BA71" s="250"/>
      <c r="BB71" s="250"/>
      <c r="BC71" s="250"/>
      <c r="BD71" s="250"/>
      <c r="BE71" s="250"/>
      <c r="BF71" s="250"/>
      <c r="BG71" s="250"/>
      <c r="BH71" s="250"/>
      <c r="BI71" s="250"/>
      <c r="BJ71" s="250"/>
      <c r="BK71" s="250"/>
      <c r="BL71" s="250"/>
      <c r="BM71" s="250"/>
      <c r="BN71" s="250"/>
      <c r="BO71" s="250"/>
      <c r="BP71" s="250"/>
      <c r="BQ71" s="250"/>
      <c r="BR71" s="250"/>
      <c r="BS71" s="250"/>
      <c r="BT71" s="250"/>
      <c r="BU71" s="250"/>
      <c r="BV71" s="235">
        <v>3.924</v>
      </c>
      <c r="BW71" s="487">
        <f t="shared" si="5"/>
        <v>5886</v>
      </c>
      <c r="BX71" s="487">
        <f t="shared" si="6"/>
        <v>45616.5</v>
      </c>
      <c r="BY71" s="249" t="s">
        <v>217</v>
      </c>
      <c r="BZ71" s="250" t="s">
        <v>83</v>
      </c>
    </row>
    <row r="72" s="469" customFormat="1" ht="25" customHeight="1" spans="1:78">
      <c r="A72" s="223">
        <v>46057</v>
      </c>
      <c r="B72" s="223">
        <v>46111</v>
      </c>
      <c r="C72" s="224" t="s">
        <v>78</v>
      </c>
      <c r="D72" s="224" t="s">
        <v>84</v>
      </c>
      <c r="E72" s="224" t="s">
        <v>218</v>
      </c>
      <c r="F72" s="226" t="s">
        <v>136</v>
      </c>
      <c r="G72" s="250" t="s">
        <v>137</v>
      </c>
      <c r="H72" s="250">
        <v>240</v>
      </c>
      <c r="I72" s="250">
        <v>6</v>
      </c>
      <c r="J72" s="250">
        <f t="shared" si="4"/>
        <v>40</v>
      </c>
      <c r="K72" s="250"/>
      <c r="L72" s="250"/>
      <c r="M72" s="250"/>
      <c r="N72" s="250"/>
      <c r="O72" s="250"/>
      <c r="P72" s="250"/>
      <c r="Q72" s="250"/>
      <c r="R72" s="250"/>
      <c r="S72" s="250"/>
      <c r="T72" s="250"/>
      <c r="U72" s="250">
        <f>H72</f>
        <v>240</v>
      </c>
      <c r="V72" s="250"/>
      <c r="W72" s="250"/>
      <c r="X72" s="250"/>
      <c r="Y72" s="250"/>
      <c r="Z72" s="250"/>
      <c r="AA72" s="250"/>
      <c r="AB72" s="250"/>
      <c r="AC72" s="250"/>
      <c r="AD72" s="250"/>
      <c r="AE72" s="250"/>
      <c r="AF72" s="250"/>
      <c r="AG72" s="250"/>
      <c r="AH72" s="250"/>
      <c r="AI72" s="250"/>
      <c r="AJ72" s="250"/>
      <c r="AK72" s="250"/>
      <c r="AL72" s="250"/>
      <c r="AM72" s="250"/>
      <c r="AN72" s="250"/>
      <c r="AO72" s="250"/>
      <c r="AP72" s="250"/>
      <c r="AQ72" s="250"/>
      <c r="AR72" s="250"/>
      <c r="AS72" s="250"/>
      <c r="AT72" s="250"/>
      <c r="AU72" s="250"/>
      <c r="AV72" s="250"/>
      <c r="AW72" s="250"/>
      <c r="AX72" s="250"/>
      <c r="AY72" s="250"/>
      <c r="AZ72" s="250"/>
      <c r="BA72" s="250"/>
      <c r="BB72" s="250"/>
      <c r="BC72" s="250"/>
      <c r="BD72" s="250"/>
      <c r="BE72" s="250"/>
      <c r="BF72" s="250"/>
      <c r="BG72" s="250"/>
      <c r="BH72" s="250"/>
      <c r="BI72" s="250"/>
      <c r="BJ72" s="250"/>
      <c r="BK72" s="250"/>
      <c r="BL72" s="250"/>
      <c r="BM72" s="250"/>
      <c r="BN72" s="250"/>
      <c r="BO72" s="250"/>
      <c r="BP72" s="250"/>
      <c r="BQ72" s="250"/>
      <c r="BR72" s="250"/>
      <c r="BS72" s="250"/>
      <c r="BT72" s="250"/>
      <c r="BU72" s="250"/>
      <c r="BV72" s="235">
        <v>3.924</v>
      </c>
      <c r="BW72" s="487">
        <f t="shared" si="5"/>
        <v>941.76</v>
      </c>
      <c r="BX72" s="487">
        <f t="shared" si="6"/>
        <v>7298.64</v>
      </c>
      <c r="BY72" s="249" t="s">
        <v>219</v>
      </c>
      <c r="BZ72" s="250" t="s">
        <v>83</v>
      </c>
    </row>
    <row r="73" s="469" customFormat="1" ht="25" customHeight="1" spans="1:78">
      <c r="A73" s="223">
        <v>46057</v>
      </c>
      <c r="B73" s="223">
        <v>46125</v>
      </c>
      <c r="C73" s="224" t="s">
        <v>78</v>
      </c>
      <c r="D73" s="224" t="s">
        <v>79</v>
      </c>
      <c r="E73" s="224" t="s">
        <v>220</v>
      </c>
      <c r="F73" s="226" t="s">
        <v>136</v>
      </c>
      <c r="G73" s="250" t="s">
        <v>121</v>
      </c>
      <c r="H73" s="250">
        <v>1440</v>
      </c>
      <c r="I73" s="250">
        <v>6</v>
      </c>
      <c r="J73" s="250">
        <f t="shared" si="4"/>
        <v>240</v>
      </c>
      <c r="K73" s="250"/>
      <c r="L73" s="250"/>
      <c r="M73" s="250">
        <f>H73</f>
        <v>1440</v>
      </c>
      <c r="N73" s="250"/>
      <c r="O73" s="250"/>
      <c r="P73" s="250"/>
      <c r="Q73" s="250"/>
      <c r="R73" s="250"/>
      <c r="S73" s="250"/>
      <c r="T73" s="250"/>
      <c r="U73" s="250"/>
      <c r="V73" s="250"/>
      <c r="W73" s="250"/>
      <c r="X73" s="250"/>
      <c r="Y73" s="250"/>
      <c r="Z73" s="250"/>
      <c r="AA73" s="250"/>
      <c r="AB73" s="250"/>
      <c r="AC73" s="250"/>
      <c r="AD73" s="250"/>
      <c r="AE73" s="250"/>
      <c r="AF73" s="250"/>
      <c r="AG73" s="250"/>
      <c r="AH73" s="250"/>
      <c r="AI73" s="250"/>
      <c r="AJ73" s="250"/>
      <c r="AK73" s="250"/>
      <c r="AL73" s="250"/>
      <c r="AM73" s="250"/>
      <c r="AN73" s="250"/>
      <c r="AO73" s="250"/>
      <c r="AP73" s="250"/>
      <c r="AQ73" s="250"/>
      <c r="AR73" s="250"/>
      <c r="AS73" s="250"/>
      <c r="AT73" s="250"/>
      <c r="AU73" s="250"/>
      <c r="AV73" s="250"/>
      <c r="AW73" s="250"/>
      <c r="AX73" s="250"/>
      <c r="AY73" s="250"/>
      <c r="AZ73" s="250"/>
      <c r="BA73" s="250"/>
      <c r="BB73" s="250"/>
      <c r="BC73" s="250"/>
      <c r="BD73" s="250"/>
      <c r="BE73" s="250"/>
      <c r="BF73" s="250"/>
      <c r="BG73" s="250"/>
      <c r="BH73" s="250"/>
      <c r="BI73" s="250"/>
      <c r="BJ73" s="250"/>
      <c r="BK73" s="250"/>
      <c r="BL73" s="250"/>
      <c r="BM73" s="250"/>
      <c r="BN73" s="250"/>
      <c r="BO73" s="250"/>
      <c r="BP73" s="250"/>
      <c r="BQ73" s="250"/>
      <c r="BR73" s="250"/>
      <c r="BS73" s="250"/>
      <c r="BT73" s="250"/>
      <c r="BU73" s="250"/>
      <c r="BV73" s="235">
        <v>3.924</v>
      </c>
      <c r="BW73" s="487">
        <f t="shared" si="5"/>
        <v>5650.56</v>
      </c>
      <c r="BX73" s="487">
        <f t="shared" si="6"/>
        <v>43791.84</v>
      </c>
      <c r="BY73" s="224" t="s">
        <v>221</v>
      </c>
      <c r="BZ73" s="250" t="s">
        <v>83</v>
      </c>
    </row>
    <row r="74" s="469" customFormat="1" ht="25" customHeight="1" spans="1:78">
      <c r="A74" s="223">
        <v>46057</v>
      </c>
      <c r="B74" s="223">
        <v>46125</v>
      </c>
      <c r="C74" s="224" t="s">
        <v>78</v>
      </c>
      <c r="D74" s="224" t="s">
        <v>84</v>
      </c>
      <c r="E74" s="224" t="s">
        <v>222</v>
      </c>
      <c r="F74" s="226" t="s">
        <v>136</v>
      </c>
      <c r="G74" s="250" t="s">
        <v>121</v>
      </c>
      <c r="H74" s="250">
        <v>240</v>
      </c>
      <c r="I74" s="250">
        <v>6</v>
      </c>
      <c r="J74" s="250">
        <f t="shared" si="4"/>
        <v>40</v>
      </c>
      <c r="K74" s="250"/>
      <c r="L74" s="250"/>
      <c r="M74" s="250">
        <f>H74</f>
        <v>240</v>
      </c>
      <c r="N74" s="250"/>
      <c r="O74" s="250"/>
      <c r="P74" s="250"/>
      <c r="Q74" s="250"/>
      <c r="R74" s="250"/>
      <c r="S74" s="250"/>
      <c r="T74" s="250"/>
      <c r="U74" s="250"/>
      <c r="V74" s="250"/>
      <c r="W74" s="250"/>
      <c r="X74" s="250"/>
      <c r="Y74" s="250"/>
      <c r="Z74" s="250"/>
      <c r="AA74" s="250"/>
      <c r="AB74" s="250"/>
      <c r="AC74" s="250"/>
      <c r="AD74" s="250"/>
      <c r="AE74" s="250"/>
      <c r="AF74" s="250"/>
      <c r="AG74" s="250"/>
      <c r="AH74" s="250"/>
      <c r="AI74" s="250"/>
      <c r="AJ74" s="250"/>
      <c r="AK74" s="250"/>
      <c r="AL74" s="250"/>
      <c r="AM74" s="250"/>
      <c r="AN74" s="250"/>
      <c r="AO74" s="250"/>
      <c r="AP74" s="250"/>
      <c r="AQ74" s="250"/>
      <c r="AR74" s="250"/>
      <c r="AS74" s="250"/>
      <c r="AT74" s="250"/>
      <c r="AU74" s="250"/>
      <c r="AV74" s="250"/>
      <c r="AW74" s="250"/>
      <c r="AX74" s="250"/>
      <c r="AY74" s="250"/>
      <c r="AZ74" s="250"/>
      <c r="BA74" s="250"/>
      <c r="BB74" s="250"/>
      <c r="BC74" s="250"/>
      <c r="BD74" s="250"/>
      <c r="BE74" s="250"/>
      <c r="BF74" s="250"/>
      <c r="BG74" s="250"/>
      <c r="BH74" s="250"/>
      <c r="BI74" s="250"/>
      <c r="BJ74" s="250"/>
      <c r="BK74" s="250"/>
      <c r="BL74" s="250"/>
      <c r="BM74" s="250"/>
      <c r="BN74" s="250"/>
      <c r="BO74" s="250"/>
      <c r="BP74" s="250"/>
      <c r="BQ74" s="250"/>
      <c r="BR74" s="250"/>
      <c r="BS74" s="250"/>
      <c r="BT74" s="250"/>
      <c r="BU74" s="250"/>
      <c r="BV74" s="235">
        <v>3.924</v>
      </c>
      <c r="BW74" s="487">
        <f t="shared" si="5"/>
        <v>941.76</v>
      </c>
      <c r="BX74" s="487">
        <f t="shared" si="6"/>
        <v>7298.64</v>
      </c>
      <c r="BY74" s="224" t="s">
        <v>223</v>
      </c>
      <c r="BZ74" s="250" t="s">
        <v>83</v>
      </c>
    </row>
    <row r="75" s="469" customFormat="1" ht="25" customHeight="1" spans="1:78">
      <c r="A75" s="223">
        <v>46057</v>
      </c>
      <c r="B75" s="223">
        <v>46139</v>
      </c>
      <c r="C75" s="224" t="s">
        <v>78</v>
      </c>
      <c r="D75" s="224" t="s">
        <v>79</v>
      </c>
      <c r="E75" s="224" t="s">
        <v>224</v>
      </c>
      <c r="F75" s="226" t="s">
        <v>136</v>
      </c>
      <c r="G75" s="250" t="s">
        <v>137</v>
      </c>
      <c r="H75" s="250">
        <v>1260</v>
      </c>
      <c r="I75" s="250">
        <v>6</v>
      </c>
      <c r="J75" s="250">
        <f t="shared" si="4"/>
        <v>210</v>
      </c>
      <c r="K75" s="250"/>
      <c r="L75" s="250"/>
      <c r="M75" s="250"/>
      <c r="N75" s="250"/>
      <c r="O75" s="250"/>
      <c r="P75" s="250"/>
      <c r="Q75" s="250"/>
      <c r="R75" s="250"/>
      <c r="S75" s="250"/>
      <c r="T75" s="250"/>
      <c r="U75" s="250">
        <f>H75</f>
        <v>1260</v>
      </c>
      <c r="V75" s="250"/>
      <c r="W75" s="250"/>
      <c r="X75" s="250"/>
      <c r="Y75" s="250"/>
      <c r="Z75" s="250"/>
      <c r="AA75" s="250"/>
      <c r="AB75" s="250"/>
      <c r="AC75" s="250"/>
      <c r="AD75" s="250"/>
      <c r="AE75" s="250"/>
      <c r="AF75" s="250"/>
      <c r="AG75" s="250"/>
      <c r="AH75" s="250"/>
      <c r="AI75" s="250"/>
      <c r="AJ75" s="250"/>
      <c r="AK75" s="250"/>
      <c r="AL75" s="250"/>
      <c r="AM75" s="250"/>
      <c r="AN75" s="250"/>
      <c r="AO75" s="250"/>
      <c r="AP75" s="250"/>
      <c r="AQ75" s="250"/>
      <c r="AR75" s="250"/>
      <c r="AS75" s="250"/>
      <c r="AT75" s="250"/>
      <c r="AU75" s="250"/>
      <c r="AV75" s="250"/>
      <c r="AW75" s="250"/>
      <c r="AX75" s="250"/>
      <c r="AY75" s="250"/>
      <c r="AZ75" s="250"/>
      <c r="BA75" s="250"/>
      <c r="BB75" s="250"/>
      <c r="BC75" s="250"/>
      <c r="BD75" s="250"/>
      <c r="BE75" s="250"/>
      <c r="BF75" s="250"/>
      <c r="BG75" s="250"/>
      <c r="BH75" s="250"/>
      <c r="BI75" s="250"/>
      <c r="BJ75" s="250"/>
      <c r="BK75" s="250"/>
      <c r="BL75" s="250"/>
      <c r="BM75" s="250"/>
      <c r="BN75" s="250"/>
      <c r="BO75" s="250"/>
      <c r="BP75" s="250"/>
      <c r="BQ75" s="250"/>
      <c r="BR75" s="250"/>
      <c r="BS75" s="250"/>
      <c r="BT75" s="250"/>
      <c r="BU75" s="250"/>
      <c r="BV75" s="235">
        <v>3.924</v>
      </c>
      <c r="BW75" s="487">
        <f t="shared" si="5"/>
        <v>4944.24</v>
      </c>
      <c r="BX75" s="487">
        <f t="shared" si="6"/>
        <v>38317.86</v>
      </c>
      <c r="BY75" s="224" t="s">
        <v>225</v>
      </c>
      <c r="BZ75" s="250" t="s">
        <v>83</v>
      </c>
    </row>
    <row r="76" s="469" customFormat="1" ht="25" customHeight="1" spans="1:78">
      <c r="A76" s="223">
        <v>46057</v>
      </c>
      <c r="B76" s="223">
        <v>46139</v>
      </c>
      <c r="C76" s="224" t="s">
        <v>78</v>
      </c>
      <c r="D76" s="224" t="s">
        <v>84</v>
      </c>
      <c r="E76" s="224" t="s">
        <v>226</v>
      </c>
      <c r="F76" s="226" t="s">
        <v>136</v>
      </c>
      <c r="G76" s="250" t="s">
        <v>137</v>
      </c>
      <c r="H76" s="250">
        <v>186</v>
      </c>
      <c r="I76" s="250">
        <v>6</v>
      </c>
      <c r="J76" s="250">
        <f t="shared" si="4"/>
        <v>31</v>
      </c>
      <c r="K76" s="250"/>
      <c r="L76" s="250"/>
      <c r="M76" s="250"/>
      <c r="N76" s="250"/>
      <c r="O76" s="250"/>
      <c r="P76" s="250"/>
      <c r="Q76" s="250"/>
      <c r="R76" s="250"/>
      <c r="S76" s="250"/>
      <c r="T76" s="250"/>
      <c r="U76" s="250">
        <f>H76</f>
        <v>186</v>
      </c>
      <c r="V76" s="250"/>
      <c r="W76" s="250"/>
      <c r="X76" s="250"/>
      <c r="Y76" s="250"/>
      <c r="Z76" s="250"/>
      <c r="AA76" s="250"/>
      <c r="AB76" s="250"/>
      <c r="AC76" s="250"/>
      <c r="AD76" s="250"/>
      <c r="AE76" s="250"/>
      <c r="AF76" s="250"/>
      <c r="AG76" s="250"/>
      <c r="AH76" s="250"/>
      <c r="AI76" s="250"/>
      <c r="AJ76" s="250"/>
      <c r="AK76" s="250"/>
      <c r="AL76" s="250"/>
      <c r="AM76" s="250"/>
      <c r="AN76" s="250"/>
      <c r="AO76" s="250"/>
      <c r="AP76" s="250"/>
      <c r="AQ76" s="250"/>
      <c r="AR76" s="250"/>
      <c r="AS76" s="250"/>
      <c r="AT76" s="250"/>
      <c r="AU76" s="250"/>
      <c r="AV76" s="250"/>
      <c r="AW76" s="250"/>
      <c r="AX76" s="250"/>
      <c r="AY76" s="250"/>
      <c r="AZ76" s="250"/>
      <c r="BA76" s="250"/>
      <c r="BB76" s="250"/>
      <c r="BC76" s="250"/>
      <c r="BD76" s="250"/>
      <c r="BE76" s="250"/>
      <c r="BF76" s="250"/>
      <c r="BG76" s="250"/>
      <c r="BH76" s="250"/>
      <c r="BI76" s="250"/>
      <c r="BJ76" s="250"/>
      <c r="BK76" s="250"/>
      <c r="BL76" s="250"/>
      <c r="BM76" s="250"/>
      <c r="BN76" s="250"/>
      <c r="BO76" s="250"/>
      <c r="BP76" s="250"/>
      <c r="BQ76" s="250"/>
      <c r="BR76" s="250"/>
      <c r="BS76" s="250"/>
      <c r="BT76" s="250"/>
      <c r="BU76" s="250"/>
      <c r="BV76" s="235">
        <v>3.924</v>
      </c>
      <c r="BW76" s="487">
        <f t="shared" si="5"/>
        <v>729.864</v>
      </c>
      <c r="BX76" s="487">
        <f t="shared" si="6"/>
        <v>5656.446</v>
      </c>
      <c r="BY76" s="224" t="s">
        <v>227</v>
      </c>
      <c r="BZ76" s="250" t="s">
        <v>83</v>
      </c>
    </row>
    <row r="77" s="469" customFormat="1" ht="25" customHeight="1" spans="1:78">
      <c r="A77" s="223">
        <v>46062</v>
      </c>
      <c r="B77" s="223">
        <v>46139</v>
      </c>
      <c r="C77" s="225" t="s">
        <v>78</v>
      </c>
      <c r="D77" s="224" t="s">
        <v>79</v>
      </c>
      <c r="E77" s="224" t="s">
        <v>228</v>
      </c>
      <c r="F77" s="224" t="s">
        <v>49</v>
      </c>
      <c r="G77" s="224" t="s">
        <v>144</v>
      </c>
      <c r="H77" s="226">
        <v>808</v>
      </c>
      <c r="I77" s="226">
        <v>4</v>
      </c>
      <c r="J77" s="250">
        <f t="shared" si="4"/>
        <v>202</v>
      </c>
      <c r="K77" s="250"/>
      <c r="L77" s="250"/>
      <c r="M77" s="250"/>
      <c r="N77" s="250"/>
      <c r="O77" s="250"/>
      <c r="P77" s="250"/>
      <c r="Q77" s="250"/>
      <c r="R77" s="250"/>
      <c r="S77" s="250"/>
      <c r="T77" s="250"/>
      <c r="U77" s="250"/>
      <c r="V77" s="250"/>
      <c r="W77" s="250"/>
      <c r="X77" s="250"/>
      <c r="Y77" s="250"/>
      <c r="Z77" s="250"/>
      <c r="AA77" s="250"/>
      <c r="AB77" s="250"/>
      <c r="AC77" s="250"/>
      <c r="AD77" s="250"/>
      <c r="AE77" s="250"/>
      <c r="AF77" s="250"/>
      <c r="AG77" s="250"/>
      <c r="AH77" s="250"/>
      <c r="AI77" s="250"/>
      <c r="AJ77" s="250"/>
      <c r="AK77" s="250"/>
      <c r="AL77" s="250"/>
      <c r="AM77" s="250"/>
      <c r="AN77" s="250"/>
      <c r="AO77" s="250"/>
      <c r="AP77" s="250"/>
      <c r="AQ77" s="250"/>
      <c r="AR77" s="250"/>
      <c r="AS77" s="250"/>
      <c r="AT77" s="250"/>
      <c r="AU77" s="250"/>
      <c r="AV77" s="250"/>
      <c r="AW77" s="250"/>
      <c r="AX77" s="250">
        <v>808</v>
      </c>
      <c r="AY77" s="250"/>
      <c r="AZ77" s="250"/>
      <c r="BA77" s="250"/>
      <c r="BB77" s="250"/>
      <c r="BC77" s="250"/>
      <c r="BD77" s="250"/>
      <c r="BE77" s="250"/>
      <c r="BF77" s="250"/>
      <c r="BG77" s="250"/>
      <c r="BH77" s="250"/>
      <c r="BI77" s="250"/>
      <c r="BJ77" s="250"/>
      <c r="BK77" s="250"/>
      <c r="BL77" s="250"/>
      <c r="BM77" s="250"/>
      <c r="BN77" s="250"/>
      <c r="BO77" s="250"/>
      <c r="BP77" s="250"/>
      <c r="BQ77" s="250"/>
      <c r="BR77" s="250"/>
      <c r="BS77" s="250"/>
      <c r="BT77" s="250"/>
      <c r="BU77" s="250"/>
      <c r="BV77" s="235">
        <v>10.262</v>
      </c>
      <c r="BW77" s="487">
        <f t="shared" si="5"/>
        <v>8291.696</v>
      </c>
      <c r="BX77" s="487">
        <f t="shared" si="6"/>
        <v>64260.644</v>
      </c>
      <c r="BY77" s="224" t="s">
        <v>229</v>
      </c>
      <c r="BZ77" s="250" t="s">
        <v>146</v>
      </c>
    </row>
    <row r="78" s="469" customFormat="1" ht="25" customHeight="1" spans="1:78">
      <c r="A78" s="223">
        <v>46062</v>
      </c>
      <c r="B78" s="223">
        <v>46139</v>
      </c>
      <c r="C78" s="225" t="s">
        <v>78</v>
      </c>
      <c r="D78" s="224" t="s">
        <v>84</v>
      </c>
      <c r="E78" s="224" t="s">
        <v>230</v>
      </c>
      <c r="F78" s="224" t="s">
        <v>49</v>
      </c>
      <c r="G78" s="224" t="s">
        <v>144</v>
      </c>
      <c r="H78" s="226">
        <v>60</v>
      </c>
      <c r="I78" s="226">
        <v>4</v>
      </c>
      <c r="J78" s="250">
        <f t="shared" si="4"/>
        <v>15</v>
      </c>
      <c r="K78" s="250"/>
      <c r="L78" s="250"/>
      <c r="M78" s="250"/>
      <c r="N78" s="250"/>
      <c r="O78" s="250"/>
      <c r="P78" s="250"/>
      <c r="Q78" s="250"/>
      <c r="R78" s="250"/>
      <c r="S78" s="250"/>
      <c r="T78" s="250"/>
      <c r="U78" s="250"/>
      <c r="V78" s="250"/>
      <c r="W78" s="250"/>
      <c r="X78" s="250"/>
      <c r="Y78" s="250"/>
      <c r="Z78" s="250"/>
      <c r="AA78" s="250"/>
      <c r="AB78" s="250"/>
      <c r="AC78" s="250"/>
      <c r="AD78" s="250"/>
      <c r="AE78" s="250"/>
      <c r="AF78" s="250"/>
      <c r="AG78" s="250"/>
      <c r="AH78" s="250"/>
      <c r="AI78" s="250"/>
      <c r="AJ78" s="250"/>
      <c r="AK78" s="250"/>
      <c r="AL78" s="250"/>
      <c r="AM78" s="250"/>
      <c r="AN78" s="250"/>
      <c r="AO78" s="250"/>
      <c r="AP78" s="250"/>
      <c r="AQ78" s="250"/>
      <c r="AR78" s="250"/>
      <c r="AS78" s="250"/>
      <c r="AT78" s="250"/>
      <c r="AU78" s="250"/>
      <c r="AV78" s="250"/>
      <c r="AW78" s="250"/>
      <c r="AX78" s="250">
        <v>60</v>
      </c>
      <c r="AY78" s="250"/>
      <c r="AZ78" s="250"/>
      <c r="BA78" s="250"/>
      <c r="BB78" s="250"/>
      <c r="BC78" s="250"/>
      <c r="BD78" s="250"/>
      <c r="BE78" s="250"/>
      <c r="BF78" s="250"/>
      <c r="BG78" s="250"/>
      <c r="BH78" s="250"/>
      <c r="BI78" s="250"/>
      <c r="BJ78" s="250"/>
      <c r="BK78" s="250"/>
      <c r="BL78" s="250"/>
      <c r="BM78" s="250"/>
      <c r="BN78" s="250"/>
      <c r="BO78" s="250"/>
      <c r="BP78" s="250"/>
      <c r="BQ78" s="250"/>
      <c r="BR78" s="250"/>
      <c r="BS78" s="250"/>
      <c r="BT78" s="250"/>
      <c r="BU78" s="250"/>
      <c r="BV78" s="235">
        <v>10.262</v>
      </c>
      <c r="BW78" s="487">
        <f t="shared" si="5"/>
        <v>615.72</v>
      </c>
      <c r="BX78" s="487">
        <f t="shared" si="6"/>
        <v>4771.83</v>
      </c>
      <c r="BY78" s="224" t="s">
        <v>231</v>
      </c>
      <c r="BZ78" s="250" t="s">
        <v>146</v>
      </c>
    </row>
    <row r="79" s="469" customFormat="1" ht="25" customHeight="1" spans="1:78">
      <c r="A79" s="223">
        <v>46080</v>
      </c>
      <c r="B79" s="223">
        <v>46122</v>
      </c>
      <c r="C79" s="225" t="s">
        <v>149</v>
      </c>
      <c r="D79" s="224" t="s">
        <v>150</v>
      </c>
      <c r="E79" s="224" t="s">
        <v>232</v>
      </c>
      <c r="F79" s="224" t="s">
        <v>67</v>
      </c>
      <c r="G79" s="224" t="s">
        <v>152</v>
      </c>
      <c r="H79" s="226">
        <v>2004</v>
      </c>
      <c r="I79" s="226">
        <v>6</v>
      </c>
      <c r="J79" s="250">
        <f t="shared" si="4"/>
        <v>334</v>
      </c>
      <c r="K79" s="250"/>
      <c r="L79" s="250"/>
      <c r="M79" s="250"/>
      <c r="N79" s="250"/>
      <c r="O79" s="250"/>
      <c r="P79" s="250"/>
      <c r="Q79" s="250"/>
      <c r="R79" s="250"/>
      <c r="S79" s="250"/>
      <c r="T79" s="250"/>
      <c r="U79" s="250"/>
      <c r="V79" s="250"/>
      <c r="W79" s="250"/>
      <c r="X79" s="250"/>
      <c r="Y79" s="250"/>
      <c r="Z79" s="250"/>
      <c r="AA79" s="250"/>
      <c r="AB79" s="250"/>
      <c r="AC79" s="250"/>
      <c r="AD79" s="250"/>
      <c r="AE79" s="250"/>
      <c r="AF79" s="250"/>
      <c r="AG79" s="250"/>
      <c r="AH79" s="250"/>
      <c r="AI79" s="250"/>
      <c r="AJ79" s="250"/>
      <c r="AK79" s="250"/>
      <c r="AL79" s="250"/>
      <c r="AM79" s="250"/>
      <c r="AN79" s="250"/>
      <c r="AO79" s="250"/>
      <c r="AP79" s="250"/>
      <c r="AQ79" s="250"/>
      <c r="AR79" s="250"/>
      <c r="AS79" s="250"/>
      <c r="AT79" s="250"/>
      <c r="AU79" s="250"/>
      <c r="AV79" s="250"/>
      <c r="AW79" s="250"/>
      <c r="AX79" s="250"/>
      <c r="AY79" s="250"/>
      <c r="AZ79" s="250"/>
      <c r="BA79" s="250"/>
      <c r="BB79" s="250"/>
      <c r="BC79" s="250"/>
      <c r="BD79" s="250"/>
      <c r="BE79" s="250"/>
      <c r="BF79" s="250"/>
      <c r="BG79" s="250"/>
      <c r="BH79" s="250"/>
      <c r="BI79" s="250"/>
      <c r="BJ79" s="250"/>
      <c r="BK79" s="250"/>
      <c r="BL79" s="250"/>
      <c r="BM79" s="250"/>
      <c r="BN79" s="250"/>
      <c r="BO79" s="250"/>
      <c r="BP79" s="250">
        <f>H79</f>
        <v>2004</v>
      </c>
      <c r="BQ79" s="250"/>
      <c r="BR79" s="250"/>
      <c r="BS79" s="250"/>
      <c r="BT79" s="250"/>
      <c r="BU79" s="250"/>
      <c r="BV79" s="235">
        <v>3.905</v>
      </c>
      <c r="BW79" s="487">
        <f t="shared" si="5"/>
        <v>7825.62</v>
      </c>
      <c r="BX79" s="487">
        <f t="shared" si="6"/>
        <v>60648.555</v>
      </c>
      <c r="BY79" s="224" t="s">
        <v>233</v>
      </c>
      <c r="BZ79" s="250" t="s">
        <v>83</v>
      </c>
    </row>
    <row r="80" s="469" customFormat="1" ht="25" customHeight="1" spans="1:78">
      <c r="A80" s="223">
        <v>46087</v>
      </c>
      <c r="B80" s="223">
        <v>46153</v>
      </c>
      <c r="C80" s="225" t="s">
        <v>78</v>
      </c>
      <c r="D80" s="224" t="s">
        <v>79</v>
      </c>
      <c r="E80" s="224" t="s">
        <v>234</v>
      </c>
      <c r="F80" s="224" t="s">
        <v>49</v>
      </c>
      <c r="G80" s="224" t="s">
        <v>144</v>
      </c>
      <c r="H80" s="226">
        <v>812</v>
      </c>
      <c r="I80" s="226">
        <v>4</v>
      </c>
      <c r="J80" s="250">
        <f t="shared" si="4"/>
        <v>203</v>
      </c>
      <c r="K80" s="250"/>
      <c r="L80" s="250"/>
      <c r="M80" s="250"/>
      <c r="N80" s="250"/>
      <c r="O80" s="250"/>
      <c r="P80" s="250"/>
      <c r="Q80" s="250"/>
      <c r="R80" s="250"/>
      <c r="S80" s="250"/>
      <c r="T80" s="250"/>
      <c r="U80" s="250"/>
      <c r="V80" s="250"/>
      <c r="W80" s="250"/>
      <c r="X80" s="250"/>
      <c r="Y80" s="250"/>
      <c r="Z80" s="250"/>
      <c r="AA80" s="250"/>
      <c r="AB80" s="250"/>
      <c r="AC80" s="250"/>
      <c r="AD80" s="250"/>
      <c r="AE80" s="250"/>
      <c r="AF80" s="250"/>
      <c r="AG80" s="250"/>
      <c r="AH80" s="250"/>
      <c r="AI80" s="250"/>
      <c r="AJ80" s="250"/>
      <c r="AK80" s="250"/>
      <c r="AL80" s="250"/>
      <c r="AM80" s="250"/>
      <c r="AN80" s="250"/>
      <c r="AO80" s="250"/>
      <c r="AP80" s="250"/>
      <c r="AQ80" s="250"/>
      <c r="AR80" s="250"/>
      <c r="AS80" s="250"/>
      <c r="AT80" s="250"/>
      <c r="AU80" s="250"/>
      <c r="AV80" s="250"/>
      <c r="AW80" s="250"/>
      <c r="AX80" s="250">
        <f>H80</f>
        <v>812</v>
      </c>
      <c r="AY80" s="250"/>
      <c r="AZ80" s="250"/>
      <c r="BA80" s="250"/>
      <c r="BB80" s="250"/>
      <c r="BC80" s="250"/>
      <c r="BD80" s="250"/>
      <c r="BE80" s="250"/>
      <c r="BF80" s="250"/>
      <c r="BG80" s="250"/>
      <c r="BH80" s="250"/>
      <c r="BI80" s="250"/>
      <c r="BJ80" s="250"/>
      <c r="BK80" s="250"/>
      <c r="BL80" s="250"/>
      <c r="BM80" s="250"/>
      <c r="BN80" s="250"/>
      <c r="BO80" s="250"/>
      <c r="BP80" s="250"/>
      <c r="BQ80" s="250"/>
      <c r="BR80" s="250"/>
      <c r="BS80" s="250"/>
      <c r="BT80" s="250"/>
      <c r="BU80" s="250"/>
      <c r="BV80" s="235">
        <v>10.262</v>
      </c>
      <c r="BW80" s="487">
        <f t="shared" si="5"/>
        <v>8332.744</v>
      </c>
      <c r="BX80" s="487">
        <f t="shared" si="6"/>
        <v>64578.766</v>
      </c>
      <c r="BY80" s="249" t="s">
        <v>235</v>
      </c>
      <c r="BZ80" s="250" t="s">
        <v>146</v>
      </c>
    </row>
    <row r="81" s="469" customFormat="1" ht="25" customHeight="1" spans="1:78">
      <c r="A81" s="223">
        <v>46087</v>
      </c>
      <c r="B81" s="223">
        <v>46153</v>
      </c>
      <c r="C81" s="225" t="s">
        <v>78</v>
      </c>
      <c r="D81" s="224" t="s">
        <v>84</v>
      </c>
      <c r="E81" s="224" t="s">
        <v>236</v>
      </c>
      <c r="F81" s="224" t="s">
        <v>49</v>
      </c>
      <c r="G81" s="224" t="s">
        <v>144</v>
      </c>
      <c r="H81" s="226">
        <v>56</v>
      </c>
      <c r="I81" s="226">
        <v>4</v>
      </c>
      <c r="J81" s="250">
        <f t="shared" si="4"/>
        <v>14</v>
      </c>
      <c r="K81" s="250"/>
      <c r="L81" s="250"/>
      <c r="M81" s="250"/>
      <c r="N81" s="250"/>
      <c r="O81" s="250"/>
      <c r="P81" s="250"/>
      <c r="Q81" s="250"/>
      <c r="R81" s="250"/>
      <c r="S81" s="250"/>
      <c r="T81" s="250"/>
      <c r="U81" s="250"/>
      <c r="V81" s="250"/>
      <c r="W81" s="250"/>
      <c r="X81" s="250"/>
      <c r="Y81" s="250"/>
      <c r="Z81" s="250"/>
      <c r="AA81" s="250"/>
      <c r="AB81" s="250"/>
      <c r="AC81" s="250"/>
      <c r="AD81" s="250"/>
      <c r="AE81" s="250"/>
      <c r="AF81" s="250"/>
      <c r="AG81" s="250"/>
      <c r="AH81" s="250"/>
      <c r="AI81" s="250"/>
      <c r="AJ81" s="250"/>
      <c r="AK81" s="250"/>
      <c r="AL81" s="250"/>
      <c r="AM81" s="250"/>
      <c r="AN81" s="250"/>
      <c r="AO81" s="250"/>
      <c r="AP81" s="250"/>
      <c r="AQ81" s="250"/>
      <c r="AR81" s="250"/>
      <c r="AS81" s="250"/>
      <c r="AT81" s="250"/>
      <c r="AU81" s="250"/>
      <c r="AV81" s="250"/>
      <c r="AW81" s="250"/>
      <c r="AX81" s="250">
        <f>H81</f>
        <v>56</v>
      </c>
      <c r="AY81" s="250"/>
      <c r="AZ81" s="250"/>
      <c r="BA81" s="250"/>
      <c r="BB81" s="250"/>
      <c r="BC81" s="250"/>
      <c r="BD81" s="250"/>
      <c r="BE81" s="250"/>
      <c r="BF81" s="250"/>
      <c r="BG81" s="250"/>
      <c r="BH81" s="250"/>
      <c r="BI81" s="250"/>
      <c r="BJ81" s="250"/>
      <c r="BK81" s="250"/>
      <c r="BL81" s="250"/>
      <c r="BM81" s="250"/>
      <c r="BN81" s="250"/>
      <c r="BO81" s="250"/>
      <c r="BP81" s="250"/>
      <c r="BQ81" s="250"/>
      <c r="BR81" s="250"/>
      <c r="BS81" s="250"/>
      <c r="BT81" s="250"/>
      <c r="BU81" s="250"/>
      <c r="BV81" s="235">
        <v>10.262</v>
      </c>
      <c r="BW81" s="487">
        <f t="shared" si="5"/>
        <v>574.672</v>
      </c>
      <c r="BX81" s="487">
        <f t="shared" si="6"/>
        <v>4453.708</v>
      </c>
      <c r="BY81" s="249" t="s">
        <v>237</v>
      </c>
      <c r="BZ81" s="250" t="s">
        <v>146</v>
      </c>
    </row>
    <row r="82" s="470" customFormat="1" ht="25" customHeight="1" spans="1:78">
      <c r="A82" s="251">
        <v>46087</v>
      </c>
      <c r="B82" s="251">
        <v>46164</v>
      </c>
      <c r="C82" s="253" t="s">
        <v>78</v>
      </c>
      <c r="D82" s="252" t="s">
        <v>79</v>
      </c>
      <c r="E82" s="252" t="s">
        <v>238</v>
      </c>
      <c r="F82" s="252" t="s">
        <v>49</v>
      </c>
      <c r="G82" s="252" t="s">
        <v>144</v>
      </c>
      <c r="H82" s="254">
        <v>868</v>
      </c>
      <c r="I82" s="254">
        <v>4</v>
      </c>
      <c r="J82" s="488">
        <f t="shared" si="4"/>
        <v>217</v>
      </c>
      <c r="K82" s="488"/>
      <c r="L82" s="488"/>
      <c r="M82" s="488"/>
      <c r="N82" s="488"/>
      <c r="O82" s="488"/>
      <c r="P82" s="488"/>
      <c r="Q82" s="488"/>
      <c r="R82" s="488"/>
      <c r="S82" s="488"/>
      <c r="T82" s="488"/>
      <c r="U82" s="488"/>
      <c r="V82" s="488"/>
      <c r="W82" s="488"/>
      <c r="X82" s="488"/>
      <c r="Y82" s="488"/>
      <c r="Z82" s="488"/>
      <c r="AA82" s="488"/>
      <c r="AB82" s="488"/>
      <c r="AC82" s="488"/>
      <c r="AD82" s="115"/>
      <c r="AE82" s="115"/>
      <c r="AF82" s="115"/>
      <c r="AG82" s="115"/>
      <c r="AH82" s="115"/>
      <c r="AI82" s="115"/>
      <c r="AJ82" s="115"/>
      <c r="AK82" s="115"/>
      <c r="AL82" s="115"/>
      <c r="AM82" s="115"/>
      <c r="AN82" s="115"/>
      <c r="AO82" s="115"/>
      <c r="AP82" s="115"/>
      <c r="AQ82" s="488"/>
      <c r="AR82" s="488"/>
      <c r="AS82" s="488"/>
      <c r="AT82" s="488"/>
      <c r="AU82" s="488"/>
      <c r="AV82" s="488"/>
      <c r="AW82" s="488"/>
      <c r="AX82" s="488">
        <f>H82</f>
        <v>868</v>
      </c>
      <c r="AY82" s="115"/>
      <c r="AZ82" s="115"/>
      <c r="BA82" s="115"/>
      <c r="BB82" s="115"/>
      <c r="BC82" s="115"/>
      <c r="BD82" s="115"/>
      <c r="BE82" s="115"/>
      <c r="BF82" s="115"/>
      <c r="BG82" s="115"/>
      <c r="BH82" s="115"/>
      <c r="BI82" s="488"/>
      <c r="BJ82" s="488"/>
      <c r="BK82" s="488"/>
      <c r="BL82" s="488"/>
      <c r="BM82" s="488"/>
      <c r="BN82" s="488"/>
      <c r="BO82" s="488"/>
      <c r="BP82" s="488"/>
      <c r="BQ82" s="488"/>
      <c r="BR82" s="488"/>
      <c r="BS82" s="488"/>
      <c r="BT82" s="488"/>
      <c r="BU82" s="488"/>
      <c r="BV82" s="262">
        <v>10.262</v>
      </c>
      <c r="BW82" s="489">
        <f t="shared" si="5"/>
        <v>8907.416</v>
      </c>
      <c r="BX82" s="489">
        <f t="shared" si="6"/>
        <v>69032.474</v>
      </c>
      <c r="BY82" s="252" t="s">
        <v>239</v>
      </c>
      <c r="BZ82" s="488" t="s">
        <v>146</v>
      </c>
    </row>
    <row r="83" s="469" customFormat="1" ht="25" customHeight="1" spans="1:78">
      <c r="A83" s="223">
        <v>46088</v>
      </c>
      <c r="B83" s="223">
        <v>46150</v>
      </c>
      <c r="C83" s="224" t="s">
        <v>240</v>
      </c>
      <c r="D83" s="224" t="s">
        <v>241</v>
      </c>
      <c r="E83" s="224" t="s">
        <v>242</v>
      </c>
      <c r="F83" s="224" t="s">
        <v>118</v>
      </c>
      <c r="G83" s="224" t="s">
        <v>119</v>
      </c>
      <c r="H83" s="226">
        <v>4920</v>
      </c>
      <c r="I83" s="226">
        <v>6</v>
      </c>
      <c r="J83" s="250">
        <f t="shared" si="4"/>
        <v>820</v>
      </c>
      <c r="K83" s="250"/>
      <c r="L83" s="250"/>
      <c r="M83" s="250"/>
      <c r="N83" s="250"/>
      <c r="O83" s="250"/>
      <c r="P83" s="250"/>
      <c r="Q83" s="250"/>
      <c r="R83" s="250"/>
      <c r="S83" s="250"/>
      <c r="T83" s="250"/>
      <c r="U83" s="250"/>
      <c r="V83" s="250"/>
      <c r="W83" s="250"/>
      <c r="X83" s="250"/>
      <c r="Y83" s="250"/>
      <c r="Z83" s="250"/>
      <c r="AA83" s="250"/>
      <c r="AB83" s="250"/>
      <c r="AC83" s="250"/>
      <c r="AD83" s="115"/>
      <c r="AE83" s="115"/>
      <c r="AF83" s="115"/>
      <c r="AG83" s="115"/>
      <c r="AH83" s="115"/>
      <c r="AI83" s="115"/>
      <c r="AJ83" s="115"/>
      <c r="AK83" s="115"/>
      <c r="AL83" s="115"/>
      <c r="AM83" s="115"/>
      <c r="AN83" s="115"/>
      <c r="AO83" s="115"/>
      <c r="AP83" s="115"/>
      <c r="AQ83" s="250">
        <f>H83</f>
        <v>4920</v>
      </c>
      <c r="AR83" s="250"/>
      <c r="AS83" s="250"/>
      <c r="AT83" s="250"/>
      <c r="AU83" s="250"/>
      <c r="AV83" s="250"/>
      <c r="AW83" s="250"/>
      <c r="AX83" s="250"/>
      <c r="AY83" s="115"/>
      <c r="AZ83" s="115"/>
      <c r="BA83" s="115"/>
      <c r="BB83" s="115"/>
      <c r="BC83" s="115"/>
      <c r="BD83" s="115"/>
      <c r="BE83" s="115"/>
      <c r="BF83" s="115"/>
      <c r="BG83" s="115"/>
      <c r="BH83" s="115"/>
      <c r="BI83" s="250"/>
      <c r="BJ83" s="250"/>
      <c r="BK83" s="250"/>
      <c r="BL83" s="250"/>
      <c r="BM83" s="250"/>
      <c r="BN83" s="250"/>
      <c r="BO83" s="250"/>
      <c r="BP83" s="250"/>
      <c r="BQ83" s="250"/>
      <c r="BR83" s="250"/>
      <c r="BS83" s="250"/>
      <c r="BT83" s="250"/>
      <c r="BU83" s="250"/>
      <c r="BV83" s="235">
        <v>3.988</v>
      </c>
      <c r="BW83" s="487">
        <f t="shared" si="5"/>
        <v>19620.96</v>
      </c>
      <c r="BX83" s="487">
        <f t="shared" si="6"/>
        <v>152062.44</v>
      </c>
      <c r="BY83" s="249" t="s">
        <v>243</v>
      </c>
      <c r="BZ83" s="250" t="s">
        <v>83</v>
      </c>
    </row>
    <row r="84" s="472" customFormat="1" ht="25" customHeight="1" spans="1:78">
      <c r="A84" s="272">
        <v>46101</v>
      </c>
      <c r="B84" s="272">
        <v>46156</v>
      </c>
      <c r="C84" s="274" t="s">
        <v>244</v>
      </c>
      <c r="D84" s="273" t="s">
        <v>79</v>
      </c>
      <c r="E84" s="273" t="s">
        <v>245</v>
      </c>
      <c r="F84" s="273" t="s">
        <v>62</v>
      </c>
      <c r="G84" s="273" t="s">
        <v>246</v>
      </c>
      <c r="H84" s="275">
        <v>21824</v>
      </c>
      <c r="I84" s="275">
        <v>11</v>
      </c>
      <c r="J84" s="287">
        <f t="shared" si="4"/>
        <v>1984</v>
      </c>
      <c r="K84" s="287"/>
      <c r="L84" s="287"/>
      <c r="M84" s="287"/>
      <c r="N84" s="287"/>
      <c r="O84" s="287"/>
      <c r="P84" s="287"/>
      <c r="Q84" s="287"/>
      <c r="R84" s="287"/>
      <c r="S84" s="287"/>
      <c r="T84" s="287"/>
      <c r="U84" s="287"/>
      <c r="V84" s="287"/>
      <c r="W84" s="287"/>
      <c r="X84" s="287"/>
      <c r="Y84" s="287"/>
      <c r="Z84" s="287"/>
      <c r="AA84" s="287"/>
      <c r="AB84" s="287"/>
      <c r="AC84" s="287"/>
      <c r="AD84" s="115"/>
      <c r="AE84" s="115"/>
      <c r="AF84" s="115"/>
      <c r="AG84" s="115"/>
      <c r="AH84" s="115"/>
      <c r="AI84" s="115"/>
      <c r="AJ84" s="115"/>
      <c r="AK84" s="115"/>
      <c r="AL84" s="115"/>
      <c r="AM84" s="115"/>
      <c r="AN84" s="115"/>
      <c r="AO84" s="115"/>
      <c r="AP84" s="115"/>
      <c r="AQ84" s="287"/>
      <c r="AR84" s="287"/>
      <c r="AS84" s="287"/>
      <c r="AT84" s="287"/>
      <c r="AU84" s="287"/>
      <c r="AV84" s="287"/>
      <c r="AW84" s="287"/>
      <c r="AX84" s="287"/>
      <c r="AY84" s="115"/>
      <c r="AZ84" s="115"/>
      <c r="BA84" s="115"/>
      <c r="BB84" s="115"/>
      <c r="BC84" s="115"/>
      <c r="BD84" s="115"/>
      <c r="BE84" s="115"/>
      <c r="BF84" s="115"/>
      <c r="BG84" s="115"/>
      <c r="BH84" s="115"/>
      <c r="BI84" s="287"/>
      <c r="BJ84" s="287"/>
      <c r="BK84" s="287">
        <f>H84</f>
        <v>21824</v>
      </c>
      <c r="BL84" s="287"/>
      <c r="BM84" s="287"/>
      <c r="BN84" s="287"/>
      <c r="BO84" s="287"/>
      <c r="BP84" s="287"/>
      <c r="BQ84" s="287"/>
      <c r="BR84" s="287"/>
      <c r="BS84" s="287"/>
      <c r="BT84" s="287"/>
      <c r="BU84" s="287"/>
      <c r="BV84" s="283">
        <v>3.644</v>
      </c>
      <c r="BW84" s="490">
        <f t="shared" si="5"/>
        <v>79526.656</v>
      </c>
      <c r="BX84" s="490">
        <f t="shared" si="6"/>
        <v>616331.584</v>
      </c>
      <c r="BY84" s="491" t="s">
        <v>247</v>
      </c>
      <c r="BZ84" s="287" t="s">
        <v>93</v>
      </c>
    </row>
    <row r="85" s="472" customFormat="1" ht="25" customHeight="1" spans="1:78">
      <c r="A85" s="272">
        <v>46101</v>
      </c>
      <c r="B85" s="272">
        <v>46178</v>
      </c>
      <c r="C85" s="273" t="s">
        <v>78</v>
      </c>
      <c r="D85" s="273" t="s">
        <v>79</v>
      </c>
      <c r="E85" s="273" t="s">
        <v>248</v>
      </c>
      <c r="F85" s="273" t="s">
        <v>49</v>
      </c>
      <c r="G85" s="273" t="s">
        <v>144</v>
      </c>
      <c r="H85" s="275">
        <v>868</v>
      </c>
      <c r="I85" s="275">
        <v>4</v>
      </c>
      <c r="J85" s="287">
        <f t="shared" si="4"/>
        <v>217</v>
      </c>
      <c r="K85" s="287"/>
      <c r="L85" s="287"/>
      <c r="M85" s="287"/>
      <c r="N85" s="287"/>
      <c r="O85" s="287"/>
      <c r="P85" s="287"/>
      <c r="Q85" s="287"/>
      <c r="R85" s="287"/>
      <c r="S85" s="287"/>
      <c r="T85" s="287"/>
      <c r="U85" s="287"/>
      <c r="V85" s="287"/>
      <c r="W85" s="287"/>
      <c r="X85" s="287"/>
      <c r="Y85" s="287"/>
      <c r="Z85" s="287"/>
      <c r="AA85" s="287"/>
      <c r="AB85" s="287"/>
      <c r="AC85" s="287"/>
      <c r="AD85" s="115"/>
      <c r="AE85" s="115"/>
      <c r="AF85" s="115"/>
      <c r="AG85" s="115"/>
      <c r="AH85" s="115"/>
      <c r="AI85" s="115"/>
      <c r="AJ85" s="115"/>
      <c r="AK85" s="115"/>
      <c r="AL85" s="115"/>
      <c r="AM85" s="115"/>
      <c r="AN85" s="115"/>
      <c r="AO85" s="115"/>
      <c r="AP85" s="115"/>
      <c r="AQ85" s="287"/>
      <c r="AR85" s="287"/>
      <c r="AS85" s="287"/>
      <c r="AT85" s="287"/>
      <c r="AU85" s="287"/>
      <c r="AV85" s="287"/>
      <c r="AW85" s="287"/>
      <c r="AX85" s="287">
        <f>H85</f>
        <v>868</v>
      </c>
      <c r="AY85" s="115"/>
      <c r="AZ85" s="115"/>
      <c r="BA85" s="115"/>
      <c r="BB85" s="115"/>
      <c r="BC85" s="115"/>
      <c r="BD85" s="115"/>
      <c r="BE85" s="115"/>
      <c r="BF85" s="115"/>
      <c r="BG85" s="115"/>
      <c r="BH85" s="115"/>
      <c r="BI85" s="287"/>
      <c r="BJ85" s="287"/>
      <c r="BK85" s="287"/>
      <c r="BL85" s="287"/>
      <c r="BM85" s="287"/>
      <c r="BN85" s="287"/>
      <c r="BO85" s="287"/>
      <c r="BP85" s="287"/>
      <c r="BQ85" s="287"/>
      <c r="BR85" s="287"/>
      <c r="BS85" s="287"/>
      <c r="BT85" s="287"/>
      <c r="BU85" s="287"/>
      <c r="BV85" s="283">
        <v>10.262</v>
      </c>
      <c r="BW85" s="490">
        <f t="shared" si="5"/>
        <v>8907.416</v>
      </c>
      <c r="BX85" s="490">
        <f t="shared" si="6"/>
        <v>69032.474</v>
      </c>
      <c r="BY85" s="270" t="s">
        <v>249</v>
      </c>
      <c r="BZ85" s="287" t="s">
        <v>146</v>
      </c>
    </row>
    <row r="86" s="469" customFormat="1" ht="25" customHeight="1" spans="1:78">
      <c r="A86" s="223">
        <v>46112</v>
      </c>
      <c r="B86" s="223">
        <v>46153</v>
      </c>
      <c r="C86" s="225" t="s">
        <v>250</v>
      </c>
      <c r="D86" s="224" t="s">
        <v>251</v>
      </c>
      <c r="E86" s="224" t="s">
        <v>252</v>
      </c>
      <c r="F86" s="224" t="s">
        <v>60</v>
      </c>
      <c r="G86" s="224" t="s">
        <v>253</v>
      </c>
      <c r="H86" s="226">
        <v>600</v>
      </c>
      <c r="I86" s="226">
        <v>6</v>
      </c>
      <c r="J86" s="250">
        <f t="shared" si="4"/>
        <v>100</v>
      </c>
      <c r="K86" s="250"/>
      <c r="L86" s="250"/>
      <c r="M86" s="250"/>
      <c r="N86" s="250"/>
      <c r="O86" s="250"/>
      <c r="P86" s="250"/>
      <c r="Q86" s="250"/>
      <c r="R86" s="250"/>
      <c r="S86" s="250"/>
      <c r="T86" s="250"/>
      <c r="U86" s="250"/>
      <c r="V86" s="250"/>
      <c r="W86" s="250"/>
      <c r="X86" s="250"/>
      <c r="Y86" s="250"/>
      <c r="Z86" s="250"/>
      <c r="AA86" s="250"/>
      <c r="AB86" s="250"/>
      <c r="AC86" s="250"/>
      <c r="AD86" s="250"/>
      <c r="AE86" s="250"/>
      <c r="AF86" s="250"/>
      <c r="AG86" s="250"/>
      <c r="AH86" s="250"/>
      <c r="AI86" s="250"/>
      <c r="AJ86" s="250"/>
      <c r="AK86" s="250"/>
      <c r="AL86" s="250"/>
      <c r="AM86" s="250"/>
      <c r="AN86" s="250"/>
      <c r="AO86" s="250"/>
      <c r="AP86" s="250"/>
      <c r="AQ86" s="250"/>
      <c r="AR86" s="250"/>
      <c r="AS86" s="250"/>
      <c r="AT86" s="250"/>
      <c r="AU86" s="250"/>
      <c r="AV86" s="250"/>
      <c r="AW86" s="250"/>
      <c r="AX86" s="250"/>
      <c r="AY86" s="250"/>
      <c r="AZ86" s="250"/>
      <c r="BA86" s="250"/>
      <c r="BB86" s="250"/>
      <c r="BC86" s="250"/>
      <c r="BD86" s="250"/>
      <c r="BE86" s="250"/>
      <c r="BF86" s="250"/>
      <c r="BG86" s="250"/>
      <c r="BH86" s="250"/>
      <c r="BI86" s="250">
        <f>H86</f>
        <v>600</v>
      </c>
      <c r="BJ86" s="250"/>
      <c r="BK86" s="250"/>
      <c r="BL86" s="250"/>
      <c r="BM86" s="250"/>
      <c r="BN86" s="250"/>
      <c r="BO86" s="250"/>
      <c r="BP86" s="250"/>
      <c r="BQ86" s="250"/>
      <c r="BR86" s="250"/>
      <c r="BS86" s="250"/>
      <c r="BT86" s="250"/>
      <c r="BU86" s="250"/>
      <c r="BV86" s="235">
        <v>3.989</v>
      </c>
      <c r="BW86" s="487">
        <f t="shared" si="5"/>
        <v>2393.4</v>
      </c>
      <c r="BX86" s="487">
        <f t="shared" si="6"/>
        <v>18548.85</v>
      </c>
      <c r="BY86" s="249" t="s">
        <v>254</v>
      </c>
      <c r="BZ86" s="250" t="s">
        <v>83</v>
      </c>
    </row>
    <row r="87" s="469" customFormat="1" ht="25" customHeight="1" spans="1:78">
      <c r="A87" s="223">
        <v>46112</v>
      </c>
      <c r="B87" s="223">
        <v>46153</v>
      </c>
      <c r="C87" s="225" t="s">
        <v>250</v>
      </c>
      <c r="D87" s="224" t="s">
        <v>251</v>
      </c>
      <c r="E87" s="224" t="s">
        <v>252</v>
      </c>
      <c r="F87" s="224" t="s">
        <v>67</v>
      </c>
      <c r="G87" s="224" t="s">
        <v>152</v>
      </c>
      <c r="H87" s="226">
        <v>600</v>
      </c>
      <c r="I87" s="226">
        <v>6</v>
      </c>
      <c r="J87" s="250">
        <f t="shared" si="4"/>
        <v>100</v>
      </c>
      <c r="K87" s="250"/>
      <c r="L87" s="250"/>
      <c r="M87" s="250"/>
      <c r="N87" s="250"/>
      <c r="O87" s="250"/>
      <c r="P87" s="250"/>
      <c r="Q87" s="250"/>
      <c r="R87" s="250"/>
      <c r="S87" s="250"/>
      <c r="T87" s="250"/>
      <c r="U87" s="250"/>
      <c r="V87" s="250"/>
      <c r="W87" s="250"/>
      <c r="X87" s="250"/>
      <c r="Y87" s="250"/>
      <c r="Z87" s="250"/>
      <c r="AA87" s="250"/>
      <c r="AB87" s="250"/>
      <c r="AC87" s="250"/>
      <c r="AD87" s="250"/>
      <c r="AE87" s="250"/>
      <c r="AF87" s="250"/>
      <c r="AG87" s="250"/>
      <c r="AH87" s="250"/>
      <c r="AI87" s="250"/>
      <c r="AJ87" s="250"/>
      <c r="AK87" s="250"/>
      <c r="AL87" s="250"/>
      <c r="AM87" s="250"/>
      <c r="AN87" s="250"/>
      <c r="AO87" s="250"/>
      <c r="AP87" s="250"/>
      <c r="AQ87" s="250"/>
      <c r="AR87" s="250"/>
      <c r="AS87" s="250"/>
      <c r="AT87" s="250"/>
      <c r="AU87" s="250"/>
      <c r="AV87" s="250"/>
      <c r="AW87" s="250"/>
      <c r="AX87" s="250"/>
      <c r="AY87" s="250"/>
      <c r="AZ87" s="250"/>
      <c r="BA87" s="250"/>
      <c r="BB87" s="250"/>
      <c r="BC87" s="250"/>
      <c r="BD87" s="250"/>
      <c r="BE87" s="250"/>
      <c r="BF87" s="250"/>
      <c r="BG87" s="250"/>
      <c r="BH87" s="250"/>
      <c r="BI87" s="250"/>
      <c r="BJ87" s="250"/>
      <c r="BK87" s="250"/>
      <c r="BL87" s="250"/>
      <c r="BM87" s="250"/>
      <c r="BN87" s="250"/>
      <c r="BO87" s="250"/>
      <c r="BP87" s="250">
        <f>H87</f>
        <v>600</v>
      </c>
      <c r="BQ87" s="250"/>
      <c r="BR87" s="250"/>
      <c r="BS87" s="250"/>
      <c r="BT87" s="250"/>
      <c r="BU87" s="250"/>
      <c r="BV87" s="235">
        <v>3.905</v>
      </c>
      <c r="BW87" s="487">
        <f t="shared" si="5"/>
        <v>2343</v>
      </c>
      <c r="BX87" s="487">
        <f t="shared" si="6"/>
        <v>18158.25</v>
      </c>
      <c r="BY87" s="249" t="s">
        <v>254</v>
      </c>
      <c r="BZ87" s="250" t="s">
        <v>83</v>
      </c>
    </row>
    <row r="88" s="469" customFormat="1" ht="25" customHeight="1" spans="1:78">
      <c r="A88" s="223">
        <v>46112</v>
      </c>
      <c r="B88" s="223">
        <v>46153</v>
      </c>
      <c r="C88" s="225" t="s">
        <v>250</v>
      </c>
      <c r="D88" s="224" t="s">
        <v>251</v>
      </c>
      <c r="E88" s="224" t="s">
        <v>252</v>
      </c>
      <c r="F88" s="224" t="s">
        <v>49</v>
      </c>
      <c r="G88" s="250" t="s">
        <v>144</v>
      </c>
      <c r="H88" s="226">
        <v>500</v>
      </c>
      <c r="I88" s="226">
        <v>4</v>
      </c>
      <c r="J88" s="250">
        <f t="shared" si="4"/>
        <v>125</v>
      </c>
      <c r="K88" s="250"/>
      <c r="L88" s="250"/>
      <c r="M88" s="250"/>
      <c r="N88" s="250"/>
      <c r="O88" s="250"/>
      <c r="P88" s="250"/>
      <c r="Q88" s="250"/>
      <c r="R88" s="250"/>
      <c r="S88" s="250"/>
      <c r="T88" s="250"/>
      <c r="U88" s="250"/>
      <c r="V88" s="250"/>
      <c r="W88" s="250"/>
      <c r="X88" s="250"/>
      <c r="Y88" s="250"/>
      <c r="Z88" s="250"/>
      <c r="AA88" s="250"/>
      <c r="AB88" s="250"/>
      <c r="AC88" s="250"/>
      <c r="AD88" s="250"/>
      <c r="AE88" s="250"/>
      <c r="AF88" s="250"/>
      <c r="AG88" s="250"/>
      <c r="AH88" s="250"/>
      <c r="AI88" s="250"/>
      <c r="AJ88" s="250"/>
      <c r="AK88" s="250"/>
      <c r="AL88" s="250"/>
      <c r="AM88" s="250"/>
      <c r="AN88" s="250"/>
      <c r="AO88" s="250"/>
      <c r="AP88" s="250"/>
      <c r="AQ88" s="250"/>
      <c r="AR88" s="250"/>
      <c r="AS88" s="250"/>
      <c r="AT88" s="250"/>
      <c r="AU88" s="250"/>
      <c r="AV88" s="250"/>
      <c r="AW88" s="250"/>
      <c r="AX88" s="250">
        <f>H88</f>
        <v>500</v>
      </c>
      <c r="AY88" s="250"/>
      <c r="AZ88" s="250"/>
      <c r="BA88" s="250"/>
      <c r="BB88" s="250"/>
      <c r="BC88" s="250"/>
      <c r="BD88" s="250"/>
      <c r="BE88" s="250"/>
      <c r="BF88" s="250"/>
      <c r="BG88" s="250"/>
      <c r="BH88" s="250"/>
      <c r="BI88" s="250"/>
      <c r="BJ88" s="250"/>
      <c r="BK88" s="250"/>
      <c r="BL88" s="250"/>
      <c r="BM88" s="250"/>
      <c r="BN88" s="250"/>
      <c r="BO88" s="250"/>
      <c r="BP88" s="250"/>
      <c r="BQ88" s="250"/>
      <c r="BR88" s="250"/>
      <c r="BS88" s="250"/>
      <c r="BT88" s="250"/>
      <c r="BU88" s="250"/>
      <c r="BV88" s="235">
        <v>10.262</v>
      </c>
      <c r="BW88" s="487">
        <f t="shared" si="5"/>
        <v>5131</v>
      </c>
      <c r="BX88" s="487">
        <f t="shared" si="6"/>
        <v>39765.25</v>
      </c>
      <c r="BY88" s="249" t="s">
        <v>254</v>
      </c>
      <c r="BZ88" s="250" t="s">
        <v>146</v>
      </c>
    </row>
    <row r="89" s="472" customFormat="1" ht="25" customHeight="1" spans="1:78">
      <c r="A89" s="272">
        <v>46120</v>
      </c>
      <c r="B89" s="272">
        <v>46231</v>
      </c>
      <c r="C89" s="273" t="s">
        <v>255</v>
      </c>
      <c r="D89" s="273" t="s">
        <v>184</v>
      </c>
      <c r="E89" s="273" t="s">
        <v>256</v>
      </c>
      <c r="F89" s="273" t="s">
        <v>67</v>
      </c>
      <c r="G89" s="273" t="s">
        <v>152</v>
      </c>
      <c r="H89" s="275">
        <v>2400</v>
      </c>
      <c r="I89" s="275">
        <v>6</v>
      </c>
      <c r="J89" s="287">
        <f t="shared" si="4"/>
        <v>400</v>
      </c>
      <c r="K89" s="287"/>
      <c r="L89" s="287"/>
      <c r="M89" s="287"/>
      <c r="N89" s="287"/>
      <c r="O89" s="287"/>
      <c r="P89" s="287"/>
      <c r="Q89" s="287"/>
      <c r="R89" s="287"/>
      <c r="S89" s="287"/>
      <c r="T89" s="287"/>
      <c r="U89" s="287"/>
      <c r="V89" s="287"/>
      <c r="W89" s="287"/>
      <c r="X89" s="287"/>
      <c r="Y89" s="287"/>
      <c r="Z89" s="287"/>
      <c r="AA89" s="287"/>
      <c r="AB89" s="287"/>
      <c r="AC89" s="287"/>
      <c r="AD89" s="115"/>
      <c r="AE89" s="115"/>
      <c r="AF89" s="115"/>
      <c r="AG89" s="115"/>
      <c r="AH89" s="115"/>
      <c r="AI89" s="115"/>
      <c r="AJ89" s="115"/>
      <c r="AK89" s="115"/>
      <c r="AL89" s="115"/>
      <c r="AM89" s="115"/>
      <c r="AN89" s="115"/>
      <c r="AO89" s="115"/>
      <c r="AP89" s="115"/>
      <c r="AQ89" s="287"/>
      <c r="AR89" s="287"/>
      <c r="AS89" s="287"/>
      <c r="AT89" s="287"/>
      <c r="AU89" s="287"/>
      <c r="AV89" s="287"/>
      <c r="AW89" s="287"/>
      <c r="AX89" s="287"/>
      <c r="AY89" s="115"/>
      <c r="AZ89" s="115"/>
      <c r="BA89" s="115"/>
      <c r="BB89" s="115"/>
      <c r="BC89" s="115"/>
      <c r="BD89" s="115"/>
      <c r="BE89" s="115"/>
      <c r="BF89" s="115"/>
      <c r="BG89" s="115"/>
      <c r="BH89" s="115"/>
      <c r="BI89" s="287"/>
      <c r="BJ89" s="287"/>
      <c r="BK89" s="287"/>
      <c r="BL89" s="287"/>
      <c r="BM89" s="287"/>
      <c r="BN89" s="287"/>
      <c r="BO89" s="287"/>
      <c r="BP89" s="287">
        <f>H89</f>
        <v>2400</v>
      </c>
      <c r="BQ89" s="287"/>
      <c r="BR89" s="287"/>
      <c r="BS89" s="287"/>
      <c r="BT89" s="287"/>
      <c r="BU89" s="287"/>
      <c r="BV89" s="283">
        <v>3.787</v>
      </c>
      <c r="BW89" s="490">
        <f t="shared" si="5"/>
        <v>9088.8</v>
      </c>
      <c r="BX89" s="490">
        <f t="shared" si="6"/>
        <v>70438.2</v>
      </c>
      <c r="BY89" s="491" t="s">
        <v>257</v>
      </c>
      <c r="BZ89" s="287" t="s">
        <v>83</v>
      </c>
    </row>
    <row r="90" s="472" customFormat="1" ht="25" customHeight="1" spans="1:78">
      <c r="A90" s="272">
        <v>46120</v>
      </c>
      <c r="B90" s="272">
        <v>46231</v>
      </c>
      <c r="C90" s="273" t="s">
        <v>255</v>
      </c>
      <c r="D90" s="273" t="s">
        <v>184</v>
      </c>
      <c r="E90" s="273" t="s">
        <v>256</v>
      </c>
      <c r="F90" s="273" t="s">
        <v>66</v>
      </c>
      <c r="G90" s="273" t="s">
        <v>258</v>
      </c>
      <c r="H90" s="275">
        <v>2400</v>
      </c>
      <c r="I90" s="275">
        <v>6</v>
      </c>
      <c r="J90" s="287">
        <f t="shared" si="4"/>
        <v>400</v>
      </c>
      <c r="K90" s="287"/>
      <c r="L90" s="287"/>
      <c r="M90" s="287"/>
      <c r="N90" s="287"/>
      <c r="O90" s="287"/>
      <c r="P90" s="287"/>
      <c r="Q90" s="287"/>
      <c r="R90" s="287"/>
      <c r="S90" s="287"/>
      <c r="T90" s="287"/>
      <c r="U90" s="287"/>
      <c r="V90" s="287"/>
      <c r="W90" s="287"/>
      <c r="X90" s="287"/>
      <c r="Y90" s="287"/>
      <c r="Z90" s="287"/>
      <c r="AA90" s="287"/>
      <c r="AB90" s="287"/>
      <c r="AC90" s="287"/>
      <c r="AD90" s="115"/>
      <c r="AE90" s="115"/>
      <c r="AF90" s="115"/>
      <c r="AG90" s="115"/>
      <c r="AH90" s="115"/>
      <c r="AI90" s="115"/>
      <c r="AJ90" s="115"/>
      <c r="AK90" s="115"/>
      <c r="AL90" s="115"/>
      <c r="AM90" s="115"/>
      <c r="AN90" s="115"/>
      <c r="AO90" s="115"/>
      <c r="AP90" s="115"/>
      <c r="AQ90" s="287"/>
      <c r="AR90" s="287"/>
      <c r="AS90" s="287"/>
      <c r="AT90" s="287"/>
      <c r="AU90" s="287"/>
      <c r="AV90" s="287"/>
      <c r="AW90" s="287"/>
      <c r="AX90" s="287"/>
      <c r="AY90" s="115"/>
      <c r="AZ90" s="115"/>
      <c r="BA90" s="115"/>
      <c r="BB90" s="115"/>
      <c r="BC90" s="115"/>
      <c r="BD90" s="115"/>
      <c r="BE90" s="115"/>
      <c r="BF90" s="115"/>
      <c r="BG90" s="115"/>
      <c r="BH90" s="115"/>
      <c r="BI90" s="287"/>
      <c r="BJ90" s="287"/>
      <c r="BK90" s="287"/>
      <c r="BL90" s="287"/>
      <c r="BM90" s="287"/>
      <c r="BN90" s="287"/>
      <c r="BO90" s="287">
        <f>H90</f>
        <v>2400</v>
      </c>
      <c r="BP90" s="287"/>
      <c r="BQ90" s="287"/>
      <c r="BR90" s="287"/>
      <c r="BS90" s="287"/>
      <c r="BT90" s="287"/>
      <c r="BU90" s="287"/>
      <c r="BV90" s="283">
        <v>3.901</v>
      </c>
      <c r="BW90" s="490">
        <f t="shared" si="5"/>
        <v>9362.4</v>
      </c>
      <c r="BX90" s="490">
        <f t="shared" si="6"/>
        <v>72558.6</v>
      </c>
      <c r="BY90" s="491" t="s">
        <v>257</v>
      </c>
      <c r="BZ90" s="287" t="s">
        <v>83</v>
      </c>
    </row>
    <row r="91" s="472" customFormat="1" ht="25" customHeight="1" spans="1:78">
      <c r="A91" s="272">
        <v>46120</v>
      </c>
      <c r="B91" s="272">
        <v>46231</v>
      </c>
      <c r="C91" s="273" t="s">
        <v>255</v>
      </c>
      <c r="D91" s="273" t="s">
        <v>184</v>
      </c>
      <c r="E91" s="273" t="s">
        <v>256</v>
      </c>
      <c r="F91" s="273" t="s">
        <v>64</v>
      </c>
      <c r="G91" s="273" t="s">
        <v>259</v>
      </c>
      <c r="H91" s="275">
        <v>1680</v>
      </c>
      <c r="I91" s="275">
        <v>6</v>
      </c>
      <c r="J91" s="287">
        <f t="shared" si="4"/>
        <v>280</v>
      </c>
      <c r="K91" s="287"/>
      <c r="L91" s="287"/>
      <c r="M91" s="287"/>
      <c r="N91" s="287"/>
      <c r="O91" s="287"/>
      <c r="P91" s="287"/>
      <c r="Q91" s="287"/>
      <c r="R91" s="287"/>
      <c r="S91" s="287"/>
      <c r="T91" s="287"/>
      <c r="U91" s="287"/>
      <c r="V91" s="287"/>
      <c r="W91" s="287"/>
      <c r="X91" s="287"/>
      <c r="Y91" s="287"/>
      <c r="Z91" s="287"/>
      <c r="AA91" s="287"/>
      <c r="AB91" s="287"/>
      <c r="AC91" s="287"/>
      <c r="AD91" s="115"/>
      <c r="AE91" s="115"/>
      <c r="AF91" s="115"/>
      <c r="AG91" s="115"/>
      <c r="AH91" s="115"/>
      <c r="AI91" s="115"/>
      <c r="AJ91" s="115"/>
      <c r="AK91" s="115"/>
      <c r="AL91" s="115"/>
      <c r="AM91" s="115"/>
      <c r="AN91" s="115"/>
      <c r="AO91" s="115"/>
      <c r="AP91" s="115"/>
      <c r="AQ91" s="287"/>
      <c r="AR91" s="287"/>
      <c r="AS91" s="287"/>
      <c r="AT91" s="287"/>
      <c r="AU91" s="287"/>
      <c r="AV91" s="287"/>
      <c r="AW91" s="287"/>
      <c r="AX91" s="287"/>
      <c r="AY91" s="115"/>
      <c r="AZ91" s="115"/>
      <c r="BA91" s="115"/>
      <c r="BB91" s="115"/>
      <c r="BC91" s="115"/>
      <c r="BD91" s="115"/>
      <c r="BE91" s="115"/>
      <c r="BF91" s="115"/>
      <c r="BG91" s="115"/>
      <c r="BH91" s="115"/>
      <c r="BI91" s="287"/>
      <c r="BJ91" s="287"/>
      <c r="BK91" s="287"/>
      <c r="BL91" s="287"/>
      <c r="BM91" s="287">
        <f>H91</f>
        <v>1680</v>
      </c>
      <c r="BN91" s="287"/>
      <c r="BO91" s="287"/>
      <c r="BP91" s="287"/>
      <c r="BQ91" s="287"/>
      <c r="BR91" s="287"/>
      <c r="BS91" s="287"/>
      <c r="BT91" s="287"/>
      <c r="BU91" s="287"/>
      <c r="BV91" s="283">
        <v>3.957</v>
      </c>
      <c r="BW91" s="490">
        <f t="shared" si="5"/>
        <v>6647.76</v>
      </c>
      <c r="BX91" s="490">
        <f t="shared" si="6"/>
        <v>51520.14</v>
      </c>
      <c r="BY91" s="491" t="s">
        <v>257</v>
      </c>
      <c r="BZ91" s="287" t="s">
        <v>83</v>
      </c>
    </row>
    <row r="92" s="472" customFormat="1" ht="25" customHeight="1" spans="1:78">
      <c r="A92" s="272">
        <v>46120</v>
      </c>
      <c r="B92" s="272">
        <v>46231</v>
      </c>
      <c r="C92" s="273" t="s">
        <v>255</v>
      </c>
      <c r="D92" s="273" t="s">
        <v>184</v>
      </c>
      <c r="E92" s="273" t="s">
        <v>256</v>
      </c>
      <c r="F92" s="273" t="s">
        <v>65</v>
      </c>
      <c r="G92" s="273" t="s">
        <v>260</v>
      </c>
      <c r="H92" s="275">
        <v>2400</v>
      </c>
      <c r="I92" s="275">
        <v>6</v>
      </c>
      <c r="J92" s="287">
        <f t="shared" si="4"/>
        <v>400</v>
      </c>
      <c r="K92" s="287"/>
      <c r="L92" s="287"/>
      <c r="M92" s="287"/>
      <c r="N92" s="287"/>
      <c r="O92" s="287"/>
      <c r="P92" s="287"/>
      <c r="Q92" s="287"/>
      <c r="R92" s="287"/>
      <c r="S92" s="287"/>
      <c r="T92" s="287"/>
      <c r="U92" s="287"/>
      <c r="V92" s="287"/>
      <c r="W92" s="287"/>
      <c r="X92" s="287"/>
      <c r="Y92" s="287"/>
      <c r="Z92" s="287"/>
      <c r="AA92" s="287"/>
      <c r="AB92" s="287"/>
      <c r="AC92" s="287"/>
      <c r="AD92" s="115"/>
      <c r="AE92" s="115"/>
      <c r="AF92" s="115"/>
      <c r="AG92" s="115"/>
      <c r="AH92" s="115"/>
      <c r="AI92" s="115"/>
      <c r="AJ92" s="115"/>
      <c r="AK92" s="115"/>
      <c r="AL92" s="115"/>
      <c r="AM92" s="115"/>
      <c r="AN92" s="115"/>
      <c r="AO92" s="115"/>
      <c r="AP92" s="115"/>
      <c r="AQ92" s="287"/>
      <c r="AR92" s="287"/>
      <c r="AS92" s="287"/>
      <c r="AT92" s="287"/>
      <c r="AU92" s="287"/>
      <c r="AV92" s="287"/>
      <c r="AW92" s="287"/>
      <c r="AX92" s="287"/>
      <c r="AY92" s="115"/>
      <c r="AZ92" s="115"/>
      <c r="BA92" s="115"/>
      <c r="BB92" s="115"/>
      <c r="BC92" s="115"/>
      <c r="BD92" s="115"/>
      <c r="BE92" s="115"/>
      <c r="BF92" s="115"/>
      <c r="BG92" s="115"/>
      <c r="BH92" s="115"/>
      <c r="BI92" s="287"/>
      <c r="BJ92" s="287"/>
      <c r="BK92" s="287"/>
      <c r="BL92" s="287"/>
      <c r="BM92" s="287"/>
      <c r="BN92" s="287">
        <f>H92</f>
        <v>2400</v>
      </c>
      <c r="BO92" s="287"/>
      <c r="BP92" s="287"/>
      <c r="BQ92" s="287"/>
      <c r="BR92" s="287"/>
      <c r="BS92" s="287"/>
      <c r="BT92" s="287"/>
      <c r="BU92" s="287"/>
      <c r="BV92" s="283">
        <v>3.395</v>
      </c>
      <c r="BW92" s="490">
        <f t="shared" si="5"/>
        <v>8148</v>
      </c>
      <c r="BX92" s="490">
        <f t="shared" si="6"/>
        <v>63147</v>
      </c>
      <c r="BY92" s="491" t="s">
        <v>257</v>
      </c>
      <c r="BZ92" s="287" t="s">
        <v>83</v>
      </c>
    </row>
    <row r="93" s="472" customFormat="1" ht="25" customHeight="1" spans="1:78">
      <c r="A93" s="272">
        <v>46125</v>
      </c>
      <c r="B93" s="272">
        <v>46190</v>
      </c>
      <c r="C93" s="273" t="s">
        <v>261</v>
      </c>
      <c r="D93" s="273" t="s">
        <v>262</v>
      </c>
      <c r="E93" s="273" t="s">
        <v>263</v>
      </c>
      <c r="F93" s="273" t="s">
        <v>10</v>
      </c>
      <c r="G93" s="273" t="s">
        <v>128</v>
      </c>
      <c r="H93" s="275">
        <v>8004</v>
      </c>
      <c r="I93" s="275">
        <v>6</v>
      </c>
      <c r="J93" s="287">
        <f t="shared" si="4"/>
        <v>1334</v>
      </c>
      <c r="K93" s="287">
        <f>H93</f>
        <v>8004</v>
      </c>
      <c r="L93" s="287"/>
      <c r="M93" s="287"/>
      <c r="N93" s="287"/>
      <c r="O93" s="287"/>
      <c r="P93" s="287"/>
      <c r="Q93" s="287"/>
      <c r="R93" s="287"/>
      <c r="S93" s="287"/>
      <c r="T93" s="287"/>
      <c r="U93" s="287"/>
      <c r="V93" s="287"/>
      <c r="W93" s="287"/>
      <c r="X93" s="287"/>
      <c r="Y93" s="287"/>
      <c r="Z93" s="287"/>
      <c r="AA93" s="287"/>
      <c r="AB93" s="287"/>
      <c r="AC93" s="287"/>
      <c r="AD93" s="115"/>
      <c r="AE93" s="115"/>
      <c r="AF93" s="115"/>
      <c r="AG93" s="115"/>
      <c r="AH93" s="115"/>
      <c r="AI93" s="115"/>
      <c r="AJ93" s="115"/>
      <c r="AK93" s="115"/>
      <c r="AL93" s="115"/>
      <c r="AM93" s="115"/>
      <c r="AN93" s="115"/>
      <c r="AO93" s="115"/>
      <c r="AP93" s="115"/>
      <c r="AQ93" s="287"/>
      <c r="AR93" s="287"/>
      <c r="AS93" s="287"/>
      <c r="AT93" s="287"/>
      <c r="AU93" s="287"/>
      <c r="AV93" s="287"/>
      <c r="AW93" s="287"/>
      <c r="AX93" s="287"/>
      <c r="AY93" s="115"/>
      <c r="AZ93" s="115"/>
      <c r="BA93" s="115"/>
      <c r="BB93" s="115"/>
      <c r="BC93" s="115"/>
      <c r="BD93" s="115"/>
      <c r="BE93" s="115"/>
      <c r="BF93" s="115"/>
      <c r="BG93" s="115"/>
      <c r="BH93" s="115"/>
      <c r="BI93" s="287"/>
      <c r="BJ93" s="287"/>
      <c r="BK93" s="287"/>
      <c r="BL93" s="287"/>
      <c r="BM93" s="287"/>
      <c r="BN93" s="287"/>
      <c r="BO93" s="287"/>
      <c r="BP93" s="287"/>
      <c r="BQ93" s="287"/>
      <c r="BR93" s="287"/>
      <c r="BS93" s="287"/>
      <c r="BT93" s="287"/>
      <c r="BU93" s="287"/>
      <c r="BV93" s="283">
        <v>3.283</v>
      </c>
      <c r="BW93" s="490">
        <f t="shared" si="5"/>
        <v>26277.132</v>
      </c>
      <c r="BX93" s="490">
        <f t="shared" si="6"/>
        <v>203647.773</v>
      </c>
      <c r="BY93" s="270" t="s">
        <v>264</v>
      </c>
      <c r="BZ93" s="287" t="s">
        <v>83</v>
      </c>
    </row>
    <row r="94" s="470" customFormat="1" ht="25" customHeight="1" spans="1:78">
      <c r="A94" s="251">
        <v>46126</v>
      </c>
      <c r="B94" s="251">
        <v>46170</v>
      </c>
      <c r="C94" s="252" t="s">
        <v>265</v>
      </c>
      <c r="D94" s="251" t="s">
        <v>188</v>
      </c>
      <c r="E94" s="252" t="s">
        <v>266</v>
      </c>
      <c r="F94" s="252" t="s">
        <v>28</v>
      </c>
      <c r="G94" s="252" t="s">
        <v>267</v>
      </c>
      <c r="H94" s="254">
        <v>801</v>
      </c>
      <c r="I94" s="254">
        <v>9</v>
      </c>
      <c r="J94" s="488">
        <f t="shared" si="4"/>
        <v>89</v>
      </c>
      <c r="K94" s="488"/>
      <c r="L94" s="488"/>
      <c r="M94" s="488"/>
      <c r="N94" s="488"/>
      <c r="O94" s="488"/>
      <c r="P94" s="488"/>
      <c r="Q94" s="488"/>
      <c r="R94" s="488"/>
      <c r="S94" s="488"/>
      <c r="T94" s="488"/>
      <c r="U94" s="488"/>
      <c r="V94" s="488"/>
      <c r="W94" s="488"/>
      <c r="X94" s="488"/>
      <c r="Y94" s="488"/>
      <c r="Z94" s="488"/>
      <c r="AA94" s="488"/>
      <c r="AB94" s="488"/>
      <c r="AC94" s="488">
        <f>H94</f>
        <v>801</v>
      </c>
      <c r="AD94" s="115"/>
      <c r="AE94" s="115"/>
      <c r="AF94" s="115"/>
      <c r="AG94" s="115"/>
      <c r="AH94" s="115"/>
      <c r="AI94" s="115"/>
      <c r="AJ94" s="115"/>
      <c r="AK94" s="115"/>
      <c r="AL94" s="115"/>
      <c r="AM94" s="115"/>
      <c r="AN94" s="115"/>
      <c r="AO94" s="115"/>
      <c r="AP94" s="115"/>
      <c r="AQ94" s="488"/>
      <c r="AR94" s="488"/>
      <c r="AS94" s="488"/>
      <c r="AT94" s="488"/>
      <c r="AU94" s="488"/>
      <c r="AV94" s="488"/>
      <c r="AW94" s="488"/>
      <c r="AX94" s="488"/>
      <c r="AY94" s="115"/>
      <c r="AZ94" s="115"/>
      <c r="BA94" s="115"/>
      <c r="BB94" s="115"/>
      <c r="BC94" s="115"/>
      <c r="BD94" s="115"/>
      <c r="BE94" s="115"/>
      <c r="BF94" s="115"/>
      <c r="BG94" s="115"/>
      <c r="BH94" s="115"/>
      <c r="BI94" s="488"/>
      <c r="BJ94" s="488"/>
      <c r="BK94" s="488"/>
      <c r="BL94" s="488"/>
      <c r="BM94" s="488"/>
      <c r="BN94" s="488"/>
      <c r="BO94" s="488"/>
      <c r="BP94" s="488"/>
      <c r="BQ94" s="488"/>
      <c r="BR94" s="488"/>
      <c r="BS94" s="488"/>
      <c r="BT94" s="488"/>
      <c r="BU94" s="488"/>
      <c r="BV94" s="262">
        <v>3.904</v>
      </c>
      <c r="BW94" s="489">
        <f t="shared" si="5"/>
        <v>3127.104</v>
      </c>
      <c r="BX94" s="489">
        <f t="shared" si="6"/>
        <v>24235.056</v>
      </c>
      <c r="BY94" s="270" t="s">
        <v>268</v>
      </c>
      <c r="BZ94" s="488" t="s">
        <v>83</v>
      </c>
    </row>
    <row r="95" s="472" customFormat="1" ht="25" customHeight="1" spans="1:78">
      <c r="A95" s="272">
        <v>46126</v>
      </c>
      <c r="B95" s="272">
        <v>46209</v>
      </c>
      <c r="C95" s="273" t="s">
        <v>78</v>
      </c>
      <c r="D95" s="272" t="s">
        <v>79</v>
      </c>
      <c r="E95" s="273" t="s">
        <v>269</v>
      </c>
      <c r="F95" s="273" t="s">
        <v>270</v>
      </c>
      <c r="G95" s="273" t="s">
        <v>271</v>
      </c>
      <c r="H95" s="275">
        <v>35100</v>
      </c>
      <c r="I95" s="275">
        <v>6</v>
      </c>
      <c r="J95" s="287">
        <f t="shared" si="4"/>
        <v>5850</v>
      </c>
      <c r="K95" s="287"/>
      <c r="L95" s="287"/>
      <c r="M95" s="287"/>
      <c r="N95" s="287"/>
      <c r="O95" s="287"/>
      <c r="P95" s="287"/>
      <c r="Q95" s="287"/>
      <c r="R95" s="287"/>
      <c r="S95" s="287"/>
      <c r="T95" s="287"/>
      <c r="U95" s="287"/>
      <c r="V95" s="287"/>
      <c r="W95" s="287"/>
      <c r="X95" s="287"/>
      <c r="Y95" s="287"/>
      <c r="Z95" s="287"/>
      <c r="AA95" s="287"/>
      <c r="AB95" s="287"/>
      <c r="AC95" s="287"/>
      <c r="AD95" s="115"/>
      <c r="AE95" s="115"/>
      <c r="AF95" s="115"/>
      <c r="AG95" s="115"/>
      <c r="AH95" s="115"/>
      <c r="AI95" s="115"/>
      <c r="AJ95" s="115"/>
      <c r="AK95" s="115"/>
      <c r="AL95" s="115"/>
      <c r="AM95" s="115"/>
      <c r="AN95" s="115"/>
      <c r="AO95" s="115"/>
      <c r="AP95" s="115"/>
      <c r="AQ95" s="287"/>
      <c r="AR95" s="287">
        <f>H95</f>
        <v>35100</v>
      </c>
      <c r="AS95" s="287"/>
      <c r="AT95" s="287"/>
      <c r="AU95" s="287"/>
      <c r="AV95" s="287"/>
      <c r="AW95" s="287"/>
      <c r="AX95" s="287"/>
      <c r="AY95" s="115"/>
      <c r="AZ95" s="115"/>
      <c r="BA95" s="115"/>
      <c r="BB95" s="115"/>
      <c r="BC95" s="115"/>
      <c r="BD95" s="115"/>
      <c r="BE95" s="115"/>
      <c r="BF95" s="115"/>
      <c r="BG95" s="115"/>
      <c r="BH95" s="115"/>
      <c r="BI95" s="287"/>
      <c r="BJ95" s="287"/>
      <c r="BK95" s="287"/>
      <c r="BL95" s="287"/>
      <c r="BM95" s="287"/>
      <c r="BN95" s="287"/>
      <c r="BO95" s="287"/>
      <c r="BP95" s="287"/>
      <c r="BQ95" s="287"/>
      <c r="BR95" s="287"/>
      <c r="BS95" s="287"/>
      <c r="BT95" s="287"/>
      <c r="BU95" s="287"/>
      <c r="BV95" s="283">
        <v>1.189</v>
      </c>
      <c r="BW95" s="490">
        <f t="shared" si="5"/>
        <v>41733.9</v>
      </c>
      <c r="BX95" s="490">
        <f t="shared" si="6"/>
        <v>323437.725</v>
      </c>
      <c r="BY95" s="491" t="s">
        <v>272</v>
      </c>
      <c r="BZ95" s="287" t="s">
        <v>83</v>
      </c>
    </row>
    <row r="96" s="473" customFormat="1" ht="25" customHeight="1" spans="1:78">
      <c r="A96" s="272">
        <v>46126</v>
      </c>
      <c r="B96" s="272">
        <v>46209</v>
      </c>
      <c r="C96" s="273" t="s">
        <v>78</v>
      </c>
      <c r="D96" s="272" t="s">
        <v>84</v>
      </c>
      <c r="E96" s="273" t="s">
        <v>273</v>
      </c>
      <c r="F96" s="273" t="s">
        <v>270</v>
      </c>
      <c r="G96" s="273" t="s">
        <v>271</v>
      </c>
      <c r="H96" s="275">
        <v>3510</v>
      </c>
      <c r="I96" s="275">
        <v>6</v>
      </c>
      <c r="J96" s="287">
        <f t="shared" si="4"/>
        <v>585</v>
      </c>
      <c r="K96" s="287"/>
      <c r="L96" s="287"/>
      <c r="M96" s="287"/>
      <c r="N96" s="287"/>
      <c r="O96" s="287"/>
      <c r="P96" s="287"/>
      <c r="Q96" s="287"/>
      <c r="R96" s="287"/>
      <c r="S96" s="287"/>
      <c r="T96" s="287"/>
      <c r="U96" s="287"/>
      <c r="V96" s="287"/>
      <c r="W96" s="287"/>
      <c r="X96" s="287"/>
      <c r="Y96" s="287"/>
      <c r="Z96" s="287"/>
      <c r="AA96" s="287"/>
      <c r="AB96" s="287"/>
      <c r="AC96" s="287"/>
      <c r="AD96" s="115"/>
      <c r="AE96" s="115"/>
      <c r="AF96" s="115"/>
      <c r="AG96" s="115"/>
      <c r="AH96" s="115"/>
      <c r="AI96" s="115"/>
      <c r="AJ96" s="115"/>
      <c r="AK96" s="115"/>
      <c r="AL96" s="115"/>
      <c r="AM96" s="115"/>
      <c r="AN96" s="115"/>
      <c r="AO96" s="115"/>
      <c r="AP96" s="115"/>
      <c r="AQ96" s="287"/>
      <c r="AR96" s="287">
        <f>H96</f>
        <v>3510</v>
      </c>
      <c r="AS96" s="287"/>
      <c r="AT96" s="287"/>
      <c r="AU96" s="287"/>
      <c r="AV96" s="287"/>
      <c r="AW96" s="287"/>
      <c r="AX96" s="287"/>
      <c r="AY96" s="115"/>
      <c r="AZ96" s="115"/>
      <c r="BA96" s="115"/>
      <c r="BB96" s="115"/>
      <c r="BC96" s="115"/>
      <c r="BD96" s="115"/>
      <c r="BE96" s="115"/>
      <c r="BF96" s="115"/>
      <c r="BG96" s="115"/>
      <c r="BH96" s="115"/>
      <c r="BI96" s="287"/>
      <c r="BJ96" s="287"/>
      <c r="BK96" s="287"/>
      <c r="BL96" s="287"/>
      <c r="BM96" s="287"/>
      <c r="BN96" s="287"/>
      <c r="BO96" s="287"/>
      <c r="BP96" s="287"/>
      <c r="BQ96" s="287"/>
      <c r="BR96" s="287"/>
      <c r="BS96" s="287"/>
      <c r="BT96" s="287"/>
      <c r="BU96" s="287"/>
      <c r="BV96" s="283">
        <v>1.189</v>
      </c>
      <c r="BW96" s="490">
        <f t="shared" si="5"/>
        <v>4173.39</v>
      </c>
      <c r="BX96" s="490">
        <f t="shared" si="6"/>
        <v>32343.7725</v>
      </c>
      <c r="BY96" s="491" t="s">
        <v>274</v>
      </c>
      <c r="BZ96" s="287" t="s">
        <v>83</v>
      </c>
    </row>
    <row r="97" s="473" customFormat="1" ht="25" customHeight="1" spans="1:78">
      <c r="A97" s="272">
        <v>46126</v>
      </c>
      <c r="B97" s="272">
        <v>46209</v>
      </c>
      <c r="C97" s="273" t="s">
        <v>78</v>
      </c>
      <c r="D97" s="272" t="s">
        <v>79</v>
      </c>
      <c r="E97" s="273" t="s">
        <v>275</v>
      </c>
      <c r="F97" s="273" t="s">
        <v>44</v>
      </c>
      <c r="G97" s="273" t="s">
        <v>276</v>
      </c>
      <c r="H97" s="275">
        <v>8754</v>
      </c>
      <c r="I97" s="275">
        <v>6</v>
      </c>
      <c r="J97" s="287">
        <f t="shared" si="4"/>
        <v>1459</v>
      </c>
      <c r="K97" s="287"/>
      <c r="L97" s="287"/>
      <c r="M97" s="287"/>
      <c r="N97" s="287"/>
      <c r="O97" s="287"/>
      <c r="P97" s="287"/>
      <c r="Q97" s="287"/>
      <c r="R97" s="287"/>
      <c r="S97" s="287"/>
      <c r="T97" s="287"/>
      <c r="U97" s="287"/>
      <c r="V97" s="287"/>
      <c r="W97" s="287"/>
      <c r="X97" s="287"/>
      <c r="Y97" s="287"/>
      <c r="Z97" s="287"/>
      <c r="AA97" s="287"/>
      <c r="AB97" s="287"/>
      <c r="AC97" s="287"/>
      <c r="AD97" s="115"/>
      <c r="AE97" s="115"/>
      <c r="AF97" s="115"/>
      <c r="AG97" s="115"/>
      <c r="AH97" s="115"/>
      <c r="AI97" s="115"/>
      <c r="AJ97" s="115"/>
      <c r="AK97" s="115"/>
      <c r="AL97" s="115"/>
      <c r="AM97" s="115"/>
      <c r="AN97" s="115"/>
      <c r="AO97" s="115"/>
      <c r="AP97" s="115"/>
      <c r="AQ97" s="287"/>
      <c r="AR97" s="287"/>
      <c r="AS97" s="287">
        <f>H97</f>
        <v>8754</v>
      </c>
      <c r="AT97" s="287"/>
      <c r="AU97" s="287"/>
      <c r="AV97" s="287"/>
      <c r="AW97" s="287"/>
      <c r="AX97" s="287"/>
      <c r="AY97" s="115"/>
      <c r="AZ97" s="115"/>
      <c r="BA97" s="115"/>
      <c r="BB97" s="115"/>
      <c r="BC97" s="115"/>
      <c r="BD97" s="115"/>
      <c r="BE97" s="115"/>
      <c r="BF97" s="115"/>
      <c r="BG97" s="115"/>
      <c r="BH97" s="115"/>
      <c r="BI97" s="287"/>
      <c r="BJ97" s="287"/>
      <c r="BK97" s="287"/>
      <c r="BL97" s="287"/>
      <c r="BM97" s="287"/>
      <c r="BN97" s="287"/>
      <c r="BO97" s="287"/>
      <c r="BP97" s="287"/>
      <c r="BQ97" s="287"/>
      <c r="BR97" s="287"/>
      <c r="BS97" s="287"/>
      <c r="BT97" s="287"/>
      <c r="BU97" s="287"/>
      <c r="BV97" s="283">
        <v>1.462</v>
      </c>
      <c r="BW97" s="490">
        <f t="shared" si="5"/>
        <v>12798.348</v>
      </c>
      <c r="BX97" s="490">
        <f t="shared" si="6"/>
        <v>99187.197</v>
      </c>
      <c r="BY97" s="491" t="s">
        <v>277</v>
      </c>
      <c r="BZ97" s="287" t="s">
        <v>83</v>
      </c>
    </row>
    <row r="98" s="473" customFormat="1" ht="25" customHeight="1" spans="1:78">
      <c r="A98" s="272">
        <v>46126</v>
      </c>
      <c r="B98" s="272">
        <v>46209</v>
      </c>
      <c r="C98" s="273" t="s">
        <v>78</v>
      </c>
      <c r="D98" s="272" t="s">
        <v>84</v>
      </c>
      <c r="E98" s="273" t="s">
        <v>278</v>
      </c>
      <c r="F98" s="273" t="s">
        <v>44</v>
      </c>
      <c r="G98" s="273" t="s">
        <v>276</v>
      </c>
      <c r="H98" s="275">
        <v>870</v>
      </c>
      <c r="I98" s="275">
        <v>6</v>
      </c>
      <c r="J98" s="287">
        <f t="shared" si="4"/>
        <v>145</v>
      </c>
      <c r="K98" s="287"/>
      <c r="L98" s="287"/>
      <c r="M98" s="287"/>
      <c r="N98" s="287"/>
      <c r="O98" s="287"/>
      <c r="P98" s="287"/>
      <c r="Q98" s="287"/>
      <c r="R98" s="287"/>
      <c r="S98" s="287"/>
      <c r="T98" s="287"/>
      <c r="U98" s="287"/>
      <c r="V98" s="287"/>
      <c r="W98" s="287"/>
      <c r="X98" s="287"/>
      <c r="Y98" s="287"/>
      <c r="Z98" s="287"/>
      <c r="AA98" s="287"/>
      <c r="AB98" s="287"/>
      <c r="AC98" s="287"/>
      <c r="AD98" s="115"/>
      <c r="AE98" s="115"/>
      <c r="AF98" s="115"/>
      <c r="AG98" s="115"/>
      <c r="AH98" s="115"/>
      <c r="AI98" s="115"/>
      <c r="AJ98" s="115"/>
      <c r="AK98" s="115"/>
      <c r="AL98" s="115"/>
      <c r="AM98" s="115"/>
      <c r="AN98" s="115"/>
      <c r="AO98" s="115"/>
      <c r="AP98" s="115"/>
      <c r="AQ98" s="287"/>
      <c r="AR98" s="287"/>
      <c r="AS98" s="287">
        <f>H98</f>
        <v>870</v>
      </c>
      <c r="AT98" s="287"/>
      <c r="AU98" s="287"/>
      <c r="AV98" s="287"/>
      <c r="AW98" s="287"/>
      <c r="AX98" s="287"/>
      <c r="AY98" s="115"/>
      <c r="AZ98" s="115"/>
      <c r="BA98" s="115"/>
      <c r="BB98" s="115"/>
      <c r="BC98" s="115"/>
      <c r="BD98" s="115"/>
      <c r="BE98" s="115"/>
      <c r="BF98" s="115"/>
      <c r="BG98" s="115"/>
      <c r="BH98" s="115"/>
      <c r="BI98" s="287"/>
      <c r="BJ98" s="287"/>
      <c r="BK98" s="287"/>
      <c r="BL98" s="287"/>
      <c r="BM98" s="287"/>
      <c r="BN98" s="287"/>
      <c r="BO98" s="287"/>
      <c r="BP98" s="287"/>
      <c r="BQ98" s="287"/>
      <c r="BR98" s="287"/>
      <c r="BS98" s="287"/>
      <c r="BT98" s="287"/>
      <c r="BU98" s="287"/>
      <c r="BV98" s="283">
        <v>1.462</v>
      </c>
      <c r="BW98" s="490">
        <f t="shared" si="5"/>
        <v>1271.94</v>
      </c>
      <c r="BX98" s="490">
        <f t="shared" si="6"/>
        <v>9857.535</v>
      </c>
      <c r="BY98" s="491" t="s">
        <v>279</v>
      </c>
      <c r="BZ98" s="287" t="s">
        <v>83</v>
      </c>
    </row>
    <row r="99" s="473" customFormat="1" ht="25" customHeight="1" spans="1:78">
      <c r="A99" s="272">
        <v>46126</v>
      </c>
      <c r="B99" s="272">
        <v>46209</v>
      </c>
      <c r="C99" s="273" t="s">
        <v>78</v>
      </c>
      <c r="D99" s="272" t="s">
        <v>79</v>
      </c>
      <c r="E99" s="273" t="s">
        <v>280</v>
      </c>
      <c r="F99" s="273" t="s">
        <v>281</v>
      </c>
      <c r="G99" s="273" t="s">
        <v>282</v>
      </c>
      <c r="H99" s="275">
        <v>8754</v>
      </c>
      <c r="I99" s="275">
        <v>6</v>
      </c>
      <c r="J99" s="287">
        <f t="shared" si="4"/>
        <v>1459</v>
      </c>
      <c r="K99" s="287"/>
      <c r="L99" s="287"/>
      <c r="M99" s="287"/>
      <c r="N99" s="287"/>
      <c r="O99" s="287"/>
      <c r="P99" s="287"/>
      <c r="Q99" s="287"/>
      <c r="R99" s="287"/>
      <c r="S99" s="287"/>
      <c r="T99" s="287"/>
      <c r="U99" s="287"/>
      <c r="V99" s="287"/>
      <c r="W99" s="287"/>
      <c r="X99" s="287"/>
      <c r="Y99" s="287"/>
      <c r="Z99" s="287"/>
      <c r="AA99" s="287"/>
      <c r="AB99" s="287"/>
      <c r="AC99" s="287"/>
      <c r="AD99" s="115"/>
      <c r="AE99" s="115"/>
      <c r="AF99" s="115"/>
      <c r="AG99" s="115"/>
      <c r="AH99" s="115"/>
      <c r="AI99" s="115"/>
      <c r="AJ99" s="115"/>
      <c r="AK99" s="115"/>
      <c r="AL99" s="115"/>
      <c r="AM99" s="115"/>
      <c r="AN99" s="115"/>
      <c r="AO99" s="115"/>
      <c r="AP99" s="115"/>
      <c r="AQ99" s="287"/>
      <c r="AR99" s="287"/>
      <c r="AS99" s="287">
        <f>H99</f>
        <v>8754</v>
      </c>
      <c r="AT99" s="287"/>
      <c r="AU99" s="287"/>
      <c r="AV99" s="287"/>
      <c r="AW99" s="287"/>
      <c r="AX99" s="287"/>
      <c r="AY99" s="115"/>
      <c r="AZ99" s="115"/>
      <c r="BA99" s="115"/>
      <c r="BB99" s="115"/>
      <c r="BC99" s="115"/>
      <c r="BD99" s="115"/>
      <c r="BE99" s="115"/>
      <c r="BF99" s="115"/>
      <c r="BG99" s="115"/>
      <c r="BH99" s="115"/>
      <c r="BI99" s="287"/>
      <c r="BJ99" s="287"/>
      <c r="BK99" s="287"/>
      <c r="BL99" s="287"/>
      <c r="BM99" s="287"/>
      <c r="BN99" s="287"/>
      <c r="BO99" s="287"/>
      <c r="BP99" s="287"/>
      <c r="BQ99" s="287"/>
      <c r="BR99" s="287"/>
      <c r="BS99" s="287"/>
      <c r="BT99" s="287"/>
      <c r="BU99" s="287"/>
      <c r="BV99" s="283">
        <v>1.462</v>
      </c>
      <c r="BW99" s="490">
        <f t="shared" si="5"/>
        <v>12798.348</v>
      </c>
      <c r="BX99" s="490">
        <f t="shared" si="6"/>
        <v>99187.197</v>
      </c>
      <c r="BY99" s="491" t="s">
        <v>283</v>
      </c>
      <c r="BZ99" s="287" t="s">
        <v>83</v>
      </c>
    </row>
    <row r="100" s="473" customFormat="1" ht="25" customHeight="1" spans="1:78">
      <c r="A100" s="272">
        <v>46126</v>
      </c>
      <c r="B100" s="272">
        <v>46209</v>
      </c>
      <c r="C100" s="273" t="s">
        <v>78</v>
      </c>
      <c r="D100" s="272" t="s">
        <v>84</v>
      </c>
      <c r="E100" s="273" t="s">
        <v>284</v>
      </c>
      <c r="F100" s="273" t="s">
        <v>281</v>
      </c>
      <c r="G100" s="273" t="s">
        <v>282</v>
      </c>
      <c r="H100" s="275">
        <v>870</v>
      </c>
      <c r="I100" s="275">
        <v>6</v>
      </c>
      <c r="J100" s="287">
        <f t="shared" si="4"/>
        <v>145</v>
      </c>
      <c r="K100" s="287"/>
      <c r="L100" s="287"/>
      <c r="M100" s="287"/>
      <c r="N100" s="287"/>
      <c r="O100" s="287"/>
      <c r="P100" s="287"/>
      <c r="Q100" s="287"/>
      <c r="R100" s="287"/>
      <c r="S100" s="287"/>
      <c r="T100" s="287"/>
      <c r="U100" s="287"/>
      <c r="V100" s="287"/>
      <c r="W100" s="287"/>
      <c r="X100" s="287"/>
      <c r="Y100" s="287"/>
      <c r="Z100" s="287"/>
      <c r="AA100" s="287"/>
      <c r="AB100" s="287"/>
      <c r="AC100" s="287"/>
      <c r="AD100" s="115"/>
      <c r="AE100" s="115"/>
      <c r="AF100" s="115"/>
      <c r="AG100" s="115"/>
      <c r="AH100" s="115"/>
      <c r="AI100" s="115"/>
      <c r="AJ100" s="115"/>
      <c r="AK100" s="115"/>
      <c r="AL100" s="115"/>
      <c r="AM100" s="115"/>
      <c r="AN100" s="115"/>
      <c r="AO100" s="115"/>
      <c r="AP100" s="115"/>
      <c r="AQ100" s="287"/>
      <c r="AR100" s="287"/>
      <c r="AS100" s="287">
        <f>H100</f>
        <v>870</v>
      </c>
      <c r="AT100" s="287"/>
      <c r="AU100" s="287"/>
      <c r="AV100" s="287"/>
      <c r="AW100" s="287"/>
      <c r="AX100" s="287"/>
      <c r="AY100" s="115"/>
      <c r="AZ100" s="115"/>
      <c r="BA100" s="115"/>
      <c r="BB100" s="115"/>
      <c r="BC100" s="115"/>
      <c r="BD100" s="115"/>
      <c r="BE100" s="115"/>
      <c r="BF100" s="115"/>
      <c r="BG100" s="115"/>
      <c r="BH100" s="115"/>
      <c r="BI100" s="287"/>
      <c r="BJ100" s="287"/>
      <c r="BK100" s="287"/>
      <c r="BL100" s="287"/>
      <c r="BM100" s="287"/>
      <c r="BN100" s="287"/>
      <c r="BO100" s="287"/>
      <c r="BP100" s="287"/>
      <c r="BQ100" s="287"/>
      <c r="BR100" s="287"/>
      <c r="BS100" s="287"/>
      <c r="BT100" s="287"/>
      <c r="BU100" s="287"/>
      <c r="BV100" s="283">
        <v>1.462</v>
      </c>
      <c r="BW100" s="490">
        <f t="shared" si="5"/>
        <v>1271.94</v>
      </c>
      <c r="BX100" s="490">
        <f t="shared" si="6"/>
        <v>9857.535</v>
      </c>
      <c r="BY100" s="491" t="s">
        <v>285</v>
      </c>
      <c r="BZ100" s="287" t="s">
        <v>83</v>
      </c>
    </row>
    <row r="101" s="473" customFormat="1" ht="25" customHeight="1" spans="1:78">
      <c r="A101" s="272">
        <v>46126</v>
      </c>
      <c r="B101" s="272">
        <v>46209</v>
      </c>
      <c r="C101" s="273" t="s">
        <v>78</v>
      </c>
      <c r="D101" s="272" t="s">
        <v>79</v>
      </c>
      <c r="E101" s="273" t="s">
        <v>286</v>
      </c>
      <c r="F101" s="273" t="s">
        <v>45</v>
      </c>
      <c r="G101" s="273" t="s">
        <v>287</v>
      </c>
      <c r="H101" s="275">
        <v>12954</v>
      </c>
      <c r="I101" s="275">
        <v>6</v>
      </c>
      <c r="J101" s="287">
        <f t="shared" si="4"/>
        <v>2159</v>
      </c>
      <c r="K101" s="287"/>
      <c r="L101" s="287"/>
      <c r="M101" s="287"/>
      <c r="N101" s="287"/>
      <c r="O101" s="287"/>
      <c r="P101" s="287"/>
      <c r="Q101" s="287"/>
      <c r="R101" s="287"/>
      <c r="S101" s="287"/>
      <c r="T101" s="287"/>
      <c r="U101" s="287"/>
      <c r="V101" s="287"/>
      <c r="W101" s="287"/>
      <c r="X101" s="287"/>
      <c r="Y101" s="287"/>
      <c r="Z101" s="287"/>
      <c r="AA101" s="287"/>
      <c r="AB101" s="287"/>
      <c r="AC101" s="287"/>
      <c r="AD101" s="115"/>
      <c r="AE101" s="115"/>
      <c r="AF101" s="115"/>
      <c r="AG101" s="115"/>
      <c r="AH101" s="115"/>
      <c r="AI101" s="115"/>
      <c r="AJ101" s="115"/>
      <c r="AK101" s="115"/>
      <c r="AL101" s="115"/>
      <c r="AM101" s="115"/>
      <c r="AN101" s="115"/>
      <c r="AO101" s="115"/>
      <c r="AP101" s="115"/>
      <c r="AQ101" s="287"/>
      <c r="AR101" s="287"/>
      <c r="AS101" s="287"/>
      <c r="AT101" s="287">
        <f>H101</f>
        <v>12954</v>
      </c>
      <c r="AU101" s="287"/>
      <c r="AV101" s="287"/>
      <c r="AW101" s="287"/>
      <c r="AX101" s="287"/>
      <c r="AY101" s="115"/>
      <c r="AZ101" s="115"/>
      <c r="BA101" s="115"/>
      <c r="BB101" s="115"/>
      <c r="BC101" s="115"/>
      <c r="BD101" s="115"/>
      <c r="BE101" s="115"/>
      <c r="BF101" s="115"/>
      <c r="BG101" s="115"/>
      <c r="BH101" s="115"/>
      <c r="BI101" s="287"/>
      <c r="BJ101" s="287"/>
      <c r="BK101" s="287"/>
      <c r="BL101" s="287"/>
      <c r="BM101" s="287"/>
      <c r="BN101" s="287"/>
      <c r="BO101" s="287"/>
      <c r="BP101" s="287"/>
      <c r="BQ101" s="287"/>
      <c r="BR101" s="287"/>
      <c r="BS101" s="287"/>
      <c r="BT101" s="287"/>
      <c r="BU101" s="287"/>
      <c r="BV101" s="283">
        <v>1.452</v>
      </c>
      <c r="BW101" s="490">
        <f t="shared" si="5"/>
        <v>18809.208</v>
      </c>
      <c r="BX101" s="490">
        <f t="shared" si="6"/>
        <v>145771.362</v>
      </c>
      <c r="BY101" s="491" t="s">
        <v>288</v>
      </c>
      <c r="BZ101" s="287" t="s">
        <v>83</v>
      </c>
    </row>
    <row r="102" s="473" customFormat="1" ht="25" customHeight="1" spans="1:78">
      <c r="A102" s="272">
        <v>46126</v>
      </c>
      <c r="B102" s="272">
        <v>46209</v>
      </c>
      <c r="C102" s="273" t="s">
        <v>78</v>
      </c>
      <c r="D102" s="272" t="s">
        <v>84</v>
      </c>
      <c r="E102" s="273" t="s">
        <v>289</v>
      </c>
      <c r="F102" s="273" t="s">
        <v>45</v>
      </c>
      <c r="G102" s="273" t="s">
        <v>287</v>
      </c>
      <c r="H102" s="275">
        <v>1290</v>
      </c>
      <c r="I102" s="275">
        <v>6</v>
      </c>
      <c r="J102" s="287">
        <f t="shared" si="4"/>
        <v>215</v>
      </c>
      <c r="K102" s="287"/>
      <c r="L102" s="287"/>
      <c r="M102" s="287"/>
      <c r="N102" s="287"/>
      <c r="O102" s="287"/>
      <c r="P102" s="287"/>
      <c r="Q102" s="287"/>
      <c r="R102" s="287"/>
      <c r="S102" s="287"/>
      <c r="T102" s="287"/>
      <c r="U102" s="287"/>
      <c r="V102" s="287"/>
      <c r="W102" s="287"/>
      <c r="X102" s="287"/>
      <c r="Y102" s="287"/>
      <c r="Z102" s="287"/>
      <c r="AA102" s="287"/>
      <c r="AB102" s="287"/>
      <c r="AC102" s="287"/>
      <c r="AD102" s="115"/>
      <c r="AE102" s="115"/>
      <c r="AF102" s="115"/>
      <c r="AG102" s="115"/>
      <c r="AH102" s="115"/>
      <c r="AI102" s="115"/>
      <c r="AJ102" s="115"/>
      <c r="AK102" s="115"/>
      <c r="AL102" s="115"/>
      <c r="AM102" s="115"/>
      <c r="AN102" s="115"/>
      <c r="AO102" s="115"/>
      <c r="AP102" s="115"/>
      <c r="AQ102" s="287"/>
      <c r="AR102" s="287"/>
      <c r="AS102" s="287"/>
      <c r="AT102" s="287">
        <f>H102</f>
        <v>1290</v>
      </c>
      <c r="AU102" s="287"/>
      <c r="AV102" s="287"/>
      <c r="AW102" s="287"/>
      <c r="AX102" s="287"/>
      <c r="AY102" s="115"/>
      <c r="AZ102" s="115"/>
      <c r="BA102" s="115"/>
      <c r="BB102" s="115"/>
      <c r="BC102" s="115"/>
      <c r="BD102" s="115"/>
      <c r="BE102" s="115"/>
      <c r="BF102" s="115"/>
      <c r="BG102" s="115"/>
      <c r="BH102" s="115"/>
      <c r="BI102" s="287"/>
      <c r="BJ102" s="287"/>
      <c r="BK102" s="287"/>
      <c r="BL102" s="287"/>
      <c r="BM102" s="287"/>
      <c r="BN102" s="287"/>
      <c r="BO102" s="287"/>
      <c r="BP102" s="287"/>
      <c r="BQ102" s="287"/>
      <c r="BR102" s="287"/>
      <c r="BS102" s="287"/>
      <c r="BT102" s="287"/>
      <c r="BU102" s="287"/>
      <c r="BV102" s="283">
        <v>1.452</v>
      </c>
      <c r="BW102" s="490">
        <f t="shared" si="5"/>
        <v>1873.08</v>
      </c>
      <c r="BX102" s="490">
        <f t="shared" si="6"/>
        <v>14516.37</v>
      </c>
      <c r="BY102" s="491" t="s">
        <v>290</v>
      </c>
      <c r="BZ102" s="287" t="s">
        <v>83</v>
      </c>
    </row>
    <row r="103" s="473" customFormat="1" ht="25" customHeight="1" spans="1:78">
      <c r="A103" s="272">
        <v>46126</v>
      </c>
      <c r="B103" s="272">
        <v>46209</v>
      </c>
      <c r="C103" s="273" t="s">
        <v>291</v>
      </c>
      <c r="D103" s="272" t="s">
        <v>79</v>
      </c>
      <c r="E103" s="273" t="s">
        <v>292</v>
      </c>
      <c r="F103" s="273" t="s">
        <v>270</v>
      </c>
      <c r="G103" s="273" t="s">
        <v>271</v>
      </c>
      <c r="H103" s="275">
        <v>3900</v>
      </c>
      <c r="I103" s="275">
        <v>6</v>
      </c>
      <c r="J103" s="287">
        <f t="shared" si="4"/>
        <v>650</v>
      </c>
      <c r="K103" s="287"/>
      <c r="L103" s="287"/>
      <c r="M103" s="287"/>
      <c r="N103" s="287"/>
      <c r="O103" s="287"/>
      <c r="P103" s="287"/>
      <c r="Q103" s="287"/>
      <c r="R103" s="287"/>
      <c r="S103" s="287"/>
      <c r="T103" s="287"/>
      <c r="U103" s="287"/>
      <c r="V103" s="287"/>
      <c r="W103" s="287"/>
      <c r="X103" s="287"/>
      <c r="Y103" s="287"/>
      <c r="Z103" s="287"/>
      <c r="AA103" s="287"/>
      <c r="AB103" s="287"/>
      <c r="AC103" s="287"/>
      <c r="AD103" s="115"/>
      <c r="AE103" s="115"/>
      <c r="AF103" s="115"/>
      <c r="AG103" s="115"/>
      <c r="AH103" s="115"/>
      <c r="AI103" s="115"/>
      <c r="AJ103" s="115"/>
      <c r="AK103" s="115"/>
      <c r="AL103" s="115"/>
      <c r="AM103" s="115"/>
      <c r="AN103" s="115"/>
      <c r="AO103" s="115"/>
      <c r="AP103" s="115"/>
      <c r="AQ103" s="287"/>
      <c r="AR103" s="287">
        <f>H103</f>
        <v>3900</v>
      </c>
      <c r="AS103" s="287"/>
      <c r="AT103" s="287"/>
      <c r="AU103" s="287"/>
      <c r="AV103" s="287"/>
      <c r="AW103" s="287"/>
      <c r="AX103" s="287"/>
      <c r="AY103" s="115"/>
      <c r="AZ103" s="115"/>
      <c r="BA103" s="115"/>
      <c r="BB103" s="115"/>
      <c r="BC103" s="115"/>
      <c r="BD103" s="115"/>
      <c r="BE103" s="115"/>
      <c r="BF103" s="115"/>
      <c r="BG103" s="115"/>
      <c r="BH103" s="115"/>
      <c r="BI103" s="287"/>
      <c r="BJ103" s="287"/>
      <c r="BK103" s="287"/>
      <c r="BL103" s="287"/>
      <c r="BM103" s="287"/>
      <c r="BN103" s="287"/>
      <c r="BO103" s="287"/>
      <c r="BP103" s="287"/>
      <c r="BQ103" s="287"/>
      <c r="BR103" s="287"/>
      <c r="BS103" s="287"/>
      <c r="BT103" s="287"/>
      <c r="BU103" s="287"/>
      <c r="BV103" s="283">
        <v>1.189</v>
      </c>
      <c r="BW103" s="490">
        <f t="shared" si="5"/>
        <v>4637.1</v>
      </c>
      <c r="BX103" s="490">
        <f t="shared" si="6"/>
        <v>35937.525</v>
      </c>
      <c r="BY103" s="491" t="s">
        <v>293</v>
      </c>
      <c r="BZ103" s="287" t="s">
        <v>83</v>
      </c>
    </row>
    <row r="104" s="4" customFormat="1" ht="25" customHeight="1" spans="1:78">
      <c r="A104" s="114">
        <v>46126</v>
      </c>
      <c r="B104" s="114">
        <v>46244</v>
      </c>
      <c r="C104" s="117" t="s">
        <v>78</v>
      </c>
      <c r="D104" s="114" t="s">
        <v>79</v>
      </c>
      <c r="E104" s="117" t="s">
        <v>294</v>
      </c>
      <c r="F104" s="117" t="s">
        <v>270</v>
      </c>
      <c r="G104" s="117" t="s">
        <v>271</v>
      </c>
      <c r="H104" s="211">
        <v>35100</v>
      </c>
      <c r="I104" s="211">
        <v>6</v>
      </c>
      <c r="J104" s="115">
        <f t="shared" si="4"/>
        <v>5850</v>
      </c>
      <c r="K104" s="115"/>
      <c r="L104" s="115"/>
      <c r="M104" s="115"/>
      <c r="N104" s="115"/>
      <c r="O104" s="115"/>
      <c r="P104" s="115"/>
      <c r="Q104" s="115"/>
      <c r="R104" s="115"/>
      <c r="S104" s="115"/>
      <c r="T104" s="115"/>
      <c r="U104" s="115"/>
      <c r="V104" s="115"/>
      <c r="W104" s="115"/>
      <c r="X104" s="115"/>
      <c r="Y104" s="115"/>
      <c r="Z104" s="115"/>
      <c r="AA104" s="115"/>
      <c r="AB104" s="115"/>
      <c r="AC104" s="115"/>
      <c r="AD104" s="115"/>
      <c r="AE104" s="115"/>
      <c r="AF104" s="115"/>
      <c r="AG104" s="115"/>
      <c r="AH104" s="115"/>
      <c r="AI104" s="115"/>
      <c r="AJ104" s="115"/>
      <c r="AK104" s="115"/>
      <c r="AL104" s="115"/>
      <c r="AM104" s="115"/>
      <c r="AN104" s="115"/>
      <c r="AO104" s="115"/>
      <c r="AP104" s="115"/>
      <c r="AQ104" s="115"/>
      <c r="AR104" s="115">
        <f>H104</f>
        <v>35100</v>
      </c>
      <c r="AS104" s="115"/>
      <c r="AT104" s="115"/>
      <c r="AU104" s="115"/>
      <c r="AV104" s="115"/>
      <c r="AW104" s="115"/>
      <c r="AX104" s="115"/>
      <c r="AY104" s="115"/>
      <c r="AZ104" s="115"/>
      <c r="BA104" s="115"/>
      <c r="BB104" s="115"/>
      <c r="BC104" s="115"/>
      <c r="BD104" s="115"/>
      <c r="BE104" s="115"/>
      <c r="BF104" s="115"/>
      <c r="BG104" s="115"/>
      <c r="BH104" s="115"/>
      <c r="BI104" s="115"/>
      <c r="BJ104" s="115"/>
      <c r="BK104" s="115"/>
      <c r="BL104" s="115"/>
      <c r="BM104" s="115"/>
      <c r="BN104" s="115"/>
      <c r="BO104" s="115"/>
      <c r="BP104" s="115"/>
      <c r="BQ104" s="115"/>
      <c r="BR104" s="115"/>
      <c r="BS104" s="115"/>
      <c r="BT104" s="115"/>
      <c r="BU104" s="115"/>
      <c r="BV104" s="388">
        <v>1.189</v>
      </c>
      <c r="BW104" s="492">
        <f t="shared" si="5"/>
        <v>41733.9</v>
      </c>
      <c r="BX104" s="492">
        <f t="shared" si="6"/>
        <v>323437.725</v>
      </c>
      <c r="BY104" s="493"/>
      <c r="BZ104" s="115" t="s">
        <v>83</v>
      </c>
    </row>
    <row r="105" s="4" customFormat="1" ht="25" customHeight="1" spans="1:78">
      <c r="A105" s="114">
        <v>46126</v>
      </c>
      <c r="B105" s="114">
        <v>46244</v>
      </c>
      <c r="C105" s="117" t="s">
        <v>78</v>
      </c>
      <c r="D105" s="114" t="s">
        <v>84</v>
      </c>
      <c r="E105" s="117" t="s">
        <v>295</v>
      </c>
      <c r="F105" s="117" t="s">
        <v>270</v>
      </c>
      <c r="G105" s="117" t="s">
        <v>271</v>
      </c>
      <c r="H105" s="211">
        <v>3510</v>
      </c>
      <c r="I105" s="211">
        <v>6</v>
      </c>
      <c r="J105" s="115">
        <f t="shared" si="4"/>
        <v>585</v>
      </c>
      <c r="K105" s="115"/>
      <c r="L105" s="115"/>
      <c r="M105" s="115"/>
      <c r="N105" s="115"/>
      <c r="O105" s="115"/>
      <c r="P105" s="115"/>
      <c r="Q105" s="115"/>
      <c r="R105" s="115"/>
      <c r="S105" s="115"/>
      <c r="T105" s="115"/>
      <c r="U105" s="115"/>
      <c r="V105" s="115"/>
      <c r="W105" s="115"/>
      <c r="X105" s="115"/>
      <c r="Y105" s="115"/>
      <c r="Z105" s="115"/>
      <c r="AA105" s="115"/>
      <c r="AB105" s="115"/>
      <c r="AC105" s="115"/>
      <c r="AD105" s="115"/>
      <c r="AE105" s="115"/>
      <c r="AF105" s="115"/>
      <c r="AG105" s="115"/>
      <c r="AH105" s="115"/>
      <c r="AI105" s="115"/>
      <c r="AJ105" s="115"/>
      <c r="AK105" s="115"/>
      <c r="AL105" s="115"/>
      <c r="AM105" s="115"/>
      <c r="AN105" s="115"/>
      <c r="AO105" s="115"/>
      <c r="AP105" s="115"/>
      <c r="AQ105" s="115"/>
      <c r="AR105" s="115">
        <f>H105</f>
        <v>3510</v>
      </c>
      <c r="AS105" s="115"/>
      <c r="AT105" s="115"/>
      <c r="AU105" s="115"/>
      <c r="AV105" s="115"/>
      <c r="AW105" s="115"/>
      <c r="AX105" s="115"/>
      <c r="AY105" s="115"/>
      <c r="AZ105" s="115"/>
      <c r="BA105" s="115"/>
      <c r="BB105" s="115"/>
      <c r="BC105" s="115"/>
      <c r="BD105" s="115"/>
      <c r="BE105" s="115"/>
      <c r="BF105" s="115"/>
      <c r="BG105" s="115"/>
      <c r="BH105" s="115"/>
      <c r="BI105" s="115"/>
      <c r="BJ105" s="115"/>
      <c r="BK105" s="115"/>
      <c r="BL105" s="115"/>
      <c r="BM105" s="115"/>
      <c r="BN105" s="115"/>
      <c r="BO105" s="115"/>
      <c r="BP105" s="115"/>
      <c r="BQ105" s="115"/>
      <c r="BR105" s="115"/>
      <c r="BS105" s="115"/>
      <c r="BT105" s="115"/>
      <c r="BU105" s="115"/>
      <c r="BV105" s="388">
        <v>1.189</v>
      </c>
      <c r="BW105" s="492">
        <f t="shared" si="5"/>
        <v>4173.39</v>
      </c>
      <c r="BX105" s="492">
        <f t="shared" si="6"/>
        <v>32343.7725</v>
      </c>
      <c r="BY105" s="493"/>
      <c r="BZ105" s="115" t="s">
        <v>83</v>
      </c>
    </row>
    <row r="106" s="4" customFormat="1" ht="25" customHeight="1" spans="1:78">
      <c r="A106" s="114">
        <v>46126</v>
      </c>
      <c r="B106" s="114">
        <v>46244</v>
      </c>
      <c r="C106" s="117" t="s">
        <v>78</v>
      </c>
      <c r="D106" s="114" t="s">
        <v>79</v>
      </c>
      <c r="E106" s="117" t="s">
        <v>296</v>
      </c>
      <c r="F106" s="117" t="s">
        <v>44</v>
      </c>
      <c r="G106" s="117" t="s">
        <v>276</v>
      </c>
      <c r="H106" s="211">
        <v>8754</v>
      </c>
      <c r="I106" s="211">
        <v>6</v>
      </c>
      <c r="J106" s="115">
        <f t="shared" si="4"/>
        <v>1459</v>
      </c>
      <c r="K106" s="115"/>
      <c r="L106" s="115"/>
      <c r="M106" s="115"/>
      <c r="N106" s="115"/>
      <c r="O106" s="115"/>
      <c r="P106" s="115"/>
      <c r="Q106" s="115"/>
      <c r="R106" s="115"/>
      <c r="S106" s="115"/>
      <c r="T106" s="115"/>
      <c r="U106" s="115"/>
      <c r="V106" s="115"/>
      <c r="W106" s="115"/>
      <c r="X106" s="115"/>
      <c r="Y106" s="115"/>
      <c r="Z106" s="115"/>
      <c r="AA106" s="115"/>
      <c r="AB106" s="115"/>
      <c r="AC106" s="115"/>
      <c r="AD106" s="115"/>
      <c r="AE106" s="115"/>
      <c r="AF106" s="115"/>
      <c r="AG106" s="115"/>
      <c r="AH106" s="115"/>
      <c r="AI106" s="115"/>
      <c r="AJ106" s="115"/>
      <c r="AK106" s="115"/>
      <c r="AL106" s="115"/>
      <c r="AM106" s="115"/>
      <c r="AN106" s="115"/>
      <c r="AO106" s="115"/>
      <c r="AP106" s="115"/>
      <c r="AQ106" s="115"/>
      <c r="AR106" s="115"/>
      <c r="AS106" s="115">
        <f>H106</f>
        <v>8754</v>
      </c>
      <c r="AT106" s="115"/>
      <c r="AU106" s="115"/>
      <c r="AV106" s="115"/>
      <c r="AW106" s="115"/>
      <c r="AX106" s="115"/>
      <c r="AY106" s="115"/>
      <c r="AZ106" s="115"/>
      <c r="BA106" s="115"/>
      <c r="BB106" s="115"/>
      <c r="BC106" s="115"/>
      <c r="BD106" s="115"/>
      <c r="BE106" s="115"/>
      <c r="BF106" s="115"/>
      <c r="BG106" s="115"/>
      <c r="BH106" s="115"/>
      <c r="BI106" s="115"/>
      <c r="BJ106" s="115"/>
      <c r="BK106" s="115"/>
      <c r="BL106" s="115"/>
      <c r="BM106" s="115"/>
      <c r="BN106" s="115"/>
      <c r="BO106" s="115"/>
      <c r="BP106" s="115"/>
      <c r="BQ106" s="115"/>
      <c r="BR106" s="115"/>
      <c r="BS106" s="115"/>
      <c r="BT106" s="115"/>
      <c r="BU106" s="115"/>
      <c r="BV106" s="388">
        <v>1.462</v>
      </c>
      <c r="BW106" s="492">
        <f t="shared" si="5"/>
        <v>12798.348</v>
      </c>
      <c r="BX106" s="492">
        <f t="shared" si="6"/>
        <v>99187.197</v>
      </c>
      <c r="BY106" s="493"/>
      <c r="BZ106" s="115" t="s">
        <v>83</v>
      </c>
    </row>
    <row r="107" s="4" customFormat="1" ht="25" customHeight="1" spans="1:78">
      <c r="A107" s="114">
        <v>46126</v>
      </c>
      <c r="B107" s="114">
        <v>46244</v>
      </c>
      <c r="C107" s="117" t="s">
        <v>78</v>
      </c>
      <c r="D107" s="114" t="s">
        <v>84</v>
      </c>
      <c r="E107" s="117" t="s">
        <v>297</v>
      </c>
      <c r="F107" s="117" t="s">
        <v>44</v>
      </c>
      <c r="G107" s="117" t="s">
        <v>276</v>
      </c>
      <c r="H107" s="211">
        <v>870</v>
      </c>
      <c r="I107" s="211">
        <v>6</v>
      </c>
      <c r="J107" s="115">
        <f t="shared" si="4"/>
        <v>145</v>
      </c>
      <c r="K107" s="115"/>
      <c r="L107" s="115"/>
      <c r="M107" s="115"/>
      <c r="N107" s="115"/>
      <c r="O107" s="115"/>
      <c r="P107" s="115"/>
      <c r="Q107" s="115"/>
      <c r="R107" s="115"/>
      <c r="S107" s="115"/>
      <c r="T107" s="115"/>
      <c r="U107" s="115"/>
      <c r="V107" s="115"/>
      <c r="W107" s="115"/>
      <c r="X107" s="115"/>
      <c r="Y107" s="115"/>
      <c r="Z107" s="115"/>
      <c r="AA107" s="115"/>
      <c r="AB107" s="115"/>
      <c r="AC107" s="115"/>
      <c r="AD107" s="115"/>
      <c r="AE107" s="115"/>
      <c r="AF107" s="115"/>
      <c r="AG107" s="115"/>
      <c r="AH107" s="115"/>
      <c r="AI107" s="115"/>
      <c r="AJ107" s="115"/>
      <c r="AK107" s="115"/>
      <c r="AL107" s="115"/>
      <c r="AM107" s="115"/>
      <c r="AN107" s="115"/>
      <c r="AO107" s="115"/>
      <c r="AP107" s="115"/>
      <c r="AQ107" s="115"/>
      <c r="AR107" s="115"/>
      <c r="AS107" s="115">
        <f>H107</f>
        <v>870</v>
      </c>
      <c r="AT107" s="115"/>
      <c r="AU107" s="115"/>
      <c r="AV107" s="115"/>
      <c r="AW107" s="115"/>
      <c r="AX107" s="115"/>
      <c r="AY107" s="115"/>
      <c r="AZ107" s="115"/>
      <c r="BA107" s="115"/>
      <c r="BB107" s="115"/>
      <c r="BC107" s="115"/>
      <c r="BD107" s="115"/>
      <c r="BE107" s="115"/>
      <c r="BF107" s="115"/>
      <c r="BG107" s="115"/>
      <c r="BH107" s="115"/>
      <c r="BI107" s="115"/>
      <c r="BJ107" s="115"/>
      <c r="BK107" s="115"/>
      <c r="BL107" s="115"/>
      <c r="BM107" s="115"/>
      <c r="BN107" s="115"/>
      <c r="BO107" s="115"/>
      <c r="BP107" s="115"/>
      <c r="BQ107" s="115"/>
      <c r="BR107" s="115"/>
      <c r="BS107" s="115"/>
      <c r="BT107" s="115"/>
      <c r="BU107" s="115"/>
      <c r="BV107" s="388">
        <v>1.462</v>
      </c>
      <c r="BW107" s="492">
        <f t="shared" si="5"/>
        <v>1271.94</v>
      </c>
      <c r="BX107" s="492">
        <f t="shared" si="6"/>
        <v>9857.535</v>
      </c>
      <c r="BY107" s="493"/>
      <c r="BZ107" s="115" t="s">
        <v>83</v>
      </c>
    </row>
    <row r="108" s="4" customFormat="1" ht="25" customHeight="1" spans="1:78">
      <c r="A108" s="114">
        <v>46126</v>
      </c>
      <c r="B108" s="114">
        <v>46244</v>
      </c>
      <c r="C108" s="117" t="s">
        <v>78</v>
      </c>
      <c r="D108" s="114" t="s">
        <v>79</v>
      </c>
      <c r="E108" s="117" t="s">
        <v>298</v>
      </c>
      <c r="F108" s="117" t="s">
        <v>281</v>
      </c>
      <c r="G108" s="117" t="s">
        <v>282</v>
      </c>
      <c r="H108" s="211">
        <v>8754</v>
      </c>
      <c r="I108" s="211">
        <v>6</v>
      </c>
      <c r="J108" s="115">
        <f t="shared" si="4"/>
        <v>1459</v>
      </c>
      <c r="K108" s="115"/>
      <c r="L108" s="115"/>
      <c r="M108" s="115"/>
      <c r="N108" s="115"/>
      <c r="O108" s="115"/>
      <c r="P108" s="115"/>
      <c r="Q108" s="115"/>
      <c r="R108" s="115"/>
      <c r="S108" s="115"/>
      <c r="T108" s="115"/>
      <c r="U108" s="115"/>
      <c r="V108" s="115"/>
      <c r="W108" s="115"/>
      <c r="X108" s="115"/>
      <c r="Y108" s="115"/>
      <c r="Z108" s="115"/>
      <c r="AA108" s="115"/>
      <c r="AB108" s="115"/>
      <c r="AC108" s="115"/>
      <c r="AD108" s="115"/>
      <c r="AE108" s="115"/>
      <c r="AF108" s="115"/>
      <c r="AG108" s="115"/>
      <c r="AH108" s="115"/>
      <c r="AI108" s="115"/>
      <c r="AJ108" s="115"/>
      <c r="AK108" s="115"/>
      <c r="AL108" s="115"/>
      <c r="AM108" s="115"/>
      <c r="AN108" s="115"/>
      <c r="AO108" s="115"/>
      <c r="AP108" s="115"/>
      <c r="AQ108" s="115"/>
      <c r="AR108" s="115"/>
      <c r="AS108" s="115">
        <f>H108</f>
        <v>8754</v>
      </c>
      <c r="AT108" s="115"/>
      <c r="AU108" s="115"/>
      <c r="AV108" s="115"/>
      <c r="AW108" s="115"/>
      <c r="AX108" s="115"/>
      <c r="AY108" s="115"/>
      <c r="AZ108" s="115"/>
      <c r="BA108" s="115"/>
      <c r="BB108" s="115"/>
      <c r="BC108" s="115"/>
      <c r="BD108" s="115"/>
      <c r="BE108" s="115"/>
      <c r="BF108" s="115"/>
      <c r="BG108" s="115"/>
      <c r="BH108" s="115"/>
      <c r="BI108" s="115"/>
      <c r="BJ108" s="115"/>
      <c r="BK108" s="115"/>
      <c r="BL108" s="115"/>
      <c r="BM108" s="115"/>
      <c r="BN108" s="115"/>
      <c r="BO108" s="115"/>
      <c r="BP108" s="115"/>
      <c r="BQ108" s="115"/>
      <c r="BR108" s="115"/>
      <c r="BS108" s="115"/>
      <c r="BT108" s="115"/>
      <c r="BU108" s="115"/>
      <c r="BV108" s="388">
        <v>1.462</v>
      </c>
      <c r="BW108" s="492">
        <f t="shared" si="5"/>
        <v>12798.348</v>
      </c>
      <c r="BX108" s="492">
        <f t="shared" si="6"/>
        <v>99187.197</v>
      </c>
      <c r="BY108" s="493"/>
      <c r="BZ108" s="115" t="s">
        <v>83</v>
      </c>
    </row>
    <row r="109" s="4" customFormat="1" ht="25" customHeight="1" spans="1:78">
      <c r="A109" s="114">
        <v>46126</v>
      </c>
      <c r="B109" s="114">
        <v>46244</v>
      </c>
      <c r="C109" s="117" t="s">
        <v>78</v>
      </c>
      <c r="D109" s="114" t="s">
        <v>84</v>
      </c>
      <c r="E109" s="117" t="s">
        <v>299</v>
      </c>
      <c r="F109" s="117" t="s">
        <v>281</v>
      </c>
      <c r="G109" s="117" t="s">
        <v>282</v>
      </c>
      <c r="H109" s="211">
        <v>870</v>
      </c>
      <c r="I109" s="211">
        <v>6</v>
      </c>
      <c r="J109" s="115">
        <f t="shared" si="4"/>
        <v>145</v>
      </c>
      <c r="K109" s="115"/>
      <c r="L109" s="115"/>
      <c r="M109" s="115"/>
      <c r="N109" s="115"/>
      <c r="O109" s="115"/>
      <c r="P109" s="115"/>
      <c r="Q109" s="115"/>
      <c r="R109" s="115"/>
      <c r="S109" s="115"/>
      <c r="T109" s="115"/>
      <c r="U109" s="115"/>
      <c r="V109" s="115"/>
      <c r="W109" s="115"/>
      <c r="X109" s="115"/>
      <c r="Y109" s="115"/>
      <c r="Z109" s="115"/>
      <c r="AA109" s="115"/>
      <c r="AB109" s="115"/>
      <c r="AC109" s="115"/>
      <c r="AD109" s="115"/>
      <c r="AE109" s="115"/>
      <c r="AF109" s="115"/>
      <c r="AG109" s="115"/>
      <c r="AH109" s="115"/>
      <c r="AI109" s="115"/>
      <c r="AJ109" s="115"/>
      <c r="AK109" s="115"/>
      <c r="AL109" s="115"/>
      <c r="AM109" s="115"/>
      <c r="AN109" s="115"/>
      <c r="AO109" s="115"/>
      <c r="AP109" s="115"/>
      <c r="AQ109" s="115"/>
      <c r="AR109" s="115"/>
      <c r="AS109" s="115">
        <f>H109</f>
        <v>870</v>
      </c>
      <c r="AT109" s="115"/>
      <c r="AU109" s="115"/>
      <c r="AV109" s="115"/>
      <c r="AW109" s="115"/>
      <c r="AX109" s="115"/>
      <c r="AY109" s="115"/>
      <c r="AZ109" s="115"/>
      <c r="BA109" s="115"/>
      <c r="BB109" s="115"/>
      <c r="BC109" s="115"/>
      <c r="BD109" s="115"/>
      <c r="BE109" s="115"/>
      <c r="BF109" s="115"/>
      <c r="BG109" s="115"/>
      <c r="BH109" s="115"/>
      <c r="BI109" s="115"/>
      <c r="BJ109" s="115"/>
      <c r="BK109" s="115"/>
      <c r="BL109" s="115"/>
      <c r="BM109" s="115"/>
      <c r="BN109" s="115"/>
      <c r="BO109" s="115"/>
      <c r="BP109" s="115"/>
      <c r="BQ109" s="115"/>
      <c r="BR109" s="115"/>
      <c r="BS109" s="115"/>
      <c r="BT109" s="115"/>
      <c r="BU109" s="115"/>
      <c r="BV109" s="388">
        <v>1.462</v>
      </c>
      <c r="BW109" s="492">
        <f t="shared" si="5"/>
        <v>1271.94</v>
      </c>
      <c r="BX109" s="492">
        <f t="shared" si="6"/>
        <v>9857.535</v>
      </c>
      <c r="BY109" s="493"/>
      <c r="BZ109" s="115" t="s">
        <v>83</v>
      </c>
    </row>
    <row r="110" s="4" customFormat="1" ht="25" customHeight="1" spans="1:78">
      <c r="A110" s="114">
        <v>46126</v>
      </c>
      <c r="B110" s="114">
        <v>46244</v>
      </c>
      <c r="C110" s="117" t="s">
        <v>78</v>
      </c>
      <c r="D110" s="114" t="s">
        <v>79</v>
      </c>
      <c r="E110" s="117" t="s">
        <v>300</v>
      </c>
      <c r="F110" s="117" t="s">
        <v>45</v>
      </c>
      <c r="G110" s="117" t="s">
        <v>287</v>
      </c>
      <c r="H110" s="211">
        <v>12954</v>
      </c>
      <c r="I110" s="211">
        <v>6</v>
      </c>
      <c r="J110" s="115">
        <f t="shared" si="4"/>
        <v>2159</v>
      </c>
      <c r="K110" s="115"/>
      <c r="L110" s="115"/>
      <c r="M110" s="115"/>
      <c r="N110" s="115"/>
      <c r="O110" s="115"/>
      <c r="P110" s="115"/>
      <c r="Q110" s="115"/>
      <c r="R110" s="115"/>
      <c r="S110" s="115"/>
      <c r="T110" s="115"/>
      <c r="U110" s="115"/>
      <c r="V110" s="115"/>
      <c r="W110" s="115"/>
      <c r="X110" s="115"/>
      <c r="Y110" s="115"/>
      <c r="Z110" s="115"/>
      <c r="AA110" s="115"/>
      <c r="AB110" s="115"/>
      <c r="AC110" s="115"/>
      <c r="AD110" s="115"/>
      <c r="AE110" s="115"/>
      <c r="AF110" s="115"/>
      <c r="AG110" s="115"/>
      <c r="AH110" s="115"/>
      <c r="AI110" s="115"/>
      <c r="AJ110" s="115"/>
      <c r="AK110" s="115"/>
      <c r="AL110" s="115"/>
      <c r="AM110" s="115"/>
      <c r="AN110" s="115"/>
      <c r="AO110" s="115"/>
      <c r="AP110" s="115"/>
      <c r="AQ110" s="115"/>
      <c r="AR110" s="115"/>
      <c r="AS110" s="115"/>
      <c r="AT110" s="115">
        <f>H110</f>
        <v>12954</v>
      </c>
      <c r="AU110" s="115"/>
      <c r="AV110" s="115"/>
      <c r="AW110" s="115"/>
      <c r="AX110" s="115"/>
      <c r="AY110" s="115"/>
      <c r="AZ110" s="115"/>
      <c r="BA110" s="115"/>
      <c r="BB110" s="115"/>
      <c r="BC110" s="115"/>
      <c r="BD110" s="115"/>
      <c r="BE110" s="115"/>
      <c r="BF110" s="115"/>
      <c r="BG110" s="115"/>
      <c r="BH110" s="115"/>
      <c r="BI110" s="115"/>
      <c r="BJ110" s="115"/>
      <c r="BK110" s="115"/>
      <c r="BL110" s="115"/>
      <c r="BM110" s="115"/>
      <c r="BN110" s="115"/>
      <c r="BO110" s="115"/>
      <c r="BP110" s="115"/>
      <c r="BQ110" s="115"/>
      <c r="BR110" s="115"/>
      <c r="BS110" s="115"/>
      <c r="BT110" s="115"/>
      <c r="BU110" s="115"/>
      <c r="BV110" s="388">
        <v>1.452</v>
      </c>
      <c r="BW110" s="492">
        <f t="shared" si="5"/>
        <v>18809.208</v>
      </c>
      <c r="BX110" s="492">
        <f t="shared" si="6"/>
        <v>145771.362</v>
      </c>
      <c r="BY110" s="493"/>
      <c r="BZ110" s="115" t="s">
        <v>83</v>
      </c>
    </row>
    <row r="111" s="4" customFormat="1" ht="25" customHeight="1" spans="1:78">
      <c r="A111" s="114">
        <v>46126</v>
      </c>
      <c r="B111" s="114">
        <v>46244</v>
      </c>
      <c r="C111" s="117" t="s">
        <v>78</v>
      </c>
      <c r="D111" s="114" t="s">
        <v>84</v>
      </c>
      <c r="E111" s="117" t="s">
        <v>301</v>
      </c>
      <c r="F111" s="117" t="s">
        <v>45</v>
      </c>
      <c r="G111" s="117" t="s">
        <v>287</v>
      </c>
      <c r="H111" s="211">
        <v>1290</v>
      </c>
      <c r="I111" s="211">
        <v>6</v>
      </c>
      <c r="J111" s="115">
        <f t="shared" si="4"/>
        <v>215</v>
      </c>
      <c r="K111" s="115"/>
      <c r="L111" s="115"/>
      <c r="M111" s="115"/>
      <c r="N111" s="115"/>
      <c r="O111" s="115"/>
      <c r="P111" s="115"/>
      <c r="Q111" s="115"/>
      <c r="R111" s="115"/>
      <c r="S111" s="115"/>
      <c r="T111" s="115"/>
      <c r="U111" s="115"/>
      <c r="V111" s="115"/>
      <c r="W111" s="115"/>
      <c r="X111" s="115"/>
      <c r="Y111" s="115"/>
      <c r="Z111" s="115"/>
      <c r="AA111" s="115"/>
      <c r="AB111" s="115"/>
      <c r="AC111" s="115"/>
      <c r="AD111" s="115"/>
      <c r="AE111" s="115"/>
      <c r="AF111" s="115"/>
      <c r="AG111" s="115"/>
      <c r="AH111" s="115"/>
      <c r="AI111" s="115"/>
      <c r="AJ111" s="115"/>
      <c r="AK111" s="115"/>
      <c r="AL111" s="115"/>
      <c r="AM111" s="115"/>
      <c r="AN111" s="115"/>
      <c r="AO111" s="115"/>
      <c r="AP111" s="115"/>
      <c r="AQ111" s="115"/>
      <c r="AR111" s="115"/>
      <c r="AS111" s="115"/>
      <c r="AT111" s="115">
        <f>H111</f>
        <v>1290</v>
      </c>
      <c r="AU111" s="115"/>
      <c r="AV111" s="115"/>
      <c r="AW111" s="115"/>
      <c r="AX111" s="115"/>
      <c r="AY111" s="115"/>
      <c r="AZ111" s="115"/>
      <c r="BA111" s="115"/>
      <c r="BB111" s="115"/>
      <c r="BC111" s="115"/>
      <c r="BD111" s="115"/>
      <c r="BE111" s="115"/>
      <c r="BF111" s="115"/>
      <c r="BG111" s="115"/>
      <c r="BH111" s="115"/>
      <c r="BI111" s="115"/>
      <c r="BJ111" s="115"/>
      <c r="BK111" s="115"/>
      <c r="BL111" s="115"/>
      <c r="BM111" s="115"/>
      <c r="BN111" s="115"/>
      <c r="BO111" s="115"/>
      <c r="BP111" s="115"/>
      <c r="BQ111" s="115"/>
      <c r="BR111" s="115"/>
      <c r="BS111" s="115"/>
      <c r="BT111" s="115"/>
      <c r="BU111" s="115"/>
      <c r="BV111" s="388">
        <v>1.452</v>
      </c>
      <c r="BW111" s="492">
        <f t="shared" si="5"/>
        <v>1873.08</v>
      </c>
      <c r="BX111" s="492">
        <f t="shared" si="6"/>
        <v>14516.37</v>
      </c>
      <c r="BY111" s="493"/>
      <c r="BZ111" s="115" t="s">
        <v>83</v>
      </c>
    </row>
    <row r="112" s="4" customFormat="1" ht="25" customHeight="1" spans="1:78">
      <c r="A112" s="114">
        <v>46126</v>
      </c>
      <c r="B112" s="114">
        <v>46244</v>
      </c>
      <c r="C112" s="117" t="s">
        <v>291</v>
      </c>
      <c r="D112" s="114" t="s">
        <v>79</v>
      </c>
      <c r="E112" s="117" t="s">
        <v>302</v>
      </c>
      <c r="F112" s="117" t="s">
        <v>270</v>
      </c>
      <c r="G112" s="117" t="s">
        <v>271</v>
      </c>
      <c r="H112" s="211">
        <v>3900</v>
      </c>
      <c r="I112" s="211">
        <v>6</v>
      </c>
      <c r="J112" s="115">
        <f t="shared" si="4"/>
        <v>650</v>
      </c>
      <c r="K112" s="115"/>
      <c r="L112" s="115"/>
      <c r="M112" s="115"/>
      <c r="N112" s="115"/>
      <c r="O112" s="115"/>
      <c r="P112" s="115"/>
      <c r="Q112" s="115"/>
      <c r="R112" s="115"/>
      <c r="S112" s="115"/>
      <c r="T112" s="115"/>
      <c r="U112" s="115"/>
      <c r="V112" s="115"/>
      <c r="W112" s="115"/>
      <c r="X112" s="115"/>
      <c r="Y112" s="115"/>
      <c r="Z112" s="115"/>
      <c r="AA112" s="115"/>
      <c r="AB112" s="115"/>
      <c r="AC112" s="115"/>
      <c r="AD112" s="115"/>
      <c r="AE112" s="115"/>
      <c r="AF112" s="115"/>
      <c r="AG112" s="115"/>
      <c r="AH112" s="115"/>
      <c r="AI112" s="115"/>
      <c r="AJ112" s="115"/>
      <c r="AK112" s="115"/>
      <c r="AL112" s="115"/>
      <c r="AM112" s="115"/>
      <c r="AN112" s="115"/>
      <c r="AO112" s="115"/>
      <c r="AP112" s="115"/>
      <c r="AQ112" s="115"/>
      <c r="AR112" s="115">
        <f>H112</f>
        <v>3900</v>
      </c>
      <c r="AS112" s="115"/>
      <c r="AT112" s="115"/>
      <c r="AU112" s="115"/>
      <c r="AV112" s="115"/>
      <c r="AW112" s="115"/>
      <c r="AX112" s="115"/>
      <c r="AY112" s="115"/>
      <c r="AZ112" s="115"/>
      <c r="BA112" s="115"/>
      <c r="BB112" s="115"/>
      <c r="BC112" s="115"/>
      <c r="BD112" s="115"/>
      <c r="BE112" s="115"/>
      <c r="BF112" s="115"/>
      <c r="BG112" s="115"/>
      <c r="BH112" s="115"/>
      <c r="BI112" s="115"/>
      <c r="BJ112" s="115"/>
      <c r="BK112" s="115"/>
      <c r="BL112" s="115"/>
      <c r="BM112" s="115"/>
      <c r="BN112" s="115"/>
      <c r="BO112" s="115"/>
      <c r="BP112" s="115"/>
      <c r="BQ112" s="115"/>
      <c r="BR112" s="115"/>
      <c r="BS112" s="115"/>
      <c r="BT112" s="115"/>
      <c r="BU112" s="115"/>
      <c r="BV112" s="388">
        <v>1.189</v>
      </c>
      <c r="BW112" s="492">
        <f t="shared" si="5"/>
        <v>4637.1</v>
      </c>
      <c r="BX112" s="492">
        <f t="shared" si="6"/>
        <v>35937.525</v>
      </c>
      <c r="BY112" s="493"/>
      <c r="BZ112" s="115" t="s">
        <v>83</v>
      </c>
    </row>
    <row r="113" s="4" customFormat="1" ht="25" customHeight="1" spans="1:78">
      <c r="A113" s="114">
        <v>46126</v>
      </c>
      <c r="B113" s="114">
        <v>46266</v>
      </c>
      <c r="C113" s="117" t="s">
        <v>78</v>
      </c>
      <c r="D113" s="114" t="s">
        <v>79</v>
      </c>
      <c r="E113" s="117" t="s">
        <v>303</v>
      </c>
      <c r="F113" s="117" t="s">
        <v>270</v>
      </c>
      <c r="G113" s="117" t="s">
        <v>271</v>
      </c>
      <c r="H113" s="211">
        <v>35100</v>
      </c>
      <c r="I113" s="211">
        <v>6</v>
      </c>
      <c r="J113" s="115">
        <f t="shared" si="4"/>
        <v>5850</v>
      </c>
      <c r="K113" s="115"/>
      <c r="L113" s="115"/>
      <c r="M113" s="115"/>
      <c r="N113" s="115"/>
      <c r="O113" s="115"/>
      <c r="P113" s="115"/>
      <c r="Q113" s="115"/>
      <c r="R113" s="115"/>
      <c r="S113" s="115"/>
      <c r="T113" s="115"/>
      <c r="U113" s="115"/>
      <c r="V113" s="115"/>
      <c r="W113" s="115"/>
      <c r="X113" s="115"/>
      <c r="Y113" s="115"/>
      <c r="Z113" s="115"/>
      <c r="AA113" s="115"/>
      <c r="AB113" s="115"/>
      <c r="AC113" s="115"/>
      <c r="AD113" s="115"/>
      <c r="AE113" s="115"/>
      <c r="AF113" s="115"/>
      <c r="AG113" s="115"/>
      <c r="AH113" s="115"/>
      <c r="AI113" s="115"/>
      <c r="AJ113" s="115"/>
      <c r="AK113" s="115"/>
      <c r="AL113" s="115"/>
      <c r="AM113" s="115"/>
      <c r="AN113" s="115"/>
      <c r="AO113" s="115"/>
      <c r="AP113" s="115"/>
      <c r="AQ113" s="115"/>
      <c r="AR113" s="115">
        <f>H113</f>
        <v>35100</v>
      </c>
      <c r="AS113" s="115"/>
      <c r="AT113" s="115"/>
      <c r="AU113" s="115"/>
      <c r="AV113" s="115"/>
      <c r="AW113" s="115"/>
      <c r="AX113" s="115"/>
      <c r="AY113" s="115"/>
      <c r="AZ113" s="115"/>
      <c r="BA113" s="115"/>
      <c r="BB113" s="115"/>
      <c r="BC113" s="115"/>
      <c r="BD113" s="115"/>
      <c r="BE113" s="115"/>
      <c r="BF113" s="115"/>
      <c r="BG113" s="115"/>
      <c r="BH113" s="115"/>
      <c r="BI113" s="115"/>
      <c r="BJ113" s="115"/>
      <c r="BK113" s="115"/>
      <c r="BL113" s="115"/>
      <c r="BM113" s="115"/>
      <c r="BN113" s="115"/>
      <c r="BO113" s="115"/>
      <c r="BP113" s="115"/>
      <c r="BQ113" s="115"/>
      <c r="BR113" s="115"/>
      <c r="BS113" s="115"/>
      <c r="BT113" s="115"/>
      <c r="BU113" s="115"/>
      <c r="BV113" s="388">
        <v>1.189</v>
      </c>
      <c r="BW113" s="492">
        <f t="shared" si="5"/>
        <v>41733.9</v>
      </c>
      <c r="BX113" s="492">
        <f t="shared" si="6"/>
        <v>323437.725</v>
      </c>
      <c r="BY113" s="493"/>
      <c r="BZ113" s="115" t="s">
        <v>83</v>
      </c>
    </row>
    <row r="114" s="4" customFormat="1" ht="25" customHeight="1" spans="1:78">
      <c r="A114" s="114">
        <v>46126</v>
      </c>
      <c r="B114" s="114">
        <v>46266</v>
      </c>
      <c r="C114" s="117" t="s">
        <v>78</v>
      </c>
      <c r="D114" s="114" t="s">
        <v>84</v>
      </c>
      <c r="E114" s="117" t="s">
        <v>304</v>
      </c>
      <c r="F114" s="117" t="s">
        <v>270</v>
      </c>
      <c r="G114" s="117" t="s">
        <v>271</v>
      </c>
      <c r="H114" s="211">
        <v>3510</v>
      </c>
      <c r="I114" s="211">
        <v>6</v>
      </c>
      <c r="J114" s="115">
        <f t="shared" si="4"/>
        <v>585</v>
      </c>
      <c r="K114" s="115"/>
      <c r="L114" s="115"/>
      <c r="M114" s="115"/>
      <c r="N114" s="115"/>
      <c r="O114" s="115"/>
      <c r="P114" s="115"/>
      <c r="Q114" s="115"/>
      <c r="R114" s="115"/>
      <c r="S114" s="115"/>
      <c r="T114" s="115"/>
      <c r="U114" s="115"/>
      <c r="V114" s="115"/>
      <c r="W114" s="115"/>
      <c r="X114" s="115"/>
      <c r="Y114" s="115"/>
      <c r="Z114" s="115"/>
      <c r="AA114" s="115"/>
      <c r="AB114" s="115"/>
      <c r="AC114" s="115"/>
      <c r="AD114" s="115"/>
      <c r="AE114" s="115"/>
      <c r="AF114" s="115"/>
      <c r="AG114" s="115"/>
      <c r="AH114" s="115"/>
      <c r="AI114" s="115"/>
      <c r="AJ114" s="115"/>
      <c r="AK114" s="115"/>
      <c r="AL114" s="115"/>
      <c r="AM114" s="115"/>
      <c r="AN114" s="115"/>
      <c r="AO114" s="115"/>
      <c r="AP114" s="115"/>
      <c r="AQ114" s="115"/>
      <c r="AR114" s="115">
        <f>H114</f>
        <v>3510</v>
      </c>
      <c r="AS114" s="115"/>
      <c r="AT114" s="115"/>
      <c r="AU114" s="115"/>
      <c r="AV114" s="115"/>
      <c r="AW114" s="115"/>
      <c r="AX114" s="115"/>
      <c r="AY114" s="115"/>
      <c r="AZ114" s="115"/>
      <c r="BA114" s="115"/>
      <c r="BB114" s="115"/>
      <c r="BC114" s="115"/>
      <c r="BD114" s="115"/>
      <c r="BE114" s="115"/>
      <c r="BF114" s="115"/>
      <c r="BG114" s="115"/>
      <c r="BH114" s="115"/>
      <c r="BI114" s="115"/>
      <c r="BJ114" s="115"/>
      <c r="BK114" s="115"/>
      <c r="BL114" s="115"/>
      <c r="BM114" s="115"/>
      <c r="BN114" s="115"/>
      <c r="BO114" s="115"/>
      <c r="BP114" s="115"/>
      <c r="BQ114" s="115"/>
      <c r="BR114" s="115"/>
      <c r="BS114" s="115"/>
      <c r="BT114" s="115"/>
      <c r="BU114" s="115"/>
      <c r="BV114" s="388">
        <v>1.189</v>
      </c>
      <c r="BW114" s="492">
        <f t="shared" si="5"/>
        <v>4173.39</v>
      </c>
      <c r="BX114" s="492">
        <f t="shared" si="6"/>
        <v>32343.7725</v>
      </c>
      <c r="BY114" s="493"/>
      <c r="BZ114" s="115" t="s">
        <v>83</v>
      </c>
    </row>
    <row r="115" s="4" customFormat="1" ht="25" customHeight="1" spans="1:78">
      <c r="A115" s="114">
        <v>46126</v>
      </c>
      <c r="B115" s="114">
        <v>46266</v>
      </c>
      <c r="C115" s="117" t="s">
        <v>78</v>
      </c>
      <c r="D115" s="114" t="s">
        <v>79</v>
      </c>
      <c r="E115" s="117" t="s">
        <v>305</v>
      </c>
      <c r="F115" s="117" t="s">
        <v>44</v>
      </c>
      <c r="G115" s="117" t="s">
        <v>276</v>
      </c>
      <c r="H115" s="211">
        <v>7500</v>
      </c>
      <c r="I115" s="211">
        <v>6</v>
      </c>
      <c r="J115" s="115">
        <f t="shared" si="4"/>
        <v>1250</v>
      </c>
      <c r="K115" s="115"/>
      <c r="L115" s="115"/>
      <c r="M115" s="115"/>
      <c r="N115" s="115"/>
      <c r="O115" s="115"/>
      <c r="P115" s="115"/>
      <c r="Q115" s="115"/>
      <c r="R115" s="115"/>
      <c r="S115" s="115"/>
      <c r="T115" s="115"/>
      <c r="U115" s="115"/>
      <c r="V115" s="115"/>
      <c r="W115" s="115"/>
      <c r="X115" s="115"/>
      <c r="Y115" s="115"/>
      <c r="Z115" s="115"/>
      <c r="AA115" s="115"/>
      <c r="AB115" s="115"/>
      <c r="AC115" s="115"/>
      <c r="AD115" s="115"/>
      <c r="AE115" s="115"/>
      <c r="AF115" s="115"/>
      <c r="AG115" s="115"/>
      <c r="AH115" s="115"/>
      <c r="AI115" s="115"/>
      <c r="AJ115" s="115"/>
      <c r="AK115" s="115"/>
      <c r="AL115" s="115"/>
      <c r="AM115" s="115"/>
      <c r="AN115" s="115"/>
      <c r="AO115" s="115"/>
      <c r="AP115" s="115"/>
      <c r="AQ115" s="115"/>
      <c r="AR115" s="115"/>
      <c r="AS115" s="115">
        <f>H115</f>
        <v>7500</v>
      </c>
      <c r="AT115" s="115"/>
      <c r="AU115" s="115"/>
      <c r="AV115" s="115"/>
      <c r="AW115" s="115"/>
      <c r="AX115" s="115"/>
      <c r="AY115" s="115"/>
      <c r="AZ115" s="115"/>
      <c r="BA115" s="115"/>
      <c r="BB115" s="115"/>
      <c r="BC115" s="115"/>
      <c r="BD115" s="115"/>
      <c r="BE115" s="115"/>
      <c r="BF115" s="115"/>
      <c r="BG115" s="115"/>
      <c r="BH115" s="115"/>
      <c r="BI115" s="115"/>
      <c r="BJ115" s="115"/>
      <c r="BK115" s="115"/>
      <c r="BL115" s="115"/>
      <c r="BM115" s="115"/>
      <c r="BN115" s="115"/>
      <c r="BO115" s="115"/>
      <c r="BP115" s="115"/>
      <c r="BQ115" s="115"/>
      <c r="BR115" s="115"/>
      <c r="BS115" s="115"/>
      <c r="BT115" s="115"/>
      <c r="BU115" s="115"/>
      <c r="BV115" s="388">
        <v>1.462</v>
      </c>
      <c r="BW115" s="492">
        <f t="shared" si="5"/>
        <v>10965</v>
      </c>
      <c r="BX115" s="492">
        <f t="shared" si="6"/>
        <v>84978.75</v>
      </c>
      <c r="BY115" s="493"/>
      <c r="BZ115" s="115" t="s">
        <v>83</v>
      </c>
    </row>
    <row r="116" s="4" customFormat="1" ht="25" customHeight="1" spans="1:78">
      <c r="A116" s="114">
        <v>46126</v>
      </c>
      <c r="B116" s="114">
        <v>46266</v>
      </c>
      <c r="C116" s="117" t="s">
        <v>78</v>
      </c>
      <c r="D116" s="114" t="s">
        <v>84</v>
      </c>
      <c r="E116" s="117" t="s">
        <v>306</v>
      </c>
      <c r="F116" s="117" t="s">
        <v>44</v>
      </c>
      <c r="G116" s="117" t="s">
        <v>276</v>
      </c>
      <c r="H116" s="211">
        <v>750</v>
      </c>
      <c r="I116" s="211">
        <v>6</v>
      </c>
      <c r="J116" s="115">
        <f t="shared" si="4"/>
        <v>125</v>
      </c>
      <c r="K116" s="115"/>
      <c r="L116" s="115"/>
      <c r="M116" s="115"/>
      <c r="N116" s="115"/>
      <c r="O116" s="115"/>
      <c r="P116" s="115"/>
      <c r="Q116" s="115"/>
      <c r="R116" s="115"/>
      <c r="S116" s="115"/>
      <c r="T116" s="115"/>
      <c r="U116" s="115"/>
      <c r="V116" s="115"/>
      <c r="W116" s="115"/>
      <c r="X116" s="115"/>
      <c r="Y116" s="115"/>
      <c r="Z116" s="115"/>
      <c r="AA116" s="115"/>
      <c r="AB116" s="115"/>
      <c r="AC116" s="115"/>
      <c r="AD116" s="115"/>
      <c r="AE116" s="115"/>
      <c r="AF116" s="115"/>
      <c r="AG116" s="115"/>
      <c r="AH116" s="115"/>
      <c r="AI116" s="115"/>
      <c r="AJ116" s="115"/>
      <c r="AK116" s="115"/>
      <c r="AL116" s="115"/>
      <c r="AM116" s="115"/>
      <c r="AN116" s="115"/>
      <c r="AO116" s="115"/>
      <c r="AP116" s="115"/>
      <c r="AQ116" s="115"/>
      <c r="AR116" s="115"/>
      <c r="AS116" s="115">
        <f>H116</f>
        <v>750</v>
      </c>
      <c r="AT116" s="115"/>
      <c r="AU116" s="115"/>
      <c r="AV116" s="115"/>
      <c r="AW116" s="115"/>
      <c r="AX116" s="115"/>
      <c r="AY116" s="115"/>
      <c r="AZ116" s="115"/>
      <c r="BA116" s="115"/>
      <c r="BB116" s="115"/>
      <c r="BC116" s="115"/>
      <c r="BD116" s="115"/>
      <c r="BE116" s="115"/>
      <c r="BF116" s="115"/>
      <c r="BG116" s="115"/>
      <c r="BH116" s="115"/>
      <c r="BI116" s="115"/>
      <c r="BJ116" s="115"/>
      <c r="BK116" s="115"/>
      <c r="BL116" s="115"/>
      <c r="BM116" s="115"/>
      <c r="BN116" s="115"/>
      <c r="BO116" s="115"/>
      <c r="BP116" s="115"/>
      <c r="BQ116" s="115"/>
      <c r="BR116" s="115"/>
      <c r="BS116" s="115"/>
      <c r="BT116" s="115"/>
      <c r="BU116" s="115"/>
      <c r="BV116" s="388">
        <v>1.462</v>
      </c>
      <c r="BW116" s="492">
        <f t="shared" si="5"/>
        <v>1096.5</v>
      </c>
      <c r="BX116" s="492">
        <f t="shared" si="6"/>
        <v>8497.875</v>
      </c>
      <c r="BY116" s="493"/>
      <c r="BZ116" s="115" t="s">
        <v>83</v>
      </c>
    </row>
    <row r="117" s="4" customFormat="1" ht="25" customHeight="1" spans="1:78">
      <c r="A117" s="114">
        <v>46126</v>
      </c>
      <c r="B117" s="114">
        <v>46266</v>
      </c>
      <c r="C117" s="117" t="s">
        <v>78</v>
      </c>
      <c r="D117" s="114" t="s">
        <v>79</v>
      </c>
      <c r="E117" s="117" t="s">
        <v>307</v>
      </c>
      <c r="F117" s="117" t="s">
        <v>281</v>
      </c>
      <c r="G117" s="117" t="s">
        <v>282</v>
      </c>
      <c r="H117" s="211">
        <v>7500</v>
      </c>
      <c r="I117" s="211">
        <v>6</v>
      </c>
      <c r="J117" s="115">
        <f t="shared" si="4"/>
        <v>1250</v>
      </c>
      <c r="K117" s="115"/>
      <c r="L117" s="115"/>
      <c r="M117" s="115"/>
      <c r="N117" s="115"/>
      <c r="O117" s="115"/>
      <c r="P117" s="115"/>
      <c r="Q117" s="115"/>
      <c r="R117" s="115"/>
      <c r="S117" s="115"/>
      <c r="T117" s="115"/>
      <c r="U117" s="115"/>
      <c r="V117" s="115"/>
      <c r="W117" s="115"/>
      <c r="X117" s="115"/>
      <c r="Y117" s="115"/>
      <c r="Z117" s="115"/>
      <c r="AA117" s="115"/>
      <c r="AB117" s="115"/>
      <c r="AC117" s="115"/>
      <c r="AD117" s="115"/>
      <c r="AE117" s="115"/>
      <c r="AF117" s="115"/>
      <c r="AG117" s="115"/>
      <c r="AH117" s="115"/>
      <c r="AI117" s="115"/>
      <c r="AJ117" s="115"/>
      <c r="AK117" s="115"/>
      <c r="AL117" s="115"/>
      <c r="AM117" s="115"/>
      <c r="AN117" s="115"/>
      <c r="AO117" s="115"/>
      <c r="AP117" s="115"/>
      <c r="AQ117" s="115"/>
      <c r="AR117" s="115"/>
      <c r="AS117" s="115">
        <f>H117</f>
        <v>7500</v>
      </c>
      <c r="AT117" s="115"/>
      <c r="AU117" s="115"/>
      <c r="AV117" s="115"/>
      <c r="AW117" s="115"/>
      <c r="AX117" s="115"/>
      <c r="AY117" s="115"/>
      <c r="AZ117" s="115"/>
      <c r="BA117" s="115"/>
      <c r="BB117" s="115"/>
      <c r="BC117" s="115"/>
      <c r="BD117" s="115"/>
      <c r="BE117" s="115"/>
      <c r="BF117" s="115"/>
      <c r="BG117" s="115"/>
      <c r="BH117" s="115"/>
      <c r="BI117" s="115"/>
      <c r="BJ117" s="115"/>
      <c r="BK117" s="115"/>
      <c r="BL117" s="115"/>
      <c r="BM117" s="115"/>
      <c r="BN117" s="115"/>
      <c r="BO117" s="115"/>
      <c r="BP117" s="115"/>
      <c r="BQ117" s="115"/>
      <c r="BR117" s="115"/>
      <c r="BS117" s="115"/>
      <c r="BT117" s="115"/>
      <c r="BU117" s="115"/>
      <c r="BV117" s="388">
        <v>1.462</v>
      </c>
      <c r="BW117" s="492">
        <f t="shared" si="5"/>
        <v>10965</v>
      </c>
      <c r="BX117" s="492">
        <f t="shared" si="6"/>
        <v>84978.75</v>
      </c>
      <c r="BY117" s="493"/>
      <c r="BZ117" s="115" t="s">
        <v>83</v>
      </c>
    </row>
    <row r="118" s="4" customFormat="1" ht="25" customHeight="1" spans="1:78">
      <c r="A118" s="114">
        <v>46126</v>
      </c>
      <c r="B118" s="114">
        <v>46266</v>
      </c>
      <c r="C118" s="117" t="s">
        <v>78</v>
      </c>
      <c r="D118" s="114" t="s">
        <v>84</v>
      </c>
      <c r="E118" s="117" t="s">
        <v>308</v>
      </c>
      <c r="F118" s="117" t="s">
        <v>281</v>
      </c>
      <c r="G118" s="117" t="s">
        <v>282</v>
      </c>
      <c r="H118" s="211">
        <v>750</v>
      </c>
      <c r="I118" s="211">
        <v>6</v>
      </c>
      <c r="J118" s="115">
        <f t="shared" si="4"/>
        <v>125</v>
      </c>
      <c r="K118" s="115"/>
      <c r="L118" s="115"/>
      <c r="M118" s="115"/>
      <c r="N118" s="115"/>
      <c r="O118" s="115"/>
      <c r="P118" s="115"/>
      <c r="Q118" s="115"/>
      <c r="R118" s="115"/>
      <c r="S118" s="115"/>
      <c r="T118" s="115"/>
      <c r="U118" s="115"/>
      <c r="V118" s="115"/>
      <c r="W118" s="115"/>
      <c r="X118" s="115"/>
      <c r="Y118" s="115"/>
      <c r="Z118" s="115"/>
      <c r="AA118" s="115"/>
      <c r="AB118" s="115"/>
      <c r="AC118" s="115"/>
      <c r="AD118" s="115"/>
      <c r="AE118" s="115"/>
      <c r="AF118" s="115"/>
      <c r="AG118" s="115"/>
      <c r="AH118" s="115"/>
      <c r="AI118" s="115"/>
      <c r="AJ118" s="115"/>
      <c r="AK118" s="115"/>
      <c r="AL118" s="115"/>
      <c r="AM118" s="115"/>
      <c r="AN118" s="115"/>
      <c r="AO118" s="115"/>
      <c r="AP118" s="115"/>
      <c r="AQ118" s="115"/>
      <c r="AR118" s="115"/>
      <c r="AS118" s="115">
        <f>H118</f>
        <v>750</v>
      </c>
      <c r="AT118" s="115"/>
      <c r="AU118" s="115"/>
      <c r="AV118" s="115"/>
      <c r="AW118" s="115"/>
      <c r="AX118" s="115"/>
      <c r="AY118" s="115"/>
      <c r="AZ118" s="115"/>
      <c r="BA118" s="115"/>
      <c r="BB118" s="115"/>
      <c r="BC118" s="115"/>
      <c r="BD118" s="115"/>
      <c r="BE118" s="115"/>
      <c r="BF118" s="115"/>
      <c r="BG118" s="115"/>
      <c r="BH118" s="115"/>
      <c r="BI118" s="115"/>
      <c r="BJ118" s="115"/>
      <c r="BK118" s="115"/>
      <c r="BL118" s="115"/>
      <c r="BM118" s="115"/>
      <c r="BN118" s="115"/>
      <c r="BO118" s="115"/>
      <c r="BP118" s="115"/>
      <c r="BQ118" s="115"/>
      <c r="BR118" s="115"/>
      <c r="BS118" s="115"/>
      <c r="BT118" s="115"/>
      <c r="BU118" s="115"/>
      <c r="BV118" s="388">
        <v>1.462</v>
      </c>
      <c r="BW118" s="492">
        <f t="shared" si="5"/>
        <v>1096.5</v>
      </c>
      <c r="BX118" s="492">
        <f t="shared" si="6"/>
        <v>8497.875</v>
      </c>
      <c r="BY118" s="493"/>
      <c r="BZ118" s="115" t="s">
        <v>83</v>
      </c>
    </row>
    <row r="119" s="4" customFormat="1" ht="25" customHeight="1" spans="1:78">
      <c r="A119" s="114">
        <v>46126</v>
      </c>
      <c r="B119" s="114">
        <v>46266</v>
      </c>
      <c r="C119" s="117" t="s">
        <v>78</v>
      </c>
      <c r="D119" s="114" t="s">
        <v>79</v>
      </c>
      <c r="E119" s="117" t="s">
        <v>309</v>
      </c>
      <c r="F119" s="117" t="s">
        <v>45</v>
      </c>
      <c r="G119" s="117" t="s">
        <v>287</v>
      </c>
      <c r="H119" s="211">
        <v>11100</v>
      </c>
      <c r="I119" s="211">
        <v>6</v>
      </c>
      <c r="J119" s="115">
        <f t="shared" si="4"/>
        <v>1850</v>
      </c>
      <c r="K119" s="115"/>
      <c r="L119" s="115"/>
      <c r="M119" s="115"/>
      <c r="N119" s="115"/>
      <c r="O119" s="115"/>
      <c r="P119" s="115"/>
      <c r="Q119" s="115"/>
      <c r="R119" s="115"/>
      <c r="S119" s="115"/>
      <c r="T119" s="115"/>
      <c r="U119" s="115"/>
      <c r="V119" s="115"/>
      <c r="W119" s="115"/>
      <c r="X119" s="115"/>
      <c r="Y119" s="115"/>
      <c r="Z119" s="115"/>
      <c r="AA119" s="115"/>
      <c r="AB119" s="115"/>
      <c r="AC119" s="115"/>
      <c r="AD119" s="115"/>
      <c r="AE119" s="115"/>
      <c r="AF119" s="115"/>
      <c r="AG119" s="115"/>
      <c r="AH119" s="115"/>
      <c r="AI119" s="115"/>
      <c r="AJ119" s="115"/>
      <c r="AK119" s="115"/>
      <c r="AL119" s="115"/>
      <c r="AM119" s="115"/>
      <c r="AN119" s="115"/>
      <c r="AO119" s="115"/>
      <c r="AP119" s="115"/>
      <c r="AQ119" s="115"/>
      <c r="AR119" s="115"/>
      <c r="AS119" s="115"/>
      <c r="AT119" s="115">
        <f>H119</f>
        <v>11100</v>
      </c>
      <c r="AU119" s="115"/>
      <c r="AV119" s="115"/>
      <c r="AW119" s="115"/>
      <c r="AX119" s="115"/>
      <c r="AY119" s="115"/>
      <c r="AZ119" s="115"/>
      <c r="BA119" s="115"/>
      <c r="BB119" s="115"/>
      <c r="BC119" s="115"/>
      <c r="BD119" s="115"/>
      <c r="BE119" s="115"/>
      <c r="BF119" s="115"/>
      <c r="BG119" s="115"/>
      <c r="BH119" s="115"/>
      <c r="BI119" s="115"/>
      <c r="BJ119" s="115"/>
      <c r="BK119" s="115"/>
      <c r="BL119" s="115"/>
      <c r="BM119" s="115"/>
      <c r="BN119" s="115"/>
      <c r="BO119" s="115"/>
      <c r="BP119" s="115"/>
      <c r="BQ119" s="115"/>
      <c r="BR119" s="115"/>
      <c r="BS119" s="115"/>
      <c r="BT119" s="115"/>
      <c r="BU119" s="115"/>
      <c r="BV119" s="388">
        <v>1.452</v>
      </c>
      <c r="BW119" s="492">
        <f t="shared" si="5"/>
        <v>16117.2</v>
      </c>
      <c r="BX119" s="492">
        <f t="shared" si="6"/>
        <v>124908.3</v>
      </c>
      <c r="BY119" s="493"/>
      <c r="BZ119" s="115" t="s">
        <v>83</v>
      </c>
    </row>
    <row r="120" s="4" customFormat="1" ht="25" customHeight="1" spans="1:78">
      <c r="A120" s="114">
        <v>46126</v>
      </c>
      <c r="B120" s="114">
        <v>46266</v>
      </c>
      <c r="C120" s="117" t="s">
        <v>78</v>
      </c>
      <c r="D120" s="114" t="s">
        <v>84</v>
      </c>
      <c r="E120" s="117" t="s">
        <v>310</v>
      </c>
      <c r="F120" s="117" t="s">
        <v>45</v>
      </c>
      <c r="G120" s="117" t="s">
        <v>287</v>
      </c>
      <c r="H120" s="211">
        <v>1110</v>
      </c>
      <c r="I120" s="211">
        <v>6</v>
      </c>
      <c r="J120" s="115">
        <f t="shared" si="4"/>
        <v>185</v>
      </c>
      <c r="K120" s="115"/>
      <c r="L120" s="115"/>
      <c r="M120" s="115"/>
      <c r="N120" s="115"/>
      <c r="O120" s="115"/>
      <c r="P120" s="115"/>
      <c r="Q120" s="115"/>
      <c r="R120" s="115"/>
      <c r="S120" s="115"/>
      <c r="T120" s="115"/>
      <c r="U120" s="115"/>
      <c r="V120" s="115"/>
      <c r="W120" s="115"/>
      <c r="X120" s="115"/>
      <c r="Y120" s="115"/>
      <c r="Z120" s="115"/>
      <c r="AA120" s="115"/>
      <c r="AB120" s="115"/>
      <c r="AC120" s="115"/>
      <c r="AD120" s="115"/>
      <c r="AE120" s="115"/>
      <c r="AF120" s="115"/>
      <c r="AG120" s="115"/>
      <c r="AH120" s="115"/>
      <c r="AI120" s="115"/>
      <c r="AJ120" s="115"/>
      <c r="AK120" s="115"/>
      <c r="AL120" s="115"/>
      <c r="AM120" s="115"/>
      <c r="AN120" s="115"/>
      <c r="AO120" s="115"/>
      <c r="AP120" s="115"/>
      <c r="AQ120" s="115"/>
      <c r="AR120" s="115"/>
      <c r="AS120" s="115"/>
      <c r="AT120" s="115">
        <f>H120</f>
        <v>1110</v>
      </c>
      <c r="AU120" s="115"/>
      <c r="AV120" s="115"/>
      <c r="AW120" s="115"/>
      <c r="AX120" s="115"/>
      <c r="AY120" s="115"/>
      <c r="AZ120" s="115"/>
      <c r="BA120" s="115"/>
      <c r="BB120" s="115"/>
      <c r="BC120" s="115"/>
      <c r="BD120" s="115"/>
      <c r="BE120" s="115"/>
      <c r="BF120" s="115"/>
      <c r="BG120" s="115"/>
      <c r="BH120" s="115"/>
      <c r="BI120" s="115"/>
      <c r="BJ120" s="115"/>
      <c r="BK120" s="115"/>
      <c r="BL120" s="115"/>
      <c r="BM120" s="115"/>
      <c r="BN120" s="115"/>
      <c r="BO120" s="115"/>
      <c r="BP120" s="115"/>
      <c r="BQ120" s="115"/>
      <c r="BR120" s="115"/>
      <c r="BS120" s="115"/>
      <c r="BT120" s="115"/>
      <c r="BU120" s="115"/>
      <c r="BV120" s="388">
        <v>1.452</v>
      </c>
      <c r="BW120" s="492">
        <f t="shared" si="5"/>
        <v>1611.72</v>
      </c>
      <c r="BX120" s="492">
        <f t="shared" si="6"/>
        <v>12490.83</v>
      </c>
      <c r="BY120" s="493"/>
      <c r="BZ120" s="115" t="s">
        <v>83</v>
      </c>
    </row>
    <row r="121" s="4" customFormat="1" ht="25" customHeight="1" spans="1:78">
      <c r="A121" s="114">
        <v>46126</v>
      </c>
      <c r="B121" s="114">
        <v>46273</v>
      </c>
      <c r="C121" s="117" t="s">
        <v>291</v>
      </c>
      <c r="D121" s="114" t="s">
        <v>79</v>
      </c>
      <c r="E121" s="117" t="s">
        <v>311</v>
      </c>
      <c r="F121" s="117" t="s">
        <v>270</v>
      </c>
      <c r="G121" s="117" t="s">
        <v>271</v>
      </c>
      <c r="H121" s="211">
        <v>3900</v>
      </c>
      <c r="I121" s="211">
        <v>6</v>
      </c>
      <c r="J121" s="115">
        <f t="shared" si="4"/>
        <v>650</v>
      </c>
      <c r="K121" s="115"/>
      <c r="L121" s="115"/>
      <c r="M121" s="115"/>
      <c r="N121" s="115"/>
      <c r="O121" s="115"/>
      <c r="P121" s="115"/>
      <c r="Q121" s="115"/>
      <c r="R121" s="115"/>
      <c r="S121" s="115"/>
      <c r="T121" s="115"/>
      <c r="U121" s="115"/>
      <c r="V121" s="115"/>
      <c r="W121" s="115"/>
      <c r="X121" s="115"/>
      <c r="Y121" s="115"/>
      <c r="Z121" s="115"/>
      <c r="AA121" s="115"/>
      <c r="AB121" s="115"/>
      <c r="AC121" s="115"/>
      <c r="AD121" s="115"/>
      <c r="AE121" s="115"/>
      <c r="AF121" s="115"/>
      <c r="AG121" s="115"/>
      <c r="AH121" s="115"/>
      <c r="AI121" s="115"/>
      <c r="AJ121" s="115"/>
      <c r="AK121" s="115"/>
      <c r="AL121" s="115"/>
      <c r="AM121" s="115"/>
      <c r="AN121" s="115"/>
      <c r="AO121" s="115"/>
      <c r="AP121" s="115"/>
      <c r="AQ121" s="115"/>
      <c r="AR121" s="115">
        <f>H121</f>
        <v>3900</v>
      </c>
      <c r="AS121" s="115"/>
      <c r="AT121" s="115"/>
      <c r="AU121" s="115"/>
      <c r="AV121" s="115"/>
      <c r="AW121" s="115"/>
      <c r="AX121" s="115"/>
      <c r="AY121" s="115"/>
      <c r="AZ121" s="115"/>
      <c r="BA121" s="115"/>
      <c r="BB121" s="115"/>
      <c r="BC121" s="115"/>
      <c r="BD121" s="115"/>
      <c r="BE121" s="115"/>
      <c r="BF121" s="115"/>
      <c r="BG121" s="115"/>
      <c r="BH121" s="115"/>
      <c r="BI121" s="115"/>
      <c r="BJ121" s="115"/>
      <c r="BK121" s="115"/>
      <c r="BL121" s="115"/>
      <c r="BM121" s="115"/>
      <c r="BN121" s="115"/>
      <c r="BO121" s="115"/>
      <c r="BP121" s="115"/>
      <c r="BQ121" s="115"/>
      <c r="BR121" s="115"/>
      <c r="BS121" s="115"/>
      <c r="BT121" s="115"/>
      <c r="BU121" s="115"/>
      <c r="BV121" s="388">
        <v>1.189</v>
      </c>
      <c r="BW121" s="492">
        <f t="shared" si="5"/>
        <v>4637.1</v>
      </c>
      <c r="BX121" s="492">
        <f t="shared" si="6"/>
        <v>35937.525</v>
      </c>
      <c r="BY121" s="493"/>
      <c r="BZ121" s="115" t="s">
        <v>83</v>
      </c>
    </row>
    <row r="122" s="4" customFormat="1" ht="25" customHeight="1" spans="1:78">
      <c r="A122" s="114">
        <v>46126</v>
      </c>
      <c r="B122" s="114">
        <v>46293</v>
      </c>
      <c r="C122" s="117" t="s">
        <v>78</v>
      </c>
      <c r="D122" s="114" t="s">
        <v>79</v>
      </c>
      <c r="E122" s="117" t="s">
        <v>312</v>
      </c>
      <c r="F122" s="117" t="s">
        <v>270</v>
      </c>
      <c r="G122" s="117" t="s">
        <v>271</v>
      </c>
      <c r="H122" s="211">
        <v>11700</v>
      </c>
      <c r="I122" s="211">
        <v>6</v>
      </c>
      <c r="J122" s="115">
        <f t="shared" si="4"/>
        <v>1950</v>
      </c>
      <c r="K122" s="115"/>
      <c r="L122" s="115"/>
      <c r="M122" s="115"/>
      <c r="N122" s="115"/>
      <c r="O122" s="115"/>
      <c r="P122" s="115"/>
      <c r="Q122" s="115"/>
      <c r="R122" s="115"/>
      <c r="S122" s="115"/>
      <c r="T122" s="115"/>
      <c r="U122" s="115"/>
      <c r="V122" s="115"/>
      <c r="W122" s="115"/>
      <c r="X122" s="115"/>
      <c r="Y122" s="115"/>
      <c r="Z122" s="115"/>
      <c r="AA122" s="115"/>
      <c r="AB122" s="115"/>
      <c r="AC122" s="115"/>
      <c r="AD122" s="115"/>
      <c r="AE122" s="115"/>
      <c r="AF122" s="115"/>
      <c r="AG122" s="115"/>
      <c r="AH122" s="115"/>
      <c r="AI122" s="115"/>
      <c r="AJ122" s="115"/>
      <c r="AK122" s="115"/>
      <c r="AL122" s="115"/>
      <c r="AM122" s="115"/>
      <c r="AN122" s="115"/>
      <c r="AO122" s="115"/>
      <c r="AP122" s="115"/>
      <c r="AQ122" s="115"/>
      <c r="AR122" s="115">
        <f>H122</f>
        <v>11700</v>
      </c>
      <c r="AS122" s="115"/>
      <c r="AT122" s="115"/>
      <c r="AU122" s="115"/>
      <c r="AV122" s="115"/>
      <c r="AW122" s="115"/>
      <c r="AX122" s="115"/>
      <c r="AY122" s="115"/>
      <c r="AZ122" s="115"/>
      <c r="BA122" s="115"/>
      <c r="BB122" s="115"/>
      <c r="BC122" s="115"/>
      <c r="BD122" s="115"/>
      <c r="BE122" s="115"/>
      <c r="BF122" s="115"/>
      <c r="BG122" s="115"/>
      <c r="BH122" s="115"/>
      <c r="BI122" s="115"/>
      <c r="BJ122" s="115"/>
      <c r="BK122" s="115"/>
      <c r="BL122" s="115"/>
      <c r="BM122" s="115"/>
      <c r="BN122" s="115"/>
      <c r="BO122" s="115"/>
      <c r="BP122" s="115"/>
      <c r="BQ122" s="115"/>
      <c r="BR122" s="115"/>
      <c r="BS122" s="115"/>
      <c r="BT122" s="115"/>
      <c r="BU122" s="115"/>
      <c r="BV122" s="388">
        <v>1.189</v>
      </c>
      <c r="BW122" s="492">
        <f t="shared" si="5"/>
        <v>13911.3</v>
      </c>
      <c r="BX122" s="492">
        <f t="shared" si="6"/>
        <v>107812.575</v>
      </c>
      <c r="BY122" s="493"/>
      <c r="BZ122" s="115" t="s">
        <v>83</v>
      </c>
    </row>
    <row r="123" s="4" customFormat="1" ht="25" customHeight="1" spans="1:78">
      <c r="A123" s="114">
        <v>46126</v>
      </c>
      <c r="B123" s="114">
        <v>46293</v>
      </c>
      <c r="C123" s="117" t="s">
        <v>78</v>
      </c>
      <c r="D123" s="114" t="s">
        <v>84</v>
      </c>
      <c r="E123" s="117" t="s">
        <v>313</v>
      </c>
      <c r="F123" s="117" t="s">
        <v>270</v>
      </c>
      <c r="G123" s="117" t="s">
        <v>271</v>
      </c>
      <c r="H123" s="211">
        <v>1170</v>
      </c>
      <c r="I123" s="211">
        <v>6</v>
      </c>
      <c r="J123" s="115">
        <f t="shared" si="4"/>
        <v>195</v>
      </c>
      <c r="K123" s="115"/>
      <c r="L123" s="115"/>
      <c r="M123" s="115"/>
      <c r="N123" s="115"/>
      <c r="O123" s="115"/>
      <c r="P123" s="115"/>
      <c r="Q123" s="115"/>
      <c r="R123" s="115"/>
      <c r="S123" s="115"/>
      <c r="T123" s="115"/>
      <c r="U123" s="115"/>
      <c r="V123" s="115"/>
      <c r="W123" s="115"/>
      <c r="X123" s="115"/>
      <c r="Y123" s="115"/>
      <c r="Z123" s="115"/>
      <c r="AA123" s="115"/>
      <c r="AB123" s="115"/>
      <c r="AC123" s="115"/>
      <c r="AD123" s="115"/>
      <c r="AE123" s="115"/>
      <c r="AF123" s="115"/>
      <c r="AG123" s="115"/>
      <c r="AH123" s="115"/>
      <c r="AI123" s="115"/>
      <c r="AJ123" s="115"/>
      <c r="AK123" s="115"/>
      <c r="AL123" s="115"/>
      <c r="AM123" s="115"/>
      <c r="AN123" s="115"/>
      <c r="AO123" s="115"/>
      <c r="AP123" s="115"/>
      <c r="AQ123" s="115"/>
      <c r="AR123" s="115">
        <f>H123</f>
        <v>1170</v>
      </c>
      <c r="AS123" s="115"/>
      <c r="AT123" s="115"/>
      <c r="AU123" s="115"/>
      <c r="AV123" s="115"/>
      <c r="AW123" s="115"/>
      <c r="AX123" s="115"/>
      <c r="AY123" s="115"/>
      <c r="AZ123" s="115"/>
      <c r="BA123" s="115"/>
      <c r="BB123" s="115"/>
      <c r="BC123" s="115"/>
      <c r="BD123" s="115"/>
      <c r="BE123" s="115"/>
      <c r="BF123" s="115"/>
      <c r="BG123" s="115"/>
      <c r="BH123" s="115"/>
      <c r="BI123" s="115"/>
      <c r="BJ123" s="115"/>
      <c r="BK123" s="115"/>
      <c r="BL123" s="115"/>
      <c r="BM123" s="115"/>
      <c r="BN123" s="115"/>
      <c r="BO123" s="115"/>
      <c r="BP123" s="115"/>
      <c r="BQ123" s="115"/>
      <c r="BR123" s="115"/>
      <c r="BS123" s="115"/>
      <c r="BT123" s="115"/>
      <c r="BU123" s="115"/>
      <c r="BV123" s="388">
        <v>1.189</v>
      </c>
      <c r="BW123" s="492">
        <f t="shared" si="5"/>
        <v>1391.13</v>
      </c>
      <c r="BX123" s="492">
        <f t="shared" si="6"/>
        <v>10781.2575</v>
      </c>
      <c r="BY123" s="493"/>
      <c r="BZ123" s="115" t="s">
        <v>83</v>
      </c>
    </row>
    <row r="124" s="4" customFormat="1" ht="25" customHeight="1" spans="1:78">
      <c r="A124" s="114">
        <v>46126</v>
      </c>
      <c r="B124" s="114">
        <v>46293</v>
      </c>
      <c r="C124" s="117" t="s">
        <v>291</v>
      </c>
      <c r="D124" s="114" t="s">
        <v>79</v>
      </c>
      <c r="E124" s="117" t="s">
        <v>314</v>
      </c>
      <c r="F124" s="117" t="s">
        <v>270</v>
      </c>
      <c r="G124" s="117" t="s">
        <v>271</v>
      </c>
      <c r="H124" s="211">
        <v>1302</v>
      </c>
      <c r="I124" s="211">
        <v>6</v>
      </c>
      <c r="J124" s="115">
        <f t="shared" si="4"/>
        <v>217</v>
      </c>
      <c r="K124" s="115"/>
      <c r="L124" s="115"/>
      <c r="M124" s="115"/>
      <c r="N124" s="115"/>
      <c r="O124" s="115"/>
      <c r="P124" s="115"/>
      <c r="Q124" s="115"/>
      <c r="R124" s="115"/>
      <c r="S124" s="115"/>
      <c r="T124" s="115"/>
      <c r="U124" s="115"/>
      <c r="V124" s="115"/>
      <c r="W124" s="115"/>
      <c r="X124" s="115"/>
      <c r="Y124" s="115"/>
      <c r="Z124" s="115"/>
      <c r="AA124" s="115"/>
      <c r="AB124" s="115"/>
      <c r="AC124" s="115"/>
      <c r="AD124" s="115"/>
      <c r="AE124" s="115"/>
      <c r="AF124" s="115"/>
      <c r="AG124" s="115"/>
      <c r="AH124" s="115"/>
      <c r="AI124" s="115"/>
      <c r="AJ124" s="115"/>
      <c r="AK124" s="115"/>
      <c r="AL124" s="115"/>
      <c r="AM124" s="115"/>
      <c r="AN124" s="115"/>
      <c r="AO124" s="115"/>
      <c r="AP124" s="115"/>
      <c r="AQ124" s="115"/>
      <c r="AR124" s="115">
        <f>H124</f>
        <v>1302</v>
      </c>
      <c r="AS124" s="115"/>
      <c r="AT124" s="115"/>
      <c r="AU124" s="115"/>
      <c r="AV124" s="115"/>
      <c r="AW124" s="115"/>
      <c r="AX124" s="115"/>
      <c r="AY124" s="115"/>
      <c r="AZ124" s="115"/>
      <c r="BA124" s="115"/>
      <c r="BB124" s="115"/>
      <c r="BC124" s="115"/>
      <c r="BD124" s="115"/>
      <c r="BE124" s="115"/>
      <c r="BF124" s="115"/>
      <c r="BG124" s="115"/>
      <c r="BH124" s="115"/>
      <c r="BI124" s="115"/>
      <c r="BJ124" s="115"/>
      <c r="BK124" s="115"/>
      <c r="BL124" s="115"/>
      <c r="BM124" s="115"/>
      <c r="BN124" s="115"/>
      <c r="BO124" s="115"/>
      <c r="BP124" s="115"/>
      <c r="BQ124" s="115"/>
      <c r="BR124" s="115"/>
      <c r="BS124" s="115"/>
      <c r="BT124" s="115"/>
      <c r="BU124" s="115"/>
      <c r="BV124" s="388">
        <v>1.189</v>
      </c>
      <c r="BW124" s="492">
        <f t="shared" si="5"/>
        <v>1548.078</v>
      </c>
      <c r="BX124" s="492">
        <f t="shared" si="6"/>
        <v>11997.6045</v>
      </c>
      <c r="BY124" s="493"/>
      <c r="BZ124" s="115" t="s">
        <v>83</v>
      </c>
    </row>
    <row r="125" s="473" customFormat="1" ht="25" customHeight="1" spans="1:78">
      <c r="A125" s="272">
        <v>46129</v>
      </c>
      <c r="B125" s="272">
        <v>46196</v>
      </c>
      <c r="C125" s="273" t="s">
        <v>315</v>
      </c>
      <c r="D125" s="272" t="s">
        <v>79</v>
      </c>
      <c r="E125" s="273" t="s">
        <v>316</v>
      </c>
      <c r="F125" s="273" t="s">
        <v>49</v>
      </c>
      <c r="G125" s="273" t="s">
        <v>144</v>
      </c>
      <c r="H125" s="275">
        <v>1712</v>
      </c>
      <c r="I125" s="287">
        <v>4</v>
      </c>
      <c r="J125" s="287">
        <f t="shared" si="4"/>
        <v>428</v>
      </c>
      <c r="K125" s="287"/>
      <c r="L125" s="287"/>
      <c r="M125" s="287"/>
      <c r="N125" s="287"/>
      <c r="O125" s="287"/>
      <c r="P125" s="287"/>
      <c r="Q125" s="287"/>
      <c r="R125" s="287"/>
      <c r="S125" s="287"/>
      <c r="T125" s="287"/>
      <c r="U125" s="287"/>
      <c r="V125" s="287"/>
      <c r="W125" s="287"/>
      <c r="X125" s="287"/>
      <c r="Y125" s="287"/>
      <c r="Z125" s="287"/>
      <c r="AA125" s="287"/>
      <c r="AB125" s="287"/>
      <c r="AC125" s="287"/>
      <c r="AD125" s="115"/>
      <c r="AE125" s="115"/>
      <c r="AF125" s="115"/>
      <c r="AG125" s="115"/>
      <c r="AH125" s="115"/>
      <c r="AI125" s="115"/>
      <c r="AJ125" s="115"/>
      <c r="AK125" s="115"/>
      <c r="AL125" s="115"/>
      <c r="AM125" s="115"/>
      <c r="AN125" s="115"/>
      <c r="AO125" s="115"/>
      <c r="AP125" s="115"/>
      <c r="AQ125" s="287"/>
      <c r="AR125" s="287"/>
      <c r="AS125" s="287"/>
      <c r="AT125" s="287"/>
      <c r="AU125" s="287"/>
      <c r="AV125" s="287"/>
      <c r="AW125" s="287"/>
      <c r="AX125" s="287">
        <f>H125</f>
        <v>1712</v>
      </c>
      <c r="AY125" s="115"/>
      <c r="AZ125" s="115"/>
      <c r="BA125" s="115"/>
      <c r="BB125" s="115"/>
      <c r="BC125" s="115"/>
      <c r="BD125" s="115"/>
      <c r="BE125" s="115"/>
      <c r="BF125" s="115"/>
      <c r="BG125" s="115"/>
      <c r="BH125" s="115"/>
      <c r="BI125" s="287"/>
      <c r="BJ125" s="287"/>
      <c r="BK125" s="287"/>
      <c r="BL125" s="287"/>
      <c r="BM125" s="287"/>
      <c r="BN125" s="287"/>
      <c r="BO125" s="287"/>
      <c r="BP125" s="287"/>
      <c r="BQ125" s="287"/>
      <c r="BR125" s="287"/>
      <c r="BS125" s="287"/>
      <c r="BT125" s="287"/>
      <c r="BU125" s="287"/>
      <c r="BV125" s="283">
        <v>10.262</v>
      </c>
      <c r="BW125" s="490">
        <f t="shared" si="5"/>
        <v>17568.544</v>
      </c>
      <c r="BX125" s="490">
        <f t="shared" si="6"/>
        <v>136156.216</v>
      </c>
      <c r="BY125" s="270" t="s">
        <v>317</v>
      </c>
      <c r="BZ125" s="287" t="s">
        <v>146</v>
      </c>
    </row>
    <row r="126" s="473" customFormat="1" ht="25" customHeight="1" spans="1:78">
      <c r="A126" s="272">
        <v>46129</v>
      </c>
      <c r="B126" s="272">
        <v>46196</v>
      </c>
      <c r="C126" s="273" t="s">
        <v>315</v>
      </c>
      <c r="D126" s="272" t="s">
        <v>84</v>
      </c>
      <c r="E126" s="273" t="s">
        <v>318</v>
      </c>
      <c r="F126" s="273" t="s">
        <v>49</v>
      </c>
      <c r="G126" s="273" t="s">
        <v>144</v>
      </c>
      <c r="H126" s="275">
        <v>24</v>
      </c>
      <c r="I126" s="287">
        <v>4</v>
      </c>
      <c r="J126" s="287">
        <f t="shared" si="4"/>
        <v>6</v>
      </c>
      <c r="K126" s="287"/>
      <c r="L126" s="287"/>
      <c r="M126" s="287"/>
      <c r="N126" s="287"/>
      <c r="O126" s="287"/>
      <c r="P126" s="287"/>
      <c r="Q126" s="287"/>
      <c r="R126" s="287"/>
      <c r="S126" s="287"/>
      <c r="T126" s="287"/>
      <c r="U126" s="287"/>
      <c r="V126" s="287"/>
      <c r="W126" s="287"/>
      <c r="X126" s="287"/>
      <c r="Y126" s="287"/>
      <c r="Z126" s="287"/>
      <c r="AA126" s="287"/>
      <c r="AB126" s="287"/>
      <c r="AC126" s="287"/>
      <c r="AD126" s="115"/>
      <c r="AE126" s="115"/>
      <c r="AF126" s="115"/>
      <c r="AG126" s="115"/>
      <c r="AH126" s="115"/>
      <c r="AI126" s="115"/>
      <c r="AJ126" s="115"/>
      <c r="AK126" s="115"/>
      <c r="AL126" s="115"/>
      <c r="AM126" s="115"/>
      <c r="AN126" s="115"/>
      <c r="AO126" s="115"/>
      <c r="AP126" s="115"/>
      <c r="AQ126" s="287"/>
      <c r="AR126" s="287"/>
      <c r="AS126" s="287"/>
      <c r="AT126" s="287"/>
      <c r="AU126" s="287"/>
      <c r="AV126" s="287"/>
      <c r="AW126" s="287"/>
      <c r="AX126" s="287">
        <f>H126</f>
        <v>24</v>
      </c>
      <c r="AY126" s="115"/>
      <c r="AZ126" s="115"/>
      <c r="BA126" s="115"/>
      <c r="BB126" s="115"/>
      <c r="BC126" s="115"/>
      <c r="BD126" s="115"/>
      <c r="BE126" s="115"/>
      <c r="BF126" s="115"/>
      <c r="BG126" s="115"/>
      <c r="BH126" s="115"/>
      <c r="BI126" s="287"/>
      <c r="BJ126" s="287"/>
      <c r="BK126" s="287"/>
      <c r="BL126" s="287"/>
      <c r="BM126" s="287"/>
      <c r="BN126" s="287"/>
      <c r="BO126" s="287"/>
      <c r="BP126" s="287"/>
      <c r="BQ126" s="287"/>
      <c r="BR126" s="287"/>
      <c r="BS126" s="287"/>
      <c r="BT126" s="287"/>
      <c r="BU126" s="287"/>
      <c r="BV126" s="283">
        <v>10.262</v>
      </c>
      <c r="BW126" s="490">
        <f t="shared" si="5"/>
        <v>246.288</v>
      </c>
      <c r="BX126" s="490">
        <f t="shared" si="6"/>
        <v>1908.732</v>
      </c>
      <c r="BY126" s="270" t="s">
        <v>319</v>
      </c>
      <c r="BZ126" s="287" t="s">
        <v>146</v>
      </c>
    </row>
    <row r="127" s="473" customFormat="1" ht="25" customHeight="1" spans="1:78">
      <c r="A127" s="272">
        <v>46133</v>
      </c>
      <c r="B127" s="272">
        <v>46188</v>
      </c>
      <c r="C127" s="273" t="s">
        <v>320</v>
      </c>
      <c r="D127" s="272" t="s">
        <v>321</v>
      </c>
      <c r="E127" s="273" t="s">
        <v>322</v>
      </c>
      <c r="F127" s="273" t="s">
        <v>118</v>
      </c>
      <c r="G127" s="273" t="s">
        <v>119</v>
      </c>
      <c r="H127" s="275">
        <v>1254</v>
      </c>
      <c r="I127" s="287">
        <v>6</v>
      </c>
      <c r="J127" s="287">
        <f t="shared" si="4"/>
        <v>209</v>
      </c>
      <c r="K127" s="287"/>
      <c r="L127" s="287"/>
      <c r="M127" s="287"/>
      <c r="N127" s="287"/>
      <c r="O127" s="287"/>
      <c r="P127" s="287"/>
      <c r="Q127" s="287"/>
      <c r="R127" s="287"/>
      <c r="S127" s="287"/>
      <c r="T127" s="287"/>
      <c r="U127" s="287"/>
      <c r="V127" s="287"/>
      <c r="W127" s="287"/>
      <c r="X127" s="287"/>
      <c r="Y127" s="287"/>
      <c r="Z127" s="287"/>
      <c r="AA127" s="287"/>
      <c r="AB127" s="287"/>
      <c r="AC127" s="287"/>
      <c r="AD127" s="115"/>
      <c r="AE127" s="115"/>
      <c r="AF127" s="115"/>
      <c r="AG127" s="115"/>
      <c r="AH127" s="115"/>
      <c r="AI127" s="115"/>
      <c r="AJ127" s="115"/>
      <c r="AK127" s="115"/>
      <c r="AL127" s="115"/>
      <c r="AM127" s="115"/>
      <c r="AN127" s="115"/>
      <c r="AO127" s="115"/>
      <c r="AP127" s="115"/>
      <c r="AQ127" s="287">
        <f>H127</f>
        <v>1254</v>
      </c>
      <c r="AR127" s="287"/>
      <c r="AS127" s="287"/>
      <c r="AT127" s="287"/>
      <c r="AU127" s="287"/>
      <c r="AV127" s="287"/>
      <c r="AW127" s="287"/>
      <c r="AX127" s="287"/>
      <c r="AY127" s="115"/>
      <c r="AZ127" s="115"/>
      <c r="BA127" s="115"/>
      <c r="BB127" s="115"/>
      <c r="BC127" s="115"/>
      <c r="BD127" s="115"/>
      <c r="BE127" s="115"/>
      <c r="BF127" s="115"/>
      <c r="BG127" s="115"/>
      <c r="BH127" s="115"/>
      <c r="BI127" s="287"/>
      <c r="BJ127" s="287"/>
      <c r="BK127" s="287"/>
      <c r="BL127" s="287"/>
      <c r="BM127" s="287"/>
      <c r="BN127" s="287"/>
      <c r="BO127" s="287"/>
      <c r="BP127" s="287"/>
      <c r="BQ127" s="287"/>
      <c r="BR127" s="287"/>
      <c r="BS127" s="287"/>
      <c r="BT127" s="287"/>
      <c r="BU127" s="287"/>
      <c r="BV127" s="283">
        <v>3.855</v>
      </c>
      <c r="BW127" s="490">
        <f t="shared" si="5"/>
        <v>4834.17</v>
      </c>
      <c r="BX127" s="490">
        <f t="shared" si="6"/>
        <v>37464.8175</v>
      </c>
      <c r="BY127" s="270" t="s">
        <v>323</v>
      </c>
      <c r="BZ127" s="287" t="s">
        <v>83</v>
      </c>
    </row>
    <row r="128" s="473" customFormat="1" ht="25" customHeight="1" spans="1:78">
      <c r="A128" s="272">
        <v>46133</v>
      </c>
      <c r="B128" s="272">
        <v>46188</v>
      </c>
      <c r="C128" s="273" t="s">
        <v>320</v>
      </c>
      <c r="D128" s="272" t="s">
        <v>321</v>
      </c>
      <c r="E128" s="273" t="s">
        <v>322</v>
      </c>
      <c r="F128" s="273" t="s">
        <v>66</v>
      </c>
      <c r="G128" s="273" t="s">
        <v>258</v>
      </c>
      <c r="H128" s="275">
        <v>1254</v>
      </c>
      <c r="I128" s="287">
        <v>6</v>
      </c>
      <c r="J128" s="287">
        <f t="shared" si="4"/>
        <v>209</v>
      </c>
      <c r="K128" s="287"/>
      <c r="L128" s="287"/>
      <c r="M128" s="287"/>
      <c r="N128" s="287"/>
      <c r="O128" s="287"/>
      <c r="P128" s="287"/>
      <c r="Q128" s="287"/>
      <c r="R128" s="287"/>
      <c r="S128" s="287"/>
      <c r="T128" s="287"/>
      <c r="U128" s="287"/>
      <c r="V128" s="287"/>
      <c r="W128" s="287"/>
      <c r="X128" s="287"/>
      <c r="Y128" s="287"/>
      <c r="Z128" s="287"/>
      <c r="AA128" s="287"/>
      <c r="AB128" s="287"/>
      <c r="AC128" s="287"/>
      <c r="AD128" s="115"/>
      <c r="AE128" s="115"/>
      <c r="AF128" s="115"/>
      <c r="AG128" s="115"/>
      <c r="AH128" s="115"/>
      <c r="AI128" s="115"/>
      <c r="AJ128" s="115"/>
      <c r="AK128" s="115"/>
      <c r="AL128" s="115"/>
      <c r="AM128" s="115"/>
      <c r="AN128" s="115"/>
      <c r="AO128" s="115"/>
      <c r="AP128" s="115"/>
      <c r="AQ128" s="287"/>
      <c r="AR128" s="287"/>
      <c r="AS128" s="287"/>
      <c r="AT128" s="287"/>
      <c r="AU128" s="287"/>
      <c r="AV128" s="287"/>
      <c r="AW128" s="287"/>
      <c r="AX128" s="287"/>
      <c r="AY128" s="115"/>
      <c r="AZ128" s="115"/>
      <c r="BA128" s="115"/>
      <c r="BB128" s="115"/>
      <c r="BC128" s="115"/>
      <c r="BD128" s="115"/>
      <c r="BE128" s="115"/>
      <c r="BF128" s="115"/>
      <c r="BG128" s="115"/>
      <c r="BH128" s="115"/>
      <c r="BI128" s="287"/>
      <c r="BJ128" s="287"/>
      <c r="BK128" s="287"/>
      <c r="BL128" s="287"/>
      <c r="BM128" s="287"/>
      <c r="BN128" s="287"/>
      <c r="BO128" s="287">
        <f>H128</f>
        <v>1254</v>
      </c>
      <c r="BP128" s="287"/>
      <c r="BQ128" s="287"/>
      <c r="BR128" s="287"/>
      <c r="BS128" s="287"/>
      <c r="BT128" s="287"/>
      <c r="BU128" s="287"/>
      <c r="BV128" s="283">
        <v>3.855</v>
      </c>
      <c r="BW128" s="490">
        <f t="shared" si="5"/>
        <v>4834.17</v>
      </c>
      <c r="BX128" s="490">
        <f t="shared" si="6"/>
        <v>37464.8175</v>
      </c>
      <c r="BY128" s="270" t="s">
        <v>323</v>
      </c>
      <c r="BZ128" s="287" t="s">
        <v>83</v>
      </c>
    </row>
    <row r="129" s="473" customFormat="1" ht="25" customHeight="1" spans="1:78 16363:16384">
      <c r="A129" s="272">
        <v>46133</v>
      </c>
      <c r="B129" s="272">
        <v>46188</v>
      </c>
      <c r="C129" s="273" t="s">
        <v>320</v>
      </c>
      <c r="D129" s="272" t="s">
        <v>321</v>
      </c>
      <c r="E129" s="273" t="s">
        <v>322</v>
      </c>
      <c r="F129" s="273" t="s">
        <v>67</v>
      </c>
      <c r="G129" s="273" t="s">
        <v>152</v>
      </c>
      <c r="H129" s="275">
        <v>1254</v>
      </c>
      <c r="I129" s="287">
        <v>6</v>
      </c>
      <c r="J129" s="287">
        <f t="shared" si="4"/>
        <v>209</v>
      </c>
      <c r="K129" s="287"/>
      <c r="L129" s="287"/>
      <c r="M129" s="287"/>
      <c r="N129" s="287"/>
      <c r="O129" s="287"/>
      <c r="P129" s="287"/>
      <c r="Q129" s="287"/>
      <c r="R129" s="287"/>
      <c r="S129" s="287"/>
      <c r="T129" s="287"/>
      <c r="U129" s="287"/>
      <c r="V129" s="287"/>
      <c r="W129" s="287"/>
      <c r="X129" s="287"/>
      <c r="Y129" s="287"/>
      <c r="Z129" s="287"/>
      <c r="AA129" s="287"/>
      <c r="AB129" s="287"/>
      <c r="AC129" s="287"/>
      <c r="AD129" s="115"/>
      <c r="AE129" s="115"/>
      <c r="AF129" s="115"/>
      <c r="AG129" s="115"/>
      <c r="AH129" s="115"/>
      <c r="AI129" s="115"/>
      <c r="AJ129" s="115"/>
      <c r="AK129" s="115"/>
      <c r="AL129" s="115"/>
      <c r="AM129" s="115"/>
      <c r="AN129" s="115"/>
      <c r="AO129" s="115"/>
      <c r="AP129" s="115"/>
      <c r="AQ129" s="287"/>
      <c r="AR129" s="287"/>
      <c r="AS129" s="287"/>
      <c r="AT129" s="287"/>
      <c r="AU129" s="287"/>
      <c r="AV129" s="287"/>
      <c r="AW129" s="287"/>
      <c r="AX129" s="287"/>
      <c r="AY129" s="115"/>
      <c r="AZ129" s="115"/>
      <c r="BA129" s="115"/>
      <c r="BB129" s="115"/>
      <c r="BC129" s="115"/>
      <c r="BD129" s="115"/>
      <c r="BE129" s="115"/>
      <c r="BF129" s="115"/>
      <c r="BG129" s="115"/>
      <c r="BH129" s="115"/>
      <c r="BI129" s="287"/>
      <c r="BJ129" s="287"/>
      <c r="BK129" s="287"/>
      <c r="BL129" s="287"/>
      <c r="BM129" s="287"/>
      <c r="BN129" s="287"/>
      <c r="BO129" s="287"/>
      <c r="BP129" s="287">
        <f>H129</f>
        <v>1254</v>
      </c>
      <c r="BQ129" s="287"/>
      <c r="BR129" s="287"/>
      <c r="BS129" s="287"/>
      <c r="BT129" s="287"/>
      <c r="BU129" s="287"/>
      <c r="BV129" s="283">
        <v>3.728</v>
      </c>
      <c r="BW129" s="490">
        <f t="shared" si="5"/>
        <v>4674.912</v>
      </c>
      <c r="BX129" s="490">
        <f t="shared" si="6"/>
        <v>36230.568</v>
      </c>
      <c r="BY129" s="270" t="s">
        <v>323</v>
      </c>
      <c r="BZ129" s="287" t="s">
        <v>83</v>
      </c>
    </row>
    <row r="130" s="473" customFormat="1" ht="25" customHeight="1" spans="1:78 16363:16384">
      <c r="A130" s="272">
        <v>46133</v>
      </c>
      <c r="B130" s="272">
        <v>46188</v>
      </c>
      <c r="C130" s="273" t="s">
        <v>320</v>
      </c>
      <c r="D130" s="272" t="s">
        <v>321</v>
      </c>
      <c r="E130" s="273" t="s">
        <v>322</v>
      </c>
      <c r="F130" s="273" t="s">
        <v>64</v>
      </c>
      <c r="G130" s="273" t="s">
        <v>259</v>
      </c>
      <c r="H130" s="275">
        <v>1254</v>
      </c>
      <c r="I130" s="287">
        <v>6</v>
      </c>
      <c r="J130" s="287">
        <f t="shared" ref="J130:J157" si="7">H130/I130</f>
        <v>209</v>
      </c>
      <c r="K130" s="287"/>
      <c r="L130" s="287"/>
      <c r="M130" s="287"/>
      <c r="N130" s="287"/>
      <c r="O130" s="287"/>
      <c r="P130" s="287"/>
      <c r="Q130" s="287"/>
      <c r="R130" s="287"/>
      <c r="S130" s="287"/>
      <c r="T130" s="287"/>
      <c r="U130" s="287"/>
      <c r="V130" s="287"/>
      <c r="W130" s="287"/>
      <c r="X130" s="287"/>
      <c r="Y130" s="287"/>
      <c r="Z130" s="287"/>
      <c r="AA130" s="287"/>
      <c r="AB130" s="287"/>
      <c r="AC130" s="287"/>
      <c r="AD130" s="115"/>
      <c r="AE130" s="115"/>
      <c r="AF130" s="115"/>
      <c r="AG130" s="115"/>
      <c r="AH130" s="115"/>
      <c r="AI130" s="115"/>
      <c r="AJ130" s="115"/>
      <c r="AK130" s="115"/>
      <c r="AL130" s="115"/>
      <c r="AM130" s="115"/>
      <c r="AN130" s="115"/>
      <c r="AO130" s="115"/>
      <c r="AP130" s="115"/>
      <c r="AQ130" s="287"/>
      <c r="AR130" s="287"/>
      <c r="AS130" s="287"/>
      <c r="AT130" s="287"/>
      <c r="AU130" s="287"/>
      <c r="AV130" s="287"/>
      <c r="AW130" s="287"/>
      <c r="AX130" s="287"/>
      <c r="AY130" s="115"/>
      <c r="AZ130" s="115"/>
      <c r="BA130" s="115"/>
      <c r="BB130" s="115"/>
      <c r="BC130" s="115"/>
      <c r="BD130" s="115"/>
      <c r="BE130" s="115"/>
      <c r="BF130" s="115"/>
      <c r="BG130" s="115"/>
      <c r="BH130" s="115"/>
      <c r="BI130" s="287"/>
      <c r="BJ130" s="287"/>
      <c r="BK130" s="287"/>
      <c r="BL130" s="287"/>
      <c r="BM130" s="287">
        <f>H130</f>
        <v>1254</v>
      </c>
      <c r="BN130" s="287"/>
      <c r="BO130" s="287"/>
      <c r="BP130" s="287"/>
      <c r="BQ130" s="287"/>
      <c r="BR130" s="287"/>
      <c r="BS130" s="287"/>
      <c r="BT130" s="287"/>
      <c r="BU130" s="287"/>
      <c r="BV130" s="283">
        <v>3.898</v>
      </c>
      <c r="BW130" s="490">
        <f t="shared" ref="BW130:BW157" si="8">SUM(K130:BU130)*BV130</f>
        <v>4888.092</v>
      </c>
      <c r="BX130" s="490">
        <f t="shared" ref="BX130:BX157" si="9">BW130*7.75</f>
        <v>37882.713</v>
      </c>
      <c r="BY130" s="270" t="s">
        <v>323</v>
      </c>
      <c r="BZ130" s="287" t="s">
        <v>83</v>
      </c>
    </row>
    <row r="131" s="472" customFormat="1" ht="25" customHeight="1" spans="1:78 16363:16384">
      <c r="A131" s="272">
        <v>46133</v>
      </c>
      <c r="B131" s="272">
        <v>46188</v>
      </c>
      <c r="C131" s="273" t="s">
        <v>320</v>
      </c>
      <c r="D131" s="272" t="s">
        <v>321</v>
      </c>
      <c r="E131" s="273" t="s">
        <v>322</v>
      </c>
      <c r="F131" s="273" t="s">
        <v>270</v>
      </c>
      <c r="G131" s="273" t="s">
        <v>271</v>
      </c>
      <c r="H131" s="275">
        <v>3000</v>
      </c>
      <c r="I131" s="287">
        <v>6</v>
      </c>
      <c r="J131" s="287">
        <f t="shared" si="7"/>
        <v>500</v>
      </c>
      <c r="K131" s="287"/>
      <c r="L131" s="287"/>
      <c r="M131" s="287"/>
      <c r="N131" s="287"/>
      <c r="O131" s="287"/>
      <c r="P131" s="287"/>
      <c r="Q131" s="287"/>
      <c r="R131" s="287"/>
      <c r="S131" s="287"/>
      <c r="T131" s="287"/>
      <c r="U131" s="287"/>
      <c r="V131" s="287"/>
      <c r="W131" s="287"/>
      <c r="X131" s="287"/>
      <c r="Y131" s="287"/>
      <c r="Z131" s="287"/>
      <c r="AA131" s="287"/>
      <c r="AB131" s="287"/>
      <c r="AC131" s="287"/>
      <c r="AD131" s="115"/>
      <c r="AE131" s="115"/>
      <c r="AF131" s="115"/>
      <c r="AG131" s="115"/>
      <c r="AH131" s="115"/>
      <c r="AI131" s="115"/>
      <c r="AJ131" s="115"/>
      <c r="AK131" s="115"/>
      <c r="AL131" s="115"/>
      <c r="AM131" s="115"/>
      <c r="AN131" s="115"/>
      <c r="AO131" s="115"/>
      <c r="AP131" s="115"/>
      <c r="AQ131" s="287"/>
      <c r="AR131" s="287">
        <f>H131</f>
        <v>3000</v>
      </c>
      <c r="AS131" s="287"/>
      <c r="AT131" s="287"/>
      <c r="AU131" s="287"/>
      <c r="AV131" s="287"/>
      <c r="AW131" s="287"/>
      <c r="AX131" s="287"/>
      <c r="AY131" s="115"/>
      <c r="AZ131" s="115"/>
      <c r="BA131" s="115"/>
      <c r="BB131" s="115"/>
      <c r="BC131" s="115"/>
      <c r="BD131" s="115"/>
      <c r="BE131" s="115"/>
      <c r="BF131" s="115"/>
      <c r="BG131" s="115"/>
      <c r="BH131" s="115"/>
      <c r="BI131" s="287"/>
      <c r="BJ131" s="287"/>
      <c r="BK131" s="287"/>
      <c r="BL131" s="287"/>
      <c r="BM131" s="287"/>
      <c r="BN131" s="287"/>
      <c r="BO131" s="287"/>
      <c r="BP131" s="287"/>
      <c r="BQ131" s="287"/>
      <c r="BR131" s="287"/>
      <c r="BS131" s="287"/>
      <c r="BT131" s="287"/>
      <c r="BU131" s="287"/>
      <c r="BV131" s="283">
        <v>1.102</v>
      </c>
      <c r="BW131" s="490">
        <f t="shared" si="8"/>
        <v>3306</v>
      </c>
      <c r="BX131" s="490">
        <f t="shared" si="9"/>
        <v>25621.5</v>
      </c>
      <c r="BY131" s="270" t="s">
        <v>323</v>
      </c>
      <c r="BZ131" s="287" t="s">
        <v>83</v>
      </c>
    </row>
    <row r="132" s="472" customFormat="1" ht="25" customHeight="1" spans="1:78 16363:16384">
      <c r="A132" s="272">
        <v>46136</v>
      </c>
      <c r="B132" s="272">
        <v>46223</v>
      </c>
      <c r="C132" s="273" t="s">
        <v>200</v>
      </c>
      <c r="D132" s="272" t="s">
        <v>105</v>
      </c>
      <c r="E132" s="273" t="s">
        <v>324</v>
      </c>
      <c r="F132" s="273" t="s">
        <v>69</v>
      </c>
      <c r="G132" s="275" t="s">
        <v>325</v>
      </c>
      <c r="H132" s="287">
        <v>16608</v>
      </c>
      <c r="I132" s="287">
        <v>6</v>
      </c>
      <c r="J132" s="287">
        <f t="shared" si="7"/>
        <v>2768</v>
      </c>
      <c r="K132" s="287"/>
      <c r="L132" s="287"/>
      <c r="M132" s="287"/>
      <c r="N132" s="287"/>
      <c r="O132" s="287"/>
      <c r="P132" s="287"/>
      <c r="Q132" s="287"/>
      <c r="R132" s="287"/>
      <c r="S132" s="287"/>
      <c r="T132" s="287"/>
      <c r="U132" s="287"/>
      <c r="V132" s="287"/>
      <c r="W132" s="287"/>
      <c r="X132" s="287"/>
      <c r="Y132" s="287"/>
      <c r="Z132" s="287"/>
      <c r="AA132" s="287"/>
      <c r="AB132" s="287"/>
      <c r="AC132" s="287"/>
      <c r="AD132" s="115"/>
      <c r="AE132" s="115"/>
      <c r="AF132" s="115"/>
      <c r="AG132" s="115"/>
      <c r="AH132" s="115"/>
      <c r="AI132" s="115"/>
      <c r="AJ132" s="115"/>
      <c r="AK132" s="115"/>
      <c r="AL132" s="115"/>
      <c r="AM132" s="115"/>
      <c r="AN132" s="115"/>
      <c r="AO132" s="115"/>
      <c r="AP132" s="115"/>
      <c r="AQ132" s="287"/>
      <c r="AR132" s="287"/>
      <c r="AS132" s="287"/>
      <c r="AT132" s="287"/>
      <c r="AU132" s="287"/>
      <c r="AV132" s="287"/>
      <c r="AW132" s="287"/>
      <c r="AX132" s="287"/>
      <c r="AY132" s="115"/>
      <c r="AZ132" s="115"/>
      <c r="BA132" s="115"/>
      <c r="BB132" s="115"/>
      <c r="BC132" s="115"/>
      <c r="BD132" s="115"/>
      <c r="BE132" s="115"/>
      <c r="BF132" s="115"/>
      <c r="BG132" s="115"/>
      <c r="BH132" s="115"/>
      <c r="BI132" s="287"/>
      <c r="BJ132" s="287"/>
      <c r="BK132" s="287"/>
      <c r="BL132" s="287"/>
      <c r="BM132" s="287"/>
      <c r="BN132" s="287"/>
      <c r="BO132" s="287"/>
      <c r="BP132" s="287"/>
      <c r="BQ132" s="287"/>
      <c r="BR132" s="287">
        <f>H132</f>
        <v>16608</v>
      </c>
      <c r="BS132" s="287"/>
      <c r="BT132" s="287"/>
      <c r="BU132" s="287"/>
      <c r="BV132" s="283">
        <v>3.369</v>
      </c>
      <c r="BW132" s="490">
        <f t="shared" si="8"/>
        <v>55952.352</v>
      </c>
      <c r="BX132" s="490">
        <f t="shared" si="9"/>
        <v>433630.728</v>
      </c>
      <c r="BY132" s="494"/>
      <c r="BZ132" s="287" t="s">
        <v>83</v>
      </c>
    </row>
    <row r="133" s="472" customFormat="1" ht="25" customHeight="1" spans="1:78 16363:16384">
      <c r="A133" s="272">
        <v>46139</v>
      </c>
      <c r="B133" s="272">
        <v>46183</v>
      </c>
      <c r="C133" s="273" t="s">
        <v>326</v>
      </c>
      <c r="D133" s="272" t="s">
        <v>180</v>
      </c>
      <c r="E133" s="273" t="s">
        <v>327</v>
      </c>
      <c r="F133" s="273" t="s">
        <v>10</v>
      </c>
      <c r="G133" s="273" t="s">
        <v>128</v>
      </c>
      <c r="H133" s="275">
        <v>11706</v>
      </c>
      <c r="I133" s="275">
        <v>6</v>
      </c>
      <c r="J133" s="287">
        <f t="shared" si="7"/>
        <v>1951</v>
      </c>
      <c r="K133" s="287">
        <f>H133</f>
        <v>11706</v>
      </c>
      <c r="L133" s="287"/>
      <c r="M133" s="287"/>
      <c r="N133" s="287"/>
      <c r="O133" s="287"/>
      <c r="P133" s="287"/>
      <c r="Q133" s="287"/>
      <c r="R133" s="287"/>
      <c r="S133" s="287"/>
      <c r="T133" s="287"/>
      <c r="U133" s="287"/>
      <c r="V133" s="287"/>
      <c r="W133" s="287"/>
      <c r="X133" s="287"/>
      <c r="Y133" s="287"/>
      <c r="Z133" s="287"/>
      <c r="AA133" s="287"/>
      <c r="AB133" s="287"/>
      <c r="AC133" s="287"/>
      <c r="AD133" s="115"/>
      <c r="AE133" s="115"/>
      <c r="AF133" s="115"/>
      <c r="AG133" s="115"/>
      <c r="AH133" s="115"/>
      <c r="AI133" s="115"/>
      <c r="AJ133" s="115"/>
      <c r="AK133" s="115"/>
      <c r="AL133" s="115"/>
      <c r="AM133" s="115"/>
      <c r="AN133" s="115"/>
      <c r="AO133" s="115"/>
      <c r="AP133" s="115"/>
      <c r="AQ133" s="287"/>
      <c r="AR133" s="287"/>
      <c r="AS133" s="287"/>
      <c r="AT133" s="287"/>
      <c r="AU133" s="287"/>
      <c r="AV133" s="287"/>
      <c r="AW133" s="287"/>
      <c r="AX133" s="287"/>
      <c r="AY133" s="115"/>
      <c r="AZ133" s="115"/>
      <c r="BA133" s="115"/>
      <c r="BB133" s="115"/>
      <c r="BC133" s="115"/>
      <c r="BD133" s="115"/>
      <c r="BE133" s="115"/>
      <c r="BF133" s="115"/>
      <c r="BG133" s="115"/>
      <c r="BH133" s="115"/>
      <c r="BI133" s="287"/>
      <c r="BJ133" s="287"/>
      <c r="BK133" s="287"/>
      <c r="BL133" s="287"/>
      <c r="BM133" s="287"/>
      <c r="BN133" s="287"/>
      <c r="BO133" s="287"/>
      <c r="BP133" s="287"/>
      <c r="BQ133" s="287"/>
      <c r="BR133" s="287"/>
      <c r="BS133" s="287"/>
      <c r="BT133" s="287"/>
      <c r="BU133" s="287"/>
      <c r="BV133" s="283">
        <v>3.232</v>
      </c>
      <c r="BW133" s="490">
        <f t="shared" si="8"/>
        <v>37833.792</v>
      </c>
      <c r="BX133" s="490">
        <f t="shared" si="9"/>
        <v>293211.888</v>
      </c>
      <c r="BY133" s="270" t="s">
        <v>328</v>
      </c>
      <c r="BZ133" s="287" t="s">
        <v>83</v>
      </c>
    </row>
    <row r="134" s="472" customFormat="1" ht="25" customHeight="1" spans="1:78 16363:16384">
      <c r="A134" s="272">
        <v>46139</v>
      </c>
      <c r="B134" s="272">
        <v>46183</v>
      </c>
      <c r="C134" s="273" t="s">
        <v>326</v>
      </c>
      <c r="D134" s="272" t="s">
        <v>180</v>
      </c>
      <c r="E134" s="273" t="s">
        <v>327</v>
      </c>
      <c r="F134" s="273" t="s">
        <v>11</v>
      </c>
      <c r="G134" s="273" t="s">
        <v>178</v>
      </c>
      <c r="H134" s="275">
        <v>2100</v>
      </c>
      <c r="I134" s="275">
        <v>6</v>
      </c>
      <c r="J134" s="287">
        <f t="shared" si="7"/>
        <v>350</v>
      </c>
      <c r="K134" s="287"/>
      <c r="L134" s="287">
        <f>H134</f>
        <v>2100</v>
      </c>
      <c r="M134" s="287"/>
      <c r="N134" s="287"/>
      <c r="O134" s="287"/>
      <c r="P134" s="287"/>
      <c r="Q134" s="287"/>
      <c r="R134" s="287"/>
      <c r="S134" s="287"/>
      <c r="T134" s="287"/>
      <c r="U134" s="287"/>
      <c r="V134" s="287"/>
      <c r="W134" s="287"/>
      <c r="X134" s="287"/>
      <c r="Y134" s="287"/>
      <c r="Z134" s="287"/>
      <c r="AA134" s="287"/>
      <c r="AB134" s="287"/>
      <c r="AC134" s="287"/>
      <c r="AD134" s="115"/>
      <c r="AE134" s="115"/>
      <c r="AF134" s="115"/>
      <c r="AG134" s="115"/>
      <c r="AH134" s="115"/>
      <c r="AI134" s="115"/>
      <c r="AJ134" s="115"/>
      <c r="AK134" s="115"/>
      <c r="AL134" s="115"/>
      <c r="AM134" s="115"/>
      <c r="AN134" s="115"/>
      <c r="AO134" s="115"/>
      <c r="AP134" s="115"/>
      <c r="AQ134" s="287"/>
      <c r="AR134" s="287"/>
      <c r="AS134" s="287"/>
      <c r="AT134" s="287"/>
      <c r="AU134" s="287"/>
      <c r="AV134" s="287"/>
      <c r="AW134" s="287"/>
      <c r="AX134" s="287"/>
      <c r="AY134" s="115"/>
      <c r="AZ134" s="115"/>
      <c r="BA134" s="115"/>
      <c r="BB134" s="115"/>
      <c r="BC134" s="115"/>
      <c r="BD134" s="115"/>
      <c r="BE134" s="115"/>
      <c r="BF134" s="115"/>
      <c r="BG134" s="115"/>
      <c r="BH134" s="115"/>
      <c r="BI134" s="287"/>
      <c r="BJ134" s="287"/>
      <c r="BK134" s="287"/>
      <c r="BL134" s="287"/>
      <c r="BM134" s="287"/>
      <c r="BN134" s="287"/>
      <c r="BO134" s="287"/>
      <c r="BP134" s="287"/>
      <c r="BQ134" s="287"/>
      <c r="BR134" s="287"/>
      <c r="BS134" s="287"/>
      <c r="BT134" s="287"/>
      <c r="BU134" s="287"/>
      <c r="BV134" s="283">
        <v>2.976</v>
      </c>
      <c r="BW134" s="490">
        <f t="shared" si="8"/>
        <v>6249.6</v>
      </c>
      <c r="BX134" s="490">
        <f t="shared" si="9"/>
        <v>48434.4</v>
      </c>
      <c r="BY134" s="270" t="s">
        <v>328</v>
      </c>
      <c r="BZ134" s="287" t="s">
        <v>83</v>
      </c>
    </row>
    <row r="135" s="472" customFormat="1" ht="25" customHeight="1" spans="1:78 16363:16384">
      <c r="A135" s="272">
        <v>46139</v>
      </c>
      <c r="B135" s="272">
        <v>46208</v>
      </c>
      <c r="C135" s="273" t="s">
        <v>329</v>
      </c>
      <c r="D135" s="272" t="s">
        <v>330</v>
      </c>
      <c r="E135" s="273" t="s">
        <v>331</v>
      </c>
      <c r="F135" s="273" t="s">
        <v>10</v>
      </c>
      <c r="G135" s="273" t="s">
        <v>128</v>
      </c>
      <c r="H135" s="303">
        <f>384-6</f>
        <v>378</v>
      </c>
      <c r="I135" s="275">
        <v>6</v>
      </c>
      <c r="J135" s="287">
        <f t="shared" si="7"/>
        <v>63</v>
      </c>
      <c r="K135" s="287">
        <f>H135</f>
        <v>378</v>
      </c>
      <c r="L135" s="287"/>
      <c r="M135" s="287"/>
      <c r="N135" s="287"/>
      <c r="O135" s="287"/>
      <c r="P135" s="287"/>
      <c r="Q135" s="287"/>
      <c r="R135" s="287"/>
      <c r="S135" s="287"/>
      <c r="T135" s="287"/>
      <c r="U135" s="287"/>
      <c r="V135" s="287"/>
      <c r="W135" s="287"/>
      <c r="X135" s="287"/>
      <c r="Y135" s="287"/>
      <c r="Z135" s="287"/>
      <c r="AA135" s="287"/>
      <c r="AB135" s="287"/>
      <c r="AC135" s="287"/>
      <c r="AD135" s="115"/>
      <c r="AE135" s="115"/>
      <c r="AF135" s="115"/>
      <c r="AG135" s="115"/>
      <c r="AH135" s="115"/>
      <c r="AI135" s="115"/>
      <c r="AJ135" s="115"/>
      <c r="AK135" s="115"/>
      <c r="AL135" s="115"/>
      <c r="AM135" s="115"/>
      <c r="AN135" s="115"/>
      <c r="AO135" s="115"/>
      <c r="AP135" s="115"/>
      <c r="AQ135" s="287"/>
      <c r="AR135" s="287"/>
      <c r="AS135" s="287"/>
      <c r="AT135" s="287"/>
      <c r="AU135" s="287"/>
      <c r="AV135" s="287"/>
      <c r="AW135" s="287"/>
      <c r="AX135" s="287"/>
      <c r="AY135" s="115"/>
      <c r="AZ135" s="115"/>
      <c r="BA135" s="115"/>
      <c r="BB135" s="115"/>
      <c r="BC135" s="115"/>
      <c r="BD135" s="115"/>
      <c r="BE135" s="115"/>
      <c r="BF135" s="115"/>
      <c r="BG135" s="115"/>
      <c r="BH135" s="115"/>
      <c r="BI135" s="287"/>
      <c r="BJ135" s="287"/>
      <c r="BK135" s="287"/>
      <c r="BL135" s="287"/>
      <c r="BM135" s="287"/>
      <c r="BN135" s="287"/>
      <c r="BO135" s="287"/>
      <c r="BP135" s="287"/>
      <c r="BQ135" s="287"/>
      <c r="BR135" s="287"/>
      <c r="BS135" s="287"/>
      <c r="BT135" s="287"/>
      <c r="BU135" s="287"/>
      <c r="BV135" s="283">
        <v>3.405</v>
      </c>
      <c r="BW135" s="490">
        <f t="shared" si="8"/>
        <v>1287.09</v>
      </c>
      <c r="BX135" s="490">
        <f t="shared" si="9"/>
        <v>9974.9475</v>
      </c>
      <c r="BY135" s="304" t="s">
        <v>332</v>
      </c>
      <c r="BZ135" s="287" t="s">
        <v>83</v>
      </c>
    </row>
    <row r="136" s="473" customFormat="1" ht="25" customHeight="1" spans="1:78 16363:16384">
      <c r="A136" s="272">
        <v>46139</v>
      </c>
      <c r="B136" s="272">
        <v>46208</v>
      </c>
      <c r="C136" s="273" t="s">
        <v>329</v>
      </c>
      <c r="D136" s="272" t="s">
        <v>330</v>
      </c>
      <c r="E136" s="273" t="s">
        <v>331</v>
      </c>
      <c r="F136" s="273" t="s">
        <v>11</v>
      </c>
      <c r="G136" s="273" t="s">
        <v>178</v>
      </c>
      <c r="H136" s="275">
        <f>384-6</f>
        <v>378</v>
      </c>
      <c r="I136" s="275">
        <v>6</v>
      </c>
      <c r="J136" s="287">
        <f t="shared" si="7"/>
        <v>63</v>
      </c>
      <c r="K136" s="287"/>
      <c r="L136" s="287">
        <f>H136</f>
        <v>378</v>
      </c>
      <c r="M136" s="287"/>
      <c r="N136" s="287"/>
      <c r="O136" s="287"/>
      <c r="P136" s="287"/>
      <c r="Q136" s="287"/>
      <c r="R136" s="287"/>
      <c r="S136" s="287"/>
      <c r="T136" s="287"/>
      <c r="U136" s="287"/>
      <c r="V136" s="287"/>
      <c r="W136" s="287"/>
      <c r="X136" s="287"/>
      <c r="Y136" s="287"/>
      <c r="Z136" s="287"/>
      <c r="AA136" s="287"/>
      <c r="AB136" s="287"/>
      <c r="AC136" s="287"/>
      <c r="AD136" s="115"/>
      <c r="AE136" s="115"/>
      <c r="AF136" s="115"/>
      <c r="AG136" s="115"/>
      <c r="AH136" s="115"/>
      <c r="AI136" s="115"/>
      <c r="AJ136" s="115"/>
      <c r="AK136" s="115"/>
      <c r="AL136" s="115"/>
      <c r="AM136" s="115"/>
      <c r="AN136" s="115"/>
      <c r="AO136" s="115"/>
      <c r="AP136" s="115"/>
      <c r="AQ136" s="287"/>
      <c r="AR136" s="287"/>
      <c r="AS136" s="287"/>
      <c r="AT136" s="287"/>
      <c r="AU136" s="287"/>
      <c r="AV136" s="287"/>
      <c r="AW136" s="287"/>
      <c r="AX136" s="287"/>
      <c r="AY136" s="115"/>
      <c r="AZ136" s="115"/>
      <c r="BA136" s="115"/>
      <c r="BB136" s="115"/>
      <c r="BC136" s="115"/>
      <c r="BD136" s="115"/>
      <c r="BE136" s="115"/>
      <c r="BF136" s="115"/>
      <c r="BG136" s="115"/>
      <c r="BH136" s="115"/>
      <c r="BI136" s="287"/>
      <c r="BJ136" s="287"/>
      <c r="BK136" s="287"/>
      <c r="BL136" s="287"/>
      <c r="BM136" s="287"/>
      <c r="BN136" s="287"/>
      <c r="BO136" s="287"/>
      <c r="BP136" s="287"/>
      <c r="BQ136" s="287"/>
      <c r="BR136" s="287"/>
      <c r="BS136" s="287"/>
      <c r="BT136" s="287"/>
      <c r="BU136" s="287"/>
      <c r="BV136" s="283">
        <v>3.149</v>
      </c>
      <c r="BW136" s="490">
        <f t="shared" si="8"/>
        <v>1190.322</v>
      </c>
      <c r="BX136" s="490">
        <f t="shared" si="9"/>
        <v>9224.9955</v>
      </c>
      <c r="BY136" s="304" t="s">
        <v>332</v>
      </c>
      <c r="BZ136" s="287" t="s">
        <v>83</v>
      </c>
    </row>
    <row r="137" s="473" customFormat="1" ht="25" customHeight="1" spans="1:78 16363:16384">
      <c r="A137" s="272">
        <v>46139</v>
      </c>
      <c r="B137" s="272">
        <v>46208</v>
      </c>
      <c r="C137" s="273" t="s">
        <v>329</v>
      </c>
      <c r="D137" s="272" t="s">
        <v>330</v>
      </c>
      <c r="E137" s="273" t="s">
        <v>331</v>
      </c>
      <c r="F137" s="273" t="s">
        <v>67</v>
      </c>
      <c r="G137" s="273" t="s">
        <v>152</v>
      </c>
      <c r="H137" s="275">
        <f>306</f>
        <v>306</v>
      </c>
      <c r="I137" s="275">
        <v>6</v>
      </c>
      <c r="J137" s="287">
        <f t="shared" si="7"/>
        <v>51</v>
      </c>
      <c r="K137" s="287"/>
      <c r="L137" s="287"/>
      <c r="M137" s="287"/>
      <c r="N137" s="287"/>
      <c r="O137" s="287"/>
      <c r="P137" s="287"/>
      <c r="Q137" s="287"/>
      <c r="R137" s="287"/>
      <c r="S137" s="287"/>
      <c r="T137" s="287"/>
      <c r="U137" s="287"/>
      <c r="V137" s="287"/>
      <c r="W137" s="287"/>
      <c r="X137" s="287"/>
      <c r="Y137" s="287"/>
      <c r="Z137" s="287"/>
      <c r="AA137" s="287"/>
      <c r="AB137" s="287"/>
      <c r="AC137" s="287"/>
      <c r="AD137" s="115"/>
      <c r="AE137" s="115"/>
      <c r="AF137" s="115"/>
      <c r="AG137" s="115"/>
      <c r="AH137" s="115"/>
      <c r="AI137" s="115"/>
      <c r="AJ137" s="115"/>
      <c r="AK137" s="115"/>
      <c r="AL137" s="115"/>
      <c r="AM137" s="115"/>
      <c r="AN137" s="115"/>
      <c r="AO137" s="115"/>
      <c r="AP137" s="115"/>
      <c r="AQ137" s="287"/>
      <c r="AR137" s="287"/>
      <c r="AS137" s="287"/>
      <c r="AT137" s="287"/>
      <c r="AU137" s="287"/>
      <c r="AV137" s="287"/>
      <c r="AW137" s="287"/>
      <c r="AX137" s="287"/>
      <c r="AY137" s="115"/>
      <c r="AZ137" s="115"/>
      <c r="BA137" s="115"/>
      <c r="BB137" s="115"/>
      <c r="BC137" s="115"/>
      <c r="BD137" s="115"/>
      <c r="BE137" s="115"/>
      <c r="BF137" s="115"/>
      <c r="BG137" s="115"/>
      <c r="BH137" s="115"/>
      <c r="BI137" s="287"/>
      <c r="BJ137" s="287"/>
      <c r="BK137" s="287"/>
      <c r="BL137" s="287"/>
      <c r="BM137" s="287"/>
      <c r="BN137" s="287"/>
      <c r="BO137" s="287"/>
      <c r="BP137" s="287">
        <f>H137</f>
        <v>306</v>
      </c>
      <c r="BQ137" s="287"/>
      <c r="BR137" s="287"/>
      <c r="BS137" s="287"/>
      <c r="BT137" s="287"/>
      <c r="BU137" s="287"/>
      <c r="BV137" s="283">
        <v>3.905</v>
      </c>
      <c r="BW137" s="490">
        <f t="shared" si="8"/>
        <v>1194.93</v>
      </c>
      <c r="BX137" s="490">
        <f t="shared" si="9"/>
        <v>9260.7075</v>
      </c>
      <c r="BY137" s="304" t="s">
        <v>332</v>
      </c>
      <c r="BZ137" s="287" t="s">
        <v>83</v>
      </c>
    </row>
    <row r="138" s="473" customFormat="1" ht="25" customHeight="1" spans="1:78 16363:16384">
      <c r="A138" s="272">
        <v>46139</v>
      </c>
      <c r="B138" s="272">
        <v>46208</v>
      </c>
      <c r="C138" s="273" t="s">
        <v>329</v>
      </c>
      <c r="D138" s="272" t="s">
        <v>330</v>
      </c>
      <c r="E138" s="273" t="s">
        <v>331</v>
      </c>
      <c r="F138" s="273" t="s">
        <v>66</v>
      </c>
      <c r="G138" s="273" t="s">
        <v>258</v>
      </c>
      <c r="H138" s="275">
        <f>384</f>
        <v>384</v>
      </c>
      <c r="I138" s="275">
        <v>6</v>
      </c>
      <c r="J138" s="287">
        <f t="shared" si="7"/>
        <v>64</v>
      </c>
      <c r="K138" s="287"/>
      <c r="L138" s="287"/>
      <c r="M138" s="287"/>
      <c r="N138" s="287"/>
      <c r="O138" s="287"/>
      <c r="P138" s="287"/>
      <c r="Q138" s="287"/>
      <c r="R138" s="287"/>
      <c r="S138" s="287"/>
      <c r="T138" s="287"/>
      <c r="U138" s="287"/>
      <c r="V138" s="287"/>
      <c r="W138" s="287"/>
      <c r="X138" s="287"/>
      <c r="Y138" s="287"/>
      <c r="Z138" s="287"/>
      <c r="AA138" s="287"/>
      <c r="AB138" s="287"/>
      <c r="AC138" s="287"/>
      <c r="AD138" s="115"/>
      <c r="AE138" s="115"/>
      <c r="AF138" s="115"/>
      <c r="AG138" s="115"/>
      <c r="AH138" s="115"/>
      <c r="AI138" s="115"/>
      <c r="AJ138" s="115"/>
      <c r="AK138" s="115"/>
      <c r="AL138" s="115"/>
      <c r="AM138" s="115"/>
      <c r="AN138" s="115"/>
      <c r="AO138" s="115"/>
      <c r="AP138" s="115"/>
      <c r="AQ138" s="287"/>
      <c r="AR138" s="287"/>
      <c r="AS138" s="287"/>
      <c r="AT138" s="287"/>
      <c r="AU138" s="287"/>
      <c r="AV138" s="287"/>
      <c r="AW138" s="287"/>
      <c r="AX138" s="287"/>
      <c r="AY138" s="115"/>
      <c r="AZ138" s="115"/>
      <c r="BA138" s="115"/>
      <c r="BB138" s="115"/>
      <c r="BC138" s="115"/>
      <c r="BD138" s="115"/>
      <c r="BE138" s="115"/>
      <c r="BF138" s="115"/>
      <c r="BG138" s="115"/>
      <c r="BH138" s="115"/>
      <c r="BI138" s="287"/>
      <c r="BJ138" s="287"/>
      <c r="BK138" s="287"/>
      <c r="BL138" s="287"/>
      <c r="BM138" s="287"/>
      <c r="BN138" s="287"/>
      <c r="BO138" s="287">
        <f>H138</f>
        <v>384</v>
      </c>
      <c r="BP138" s="287"/>
      <c r="BQ138" s="287"/>
      <c r="BR138" s="287"/>
      <c r="BS138" s="287"/>
      <c r="BT138" s="287"/>
      <c r="BU138" s="287"/>
      <c r="BV138" s="283">
        <v>3.988</v>
      </c>
      <c r="BW138" s="490">
        <f t="shared" si="8"/>
        <v>1531.392</v>
      </c>
      <c r="BX138" s="490">
        <f t="shared" si="9"/>
        <v>11868.288</v>
      </c>
      <c r="BY138" s="304" t="s">
        <v>332</v>
      </c>
      <c r="BZ138" s="287" t="s">
        <v>83</v>
      </c>
    </row>
    <row r="139" s="473" customFormat="1" ht="25" customHeight="1" spans="1:78 16363:16384">
      <c r="A139" s="272">
        <v>46139</v>
      </c>
      <c r="B139" s="272">
        <v>46208</v>
      </c>
      <c r="C139" s="273" t="s">
        <v>329</v>
      </c>
      <c r="D139" s="272" t="s">
        <v>330</v>
      </c>
      <c r="E139" s="273" t="s">
        <v>331</v>
      </c>
      <c r="F139" s="273" t="s">
        <v>64</v>
      </c>
      <c r="G139" s="273" t="s">
        <v>259</v>
      </c>
      <c r="H139" s="275">
        <f>306</f>
        <v>306</v>
      </c>
      <c r="I139" s="275">
        <v>6</v>
      </c>
      <c r="J139" s="287">
        <f t="shared" si="7"/>
        <v>51</v>
      </c>
      <c r="K139" s="287"/>
      <c r="L139" s="287"/>
      <c r="M139" s="287"/>
      <c r="N139" s="287"/>
      <c r="O139" s="287"/>
      <c r="P139" s="287"/>
      <c r="Q139" s="287"/>
      <c r="R139" s="287"/>
      <c r="S139" s="287"/>
      <c r="T139" s="287"/>
      <c r="U139" s="287"/>
      <c r="V139" s="287"/>
      <c r="W139" s="287"/>
      <c r="X139" s="287"/>
      <c r="Y139" s="287"/>
      <c r="Z139" s="287"/>
      <c r="AA139" s="287"/>
      <c r="AB139" s="287"/>
      <c r="AC139" s="287"/>
      <c r="AD139" s="115"/>
      <c r="AE139" s="115"/>
      <c r="AF139" s="115"/>
      <c r="AG139" s="115"/>
      <c r="AH139" s="115"/>
      <c r="AI139" s="115"/>
      <c r="AJ139" s="115"/>
      <c r="AK139" s="115"/>
      <c r="AL139" s="115"/>
      <c r="AM139" s="115"/>
      <c r="AN139" s="115"/>
      <c r="AO139" s="115"/>
      <c r="AP139" s="115"/>
      <c r="AQ139" s="287"/>
      <c r="AR139" s="287"/>
      <c r="AS139" s="287"/>
      <c r="AT139" s="287"/>
      <c r="AU139" s="287"/>
      <c r="AV139" s="287"/>
      <c r="AW139" s="287"/>
      <c r="AX139" s="287"/>
      <c r="AY139" s="115"/>
      <c r="AZ139" s="115"/>
      <c r="BA139" s="115"/>
      <c r="BB139" s="115"/>
      <c r="BC139" s="115"/>
      <c r="BD139" s="115"/>
      <c r="BE139" s="115"/>
      <c r="BF139" s="115"/>
      <c r="BG139" s="115"/>
      <c r="BH139" s="115"/>
      <c r="BI139" s="287"/>
      <c r="BJ139" s="287"/>
      <c r="BK139" s="287"/>
      <c r="BL139" s="287"/>
      <c r="BM139" s="287">
        <f>H139</f>
        <v>306</v>
      </c>
      <c r="BN139" s="287"/>
      <c r="BO139" s="287"/>
      <c r="BP139" s="287"/>
      <c r="BQ139" s="287"/>
      <c r="BR139" s="287"/>
      <c r="BS139" s="287"/>
      <c r="BT139" s="287"/>
      <c r="BU139" s="287"/>
      <c r="BV139" s="283">
        <v>4.075</v>
      </c>
      <c r="BW139" s="490">
        <f t="shared" si="8"/>
        <v>1246.95</v>
      </c>
      <c r="BX139" s="490">
        <f t="shared" si="9"/>
        <v>9663.8625</v>
      </c>
      <c r="BY139" s="304" t="s">
        <v>332</v>
      </c>
      <c r="BZ139" s="287" t="s">
        <v>83</v>
      </c>
    </row>
    <row r="140" s="473" customFormat="1" ht="25" customHeight="1" spans="1:78 16363:16384">
      <c r="A140" s="272">
        <v>46139</v>
      </c>
      <c r="B140" s="272">
        <v>46208</v>
      </c>
      <c r="C140" s="273" t="s">
        <v>329</v>
      </c>
      <c r="D140" s="272" t="s">
        <v>330</v>
      </c>
      <c r="E140" s="273" t="s">
        <v>331</v>
      </c>
      <c r="F140" s="273" t="s">
        <v>63</v>
      </c>
      <c r="G140" s="273" t="s">
        <v>333</v>
      </c>
      <c r="H140" s="275">
        <f>306</f>
        <v>306</v>
      </c>
      <c r="I140" s="275">
        <v>6</v>
      </c>
      <c r="J140" s="287">
        <f t="shared" si="7"/>
        <v>51</v>
      </c>
      <c r="K140" s="287"/>
      <c r="L140" s="287"/>
      <c r="M140" s="287"/>
      <c r="N140" s="287"/>
      <c r="O140" s="287"/>
      <c r="P140" s="287"/>
      <c r="Q140" s="287"/>
      <c r="R140" s="287"/>
      <c r="S140" s="287"/>
      <c r="T140" s="287"/>
      <c r="U140" s="287"/>
      <c r="V140" s="287"/>
      <c r="W140" s="287"/>
      <c r="X140" s="287"/>
      <c r="Y140" s="287"/>
      <c r="Z140" s="287"/>
      <c r="AA140" s="287"/>
      <c r="AB140" s="287"/>
      <c r="AC140" s="287"/>
      <c r="AD140" s="115"/>
      <c r="AE140" s="115"/>
      <c r="AF140" s="115"/>
      <c r="AG140" s="115"/>
      <c r="AH140" s="115"/>
      <c r="AI140" s="115"/>
      <c r="AJ140" s="115"/>
      <c r="AK140" s="115"/>
      <c r="AL140" s="115"/>
      <c r="AM140" s="115"/>
      <c r="AN140" s="115"/>
      <c r="AO140" s="115"/>
      <c r="AP140" s="115"/>
      <c r="AQ140" s="287"/>
      <c r="AR140" s="287"/>
      <c r="AS140" s="287"/>
      <c r="AT140" s="287"/>
      <c r="AU140" s="287"/>
      <c r="AV140" s="287"/>
      <c r="AW140" s="287"/>
      <c r="AX140" s="283"/>
      <c r="AY140" s="492"/>
      <c r="AZ140" s="492"/>
      <c r="BA140" s="493"/>
      <c r="BB140" s="115"/>
      <c r="BC140" s="31"/>
      <c r="BD140" s="31"/>
      <c r="BE140" s="31"/>
      <c r="BF140" s="31"/>
      <c r="BG140" s="31"/>
      <c r="BH140" s="31"/>
      <c r="BI140" s="495"/>
      <c r="BJ140" s="495"/>
      <c r="BK140" s="495"/>
      <c r="BL140" s="495">
        <f>H140</f>
        <v>306</v>
      </c>
      <c r="BM140" s="495"/>
      <c r="BN140" s="495"/>
      <c r="BO140" s="495"/>
      <c r="BP140" s="495"/>
      <c r="BQ140" s="495"/>
      <c r="BR140" s="495"/>
      <c r="BS140" s="495"/>
      <c r="BT140" s="495"/>
      <c r="BU140" s="495"/>
      <c r="BV140" s="495">
        <v>4.018</v>
      </c>
      <c r="BW140" s="495">
        <f t="shared" si="8"/>
        <v>1229.508</v>
      </c>
      <c r="BX140" s="495">
        <f t="shared" si="9"/>
        <v>9528.687</v>
      </c>
      <c r="BY140" s="304" t="s">
        <v>332</v>
      </c>
      <c r="BZ140" s="495" t="s">
        <v>83</v>
      </c>
      <c r="XEI140" s="272"/>
      <c r="XEJ140" s="272"/>
      <c r="XEK140" s="273"/>
      <c r="XEL140" s="272"/>
      <c r="XEM140" s="273"/>
      <c r="XEN140" s="273"/>
      <c r="XEO140" s="273"/>
      <c r="XEP140" s="275"/>
      <c r="XEQ140" s="275"/>
      <c r="XER140" s="287"/>
      <c r="XES140" s="287"/>
      <c r="XET140" s="287"/>
      <c r="XEU140" s="287"/>
      <c r="XEV140" s="287"/>
      <c r="XEW140" s="287"/>
      <c r="XEX140" s="287"/>
      <c r="XEY140" s="287"/>
      <c r="XEZ140" s="287"/>
      <c r="XFA140" s="287"/>
      <c r="XFB140" s="287"/>
      <c r="XFC140" s="287"/>
      <c r="XFD140" s="287"/>
    </row>
    <row r="141" s="473" customFormat="1" ht="25" customHeight="1" spans="1:78 16363:16384">
      <c r="A141" s="272">
        <v>46139</v>
      </c>
      <c r="B141" s="272">
        <v>46208</v>
      </c>
      <c r="C141" s="273" t="s">
        <v>329</v>
      </c>
      <c r="D141" s="272" t="s">
        <v>330</v>
      </c>
      <c r="E141" s="273" t="s">
        <v>334</v>
      </c>
      <c r="F141" s="273" t="s">
        <v>10</v>
      </c>
      <c r="G141" s="273" t="s">
        <v>128</v>
      </c>
      <c r="H141" s="275">
        <f>1200-6</f>
        <v>1194</v>
      </c>
      <c r="I141" s="275">
        <v>6</v>
      </c>
      <c r="J141" s="287">
        <f t="shared" si="7"/>
        <v>199</v>
      </c>
      <c r="K141" s="287">
        <f>H141</f>
        <v>1194</v>
      </c>
      <c r="L141" s="287"/>
      <c r="M141" s="287"/>
      <c r="N141" s="287"/>
      <c r="O141" s="287"/>
      <c r="P141" s="287"/>
      <c r="Q141" s="287"/>
      <c r="R141" s="287"/>
      <c r="S141" s="287"/>
      <c r="T141" s="287"/>
      <c r="U141" s="287"/>
      <c r="V141" s="287"/>
      <c r="W141" s="287"/>
      <c r="X141" s="287"/>
      <c r="Y141" s="287"/>
      <c r="Z141" s="287"/>
      <c r="AA141" s="287"/>
      <c r="AB141" s="287"/>
      <c r="AC141" s="287"/>
      <c r="AD141" s="115"/>
      <c r="AE141" s="115"/>
      <c r="AF141" s="115"/>
      <c r="AG141" s="115"/>
      <c r="AH141" s="115"/>
      <c r="AI141" s="115"/>
      <c r="AJ141" s="115"/>
      <c r="AK141" s="115"/>
      <c r="AL141" s="115"/>
      <c r="AM141" s="115"/>
      <c r="AN141" s="115"/>
      <c r="AO141" s="115"/>
      <c r="AP141" s="115"/>
      <c r="AQ141" s="287"/>
      <c r="AR141" s="287"/>
      <c r="AS141" s="287"/>
      <c r="AT141" s="287"/>
      <c r="AU141" s="287"/>
      <c r="AV141" s="287"/>
      <c r="AW141" s="287"/>
      <c r="AX141" s="283"/>
      <c r="AY141" s="492"/>
      <c r="AZ141" s="492"/>
      <c r="BA141" s="493"/>
      <c r="BB141" s="115"/>
      <c r="BC141" s="31"/>
      <c r="BD141" s="31"/>
      <c r="BE141" s="31"/>
      <c r="BF141" s="31"/>
      <c r="BG141" s="31"/>
      <c r="BH141" s="31"/>
      <c r="BI141" s="495"/>
      <c r="BJ141" s="495"/>
      <c r="BK141" s="495"/>
      <c r="BL141" s="495"/>
      <c r="BM141" s="495"/>
      <c r="BN141" s="495"/>
      <c r="BO141" s="495"/>
      <c r="BP141" s="495"/>
      <c r="BQ141" s="495"/>
      <c r="BR141" s="495"/>
      <c r="BS141" s="495"/>
      <c r="BT141" s="495"/>
      <c r="BU141" s="495"/>
      <c r="BV141" s="495">
        <v>3.405</v>
      </c>
      <c r="BW141" s="495">
        <f t="shared" si="8"/>
        <v>4065.57</v>
      </c>
      <c r="BX141" s="495">
        <f t="shared" si="9"/>
        <v>31508.1675</v>
      </c>
      <c r="BY141" s="304" t="s">
        <v>335</v>
      </c>
      <c r="BZ141" s="495" t="s">
        <v>83</v>
      </c>
      <c r="XEI141" s="272"/>
      <c r="XEJ141" s="272"/>
      <c r="XEK141" s="273"/>
      <c r="XEL141" s="272"/>
      <c r="XEM141" s="273"/>
      <c r="XEN141" s="273"/>
      <c r="XEO141" s="273"/>
      <c r="XEP141" s="275"/>
      <c r="XEQ141" s="275"/>
      <c r="XER141" s="287"/>
      <c r="XES141" s="287"/>
      <c r="XET141" s="287"/>
      <c r="XEU141" s="287"/>
      <c r="XEV141" s="287"/>
      <c r="XEW141" s="287"/>
      <c r="XEX141" s="287"/>
      <c r="XEY141" s="287"/>
      <c r="XEZ141" s="287"/>
      <c r="XFA141" s="287"/>
      <c r="XFB141" s="287"/>
      <c r="XFC141" s="287"/>
      <c r="XFD141" s="287"/>
    </row>
    <row r="142" s="473" customFormat="1" ht="25" customHeight="1" spans="1:78 16363:16384">
      <c r="A142" s="272">
        <v>46139</v>
      </c>
      <c r="B142" s="272">
        <v>46208</v>
      </c>
      <c r="C142" s="273" t="s">
        <v>329</v>
      </c>
      <c r="D142" s="272" t="s">
        <v>330</v>
      </c>
      <c r="E142" s="273" t="s">
        <v>334</v>
      </c>
      <c r="F142" s="273" t="s">
        <v>11</v>
      </c>
      <c r="G142" s="273" t="s">
        <v>178</v>
      </c>
      <c r="H142" s="303">
        <f>1200-6</f>
        <v>1194</v>
      </c>
      <c r="I142" s="275">
        <v>6</v>
      </c>
      <c r="J142" s="287">
        <f t="shared" si="7"/>
        <v>199</v>
      </c>
      <c r="K142" s="287"/>
      <c r="L142" s="287">
        <f>H142</f>
        <v>1194</v>
      </c>
      <c r="M142" s="287"/>
      <c r="N142" s="287"/>
      <c r="O142" s="287"/>
      <c r="P142" s="287"/>
      <c r="Q142" s="287"/>
      <c r="R142" s="287"/>
      <c r="S142" s="287"/>
      <c r="T142" s="287"/>
      <c r="U142" s="287"/>
      <c r="V142" s="287"/>
      <c r="W142" s="287"/>
      <c r="X142" s="287"/>
      <c r="Y142" s="287"/>
      <c r="Z142" s="287"/>
      <c r="AA142" s="287"/>
      <c r="AB142" s="287"/>
      <c r="AC142" s="287"/>
      <c r="AD142" s="115"/>
      <c r="AE142" s="115"/>
      <c r="AF142" s="115"/>
      <c r="AG142" s="115"/>
      <c r="AH142" s="115"/>
      <c r="AI142" s="115"/>
      <c r="AJ142" s="115"/>
      <c r="AK142" s="115"/>
      <c r="AL142" s="115"/>
      <c r="AM142" s="115"/>
      <c r="AN142" s="115"/>
      <c r="AO142" s="115"/>
      <c r="AP142" s="115"/>
      <c r="AQ142" s="287"/>
      <c r="AR142" s="287"/>
      <c r="AS142" s="287"/>
      <c r="AT142" s="287"/>
      <c r="AU142" s="287"/>
      <c r="AV142" s="287"/>
      <c r="AW142" s="287"/>
      <c r="AX142" s="283"/>
      <c r="AY142" s="492"/>
      <c r="AZ142" s="492"/>
      <c r="BA142" s="493"/>
      <c r="BB142" s="115"/>
      <c r="BC142" s="31"/>
      <c r="BD142" s="31"/>
      <c r="BE142" s="31"/>
      <c r="BF142" s="31"/>
      <c r="BG142" s="31"/>
      <c r="BH142" s="31"/>
      <c r="BI142" s="495"/>
      <c r="BJ142" s="495"/>
      <c r="BK142" s="495"/>
      <c r="BL142" s="495"/>
      <c r="BM142" s="495"/>
      <c r="BN142" s="495"/>
      <c r="BO142" s="495"/>
      <c r="BP142" s="495"/>
      <c r="BQ142" s="495"/>
      <c r="BR142" s="495"/>
      <c r="BS142" s="495"/>
      <c r="BT142" s="495"/>
      <c r="BU142" s="495"/>
      <c r="BV142" s="495">
        <v>3.149</v>
      </c>
      <c r="BW142" s="495">
        <f t="shared" si="8"/>
        <v>3759.906</v>
      </c>
      <c r="BX142" s="495">
        <f t="shared" si="9"/>
        <v>29139.2715</v>
      </c>
      <c r="BY142" s="304" t="s">
        <v>335</v>
      </c>
      <c r="BZ142" s="495" t="s">
        <v>83</v>
      </c>
      <c r="XEI142" s="272"/>
      <c r="XEJ142" s="272"/>
      <c r="XEK142" s="273"/>
      <c r="XEL142" s="272"/>
      <c r="XEM142" s="273"/>
      <c r="XEN142" s="273"/>
      <c r="XEO142" s="273"/>
      <c r="XEP142" s="275"/>
      <c r="XEQ142" s="275"/>
      <c r="XER142" s="287"/>
      <c r="XES142" s="287"/>
      <c r="XET142" s="287"/>
      <c r="XEU142" s="287"/>
      <c r="XEV142" s="287"/>
      <c r="XEW142" s="287"/>
      <c r="XEX142" s="287"/>
      <c r="XEY142" s="287"/>
      <c r="XEZ142" s="287"/>
      <c r="XFA142" s="287"/>
      <c r="XFB142" s="287"/>
      <c r="XFC142" s="287"/>
      <c r="XFD142" s="287"/>
    </row>
    <row r="143" s="473" customFormat="1" ht="25" customHeight="1" spans="1:78 16363:16384">
      <c r="A143" s="272">
        <v>46139</v>
      </c>
      <c r="B143" s="272">
        <v>46208</v>
      </c>
      <c r="C143" s="273" t="s">
        <v>329</v>
      </c>
      <c r="D143" s="272" t="s">
        <v>330</v>
      </c>
      <c r="E143" s="273" t="s">
        <v>334</v>
      </c>
      <c r="F143" s="273" t="s">
        <v>67</v>
      </c>
      <c r="G143" s="273" t="s">
        <v>152</v>
      </c>
      <c r="H143" s="275">
        <f>1002</f>
        <v>1002</v>
      </c>
      <c r="I143" s="275">
        <v>6</v>
      </c>
      <c r="J143" s="287">
        <f t="shared" si="7"/>
        <v>167</v>
      </c>
      <c r="K143" s="287"/>
      <c r="L143" s="287"/>
      <c r="M143" s="287"/>
      <c r="N143" s="287"/>
      <c r="O143" s="287"/>
      <c r="P143" s="287"/>
      <c r="Q143" s="287"/>
      <c r="R143" s="287"/>
      <c r="S143" s="287"/>
      <c r="T143" s="287"/>
      <c r="U143" s="287"/>
      <c r="V143" s="287"/>
      <c r="W143" s="287"/>
      <c r="X143" s="287"/>
      <c r="Y143" s="287"/>
      <c r="Z143" s="287"/>
      <c r="AA143" s="287"/>
      <c r="AB143" s="287"/>
      <c r="AC143" s="287"/>
      <c r="AD143" s="115"/>
      <c r="AE143" s="115"/>
      <c r="AF143" s="115"/>
      <c r="AG143" s="115"/>
      <c r="AH143" s="115"/>
      <c r="AI143" s="115"/>
      <c r="AJ143" s="115"/>
      <c r="AK143" s="115"/>
      <c r="AL143" s="115"/>
      <c r="AM143" s="115"/>
      <c r="AN143" s="115"/>
      <c r="AO143" s="115"/>
      <c r="AP143" s="115"/>
      <c r="AQ143" s="287"/>
      <c r="AR143" s="287"/>
      <c r="AS143" s="287"/>
      <c r="AT143" s="287"/>
      <c r="AU143" s="287"/>
      <c r="AV143" s="287"/>
      <c r="AW143" s="287"/>
      <c r="AX143" s="283"/>
      <c r="AY143" s="492"/>
      <c r="AZ143" s="492"/>
      <c r="BA143" s="493"/>
      <c r="BB143" s="115"/>
      <c r="BC143" s="31"/>
      <c r="BD143" s="31"/>
      <c r="BE143" s="31"/>
      <c r="BF143" s="31"/>
      <c r="BG143" s="31"/>
      <c r="BH143" s="31"/>
      <c r="BI143" s="495"/>
      <c r="BJ143" s="495"/>
      <c r="BK143" s="495"/>
      <c r="BL143" s="495"/>
      <c r="BM143" s="495"/>
      <c r="BN143" s="495"/>
      <c r="BO143" s="495"/>
      <c r="BP143" s="495">
        <f>H143</f>
        <v>1002</v>
      </c>
      <c r="BQ143" s="495"/>
      <c r="BR143" s="495"/>
      <c r="BS143" s="495"/>
      <c r="BT143" s="495"/>
      <c r="BU143" s="495"/>
      <c r="BV143" s="495">
        <v>3.905</v>
      </c>
      <c r="BW143" s="495">
        <f t="shared" si="8"/>
        <v>3912.81</v>
      </c>
      <c r="BX143" s="495">
        <f t="shared" si="9"/>
        <v>30324.2775</v>
      </c>
      <c r="BY143" s="304" t="s">
        <v>335</v>
      </c>
      <c r="BZ143" s="495" t="s">
        <v>83</v>
      </c>
      <c r="XEI143" s="272"/>
      <c r="XEJ143" s="272"/>
      <c r="XEK143" s="273"/>
      <c r="XEL143" s="272"/>
      <c r="XEM143" s="273"/>
      <c r="XEN143" s="273"/>
      <c r="XEO143" s="273"/>
      <c r="XEP143" s="275"/>
      <c r="XEQ143" s="275"/>
      <c r="XER143" s="287"/>
      <c r="XES143" s="287"/>
      <c r="XET143" s="287"/>
      <c r="XEU143" s="287"/>
      <c r="XEV143" s="287"/>
      <c r="XEW143" s="287"/>
      <c r="XEX143" s="287"/>
      <c r="XEY143" s="287"/>
      <c r="XEZ143" s="287"/>
      <c r="XFA143" s="287"/>
      <c r="XFB143" s="287"/>
      <c r="XFC143" s="287"/>
      <c r="XFD143" s="287"/>
    </row>
    <row r="144" s="4" customFormat="1" ht="25" customHeight="1" spans="1:78 16363:16384">
      <c r="A144" s="114">
        <v>46147</v>
      </c>
      <c r="B144" s="114">
        <v>46238</v>
      </c>
      <c r="C144" s="117" t="s">
        <v>336</v>
      </c>
      <c r="D144" s="114" t="s">
        <v>337</v>
      </c>
      <c r="E144" s="117" t="s">
        <v>338</v>
      </c>
      <c r="F144" s="117" t="s">
        <v>19</v>
      </c>
      <c r="G144" s="117" t="s">
        <v>116</v>
      </c>
      <c r="H144" s="211">
        <v>3600</v>
      </c>
      <c r="I144" s="211">
        <v>12</v>
      </c>
      <c r="J144" s="115">
        <f t="shared" si="7"/>
        <v>300</v>
      </c>
      <c r="K144" s="115"/>
      <c r="L144" s="115"/>
      <c r="M144" s="115"/>
      <c r="N144" s="115"/>
      <c r="O144" s="115"/>
      <c r="P144" s="115"/>
      <c r="Q144" s="115"/>
      <c r="R144" s="115"/>
      <c r="S144" s="115"/>
      <c r="T144" s="115">
        <f>H144</f>
        <v>3600</v>
      </c>
      <c r="U144" s="115"/>
      <c r="V144" s="115"/>
      <c r="W144" s="115"/>
      <c r="X144" s="115"/>
      <c r="Y144" s="115"/>
      <c r="Z144" s="115"/>
      <c r="AA144" s="115"/>
      <c r="AB144" s="115"/>
      <c r="AC144" s="115"/>
      <c r="AD144" s="115"/>
      <c r="AE144" s="115"/>
      <c r="AF144" s="115"/>
      <c r="AG144" s="115"/>
      <c r="AH144" s="115"/>
      <c r="AI144" s="115"/>
      <c r="AJ144" s="115"/>
      <c r="AK144" s="115"/>
      <c r="AL144" s="115"/>
      <c r="AM144" s="115"/>
      <c r="AN144" s="115"/>
      <c r="AO144" s="115"/>
      <c r="AP144" s="115"/>
      <c r="AQ144" s="115"/>
      <c r="AR144" s="115"/>
      <c r="AS144" s="115"/>
      <c r="AT144" s="115"/>
      <c r="AU144" s="115"/>
      <c r="AV144" s="115"/>
      <c r="AW144" s="115"/>
      <c r="AX144" s="388"/>
      <c r="AY144" s="492"/>
      <c r="AZ144" s="492"/>
      <c r="BA144" s="493"/>
      <c r="BB144" s="115"/>
      <c r="BC144" s="31"/>
      <c r="BD144" s="31"/>
      <c r="BE144" s="31"/>
      <c r="BF144" s="31"/>
      <c r="BG144" s="31"/>
      <c r="BH144" s="31"/>
      <c r="BI144" s="31"/>
      <c r="BJ144" s="31"/>
      <c r="BK144" s="31"/>
      <c r="BL144" s="31"/>
      <c r="BM144" s="31"/>
      <c r="BN144" s="31"/>
      <c r="BO144" s="31"/>
      <c r="BP144" s="31"/>
      <c r="BQ144" s="31"/>
      <c r="BR144" s="31"/>
      <c r="BS144" s="31"/>
      <c r="BT144" s="31"/>
      <c r="BU144" s="31"/>
      <c r="BV144" s="31">
        <v>1.469</v>
      </c>
      <c r="BW144" s="31">
        <f t="shared" si="8"/>
        <v>5288.4</v>
      </c>
      <c r="BX144" s="31">
        <f t="shared" si="9"/>
        <v>40985.1</v>
      </c>
      <c r="BY144" s="31"/>
      <c r="BZ144" s="31" t="s">
        <v>83</v>
      </c>
      <c r="XEI144" s="114"/>
      <c r="XEJ144" s="114"/>
      <c r="XEK144" s="117"/>
      <c r="XEL144" s="114"/>
      <c r="XEM144" s="117"/>
      <c r="XEN144" s="117"/>
      <c r="XEO144" s="117"/>
      <c r="XEP144" s="211"/>
      <c r="XEQ144" s="211"/>
      <c r="XER144" s="115"/>
      <c r="XES144" s="115"/>
      <c r="XET144" s="115"/>
      <c r="XEU144" s="115"/>
      <c r="XEV144" s="115"/>
      <c r="XEW144" s="115"/>
      <c r="XEX144" s="115"/>
      <c r="XEY144" s="115"/>
      <c r="XEZ144" s="115"/>
      <c r="XFA144" s="115"/>
      <c r="XFB144" s="115"/>
      <c r="XFC144" s="115"/>
      <c r="XFD144" s="115"/>
    </row>
    <row r="145" s="4" customFormat="1" ht="25" customHeight="1" spans="1:78 16363:16384">
      <c r="A145" s="114">
        <v>46147</v>
      </c>
      <c r="B145" s="114">
        <v>46238</v>
      </c>
      <c r="C145" s="117" t="s">
        <v>336</v>
      </c>
      <c r="D145" s="114" t="s">
        <v>337</v>
      </c>
      <c r="E145" s="117" t="s">
        <v>338</v>
      </c>
      <c r="F145" s="117" t="s">
        <v>46</v>
      </c>
      <c r="G145" s="117" t="s">
        <v>111</v>
      </c>
      <c r="H145" s="211">
        <v>3600</v>
      </c>
      <c r="I145" s="211">
        <v>6</v>
      </c>
      <c r="J145" s="115">
        <f t="shared" si="7"/>
        <v>600</v>
      </c>
      <c r="K145" s="115"/>
      <c r="L145" s="115"/>
      <c r="M145" s="115"/>
      <c r="N145" s="115"/>
      <c r="O145" s="115"/>
      <c r="P145" s="115"/>
      <c r="Q145" s="115"/>
      <c r="R145" s="115"/>
      <c r="S145" s="115"/>
      <c r="T145" s="115"/>
      <c r="U145" s="115"/>
      <c r="V145" s="115"/>
      <c r="W145" s="115"/>
      <c r="X145" s="115"/>
      <c r="Y145" s="115"/>
      <c r="Z145" s="115"/>
      <c r="AA145" s="115"/>
      <c r="AB145" s="115"/>
      <c r="AC145" s="115"/>
      <c r="AD145" s="115"/>
      <c r="AE145" s="115"/>
      <c r="AF145" s="115"/>
      <c r="AG145" s="115"/>
      <c r="AH145" s="115"/>
      <c r="AI145" s="115"/>
      <c r="AJ145" s="115"/>
      <c r="AK145" s="115"/>
      <c r="AL145" s="115"/>
      <c r="AM145" s="115"/>
      <c r="AN145" s="115"/>
      <c r="AO145" s="115"/>
      <c r="AP145" s="115"/>
      <c r="AQ145" s="115"/>
      <c r="AR145" s="115"/>
      <c r="AS145" s="115"/>
      <c r="AT145" s="115"/>
      <c r="AU145" s="115">
        <f>H145</f>
        <v>3600</v>
      </c>
      <c r="AV145" s="115"/>
      <c r="AW145" s="115"/>
      <c r="AX145" s="388"/>
      <c r="AY145" s="492"/>
      <c r="AZ145" s="492"/>
      <c r="BA145" s="493"/>
      <c r="BB145" s="115"/>
      <c r="BC145" s="31"/>
      <c r="BD145" s="31"/>
      <c r="BE145" s="31"/>
      <c r="BF145" s="31"/>
      <c r="BG145" s="31"/>
      <c r="BH145" s="31"/>
      <c r="BI145" s="31"/>
      <c r="BJ145" s="31"/>
      <c r="BK145" s="31"/>
      <c r="BL145" s="31"/>
      <c r="BM145" s="31"/>
      <c r="BN145" s="31"/>
      <c r="BO145" s="31"/>
      <c r="BP145" s="31"/>
      <c r="BQ145" s="31"/>
      <c r="BR145" s="31"/>
      <c r="BS145" s="31"/>
      <c r="BT145" s="31"/>
      <c r="BU145" s="31"/>
      <c r="BV145" s="31">
        <v>2.942</v>
      </c>
      <c r="BW145" s="31">
        <f t="shared" si="8"/>
        <v>10591.2</v>
      </c>
      <c r="BX145" s="31">
        <f t="shared" si="9"/>
        <v>82081.8</v>
      </c>
      <c r="BY145" s="31"/>
      <c r="BZ145" s="31" t="s">
        <v>83</v>
      </c>
      <c r="XEI145" s="114"/>
      <c r="XEJ145" s="114"/>
      <c r="XEK145" s="117"/>
      <c r="XEL145" s="114"/>
      <c r="XEM145" s="117"/>
      <c r="XEN145" s="117"/>
      <c r="XEO145" s="117"/>
      <c r="XEP145" s="211"/>
      <c r="XEQ145" s="211"/>
      <c r="XER145" s="115"/>
      <c r="XES145" s="115"/>
      <c r="XET145" s="115"/>
      <c r="XEU145" s="115"/>
      <c r="XEV145" s="115"/>
      <c r="XEW145" s="115"/>
      <c r="XEX145" s="115"/>
      <c r="XEY145" s="115"/>
      <c r="XEZ145" s="115"/>
      <c r="XFA145" s="115"/>
      <c r="XFB145" s="115"/>
      <c r="XFC145" s="115"/>
      <c r="XFD145" s="115"/>
    </row>
    <row r="146" s="4" customFormat="1" ht="25" customHeight="1" spans="1:78 16363:16384">
      <c r="A146" s="114">
        <v>46147</v>
      </c>
      <c r="B146" s="114">
        <v>46238</v>
      </c>
      <c r="C146" s="117" t="s">
        <v>336</v>
      </c>
      <c r="D146" s="114" t="s">
        <v>337</v>
      </c>
      <c r="E146" s="117" t="s">
        <v>338</v>
      </c>
      <c r="F146" s="117" t="s">
        <v>70</v>
      </c>
      <c r="G146" s="117" t="s">
        <v>339</v>
      </c>
      <c r="H146" s="211">
        <v>2004</v>
      </c>
      <c r="I146" s="211">
        <v>6</v>
      </c>
      <c r="J146" s="115">
        <f t="shared" si="7"/>
        <v>334</v>
      </c>
      <c r="K146" s="115"/>
      <c r="L146" s="115"/>
      <c r="M146" s="115"/>
      <c r="N146" s="115"/>
      <c r="O146" s="115"/>
      <c r="P146" s="115"/>
      <c r="Q146" s="115"/>
      <c r="R146" s="115"/>
      <c r="S146" s="115"/>
      <c r="T146" s="115"/>
      <c r="U146" s="115"/>
      <c r="V146" s="115"/>
      <c r="W146" s="115"/>
      <c r="X146" s="115"/>
      <c r="Y146" s="115"/>
      <c r="Z146" s="115"/>
      <c r="AA146" s="115"/>
      <c r="AB146" s="115"/>
      <c r="AC146" s="115"/>
      <c r="AD146" s="115"/>
      <c r="AE146" s="115"/>
      <c r="AF146" s="115"/>
      <c r="AG146" s="115"/>
      <c r="AH146" s="115"/>
      <c r="AI146" s="115"/>
      <c r="AJ146" s="115"/>
      <c r="AK146" s="115"/>
      <c r="AL146" s="115"/>
      <c r="AM146" s="115"/>
      <c r="AN146" s="115"/>
      <c r="AO146" s="115"/>
      <c r="AP146" s="115"/>
      <c r="AQ146" s="115"/>
      <c r="AR146" s="115"/>
      <c r="AS146" s="115"/>
      <c r="AT146" s="115"/>
      <c r="AU146" s="115"/>
      <c r="AV146" s="115"/>
      <c r="AW146" s="115"/>
      <c r="AX146" s="388"/>
      <c r="AY146" s="492"/>
      <c r="AZ146" s="492"/>
      <c r="BA146" s="493"/>
      <c r="BB146" s="115"/>
      <c r="BC146" s="31"/>
      <c r="BD146" s="31"/>
      <c r="BE146" s="31"/>
      <c r="BF146" s="31"/>
      <c r="BG146" s="31"/>
      <c r="BH146" s="31"/>
      <c r="BI146" s="31"/>
      <c r="BJ146" s="31"/>
      <c r="BK146" s="31"/>
      <c r="BL146" s="31"/>
      <c r="BM146" s="31"/>
      <c r="BN146" s="31"/>
      <c r="BO146" s="31"/>
      <c r="BP146" s="31"/>
      <c r="BQ146" s="31"/>
      <c r="BR146" s="31"/>
      <c r="BS146" s="31">
        <f>H146</f>
        <v>2004</v>
      </c>
      <c r="BT146" s="31"/>
      <c r="BU146" s="31"/>
      <c r="BV146" s="31">
        <v>3.27</v>
      </c>
      <c r="BW146" s="31">
        <f t="shared" si="8"/>
        <v>6553.08</v>
      </c>
      <c r="BX146" s="31">
        <f t="shared" si="9"/>
        <v>50786.37</v>
      </c>
      <c r="BY146" s="31"/>
      <c r="BZ146" s="31" t="s">
        <v>83</v>
      </c>
      <c r="XEI146" s="114"/>
      <c r="XEJ146" s="114"/>
      <c r="XEK146" s="117"/>
      <c r="XEL146" s="114"/>
      <c r="XEM146" s="117"/>
      <c r="XEN146" s="117"/>
      <c r="XEO146" s="117"/>
      <c r="XEP146" s="211"/>
      <c r="XEQ146" s="211"/>
      <c r="XER146" s="115"/>
      <c r="XES146" s="115"/>
      <c r="XET146" s="115"/>
      <c r="XEU146" s="115"/>
      <c r="XEV146" s="115"/>
      <c r="XEW146" s="115"/>
      <c r="XEX146" s="115"/>
      <c r="XEY146" s="115"/>
      <c r="XEZ146" s="115"/>
      <c r="XFA146" s="115"/>
      <c r="XFB146" s="115"/>
      <c r="XFC146" s="115"/>
      <c r="XFD146" s="115"/>
    </row>
    <row r="147" s="4" customFormat="1" ht="25" customHeight="1" spans="1:78 16363:16384">
      <c r="A147" s="114">
        <v>46147</v>
      </c>
      <c r="B147" s="114">
        <v>46238</v>
      </c>
      <c r="C147" s="117" t="s">
        <v>336</v>
      </c>
      <c r="D147" s="114" t="s">
        <v>337</v>
      </c>
      <c r="E147" s="117" t="s">
        <v>338</v>
      </c>
      <c r="F147" s="117" t="s">
        <v>69</v>
      </c>
      <c r="G147" s="117" t="s">
        <v>325</v>
      </c>
      <c r="H147" s="211">
        <v>2004</v>
      </c>
      <c r="I147" s="211">
        <v>6</v>
      </c>
      <c r="J147" s="115">
        <f t="shared" si="7"/>
        <v>334</v>
      </c>
      <c r="K147" s="115"/>
      <c r="L147" s="115"/>
      <c r="M147" s="115"/>
      <c r="N147" s="115"/>
      <c r="O147" s="115"/>
      <c r="P147" s="115"/>
      <c r="Q147" s="115"/>
      <c r="R147" s="115"/>
      <c r="S147" s="115"/>
      <c r="T147" s="115"/>
      <c r="U147" s="115"/>
      <c r="V147" s="115"/>
      <c r="W147" s="115"/>
      <c r="X147" s="115"/>
      <c r="Y147" s="115"/>
      <c r="Z147" s="115"/>
      <c r="AA147" s="115"/>
      <c r="AB147" s="115"/>
      <c r="AC147" s="115"/>
      <c r="AD147" s="115"/>
      <c r="AE147" s="115"/>
      <c r="AF147" s="115"/>
      <c r="AG147" s="115"/>
      <c r="AH147" s="115"/>
      <c r="AI147" s="115"/>
      <c r="AJ147" s="115"/>
      <c r="AK147" s="115"/>
      <c r="AL147" s="115"/>
      <c r="AM147" s="115"/>
      <c r="AN147" s="115"/>
      <c r="AO147" s="115"/>
      <c r="AP147" s="115"/>
      <c r="AQ147" s="115"/>
      <c r="AR147" s="115"/>
      <c r="AS147" s="115"/>
      <c r="AT147" s="115"/>
      <c r="AU147" s="115"/>
      <c r="AV147" s="115"/>
      <c r="AW147" s="115"/>
      <c r="AX147" s="388"/>
      <c r="AY147" s="492"/>
      <c r="AZ147" s="492"/>
      <c r="BA147" s="493"/>
      <c r="BB147" s="115"/>
      <c r="BC147" s="31"/>
      <c r="BD147" s="31"/>
      <c r="BE147" s="31"/>
      <c r="BF147" s="31"/>
      <c r="BG147" s="31"/>
      <c r="BH147" s="31"/>
      <c r="BI147" s="31"/>
      <c r="BJ147" s="31"/>
      <c r="BK147" s="31"/>
      <c r="BL147" s="31"/>
      <c r="BM147" s="31"/>
      <c r="BN147" s="31"/>
      <c r="BO147" s="31"/>
      <c r="BP147" s="31"/>
      <c r="BQ147" s="31"/>
      <c r="BR147" s="31">
        <f>H147</f>
        <v>2004</v>
      </c>
      <c r="BS147" s="31"/>
      <c r="BT147" s="31"/>
      <c r="BU147" s="31"/>
      <c r="BV147" s="31">
        <v>3.369</v>
      </c>
      <c r="BW147" s="31">
        <f t="shared" si="8"/>
        <v>6751.476</v>
      </c>
      <c r="BX147" s="31">
        <f t="shared" si="9"/>
        <v>52323.939</v>
      </c>
      <c r="BY147" s="31"/>
      <c r="BZ147" s="31" t="s">
        <v>83</v>
      </c>
      <c r="XEI147" s="114"/>
      <c r="XEJ147" s="114"/>
      <c r="XEK147" s="117"/>
      <c r="XEL147" s="114"/>
      <c r="XEM147" s="117"/>
      <c r="XEN147" s="117"/>
      <c r="XEO147" s="117"/>
      <c r="XEP147" s="211"/>
      <c r="XEQ147" s="211"/>
      <c r="XER147" s="115"/>
      <c r="XES147" s="115"/>
      <c r="XET147" s="115"/>
      <c r="XEU147" s="115"/>
      <c r="XEV147" s="115"/>
      <c r="XEW147" s="115"/>
      <c r="XEX147" s="115"/>
      <c r="XEY147" s="115"/>
      <c r="XEZ147" s="115"/>
      <c r="XFA147" s="115"/>
      <c r="XFB147" s="115"/>
      <c r="XFC147" s="115"/>
      <c r="XFD147" s="115"/>
    </row>
    <row r="148" s="473" customFormat="1" ht="25" customHeight="1" spans="1:78 16363:16384">
      <c r="A148" s="272">
        <v>46149</v>
      </c>
      <c r="B148" s="272">
        <v>46223</v>
      </c>
      <c r="C148" s="273" t="s">
        <v>340</v>
      </c>
      <c r="D148" s="272" t="s">
        <v>131</v>
      </c>
      <c r="E148" s="273" t="s">
        <v>341</v>
      </c>
      <c r="F148" s="273" t="s">
        <v>69</v>
      </c>
      <c r="G148" s="273" t="s">
        <v>325</v>
      </c>
      <c r="H148" s="275">
        <v>8154</v>
      </c>
      <c r="I148" s="275">
        <v>6</v>
      </c>
      <c r="J148" s="287">
        <f t="shared" si="7"/>
        <v>1359</v>
      </c>
      <c r="K148" s="287"/>
      <c r="L148" s="287"/>
      <c r="M148" s="287"/>
      <c r="N148" s="287"/>
      <c r="O148" s="287"/>
      <c r="P148" s="287"/>
      <c r="Q148" s="287"/>
      <c r="R148" s="287"/>
      <c r="S148" s="287"/>
      <c r="T148" s="287"/>
      <c r="U148" s="287"/>
      <c r="V148" s="287"/>
      <c r="W148" s="287"/>
      <c r="X148" s="287"/>
      <c r="Y148" s="287"/>
      <c r="Z148" s="287"/>
      <c r="AA148" s="287"/>
      <c r="AB148" s="287"/>
      <c r="AC148" s="287"/>
      <c r="AD148" s="115"/>
      <c r="AE148" s="115"/>
      <c r="AF148" s="115"/>
      <c r="AG148" s="115"/>
      <c r="AH148" s="115"/>
      <c r="AI148" s="115"/>
      <c r="AJ148" s="115"/>
      <c r="AK148" s="115"/>
      <c r="AL148" s="115"/>
      <c r="AM148" s="115"/>
      <c r="AN148" s="115"/>
      <c r="AO148" s="115"/>
      <c r="AP148" s="115"/>
      <c r="AQ148" s="287"/>
      <c r="AR148" s="287"/>
      <c r="AS148" s="287"/>
      <c r="AT148" s="287"/>
      <c r="AU148" s="287"/>
      <c r="AV148" s="287"/>
      <c r="AW148" s="287"/>
      <c r="AX148" s="283"/>
      <c r="AY148" s="492"/>
      <c r="AZ148" s="492"/>
      <c r="BA148" s="493"/>
      <c r="BB148" s="115"/>
      <c r="BC148" s="31"/>
      <c r="BD148" s="31"/>
      <c r="BE148" s="31"/>
      <c r="BF148" s="31"/>
      <c r="BG148" s="31"/>
      <c r="BH148" s="31"/>
      <c r="BI148" s="495"/>
      <c r="BJ148" s="495"/>
      <c r="BK148" s="495"/>
      <c r="BL148" s="495"/>
      <c r="BM148" s="495"/>
      <c r="BN148" s="495"/>
      <c r="BO148" s="495"/>
      <c r="BP148" s="495"/>
      <c r="BQ148" s="495"/>
      <c r="BR148" s="495">
        <f>H148</f>
        <v>8154</v>
      </c>
      <c r="BS148" s="495"/>
      <c r="BT148" s="495"/>
      <c r="BU148" s="495"/>
      <c r="BV148" s="495">
        <v>3.419</v>
      </c>
      <c r="BW148" s="495">
        <f t="shared" si="8"/>
        <v>27878.526</v>
      </c>
      <c r="BX148" s="495">
        <f t="shared" si="9"/>
        <v>216058.5765</v>
      </c>
      <c r="BY148" s="495" t="s">
        <v>342</v>
      </c>
      <c r="BZ148" s="495" t="s">
        <v>83</v>
      </c>
      <c r="XEI148" s="272"/>
      <c r="XEJ148" s="272"/>
      <c r="XEK148" s="273"/>
      <c r="XEL148" s="272"/>
      <c r="XEM148" s="273"/>
      <c r="XEN148" s="273"/>
      <c r="XEO148" s="273"/>
      <c r="XEP148" s="275"/>
      <c r="XEQ148" s="275"/>
      <c r="XER148" s="287"/>
      <c r="XES148" s="287"/>
      <c r="XET148" s="287"/>
      <c r="XEU148" s="287"/>
      <c r="XEV148" s="287"/>
      <c r="XEW148" s="287"/>
      <c r="XEX148" s="287"/>
      <c r="XEY148" s="287"/>
      <c r="XEZ148" s="287"/>
      <c r="XFA148" s="287"/>
      <c r="XFB148" s="287"/>
      <c r="XFC148" s="287"/>
      <c r="XFD148" s="287"/>
    </row>
    <row r="149" s="473" customFormat="1" ht="25" customHeight="1" spans="1:78 16363:16384">
      <c r="A149" s="272">
        <v>46153</v>
      </c>
      <c r="B149" s="272">
        <v>46213</v>
      </c>
      <c r="C149" s="273" t="s">
        <v>343</v>
      </c>
      <c r="D149" s="272" t="s">
        <v>344</v>
      </c>
      <c r="E149" s="273" t="s">
        <v>345</v>
      </c>
      <c r="F149" s="273" t="s">
        <v>165</v>
      </c>
      <c r="G149" s="273" t="s">
        <v>166</v>
      </c>
      <c r="H149" s="275">
        <v>1200</v>
      </c>
      <c r="I149" s="275">
        <v>6</v>
      </c>
      <c r="J149" s="287">
        <f t="shared" si="7"/>
        <v>200</v>
      </c>
      <c r="K149" s="287"/>
      <c r="L149" s="287"/>
      <c r="M149" s="287"/>
      <c r="N149" s="287"/>
      <c r="O149" s="287"/>
      <c r="P149" s="287"/>
      <c r="Q149" s="287"/>
      <c r="R149" s="287"/>
      <c r="S149" s="287">
        <f>H149</f>
        <v>1200</v>
      </c>
      <c r="T149" s="287"/>
      <c r="U149" s="287"/>
      <c r="V149" s="287"/>
      <c r="W149" s="287"/>
      <c r="X149" s="287"/>
      <c r="Y149" s="287"/>
      <c r="Z149" s="287"/>
      <c r="AA149" s="287"/>
      <c r="AB149" s="287"/>
      <c r="AC149" s="287"/>
      <c r="AD149" s="115"/>
      <c r="AE149" s="115"/>
      <c r="AF149" s="115"/>
      <c r="AG149" s="115"/>
      <c r="AH149" s="115"/>
      <c r="AI149" s="115"/>
      <c r="AJ149" s="115"/>
      <c r="AK149" s="115"/>
      <c r="AL149" s="115"/>
      <c r="AM149" s="115"/>
      <c r="AN149" s="115"/>
      <c r="AO149" s="115"/>
      <c r="AP149" s="115"/>
      <c r="AQ149" s="287"/>
      <c r="AR149" s="287"/>
      <c r="AS149" s="287"/>
      <c r="AT149" s="287"/>
      <c r="AU149" s="287"/>
      <c r="AV149" s="287"/>
      <c r="AW149" s="287"/>
      <c r="AX149" s="283"/>
      <c r="AY149" s="492"/>
      <c r="AZ149" s="492"/>
      <c r="BA149" s="493"/>
      <c r="BB149" s="115"/>
      <c r="BC149" s="31"/>
      <c r="BD149" s="31"/>
      <c r="BE149" s="31"/>
      <c r="BF149" s="31"/>
      <c r="BG149" s="31"/>
      <c r="BH149" s="31"/>
      <c r="BI149" s="495"/>
      <c r="BJ149" s="495"/>
      <c r="BK149" s="495"/>
      <c r="BL149" s="495"/>
      <c r="BM149" s="495"/>
      <c r="BN149" s="495"/>
      <c r="BO149" s="495"/>
      <c r="BP149" s="495"/>
      <c r="BQ149" s="495"/>
      <c r="BR149" s="495"/>
      <c r="BS149" s="495"/>
      <c r="BT149" s="495"/>
      <c r="BU149" s="495"/>
      <c r="BV149" s="495">
        <v>1.209</v>
      </c>
      <c r="BW149" s="495">
        <f t="shared" si="8"/>
        <v>1450.8</v>
      </c>
      <c r="BX149" s="495">
        <f t="shared" si="9"/>
        <v>11243.7</v>
      </c>
      <c r="BY149" s="270" t="s">
        <v>346</v>
      </c>
      <c r="BZ149" s="495" t="s">
        <v>83</v>
      </c>
      <c r="XEI149" s="272"/>
      <c r="XEJ149" s="272"/>
      <c r="XEK149" s="273"/>
      <c r="XEL149" s="272"/>
      <c r="XEM149" s="273"/>
      <c r="XEN149" s="273"/>
      <c r="XEO149" s="273"/>
      <c r="XEP149" s="275"/>
      <c r="XEQ149" s="275"/>
      <c r="XER149" s="287"/>
      <c r="XES149" s="287"/>
      <c r="XET149" s="287"/>
      <c r="XEU149" s="287"/>
      <c r="XEV149" s="287"/>
      <c r="XEW149" s="287"/>
      <c r="XEX149" s="287"/>
      <c r="XEY149" s="287"/>
      <c r="XEZ149" s="287"/>
      <c r="XFA149" s="287"/>
      <c r="XFB149" s="287"/>
      <c r="XFC149" s="287"/>
      <c r="XFD149" s="287"/>
    </row>
    <row r="150" s="473" customFormat="1" ht="25" customHeight="1" spans="1:78 16363:16384">
      <c r="A150" s="272">
        <v>46156</v>
      </c>
      <c r="B150" s="272">
        <v>46223</v>
      </c>
      <c r="C150" s="273" t="s">
        <v>154</v>
      </c>
      <c r="D150" s="272" t="s">
        <v>155</v>
      </c>
      <c r="E150" s="273" t="s">
        <v>347</v>
      </c>
      <c r="F150" s="273" t="s">
        <v>71</v>
      </c>
      <c r="G150" s="273" t="s">
        <v>348</v>
      </c>
      <c r="H150" s="275">
        <v>10728</v>
      </c>
      <c r="I150" s="275">
        <v>12</v>
      </c>
      <c r="J150" s="287">
        <f t="shared" si="7"/>
        <v>894</v>
      </c>
      <c r="K150" s="287"/>
      <c r="L150" s="287"/>
      <c r="M150" s="287"/>
      <c r="N150" s="287"/>
      <c r="O150" s="287"/>
      <c r="P150" s="287"/>
      <c r="Q150" s="287"/>
      <c r="R150" s="287"/>
      <c r="S150" s="287"/>
      <c r="T150" s="287"/>
      <c r="U150" s="287"/>
      <c r="V150" s="287"/>
      <c r="W150" s="287"/>
      <c r="X150" s="287"/>
      <c r="Y150" s="287"/>
      <c r="Z150" s="287"/>
      <c r="AA150" s="287"/>
      <c r="AB150" s="287"/>
      <c r="AC150" s="287"/>
      <c r="AD150" s="115"/>
      <c r="AE150" s="115"/>
      <c r="AF150" s="115"/>
      <c r="AG150" s="115"/>
      <c r="AH150" s="115"/>
      <c r="AI150" s="115"/>
      <c r="AJ150" s="115"/>
      <c r="AK150" s="115"/>
      <c r="AL150" s="115"/>
      <c r="AM150" s="115"/>
      <c r="AN150" s="115"/>
      <c r="AO150" s="115"/>
      <c r="AP150" s="115"/>
      <c r="AQ150" s="287"/>
      <c r="AR150" s="287"/>
      <c r="AS150" s="287"/>
      <c r="AT150" s="287"/>
      <c r="AU150" s="287"/>
      <c r="AV150" s="287"/>
      <c r="AW150" s="287"/>
      <c r="AX150" s="283"/>
      <c r="AY150" s="492"/>
      <c r="AZ150" s="492"/>
      <c r="BA150" s="493"/>
      <c r="BB150" s="115"/>
      <c r="BC150" s="31"/>
      <c r="BD150" s="31"/>
      <c r="BE150" s="31"/>
      <c r="BF150" s="31"/>
      <c r="BG150" s="31"/>
      <c r="BH150" s="31"/>
      <c r="BI150" s="495"/>
      <c r="BJ150" s="495"/>
      <c r="BK150" s="495"/>
      <c r="BL150" s="495"/>
      <c r="BM150" s="495"/>
      <c r="BN150" s="495"/>
      <c r="BO150" s="495"/>
      <c r="BP150" s="495"/>
      <c r="BQ150" s="495"/>
      <c r="BR150" s="495"/>
      <c r="BS150" s="495"/>
      <c r="BT150" s="495">
        <f>H150</f>
        <v>10728</v>
      </c>
      <c r="BU150" s="495"/>
      <c r="BV150" s="495">
        <v>1.69</v>
      </c>
      <c r="BW150" s="495">
        <f t="shared" si="8"/>
        <v>18130.32</v>
      </c>
      <c r="BX150" s="495">
        <f t="shared" si="9"/>
        <v>140509.98</v>
      </c>
      <c r="BY150" s="495" t="s">
        <v>349</v>
      </c>
      <c r="BZ150" s="495" t="s">
        <v>83</v>
      </c>
      <c r="XEI150" s="272"/>
      <c r="XEJ150" s="272"/>
      <c r="XEK150" s="273"/>
      <c r="XEL150" s="272"/>
      <c r="XEM150" s="273"/>
      <c r="XEN150" s="273"/>
      <c r="XEO150" s="273"/>
      <c r="XEP150" s="275"/>
      <c r="XEQ150" s="275"/>
      <c r="XER150" s="287"/>
      <c r="XES150" s="287"/>
      <c r="XET150" s="287"/>
      <c r="XEU150" s="287"/>
      <c r="XEV150" s="287"/>
      <c r="XEW150" s="287"/>
      <c r="XEX150" s="287"/>
      <c r="XEY150" s="287"/>
      <c r="XEZ150" s="287"/>
      <c r="XFA150" s="287"/>
      <c r="XFB150" s="287"/>
      <c r="XFC150" s="287"/>
      <c r="XFD150" s="287"/>
    </row>
    <row r="151" s="473" customFormat="1" ht="25" customHeight="1" spans="1:78 16363:16384">
      <c r="A151" s="272">
        <v>46156</v>
      </c>
      <c r="B151" s="272">
        <v>46223</v>
      </c>
      <c r="C151" s="273" t="s">
        <v>154</v>
      </c>
      <c r="D151" s="272" t="s">
        <v>155</v>
      </c>
      <c r="E151" s="273" t="s">
        <v>347</v>
      </c>
      <c r="F151" s="273" t="s">
        <v>69</v>
      </c>
      <c r="G151" s="273" t="s">
        <v>325</v>
      </c>
      <c r="H151" s="275">
        <v>7002</v>
      </c>
      <c r="I151" s="275">
        <v>6</v>
      </c>
      <c r="J151" s="287">
        <f t="shared" si="7"/>
        <v>1167</v>
      </c>
      <c r="K151" s="287"/>
      <c r="L151" s="287"/>
      <c r="M151" s="287"/>
      <c r="N151" s="287"/>
      <c r="O151" s="287"/>
      <c r="P151" s="287"/>
      <c r="Q151" s="287"/>
      <c r="R151" s="287"/>
      <c r="S151" s="287"/>
      <c r="T151" s="287"/>
      <c r="U151" s="287"/>
      <c r="V151" s="287"/>
      <c r="W151" s="287"/>
      <c r="X151" s="287"/>
      <c r="Y151" s="287"/>
      <c r="Z151" s="287"/>
      <c r="AA151" s="287"/>
      <c r="AB151" s="287"/>
      <c r="AC151" s="287"/>
      <c r="AD151" s="115"/>
      <c r="AE151" s="115"/>
      <c r="AF151" s="115"/>
      <c r="AG151" s="115"/>
      <c r="AH151" s="115"/>
      <c r="AI151" s="115"/>
      <c r="AJ151" s="115"/>
      <c r="AK151" s="115"/>
      <c r="AL151" s="115"/>
      <c r="AM151" s="115"/>
      <c r="AN151" s="115"/>
      <c r="AO151" s="115"/>
      <c r="AP151" s="115"/>
      <c r="AQ151" s="287"/>
      <c r="AR151" s="287"/>
      <c r="AS151" s="287"/>
      <c r="AT151" s="287"/>
      <c r="AU151" s="287"/>
      <c r="AV151" s="287"/>
      <c r="AW151" s="287"/>
      <c r="AX151" s="283"/>
      <c r="AY151" s="492"/>
      <c r="AZ151" s="492"/>
      <c r="BA151" s="493"/>
      <c r="BB151" s="115"/>
      <c r="BC151" s="31"/>
      <c r="BD151" s="31"/>
      <c r="BE151" s="31"/>
      <c r="BF151" s="31"/>
      <c r="BG151" s="31"/>
      <c r="BH151" s="31"/>
      <c r="BI151" s="495"/>
      <c r="BJ151" s="495"/>
      <c r="BK151" s="495"/>
      <c r="BL151" s="495"/>
      <c r="BM151" s="495"/>
      <c r="BN151" s="495"/>
      <c r="BO151" s="495"/>
      <c r="BP151" s="495"/>
      <c r="BQ151" s="495"/>
      <c r="BR151" s="495">
        <f>H151</f>
        <v>7002</v>
      </c>
      <c r="BS151" s="495"/>
      <c r="BT151" s="495"/>
      <c r="BU151" s="495"/>
      <c r="BV151" s="495">
        <v>3.419</v>
      </c>
      <c r="BW151" s="495">
        <f t="shared" si="8"/>
        <v>23939.838</v>
      </c>
      <c r="BX151" s="495">
        <f t="shared" si="9"/>
        <v>185533.7445</v>
      </c>
      <c r="BY151" s="495" t="s">
        <v>349</v>
      </c>
      <c r="BZ151" s="495" t="s">
        <v>83</v>
      </c>
      <c r="XEI151" s="272"/>
      <c r="XEJ151" s="272"/>
      <c r="XEK151" s="273"/>
      <c r="XEL151" s="272"/>
      <c r="XEM151" s="273"/>
      <c r="XEN151" s="273"/>
      <c r="XEO151" s="273"/>
      <c r="XEP151" s="275"/>
      <c r="XEQ151" s="275"/>
      <c r="XER151" s="287"/>
      <c r="XES151" s="287"/>
      <c r="XET151" s="287"/>
      <c r="XEU151" s="287"/>
      <c r="XEV151" s="287"/>
      <c r="XEW151" s="287"/>
      <c r="XEX151" s="287"/>
      <c r="XEY151" s="287"/>
      <c r="XEZ151" s="287"/>
      <c r="XFA151" s="287"/>
      <c r="XFB151" s="287"/>
      <c r="XFC151" s="287"/>
      <c r="XFD151" s="287"/>
    </row>
    <row r="152" s="473" customFormat="1" ht="25" customHeight="1" spans="1:78 16363:16384">
      <c r="A152" s="272">
        <v>46156</v>
      </c>
      <c r="B152" s="272">
        <v>46223</v>
      </c>
      <c r="C152" s="273" t="s">
        <v>350</v>
      </c>
      <c r="D152" s="272" t="s">
        <v>351</v>
      </c>
      <c r="E152" s="273" t="s">
        <v>352</v>
      </c>
      <c r="F152" s="273" t="s">
        <v>71</v>
      </c>
      <c r="G152" s="273" t="s">
        <v>348</v>
      </c>
      <c r="H152" s="275">
        <v>2400</v>
      </c>
      <c r="I152" s="275">
        <v>12</v>
      </c>
      <c r="J152" s="287">
        <f t="shared" si="7"/>
        <v>200</v>
      </c>
      <c r="K152" s="287"/>
      <c r="L152" s="287"/>
      <c r="M152" s="287"/>
      <c r="N152" s="287"/>
      <c r="O152" s="287"/>
      <c r="P152" s="287"/>
      <c r="Q152" s="287"/>
      <c r="R152" s="287"/>
      <c r="S152" s="287"/>
      <c r="T152" s="287"/>
      <c r="U152" s="287"/>
      <c r="V152" s="287"/>
      <c r="W152" s="287"/>
      <c r="X152" s="287"/>
      <c r="Y152" s="287"/>
      <c r="Z152" s="287"/>
      <c r="AA152" s="287"/>
      <c r="AB152" s="287"/>
      <c r="AC152" s="287"/>
      <c r="AD152" s="115"/>
      <c r="AE152" s="115"/>
      <c r="AF152" s="115"/>
      <c r="AG152" s="115"/>
      <c r="AH152" s="115"/>
      <c r="AI152" s="115"/>
      <c r="AJ152" s="115"/>
      <c r="AK152" s="115"/>
      <c r="AL152" s="115"/>
      <c r="AM152" s="115"/>
      <c r="AN152" s="115"/>
      <c r="AO152" s="115"/>
      <c r="AP152" s="115"/>
      <c r="AQ152" s="287"/>
      <c r="AR152" s="287"/>
      <c r="AS152" s="287"/>
      <c r="AT152" s="287"/>
      <c r="AU152" s="287"/>
      <c r="AV152" s="287"/>
      <c r="AW152" s="287"/>
      <c r="AX152" s="283"/>
      <c r="AY152" s="492"/>
      <c r="AZ152" s="492"/>
      <c r="BA152" s="493"/>
      <c r="BB152" s="115"/>
      <c r="BC152" s="31"/>
      <c r="BD152" s="31"/>
      <c r="BE152" s="31"/>
      <c r="BF152" s="31"/>
      <c r="BG152" s="31"/>
      <c r="BH152" s="31"/>
      <c r="BI152" s="495"/>
      <c r="BJ152" s="495"/>
      <c r="BK152" s="495"/>
      <c r="BL152" s="495"/>
      <c r="BM152" s="495"/>
      <c r="BN152" s="495"/>
      <c r="BO152" s="495"/>
      <c r="BP152" s="495"/>
      <c r="BQ152" s="495"/>
      <c r="BR152" s="495"/>
      <c r="BS152" s="495"/>
      <c r="BT152" s="495">
        <f>H152</f>
        <v>2400</v>
      </c>
      <c r="BU152" s="495"/>
      <c r="BV152" s="495">
        <v>1.69</v>
      </c>
      <c r="BW152" s="495">
        <f t="shared" si="8"/>
        <v>4056</v>
      </c>
      <c r="BX152" s="495">
        <f t="shared" si="9"/>
        <v>31434</v>
      </c>
      <c r="BY152" s="304" t="s">
        <v>353</v>
      </c>
      <c r="BZ152" s="495" t="s">
        <v>83</v>
      </c>
      <c r="XEI152" s="272"/>
      <c r="XEJ152" s="272"/>
      <c r="XEK152" s="273"/>
      <c r="XEL152" s="272"/>
      <c r="XEM152" s="273"/>
      <c r="XEN152" s="273"/>
      <c r="XEO152" s="273"/>
      <c r="XEP152" s="275"/>
      <c r="XEQ152" s="275"/>
      <c r="XER152" s="287"/>
      <c r="XES152" s="287"/>
      <c r="XET152" s="287"/>
      <c r="XEU152" s="287"/>
      <c r="XEV152" s="287"/>
      <c r="XEW152" s="287"/>
      <c r="XEX152" s="287"/>
      <c r="XEY152" s="287"/>
      <c r="XEZ152" s="287"/>
      <c r="XFA152" s="287"/>
      <c r="XFB152" s="287"/>
      <c r="XFC152" s="287"/>
      <c r="XFD152" s="287"/>
    </row>
    <row r="153" s="473" customFormat="1" ht="25" customHeight="1" spans="1:78 16363:16384">
      <c r="A153" s="272">
        <v>46156</v>
      </c>
      <c r="B153" s="272">
        <v>46223</v>
      </c>
      <c r="C153" s="273" t="s">
        <v>350</v>
      </c>
      <c r="D153" s="272" t="s">
        <v>351</v>
      </c>
      <c r="E153" s="273" t="s">
        <v>352</v>
      </c>
      <c r="F153" s="273" t="s">
        <v>10</v>
      </c>
      <c r="G153" s="273" t="s">
        <v>128</v>
      </c>
      <c r="H153" s="275">
        <v>1800</v>
      </c>
      <c r="I153" s="275">
        <v>6</v>
      </c>
      <c r="J153" s="287">
        <f t="shared" si="7"/>
        <v>300</v>
      </c>
      <c r="K153" s="287">
        <f>H153</f>
        <v>1800</v>
      </c>
      <c r="L153" s="287"/>
      <c r="M153" s="287"/>
      <c r="N153" s="287"/>
      <c r="O153" s="287"/>
      <c r="P153" s="287"/>
      <c r="Q153" s="287"/>
      <c r="R153" s="287"/>
      <c r="S153" s="287"/>
      <c r="T153" s="287"/>
      <c r="U153" s="287"/>
      <c r="V153" s="287"/>
      <c r="W153" s="287"/>
      <c r="X153" s="287"/>
      <c r="Y153" s="287"/>
      <c r="Z153" s="287"/>
      <c r="AA153" s="287"/>
      <c r="AB153" s="287"/>
      <c r="AC153" s="287"/>
      <c r="AD153" s="115"/>
      <c r="AE153" s="115"/>
      <c r="AF153" s="115"/>
      <c r="AG153" s="115"/>
      <c r="AH153" s="115"/>
      <c r="AI153" s="115"/>
      <c r="AJ153" s="115"/>
      <c r="AK153" s="115"/>
      <c r="AL153" s="115"/>
      <c r="AM153" s="115"/>
      <c r="AN153" s="115"/>
      <c r="AO153" s="115"/>
      <c r="AP153" s="115"/>
      <c r="AQ153" s="287"/>
      <c r="AR153" s="287"/>
      <c r="AS153" s="287"/>
      <c r="AT153" s="287"/>
      <c r="AU153" s="287"/>
      <c r="AV153" s="287"/>
      <c r="AW153" s="287"/>
      <c r="AX153" s="283"/>
      <c r="AY153" s="492"/>
      <c r="AZ153" s="492"/>
      <c r="BA153" s="493"/>
      <c r="BB153" s="115"/>
      <c r="BC153" s="31"/>
      <c r="BD153" s="31"/>
      <c r="BE153" s="31"/>
      <c r="BF153" s="31"/>
      <c r="BG153" s="31"/>
      <c r="BH153" s="31"/>
      <c r="BI153" s="495"/>
      <c r="BJ153" s="495"/>
      <c r="BK153" s="495"/>
      <c r="BL153" s="495"/>
      <c r="BM153" s="495"/>
      <c r="BN153" s="495"/>
      <c r="BO153" s="495"/>
      <c r="BP153" s="495"/>
      <c r="BQ153" s="495"/>
      <c r="BR153" s="495"/>
      <c r="BS153" s="495"/>
      <c r="BT153" s="495"/>
      <c r="BU153" s="495"/>
      <c r="BV153" s="495">
        <v>3.283</v>
      </c>
      <c r="BW153" s="495">
        <f t="shared" si="8"/>
        <v>5909.4</v>
      </c>
      <c r="BX153" s="495">
        <f t="shared" si="9"/>
        <v>45797.85</v>
      </c>
      <c r="BY153" s="304" t="s">
        <v>353</v>
      </c>
      <c r="BZ153" s="495" t="s">
        <v>83</v>
      </c>
      <c r="XEI153" s="272"/>
      <c r="XEJ153" s="272"/>
      <c r="XEK153" s="273"/>
      <c r="XEL153" s="272"/>
      <c r="XEM153" s="273"/>
      <c r="XEN153" s="273"/>
      <c r="XEO153" s="273"/>
      <c r="XEP153" s="275"/>
      <c r="XEQ153" s="275"/>
      <c r="XER153" s="287"/>
      <c r="XES153" s="287"/>
      <c r="XET153" s="287"/>
      <c r="XEU153" s="287"/>
      <c r="XEV153" s="287"/>
      <c r="XEW153" s="287"/>
      <c r="XEX153" s="287"/>
      <c r="XEY153" s="287"/>
      <c r="XEZ153" s="287"/>
      <c r="XFA153" s="287"/>
      <c r="XFB153" s="287"/>
      <c r="XFC153" s="287"/>
      <c r="XFD153" s="287"/>
    </row>
    <row r="154" s="473" customFormat="1" ht="25" customHeight="1" spans="1:78 16363:16384">
      <c r="A154" s="272">
        <v>46156</v>
      </c>
      <c r="B154" s="272">
        <v>46223</v>
      </c>
      <c r="C154" s="273" t="s">
        <v>350</v>
      </c>
      <c r="D154" s="272" t="s">
        <v>351</v>
      </c>
      <c r="E154" s="273" t="s">
        <v>352</v>
      </c>
      <c r="F154" s="273" t="s">
        <v>69</v>
      </c>
      <c r="G154" s="273" t="s">
        <v>325</v>
      </c>
      <c r="H154" s="275">
        <v>6600</v>
      </c>
      <c r="I154" s="275">
        <v>6</v>
      </c>
      <c r="J154" s="287">
        <f t="shared" si="7"/>
        <v>1100</v>
      </c>
      <c r="K154" s="287"/>
      <c r="L154" s="287"/>
      <c r="M154" s="287"/>
      <c r="N154" s="287"/>
      <c r="O154" s="287"/>
      <c r="P154" s="287"/>
      <c r="Q154" s="287"/>
      <c r="R154" s="287"/>
      <c r="S154" s="287"/>
      <c r="T154" s="287"/>
      <c r="U154" s="287"/>
      <c r="V154" s="287"/>
      <c r="W154" s="287"/>
      <c r="X154" s="287"/>
      <c r="Y154" s="287"/>
      <c r="Z154" s="287"/>
      <c r="AA154" s="287"/>
      <c r="AB154" s="287"/>
      <c r="AC154" s="287"/>
      <c r="AD154" s="115"/>
      <c r="AE154" s="115"/>
      <c r="AF154" s="115"/>
      <c r="AG154" s="115"/>
      <c r="AH154" s="115"/>
      <c r="AI154" s="115"/>
      <c r="AJ154" s="115"/>
      <c r="AK154" s="115"/>
      <c r="AL154" s="115"/>
      <c r="AM154" s="115"/>
      <c r="AN154" s="115"/>
      <c r="AO154" s="115"/>
      <c r="AP154" s="115"/>
      <c r="AQ154" s="287"/>
      <c r="AR154" s="287"/>
      <c r="AS154" s="287"/>
      <c r="AT154" s="287"/>
      <c r="AU154" s="287"/>
      <c r="AV154" s="287"/>
      <c r="AW154" s="287"/>
      <c r="AX154" s="283"/>
      <c r="AY154" s="492"/>
      <c r="AZ154" s="492"/>
      <c r="BA154" s="493"/>
      <c r="BB154" s="115"/>
      <c r="BC154" s="31"/>
      <c r="BD154" s="31"/>
      <c r="BE154" s="31"/>
      <c r="BF154" s="31"/>
      <c r="BG154" s="31"/>
      <c r="BH154" s="31"/>
      <c r="BI154" s="495"/>
      <c r="BJ154" s="495"/>
      <c r="BK154" s="495"/>
      <c r="BL154" s="495"/>
      <c r="BM154" s="495"/>
      <c r="BN154" s="495"/>
      <c r="BO154" s="495"/>
      <c r="BP154" s="495"/>
      <c r="BQ154" s="495"/>
      <c r="BR154" s="495">
        <f>H154</f>
        <v>6600</v>
      </c>
      <c r="BS154" s="495"/>
      <c r="BT154" s="495"/>
      <c r="BU154" s="495"/>
      <c r="BV154" s="495">
        <v>3.419</v>
      </c>
      <c r="BW154" s="495">
        <f t="shared" si="8"/>
        <v>22565.4</v>
      </c>
      <c r="BX154" s="495">
        <f t="shared" si="9"/>
        <v>174881.85</v>
      </c>
      <c r="BY154" s="304" t="s">
        <v>353</v>
      </c>
      <c r="BZ154" s="495" t="s">
        <v>83</v>
      </c>
      <c r="XEI154" s="272"/>
      <c r="XEJ154" s="272"/>
      <c r="XEK154" s="273"/>
      <c r="XEL154" s="272"/>
      <c r="XEM154" s="273"/>
      <c r="XEN154" s="273"/>
      <c r="XEO154" s="273"/>
      <c r="XEP154" s="275"/>
      <c r="XEQ154" s="275"/>
      <c r="XER154" s="287"/>
      <c r="XES154" s="287"/>
      <c r="XET154" s="287"/>
      <c r="XEU154" s="287"/>
      <c r="XEV154" s="287"/>
      <c r="XEW154" s="287"/>
      <c r="XEX154" s="287"/>
      <c r="XEY154" s="287"/>
      <c r="XEZ154" s="287"/>
      <c r="XFA154" s="287"/>
      <c r="XFB154" s="287"/>
      <c r="XFC154" s="287"/>
      <c r="XFD154" s="287"/>
    </row>
    <row r="155" s="473" customFormat="1" ht="25" customHeight="1" spans="1:78 16363:16384">
      <c r="A155" s="272">
        <v>46156</v>
      </c>
      <c r="B155" s="272">
        <v>46218</v>
      </c>
      <c r="C155" s="273" t="s">
        <v>350</v>
      </c>
      <c r="D155" s="272" t="s">
        <v>351</v>
      </c>
      <c r="E155" s="273" t="s">
        <v>354</v>
      </c>
      <c r="F155" s="273" t="s">
        <v>165</v>
      </c>
      <c r="G155" s="273" t="s">
        <v>166</v>
      </c>
      <c r="H155" s="275">
        <v>2004</v>
      </c>
      <c r="I155" s="275">
        <v>6</v>
      </c>
      <c r="J155" s="287">
        <f t="shared" si="7"/>
        <v>334</v>
      </c>
      <c r="K155" s="287"/>
      <c r="L155" s="287"/>
      <c r="M155" s="287"/>
      <c r="N155" s="287"/>
      <c r="O155" s="287"/>
      <c r="P155" s="287"/>
      <c r="Q155" s="287"/>
      <c r="R155" s="287"/>
      <c r="S155" s="287">
        <f>H155</f>
        <v>2004</v>
      </c>
      <c r="T155" s="287"/>
      <c r="U155" s="287"/>
      <c r="V155" s="287"/>
      <c r="W155" s="287"/>
      <c r="X155" s="287"/>
      <c r="Y155" s="287"/>
      <c r="Z155" s="287"/>
      <c r="AA155" s="287"/>
      <c r="AB155" s="287"/>
      <c r="AC155" s="287"/>
      <c r="AD155" s="115"/>
      <c r="AE155" s="115"/>
      <c r="AF155" s="115"/>
      <c r="AG155" s="115"/>
      <c r="AH155" s="115"/>
      <c r="AI155" s="115"/>
      <c r="AJ155" s="115"/>
      <c r="AK155" s="115"/>
      <c r="AL155" s="115"/>
      <c r="AM155" s="115"/>
      <c r="AN155" s="115"/>
      <c r="AO155" s="115"/>
      <c r="AP155" s="115"/>
      <c r="AQ155" s="287"/>
      <c r="AR155" s="287"/>
      <c r="AS155" s="287"/>
      <c r="AT155" s="287"/>
      <c r="AU155" s="287"/>
      <c r="AV155" s="287"/>
      <c r="AW155" s="287"/>
      <c r="AX155" s="283"/>
      <c r="AY155" s="492"/>
      <c r="AZ155" s="492"/>
      <c r="BA155" s="493"/>
      <c r="BB155" s="115"/>
      <c r="BC155" s="31"/>
      <c r="BD155" s="31"/>
      <c r="BE155" s="31"/>
      <c r="BF155" s="31"/>
      <c r="BG155" s="31"/>
      <c r="BH155" s="31"/>
      <c r="BI155" s="495"/>
      <c r="BJ155" s="495"/>
      <c r="BK155" s="495"/>
      <c r="BL155" s="495"/>
      <c r="BM155" s="495"/>
      <c r="BN155" s="495"/>
      <c r="BO155" s="495"/>
      <c r="BP155" s="495"/>
      <c r="BQ155" s="495"/>
      <c r="BR155" s="495"/>
      <c r="BS155" s="495"/>
      <c r="BT155" s="495"/>
      <c r="BU155" s="495"/>
      <c r="BV155" s="495">
        <v>1.209</v>
      </c>
      <c r="BW155" s="495">
        <f t="shared" si="8"/>
        <v>2422.836</v>
      </c>
      <c r="BX155" s="495">
        <f t="shared" si="9"/>
        <v>18776.979</v>
      </c>
      <c r="BY155" s="495"/>
      <c r="BZ155" s="495" t="s">
        <v>83</v>
      </c>
      <c r="XEI155" s="272"/>
      <c r="XEJ155" s="272"/>
      <c r="XEK155" s="273"/>
      <c r="XEL155" s="272"/>
      <c r="XEM155" s="273"/>
      <c r="XEN155" s="273"/>
      <c r="XEO155" s="273"/>
      <c r="XEP155" s="275"/>
      <c r="XEQ155" s="275"/>
      <c r="XER155" s="287"/>
      <c r="XES155" s="287"/>
      <c r="XET155" s="287"/>
      <c r="XEU155" s="287"/>
      <c r="XEV155" s="287"/>
      <c r="XEW155" s="287"/>
      <c r="XEX155" s="287"/>
      <c r="XEY155" s="287"/>
      <c r="XEZ155" s="287"/>
      <c r="XFA155" s="287"/>
      <c r="XFB155" s="287"/>
      <c r="XFC155" s="287"/>
      <c r="XFD155" s="287"/>
    </row>
    <row r="156" s="473" customFormat="1" ht="25" customHeight="1" spans="1:78 16363:16384">
      <c r="A156" s="272">
        <v>46163</v>
      </c>
      <c r="B156" s="272">
        <v>46237</v>
      </c>
      <c r="C156" s="273" t="s">
        <v>315</v>
      </c>
      <c r="D156" s="272" t="s">
        <v>79</v>
      </c>
      <c r="E156" s="273" t="s">
        <v>355</v>
      </c>
      <c r="F156" s="273" t="s">
        <v>49</v>
      </c>
      <c r="G156" s="273" t="s">
        <v>144</v>
      </c>
      <c r="H156" s="275">
        <v>744</v>
      </c>
      <c r="I156" s="275">
        <v>4</v>
      </c>
      <c r="J156" s="287">
        <f t="shared" si="7"/>
        <v>186</v>
      </c>
      <c r="K156" s="287"/>
      <c r="L156" s="287"/>
      <c r="M156" s="287"/>
      <c r="N156" s="287"/>
      <c r="O156" s="287"/>
      <c r="P156" s="287"/>
      <c r="Q156" s="287"/>
      <c r="R156" s="287"/>
      <c r="S156" s="287"/>
      <c r="T156" s="287"/>
      <c r="U156" s="287"/>
      <c r="V156" s="287"/>
      <c r="W156" s="287"/>
      <c r="X156" s="287"/>
      <c r="Y156" s="287"/>
      <c r="Z156" s="287"/>
      <c r="AA156" s="287"/>
      <c r="AB156" s="287"/>
      <c r="AC156" s="287"/>
      <c r="AD156" s="115"/>
      <c r="AE156" s="115"/>
      <c r="AF156" s="115"/>
      <c r="AG156" s="115"/>
      <c r="AH156" s="115"/>
      <c r="AI156" s="115"/>
      <c r="AJ156" s="115"/>
      <c r="AK156" s="115"/>
      <c r="AL156" s="115"/>
      <c r="AM156" s="115"/>
      <c r="AN156" s="115"/>
      <c r="AO156" s="115"/>
      <c r="AP156" s="115"/>
      <c r="AQ156" s="287"/>
      <c r="AR156" s="287"/>
      <c r="AS156" s="287"/>
      <c r="AT156" s="287"/>
      <c r="AU156" s="287"/>
      <c r="AV156" s="287"/>
      <c r="AW156" s="287"/>
      <c r="AX156" s="283">
        <f>H156</f>
        <v>744</v>
      </c>
      <c r="AY156" s="492"/>
      <c r="AZ156" s="492"/>
      <c r="BA156" s="493"/>
      <c r="BB156" s="115"/>
      <c r="BC156" s="31"/>
      <c r="BD156" s="31"/>
      <c r="BE156" s="31"/>
      <c r="BF156" s="31"/>
      <c r="BG156" s="31"/>
      <c r="BH156" s="31"/>
      <c r="BI156" s="495"/>
      <c r="BJ156" s="495"/>
      <c r="BK156" s="495"/>
      <c r="BL156" s="495"/>
      <c r="BM156" s="495"/>
      <c r="BN156" s="495"/>
      <c r="BO156" s="495"/>
      <c r="BP156" s="495"/>
      <c r="BQ156" s="495"/>
      <c r="BR156" s="495"/>
      <c r="BS156" s="495"/>
      <c r="BT156" s="495"/>
      <c r="BU156" s="495"/>
      <c r="BV156" s="495">
        <v>10.262</v>
      </c>
      <c r="BW156" s="495">
        <f t="shared" si="8"/>
        <v>7634.928</v>
      </c>
      <c r="BX156" s="495">
        <f t="shared" si="9"/>
        <v>59170.692</v>
      </c>
      <c r="BY156" s="495"/>
      <c r="BZ156" s="495" t="s">
        <v>146</v>
      </c>
      <c r="XEI156" s="272"/>
      <c r="XEJ156" s="272"/>
      <c r="XEK156" s="273"/>
      <c r="XEL156" s="272"/>
      <c r="XEM156" s="273"/>
      <c r="XEN156" s="273"/>
      <c r="XEO156" s="273"/>
      <c r="XEP156" s="275"/>
      <c r="XEQ156" s="275"/>
      <c r="XER156" s="287"/>
      <c r="XES156" s="287"/>
      <c r="XET156" s="287"/>
      <c r="XEU156" s="287"/>
      <c r="XEV156" s="287"/>
      <c r="XEW156" s="287"/>
      <c r="XEX156" s="287"/>
      <c r="XEY156" s="287"/>
      <c r="XEZ156" s="287"/>
      <c r="XFA156" s="287"/>
      <c r="XFB156" s="287"/>
      <c r="XFC156" s="287"/>
      <c r="XFD156" s="287"/>
    </row>
    <row r="157" s="473" customFormat="1" ht="25" customHeight="1" spans="1:78 16363:16384">
      <c r="A157" s="272">
        <v>46163</v>
      </c>
      <c r="B157" s="272">
        <v>46237</v>
      </c>
      <c r="C157" s="273" t="s">
        <v>315</v>
      </c>
      <c r="D157" s="272" t="s">
        <v>84</v>
      </c>
      <c r="E157" s="273" t="s">
        <v>356</v>
      </c>
      <c r="F157" s="273" t="s">
        <v>49</v>
      </c>
      <c r="G157" s="273" t="s">
        <v>144</v>
      </c>
      <c r="H157" s="275">
        <v>124</v>
      </c>
      <c r="I157" s="275">
        <v>4</v>
      </c>
      <c r="J157" s="287">
        <f t="shared" si="7"/>
        <v>31</v>
      </c>
      <c r="K157" s="287"/>
      <c r="L157" s="287"/>
      <c r="M157" s="287"/>
      <c r="N157" s="287"/>
      <c r="O157" s="287"/>
      <c r="P157" s="287"/>
      <c r="Q157" s="287"/>
      <c r="R157" s="287"/>
      <c r="S157" s="287"/>
      <c r="T157" s="287"/>
      <c r="U157" s="287"/>
      <c r="V157" s="287"/>
      <c r="W157" s="287"/>
      <c r="X157" s="287"/>
      <c r="Y157" s="287"/>
      <c r="Z157" s="287"/>
      <c r="AA157" s="287"/>
      <c r="AB157" s="287"/>
      <c r="AC157" s="287"/>
      <c r="AD157" s="115"/>
      <c r="AE157" s="115"/>
      <c r="AF157" s="115"/>
      <c r="AG157" s="115"/>
      <c r="AH157" s="115"/>
      <c r="AI157" s="115"/>
      <c r="AJ157" s="115"/>
      <c r="AK157" s="115"/>
      <c r="AL157" s="115"/>
      <c r="AM157" s="115"/>
      <c r="AN157" s="115"/>
      <c r="AO157" s="115"/>
      <c r="AP157" s="115"/>
      <c r="AQ157" s="287"/>
      <c r="AR157" s="287"/>
      <c r="AS157" s="287"/>
      <c r="AT157" s="287"/>
      <c r="AU157" s="287"/>
      <c r="AV157" s="287"/>
      <c r="AW157" s="287"/>
      <c r="AX157" s="283">
        <f>H157</f>
        <v>124</v>
      </c>
      <c r="AY157" s="492"/>
      <c r="AZ157" s="492"/>
      <c r="BA157" s="493"/>
      <c r="BB157" s="115"/>
      <c r="BC157" s="31"/>
      <c r="BD157" s="31"/>
      <c r="BE157" s="31"/>
      <c r="BF157" s="31"/>
      <c r="BG157" s="31"/>
      <c r="BH157" s="31"/>
      <c r="BI157" s="495"/>
      <c r="BJ157" s="495"/>
      <c r="BK157" s="495"/>
      <c r="BL157" s="495"/>
      <c r="BM157" s="495"/>
      <c r="BN157" s="495"/>
      <c r="BO157" s="495"/>
      <c r="BP157" s="495"/>
      <c r="BQ157" s="495"/>
      <c r="BR157" s="495"/>
      <c r="BS157" s="495"/>
      <c r="BT157" s="495"/>
      <c r="BU157" s="495"/>
      <c r="BV157" s="495">
        <v>10.262</v>
      </c>
      <c r="BW157" s="495">
        <f t="shared" si="8"/>
        <v>1272.488</v>
      </c>
      <c r="BX157" s="495">
        <f t="shared" si="9"/>
        <v>9861.782</v>
      </c>
      <c r="BY157" s="495"/>
      <c r="BZ157" s="495" t="s">
        <v>146</v>
      </c>
      <c r="XEI157" s="272"/>
      <c r="XEJ157" s="272"/>
      <c r="XEK157" s="273"/>
      <c r="XEL157" s="272"/>
      <c r="XEM157" s="273"/>
      <c r="XEN157" s="273"/>
      <c r="XEO157" s="273"/>
      <c r="XEP157" s="275"/>
      <c r="XEQ157" s="275"/>
      <c r="XER157" s="287"/>
      <c r="XES157" s="287"/>
      <c r="XET157" s="287"/>
      <c r="XEU157" s="287"/>
      <c r="XEV157" s="287"/>
      <c r="XEW157" s="287"/>
      <c r="XEX157" s="287"/>
      <c r="XEY157" s="287"/>
      <c r="XEZ157" s="287"/>
      <c r="XFA157" s="287"/>
      <c r="XFB157" s="287"/>
      <c r="XFC157" s="287"/>
      <c r="XFD157" s="287"/>
    </row>
    <row r="158" s="473" customFormat="1" ht="25" customHeight="1" spans="1:78 16363:16384">
      <c r="A158" s="272">
        <v>46169</v>
      </c>
      <c r="B158" s="272">
        <v>46219</v>
      </c>
      <c r="C158" s="273" t="s">
        <v>357</v>
      </c>
      <c r="D158" s="272" t="s">
        <v>358</v>
      </c>
      <c r="E158" s="273" t="s">
        <v>359</v>
      </c>
      <c r="F158" s="273" t="s">
        <v>70</v>
      </c>
      <c r="G158" s="273" t="s">
        <v>339</v>
      </c>
      <c r="H158" s="275">
        <v>180</v>
      </c>
      <c r="I158" s="275">
        <v>6</v>
      </c>
      <c r="J158" s="287">
        <f t="shared" ref="J158:J196" si="10">H158/I158</f>
        <v>30</v>
      </c>
      <c r="K158" s="287"/>
      <c r="L158" s="287"/>
      <c r="M158" s="287"/>
      <c r="N158" s="287"/>
      <c r="O158" s="287"/>
      <c r="P158" s="287"/>
      <c r="Q158" s="287"/>
      <c r="R158" s="287"/>
      <c r="S158" s="287"/>
      <c r="T158" s="287"/>
      <c r="U158" s="287"/>
      <c r="V158" s="287"/>
      <c r="W158" s="287"/>
      <c r="X158" s="287"/>
      <c r="Y158" s="287"/>
      <c r="Z158" s="287"/>
      <c r="AA158" s="287"/>
      <c r="AB158" s="287"/>
      <c r="AC158" s="287"/>
      <c r="AD158" s="115"/>
      <c r="AE158" s="115"/>
      <c r="AF158" s="115"/>
      <c r="AG158" s="115"/>
      <c r="AH158" s="115"/>
      <c r="AI158" s="115"/>
      <c r="AJ158" s="115"/>
      <c r="AK158" s="115"/>
      <c r="AL158" s="115"/>
      <c r="AM158" s="115"/>
      <c r="AN158" s="115"/>
      <c r="AO158" s="115"/>
      <c r="AP158" s="115"/>
      <c r="AQ158" s="287"/>
      <c r="AR158" s="287"/>
      <c r="AS158" s="287"/>
      <c r="AT158" s="287"/>
      <c r="AU158" s="287"/>
      <c r="AV158" s="287"/>
      <c r="AW158" s="287"/>
      <c r="AX158" s="283"/>
      <c r="AY158" s="492"/>
      <c r="AZ158" s="492"/>
      <c r="BA158" s="493"/>
      <c r="BB158" s="115"/>
      <c r="BC158" s="31"/>
      <c r="BD158" s="31"/>
      <c r="BE158" s="31"/>
      <c r="BF158" s="31"/>
      <c r="BG158" s="31"/>
      <c r="BH158" s="31"/>
      <c r="BI158" s="495"/>
      <c r="BJ158" s="495"/>
      <c r="BK158" s="495"/>
      <c r="BL158" s="495"/>
      <c r="BM158" s="495"/>
      <c r="BN158" s="495"/>
      <c r="BO158" s="495"/>
      <c r="BP158" s="495"/>
      <c r="BQ158" s="495"/>
      <c r="BR158" s="495"/>
      <c r="BS158" s="495">
        <f>H158</f>
        <v>180</v>
      </c>
      <c r="BT158" s="495"/>
      <c r="BU158" s="495"/>
      <c r="BV158" s="495">
        <v>3.443</v>
      </c>
      <c r="BW158" s="495">
        <f t="shared" ref="BW158:BW197" si="11">SUM(K158:BU158)*BV158</f>
        <v>619.74</v>
      </c>
      <c r="BX158" s="495">
        <f t="shared" ref="BX158:BX197" si="12">BW158*7.75</f>
        <v>4802.985</v>
      </c>
      <c r="BY158" s="495" t="s">
        <v>360</v>
      </c>
      <c r="BZ158" s="495" t="s">
        <v>83</v>
      </c>
      <c r="XEI158" s="272"/>
      <c r="XEJ158" s="272"/>
      <c r="XEK158" s="273"/>
      <c r="XEL158" s="272"/>
      <c r="XEM158" s="273"/>
      <c r="XEN158" s="273"/>
      <c r="XEO158" s="273"/>
      <c r="XEP158" s="275"/>
      <c r="XEQ158" s="275"/>
      <c r="XER158" s="287"/>
      <c r="XES158" s="287"/>
      <c r="XET158" s="287"/>
      <c r="XEU158" s="287"/>
      <c r="XEV158" s="287"/>
      <c r="XEW158" s="287"/>
      <c r="XEX158" s="287"/>
      <c r="XEY158" s="287"/>
      <c r="XEZ158" s="287"/>
      <c r="XFA158" s="287"/>
      <c r="XFB158" s="287"/>
      <c r="XFC158" s="287"/>
      <c r="XFD158" s="287"/>
    </row>
    <row r="159" s="4" customFormat="1" ht="25" customHeight="1" spans="1:78 16363:16384">
      <c r="A159" s="114">
        <v>46169</v>
      </c>
      <c r="B159" s="114">
        <v>46239</v>
      </c>
      <c r="C159" s="117" t="s">
        <v>357</v>
      </c>
      <c r="D159" s="114" t="s">
        <v>358</v>
      </c>
      <c r="E159" s="117" t="s">
        <v>361</v>
      </c>
      <c r="F159" s="117" t="s">
        <v>46</v>
      </c>
      <c r="G159" s="206" t="s">
        <v>362</v>
      </c>
      <c r="H159" s="211">
        <v>3000</v>
      </c>
      <c r="I159" s="211">
        <v>6</v>
      </c>
      <c r="J159" s="115">
        <f t="shared" si="10"/>
        <v>500</v>
      </c>
      <c r="K159" s="115"/>
      <c r="L159" s="115"/>
      <c r="M159" s="115"/>
      <c r="N159" s="115"/>
      <c r="O159" s="115"/>
      <c r="P159" s="115"/>
      <c r="Q159" s="115"/>
      <c r="R159" s="115"/>
      <c r="S159" s="115"/>
      <c r="T159" s="115"/>
      <c r="U159" s="115"/>
      <c r="V159" s="115"/>
      <c r="W159" s="115"/>
      <c r="X159" s="115"/>
      <c r="Y159" s="115"/>
      <c r="Z159" s="115"/>
      <c r="AA159" s="115"/>
      <c r="AB159" s="115"/>
      <c r="AC159" s="115"/>
      <c r="AD159" s="115"/>
      <c r="AE159" s="115"/>
      <c r="AF159" s="115"/>
      <c r="AG159" s="115"/>
      <c r="AH159" s="115"/>
      <c r="AI159" s="115"/>
      <c r="AJ159" s="115"/>
      <c r="AK159" s="115"/>
      <c r="AL159" s="115"/>
      <c r="AM159" s="115"/>
      <c r="AN159" s="115"/>
      <c r="AO159" s="115"/>
      <c r="AP159" s="115"/>
      <c r="AQ159" s="115"/>
      <c r="AR159" s="115"/>
      <c r="AS159" s="115"/>
      <c r="AT159" s="115"/>
      <c r="AU159" s="115">
        <f>H159</f>
        <v>3000</v>
      </c>
      <c r="AV159" s="115"/>
      <c r="AW159" s="115"/>
      <c r="AX159" s="388"/>
      <c r="AY159" s="492"/>
      <c r="AZ159" s="492"/>
      <c r="BA159" s="493"/>
      <c r="BB159" s="115"/>
      <c r="BC159" s="31"/>
      <c r="BD159" s="31"/>
      <c r="BE159" s="31"/>
      <c r="BF159" s="31"/>
      <c r="BG159" s="31"/>
      <c r="BH159" s="31"/>
      <c r="BI159" s="31"/>
      <c r="BJ159" s="31"/>
      <c r="BK159" s="31"/>
      <c r="BL159" s="31"/>
      <c r="BM159" s="31"/>
      <c r="BN159" s="31"/>
      <c r="BO159" s="31"/>
      <c r="BP159" s="31"/>
      <c r="BQ159" s="31"/>
      <c r="BR159" s="31"/>
      <c r="BS159" s="31"/>
      <c r="BT159" s="31"/>
      <c r="BU159" s="31"/>
      <c r="BV159" s="31">
        <v>2.993</v>
      </c>
      <c r="BW159" s="31">
        <f t="shared" si="11"/>
        <v>8979</v>
      </c>
      <c r="BX159" s="31">
        <f t="shared" si="12"/>
        <v>69587.25</v>
      </c>
      <c r="BY159" s="31"/>
      <c r="BZ159" s="31" t="s">
        <v>83</v>
      </c>
      <c r="XEI159" s="114"/>
      <c r="XEJ159" s="114"/>
      <c r="XEK159" s="117"/>
      <c r="XEL159" s="114"/>
      <c r="XEM159" s="117"/>
      <c r="XEN159" s="117"/>
      <c r="XEO159" s="117"/>
      <c r="XEP159" s="211"/>
      <c r="XEQ159" s="211"/>
      <c r="XER159" s="115"/>
      <c r="XES159" s="115"/>
      <c r="XET159" s="115"/>
      <c r="XEU159" s="115"/>
      <c r="XEV159" s="115"/>
      <c r="XEW159" s="115"/>
      <c r="XEX159" s="115"/>
      <c r="XEY159" s="115"/>
      <c r="XEZ159" s="115"/>
      <c r="XFA159" s="115"/>
      <c r="XFB159" s="115"/>
      <c r="XFC159" s="115"/>
      <c r="XFD159" s="115"/>
    </row>
    <row r="160" s="4" customFormat="1" ht="25" customHeight="1" spans="1:78 16363:16384">
      <c r="A160" s="114">
        <v>46169</v>
      </c>
      <c r="B160" s="114">
        <v>46239</v>
      </c>
      <c r="C160" s="117" t="s">
        <v>357</v>
      </c>
      <c r="D160" s="114" t="s">
        <v>358</v>
      </c>
      <c r="E160" s="117" t="s">
        <v>361</v>
      </c>
      <c r="F160" s="117" t="s">
        <v>70</v>
      </c>
      <c r="G160" s="117" t="s">
        <v>339</v>
      </c>
      <c r="H160" s="211">
        <v>2400</v>
      </c>
      <c r="I160" s="211">
        <v>6</v>
      </c>
      <c r="J160" s="115">
        <f t="shared" si="10"/>
        <v>400</v>
      </c>
      <c r="K160" s="115"/>
      <c r="L160" s="115"/>
      <c r="M160" s="115"/>
      <c r="N160" s="115"/>
      <c r="O160" s="115"/>
      <c r="P160" s="115"/>
      <c r="Q160" s="115"/>
      <c r="R160" s="115"/>
      <c r="S160" s="115"/>
      <c r="T160" s="115"/>
      <c r="U160" s="115"/>
      <c r="V160" s="115"/>
      <c r="W160" s="115"/>
      <c r="X160" s="115"/>
      <c r="Y160" s="115"/>
      <c r="Z160" s="115"/>
      <c r="AA160" s="115"/>
      <c r="AB160" s="115"/>
      <c r="AC160" s="115"/>
      <c r="AD160" s="115"/>
      <c r="AE160" s="115"/>
      <c r="AF160" s="115"/>
      <c r="AG160" s="115"/>
      <c r="AH160" s="115"/>
      <c r="AI160" s="115"/>
      <c r="AJ160" s="115"/>
      <c r="AK160" s="115"/>
      <c r="AL160" s="115"/>
      <c r="AM160" s="115"/>
      <c r="AN160" s="115"/>
      <c r="AO160" s="115"/>
      <c r="AP160" s="115"/>
      <c r="AQ160" s="115"/>
      <c r="AR160" s="115"/>
      <c r="AS160" s="115"/>
      <c r="AT160" s="115"/>
      <c r="AU160" s="115"/>
      <c r="AV160" s="115"/>
      <c r="AW160" s="115"/>
      <c r="AX160" s="388"/>
      <c r="AY160" s="492"/>
      <c r="AZ160" s="492"/>
      <c r="BA160" s="493"/>
      <c r="BB160" s="115"/>
      <c r="BC160" s="31"/>
      <c r="BD160" s="31"/>
      <c r="BE160" s="31"/>
      <c r="BF160" s="31"/>
      <c r="BG160" s="31"/>
      <c r="BH160" s="31"/>
      <c r="BI160" s="31"/>
      <c r="BJ160" s="31"/>
      <c r="BK160" s="31"/>
      <c r="BL160" s="31"/>
      <c r="BM160" s="31"/>
      <c r="BN160" s="31"/>
      <c r="BO160" s="31"/>
      <c r="BP160" s="31"/>
      <c r="BQ160" s="31"/>
      <c r="BR160" s="31"/>
      <c r="BS160" s="31">
        <f>H160</f>
        <v>2400</v>
      </c>
      <c r="BT160" s="31"/>
      <c r="BU160" s="31"/>
      <c r="BV160" s="31">
        <v>3.32</v>
      </c>
      <c r="BW160" s="31">
        <f t="shared" si="11"/>
        <v>7968</v>
      </c>
      <c r="BX160" s="31">
        <f t="shared" si="12"/>
        <v>61752</v>
      </c>
      <c r="BY160" s="31"/>
      <c r="BZ160" s="31" t="s">
        <v>83</v>
      </c>
      <c r="XEI160" s="114"/>
      <c r="XEJ160" s="114"/>
      <c r="XEK160" s="117"/>
      <c r="XEL160" s="114"/>
      <c r="XEM160" s="117"/>
      <c r="XEN160" s="117"/>
      <c r="XEO160" s="117"/>
      <c r="XEP160" s="211"/>
      <c r="XEQ160" s="211"/>
      <c r="XER160" s="115"/>
      <c r="XES160" s="115"/>
      <c r="XET160" s="115"/>
      <c r="XEU160" s="115"/>
      <c r="XEV160" s="115"/>
      <c r="XEW160" s="115"/>
      <c r="XEX160" s="115"/>
      <c r="XEY160" s="115"/>
      <c r="XEZ160" s="115"/>
      <c r="XFA160" s="115"/>
      <c r="XFB160" s="115"/>
      <c r="XFC160" s="115"/>
      <c r="XFD160" s="115"/>
    </row>
    <row r="161" s="4" customFormat="1" ht="25" customHeight="1" spans="1:78 16363:16384">
      <c r="A161" s="114">
        <v>46169</v>
      </c>
      <c r="B161" s="114">
        <v>46239</v>
      </c>
      <c r="C161" s="117" t="s">
        <v>357</v>
      </c>
      <c r="D161" s="114" t="s">
        <v>358</v>
      </c>
      <c r="E161" s="117" t="s">
        <v>361</v>
      </c>
      <c r="F161" s="117" t="s">
        <v>69</v>
      </c>
      <c r="G161" s="117" t="s">
        <v>325</v>
      </c>
      <c r="H161" s="211">
        <v>1200</v>
      </c>
      <c r="I161" s="211">
        <v>6</v>
      </c>
      <c r="J161" s="115">
        <f t="shared" si="10"/>
        <v>200</v>
      </c>
      <c r="K161" s="115"/>
      <c r="L161" s="115"/>
      <c r="M161" s="115"/>
      <c r="N161" s="115"/>
      <c r="O161" s="115"/>
      <c r="P161" s="115"/>
      <c r="Q161" s="115"/>
      <c r="R161" s="115"/>
      <c r="S161" s="115"/>
      <c r="T161" s="115"/>
      <c r="U161" s="115"/>
      <c r="V161" s="115"/>
      <c r="W161" s="115"/>
      <c r="X161" s="115"/>
      <c r="Y161" s="115"/>
      <c r="Z161" s="115"/>
      <c r="AA161" s="115"/>
      <c r="AB161" s="115"/>
      <c r="AC161" s="115"/>
      <c r="AD161" s="115"/>
      <c r="AE161" s="115"/>
      <c r="AF161" s="115"/>
      <c r="AG161" s="115"/>
      <c r="AH161" s="115"/>
      <c r="AI161" s="115"/>
      <c r="AJ161" s="115"/>
      <c r="AK161" s="115"/>
      <c r="AL161" s="115"/>
      <c r="AM161" s="115"/>
      <c r="AN161" s="115"/>
      <c r="AO161" s="115"/>
      <c r="AP161" s="115"/>
      <c r="AQ161" s="115"/>
      <c r="AR161" s="115"/>
      <c r="AS161" s="115"/>
      <c r="AT161" s="115"/>
      <c r="AU161" s="115"/>
      <c r="AV161" s="115"/>
      <c r="AW161" s="115"/>
      <c r="AX161" s="388"/>
      <c r="AY161" s="492"/>
      <c r="AZ161" s="492"/>
      <c r="BA161" s="493"/>
      <c r="BB161" s="115"/>
      <c r="BC161" s="31"/>
      <c r="BD161" s="31"/>
      <c r="BE161" s="31"/>
      <c r="BF161" s="31"/>
      <c r="BG161" s="31"/>
      <c r="BH161" s="31"/>
      <c r="BI161" s="31"/>
      <c r="BJ161" s="31"/>
      <c r="BK161" s="31"/>
      <c r="BL161" s="31"/>
      <c r="BM161" s="31"/>
      <c r="BN161" s="31"/>
      <c r="BO161" s="31"/>
      <c r="BP161" s="31"/>
      <c r="BQ161" s="31"/>
      <c r="BR161" s="31">
        <f>H161</f>
        <v>1200</v>
      </c>
      <c r="BS161" s="31"/>
      <c r="BT161" s="31"/>
      <c r="BU161" s="31"/>
      <c r="BV161" s="31">
        <v>3.419</v>
      </c>
      <c r="BW161" s="31">
        <f t="shared" si="11"/>
        <v>4102.8</v>
      </c>
      <c r="BX161" s="31">
        <f t="shared" si="12"/>
        <v>31796.7</v>
      </c>
      <c r="BY161" s="31"/>
      <c r="BZ161" s="31" t="s">
        <v>83</v>
      </c>
      <c r="XEI161" s="114"/>
      <c r="XEJ161" s="114"/>
      <c r="XEK161" s="117"/>
      <c r="XEL161" s="114"/>
      <c r="XEM161" s="117"/>
      <c r="XEN161" s="117"/>
      <c r="XEO161" s="117"/>
      <c r="XEP161" s="211"/>
      <c r="XEQ161" s="211"/>
      <c r="XER161" s="115"/>
      <c r="XES161" s="115"/>
      <c r="XET161" s="115"/>
      <c r="XEU161" s="115"/>
      <c r="XEV161" s="115"/>
      <c r="XEW161" s="115"/>
      <c r="XEX161" s="115"/>
      <c r="XEY161" s="115"/>
      <c r="XEZ161" s="115"/>
      <c r="XFA161" s="115"/>
      <c r="XFB161" s="115"/>
      <c r="XFC161" s="115"/>
      <c r="XFD161" s="115"/>
    </row>
    <row r="162" s="4" customFormat="1" ht="25" customHeight="1" spans="1:78 16363:16384">
      <c r="A162" s="114">
        <v>46169</v>
      </c>
      <c r="B162" s="114">
        <v>46239</v>
      </c>
      <c r="C162" s="117" t="s">
        <v>357</v>
      </c>
      <c r="D162" s="114" t="s">
        <v>358</v>
      </c>
      <c r="E162" s="117" t="s">
        <v>361</v>
      </c>
      <c r="F162" s="117" t="s">
        <v>107</v>
      </c>
      <c r="G162" s="117" t="s">
        <v>108</v>
      </c>
      <c r="H162" s="211">
        <v>3000</v>
      </c>
      <c r="I162" s="211">
        <v>12</v>
      </c>
      <c r="J162" s="115">
        <f t="shared" si="10"/>
        <v>250</v>
      </c>
      <c r="K162" s="115"/>
      <c r="L162" s="115"/>
      <c r="M162" s="115"/>
      <c r="N162" s="115"/>
      <c r="O162" s="115"/>
      <c r="P162" s="115"/>
      <c r="Q162" s="115"/>
      <c r="R162" s="115">
        <f>H162</f>
        <v>3000</v>
      </c>
      <c r="S162" s="115"/>
      <c r="T162" s="115"/>
      <c r="U162" s="115"/>
      <c r="V162" s="115"/>
      <c r="W162" s="115"/>
      <c r="X162" s="115"/>
      <c r="Y162" s="115"/>
      <c r="Z162" s="115"/>
      <c r="AA162" s="115"/>
      <c r="AB162" s="115"/>
      <c r="AC162" s="115"/>
      <c r="AD162" s="115"/>
      <c r="AE162" s="115"/>
      <c r="AF162" s="115"/>
      <c r="AG162" s="115"/>
      <c r="AH162" s="115"/>
      <c r="AI162" s="115"/>
      <c r="AJ162" s="115"/>
      <c r="AK162" s="115"/>
      <c r="AL162" s="115"/>
      <c r="AM162" s="115"/>
      <c r="AN162" s="115"/>
      <c r="AO162" s="115"/>
      <c r="AP162" s="115"/>
      <c r="AQ162" s="115"/>
      <c r="AR162" s="115"/>
      <c r="AS162" s="115"/>
      <c r="AT162" s="115"/>
      <c r="AU162" s="115"/>
      <c r="AV162" s="115"/>
      <c r="AW162" s="115"/>
      <c r="AX162" s="388"/>
      <c r="AY162" s="492"/>
      <c r="AZ162" s="492"/>
      <c r="BA162" s="493"/>
      <c r="BB162" s="115"/>
      <c r="BC162" s="31"/>
      <c r="BD162" s="31"/>
      <c r="BE162" s="31"/>
      <c r="BF162" s="31"/>
      <c r="BG162" s="31"/>
      <c r="BH162" s="31"/>
      <c r="BI162" s="31"/>
      <c r="BJ162" s="31"/>
      <c r="BK162" s="31"/>
      <c r="BL162" s="31"/>
      <c r="BM162" s="31"/>
      <c r="BN162" s="31"/>
      <c r="BO162" s="31"/>
      <c r="BP162" s="31"/>
      <c r="BQ162" s="31"/>
      <c r="BR162" s="31"/>
      <c r="BS162" s="31"/>
      <c r="BT162" s="31"/>
      <c r="BU162" s="31"/>
      <c r="BV162" s="31">
        <v>1.38</v>
      </c>
      <c r="BW162" s="31">
        <f t="shared" si="11"/>
        <v>4140</v>
      </c>
      <c r="BX162" s="31">
        <f t="shared" si="12"/>
        <v>32085</v>
      </c>
      <c r="BY162" s="31"/>
      <c r="BZ162" s="31" t="s">
        <v>83</v>
      </c>
      <c r="XEI162" s="114"/>
      <c r="XEJ162" s="114"/>
      <c r="XEK162" s="117"/>
      <c r="XEL162" s="114"/>
      <c r="XEM162" s="117"/>
      <c r="XEN162" s="117"/>
      <c r="XEO162" s="117"/>
      <c r="XEP162" s="211"/>
      <c r="XEQ162" s="211"/>
      <c r="XER162" s="115"/>
      <c r="XES162" s="115"/>
      <c r="XET162" s="115"/>
      <c r="XEU162" s="115"/>
      <c r="XEV162" s="115"/>
      <c r="XEW162" s="115"/>
      <c r="XEX162" s="115"/>
      <c r="XEY162" s="115"/>
      <c r="XEZ162" s="115"/>
      <c r="XFA162" s="115"/>
      <c r="XFB162" s="115"/>
      <c r="XFC162" s="115"/>
      <c r="XFD162" s="115"/>
    </row>
    <row r="163" s="4" customFormat="1" ht="25" customHeight="1" spans="1:78 16363:16384">
      <c r="A163" s="114">
        <v>46172</v>
      </c>
      <c r="B163" s="114">
        <v>46238</v>
      </c>
      <c r="C163" s="117" t="s">
        <v>363</v>
      </c>
      <c r="D163" s="114" t="s">
        <v>79</v>
      </c>
      <c r="E163" s="117" t="s">
        <v>364</v>
      </c>
      <c r="F163" s="117" t="s">
        <v>49</v>
      </c>
      <c r="G163" s="117" t="s">
        <v>144</v>
      </c>
      <c r="H163" s="211">
        <v>3984</v>
      </c>
      <c r="I163" s="211">
        <v>4</v>
      </c>
      <c r="J163" s="115">
        <f t="shared" si="10"/>
        <v>996</v>
      </c>
      <c r="K163" s="115"/>
      <c r="L163" s="115"/>
      <c r="M163" s="115"/>
      <c r="N163" s="115"/>
      <c r="O163" s="115"/>
      <c r="P163" s="115"/>
      <c r="Q163" s="115"/>
      <c r="R163" s="115"/>
      <c r="S163" s="115"/>
      <c r="T163" s="115"/>
      <c r="U163" s="115"/>
      <c r="V163" s="115"/>
      <c r="W163" s="115"/>
      <c r="X163" s="115"/>
      <c r="Y163" s="115"/>
      <c r="Z163" s="115"/>
      <c r="AA163" s="115"/>
      <c r="AB163" s="115"/>
      <c r="AC163" s="115"/>
      <c r="AD163" s="115"/>
      <c r="AE163" s="115"/>
      <c r="AF163" s="115"/>
      <c r="AG163" s="115"/>
      <c r="AH163" s="115"/>
      <c r="AI163" s="115"/>
      <c r="AJ163" s="115"/>
      <c r="AK163" s="115"/>
      <c r="AL163" s="115"/>
      <c r="AM163" s="115"/>
      <c r="AN163" s="115"/>
      <c r="AO163" s="115"/>
      <c r="AP163" s="115"/>
      <c r="AQ163" s="115"/>
      <c r="AR163" s="115"/>
      <c r="AS163" s="115"/>
      <c r="AT163" s="115"/>
      <c r="AU163" s="115"/>
      <c r="AV163" s="115"/>
      <c r="AW163" s="115"/>
      <c r="AX163" s="388">
        <f>H163</f>
        <v>3984</v>
      </c>
      <c r="AY163" s="492"/>
      <c r="AZ163" s="492"/>
      <c r="BA163" s="493"/>
      <c r="BB163" s="115"/>
      <c r="BC163" s="31"/>
      <c r="BD163" s="31"/>
      <c r="BE163" s="31"/>
      <c r="BF163" s="31"/>
      <c r="BG163" s="31"/>
      <c r="BH163" s="31"/>
      <c r="BI163" s="31"/>
      <c r="BJ163" s="31"/>
      <c r="BK163" s="31"/>
      <c r="BL163" s="31"/>
      <c r="BM163" s="31"/>
      <c r="BN163" s="31"/>
      <c r="BO163" s="31"/>
      <c r="BP163" s="31"/>
      <c r="BQ163" s="31"/>
      <c r="BR163" s="31"/>
      <c r="BS163" s="31"/>
      <c r="BT163" s="31"/>
      <c r="BU163" s="31"/>
      <c r="BV163" s="31">
        <v>10.262</v>
      </c>
      <c r="BW163" s="31">
        <f t="shared" si="11"/>
        <v>40883.808</v>
      </c>
      <c r="BX163" s="31">
        <f t="shared" si="12"/>
        <v>316849.512</v>
      </c>
      <c r="BY163" s="31"/>
      <c r="BZ163" s="31" t="s">
        <v>146</v>
      </c>
      <c r="XEI163" s="114"/>
      <c r="XEJ163" s="114"/>
      <c r="XEK163" s="117"/>
      <c r="XEL163" s="114"/>
      <c r="XEM163" s="117"/>
      <c r="XEN163" s="117"/>
      <c r="XEO163" s="117"/>
      <c r="XEP163" s="211"/>
      <c r="XEQ163" s="211"/>
      <c r="XER163" s="115"/>
      <c r="XES163" s="115"/>
      <c r="XET163" s="115"/>
      <c r="XEU163" s="115"/>
      <c r="XEV163" s="115"/>
      <c r="XEW163" s="115"/>
      <c r="XEX163" s="115"/>
      <c r="XEY163" s="115"/>
      <c r="XEZ163" s="115"/>
      <c r="XFA163" s="115"/>
      <c r="XFB163" s="115"/>
      <c r="XFC163" s="115"/>
      <c r="XFD163" s="115"/>
    </row>
    <row r="164" s="4" customFormat="1" ht="25" customHeight="1" spans="1:78 16363:16384">
      <c r="A164" s="114">
        <v>46174</v>
      </c>
      <c r="B164" s="114">
        <v>46238</v>
      </c>
      <c r="C164" s="117" t="s">
        <v>365</v>
      </c>
      <c r="D164" s="114" t="s">
        <v>251</v>
      </c>
      <c r="E164" s="117" t="s">
        <v>366</v>
      </c>
      <c r="F164" s="117" t="s">
        <v>270</v>
      </c>
      <c r="G164" s="117" t="s">
        <v>271</v>
      </c>
      <c r="H164" s="211">
        <v>1440</v>
      </c>
      <c r="I164" s="115">
        <v>6</v>
      </c>
      <c r="J164" s="117">
        <f t="shared" si="10"/>
        <v>240</v>
      </c>
      <c r="K164" s="115"/>
      <c r="L164" s="115"/>
      <c r="M164" s="115"/>
      <c r="N164" s="115"/>
      <c r="O164" s="115"/>
      <c r="P164" s="115"/>
      <c r="Q164" s="115"/>
      <c r="R164" s="115"/>
      <c r="S164" s="115"/>
      <c r="T164" s="115"/>
      <c r="U164" s="115"/>
      <c r="V164" s="115"/>
      <c r="W164" s="115"/>
      <c r="X164" s="115"/>
      <c r="Y164" s="115"/>
      <c r="Z164" s="115"/>
      <c r="AA164" s="115"/>
      <c r="AB164" s="115"/>
      <c r="AC164" s="115"/>
      <c r="AD164" s="115"/>
      <c r="AE164" s="115"/>
      <c r="AF164" s="115"/>
      <c r="AG164" s="115"/>
      <c r="AH164" s="115"/>
      <c r="AI164" s="115"/>
      <c r="AJ164" s="115"/>
      <c r="AK164" s="115"/>
      <c r="AL164" s="115"/>
      <c r="AM164" s="115"/>
      <c r="AN164" s="115"/>
      <c r="AO164" s="115"/>
      <c r="AP164" s="115"/>
      <c r="AQ164" s="115"/>
      <c r="AR164" s="115">
        <f>H164</f>
        <v>1440</v>
      </c>
      <c r="AS164" s="115"/>
      <c r="AT164" s="115"/>
      <c r="AU164" s="115"/>
      <c r="AV164" s="115"/>
      <c r="AW164" s="115"/>
      <c r="AX164" s="115"/>
      <c r="AY164" s="115"/>
      <c r="AZ164" s="115"/>
      <c r="BA164" s="115"/>
      <c r="BB164" s="115"/>
      <c r="BC164" s="115"/>
      <c r="BD164" s="115"/>
      <c r="BE164" s="115"/>
      <c r="BF164" s="115"/>
      <c r="BG164" s="115"/>
      <c r="BH164" s="115"/>
      <c r="BI164" s="115"/>
      <c r="BJ164" s="115"/>
      <c r="BK164" s="115"/>
      <c r="BL164" s="115"/>
      <c r="BM164" s="115"/>
      <c r="BN164" s="115"/>
      <c r="BO164" s="115"/>
      <c r="BP164" s="115"/>
      <c r="BQ164" s="115"/>
      <c r="BR164" s="115"/>
      <c r="BS164" s="115"/>
      <c r="BT164" s="115"/>
      <c r="BU164" s="115"/>
      <c r="BV164" s="388">
        <v>1.193</v>
      </c>
      <c r="BW164" s="492">
        <f t="shared" si="11"/>
        <v>1717.92</v>
      </c>
      <c r="BX164" s="492">
        <f t="shared" si="12"/>
        <v>13313.88</v>
      </c>
      <c r="BY164" s="249"/>
      <c r="BZ164" s="115" t="s">
        <v>83</v>
      </c>
    </row>
    <row r="165" s="4" customFormat="1" ht="25" customHeight="1" spans="1:78 16363:16384">
      <c r="A165" s="114">
        <v>46174</v>
      </c>
      <c r="B165" s="114">
        <v>46238</v>
      </c>
      <c r="C165" s="117" t="s">
        <v>365</v>
      </c>
      <c r="D165" s="114" t="s">
        <v>251</v>
      </c>
      <c r="E165" s="117" t="s">
        <v>366</v>
      </c>
      <c r="F165" s="117" t="s">
        <v>45</v>
      </c>
      <c r="G165" s="117" t="s">
        <v>287</v>
      </c>
      <c r="H165" s="211">
        <v>1440</v>
      </c>
      <c r="I165" s="211">
        <v>6</v>
      </c>
      <c r="J165" s="117">
        <f t="shared" si="10"/>
        <v>240</v>
      </c>
      <c r="K165" s="115"/>
      <c r="L165" s="115"/>
      <c r="M165" s="115"/>
      <c r="N165" s="115"/>
      <c r="O165" s="115"/>
      <c r="P165" s="115"/>
      <c r="Q165" s="115"/>
      <c r="R165" s="115"/>
      <c r="S165" s="115"/>
      <c r="T165" s="115"/>
      <c r="U165" s="115"/>
      <c r="V165" s="115"/>
      <c r="W165" s="115"/>
      <c r="X165" s="115"/>
      <c r="Y165" s="115"/>
      <c r="Z165" s="115"/>
      <c r="AA165" s="115"/>
      <c r="AB165" s="115"/>
      <c r="AC165" s="115"/>
      <c r="AD165" s="115"/>
      <c r="AE165" s="115"/>
      <c r="AF165" s="115"/>
      <c r="AG165" s="115"/>
      <c r="AH165" s="115"/>
      <c r="AI165" s="115"/>
      <c r="AJ165" s="115"/>
      <c r="AK165" s="115"/>
      <c r="AL165" s="115"/>
      <c r="AM165" s="115"/>
      <c r="AN165" s="115"/>
      <c r="AO165" s="115"/>
      <c r="AP165" s="115"/>
      <c r="AQ165" s="115"/>
      <c r="AR165" s="115"/>
      <c r="AS165" s="115"/>
      <c r="AT165" s="115">
        <f>H165</f>
        <v>1440</v>
      </c>
      <c r="AU165" s="115"/>
      <c r="AV165" s="115"/>
      <c r="AW165" s="115"/>
      <c r="AX165" s="115"/>
      <c r="AY165" s="115"/>
      <c r="AZ165" s="115"/>
      <c r="BA165" s="115"/>
      <c r="BB165" s="115"/>
      <c r="BC165" s="115"/>
      <c r="BD165" s="115"/>
      <c r="BE165" s="115"/>
      <c r="BF165" s="115"/>
      <c r="BG165" s="115"/>
      <c r="BH165" s="115"/>
      <c r="BI165" s="115"/>
      <c r="BJ165" s="115"/>
      <c r="BK165" s="115"/>
      <c r="BL165" s="115"/>
      <c r="BM165" s="115"/>
      <c r="BN165" s="115"/>
      <c r="BO165" s="115"/>
      <c r="BP165" s="115"/>
      <c r="BQ165" s="115"/>
      <c r="BR165" s="115"/>
      <c r="BS165" s="115"/>
      <c r="BT165" s="115"/>
      <c r="BU165" s="115"/>
      <c r="BV165" s="388">
        <v>1.452</v>
      </c>
      <c r="BW165" s="492">
        <f t="shared" si="11"/>
        <v>2090.88</v>
      </c>
      <c r="BX165" s="492">
        <f t="shared" si="12"/>
        <v>16204.32</v>
      </c>
      <c r="BY165" s="249"/>
      <c r="BZ165" s="115" t="s">
        <v>83</v>
      </c>
    </row>
    <row r="166" s="4" customFormat="1" ht="25" customHeight="1" spans="1:78 16363:16384">
      <c r="A166" s="114">
        <v>46178</v>
      </c>
      <c r="B166" s="114">
        <v>46238</v>
      </c>
      <c r="C166" s="117" t="s">
        <v>365</v>
      </c>
      <c r="D166" s="114" t="s">
        <v>251</v>
      </c>
      <c r="E166" s="117" t="s">
        <v>367</v>
      </c>
      <c r="F166" s="117" t="s">
        <v>270</v>
      </c>
      <c r="G166" s="117" t="s">
        <v>271</v>
      </c>
      <c r="H166" s="211">
        <v>1902</v>
      </c>
      <c r="I166" s="211">
        <v>6</v>
      </c>
      <c r="J166" s="117">
        <f t="shared" si="10"/>
        <v>317</v>
      </c>
      <c r="K166" s="115"/>
      <c r="L166" s="115"/>
      <c r="M166" s="115"/>
      <c r="N166" s="115"/>
      <c r="O166" s="115"/>
      <c r="P166" s="115"/>
      <c r="Q166" s="115"/>
      <c r="R166" s="115"/>
      <c r="S166" s="115"/>
      <c r="T166" s="115"/>
      <c r="U166" s="115"/>
      <c r="V166" s="115"/>
      <c r="W166" s="115"/>
      <c r="X166" s="115"/>
      <c r="Y166" s="115"/>
      <c r="Z166" s="115"/>
      <c r="AA166" s="115"/>
      <c r="AB166" s="115"/>
      <c r="AC166" s="115"/>
      <c r="AD166" s="115"/>
      <c r="AE166" s="115"/>
      <c r="AF166" s="115"/>
      <c r="AG166" s="115"/>
      <c r="AH166" s="115"/>
      <c r="AI166" s="115"/>
      <c r="AJ166" s="115"/>
      <c r="AK166" s="115"/>
      <c r="AL166" s="115"/>
      <c r="AM166" s="115"/>
      <c r="AN166" s="115"/>
      <c r="AO166" s="115"/>
      <c r="AP166" s="115"/>
      <c r="AQ166" s="115"/>
      <c r="AR166" s="115">
        <f>H166</f>
        <v>1902</v>
      </c>
      <c r="AS166" s="115"/>
      <c r="AT166" s="115"/>
      <c r="AU166" s="115"/>
      <c r="AV166" s="115"/>
      <c r="AW166" s="115"/>
      <c r="AX166" s="115"/>
      <c r="AY166" s="115"/>
      <c r="AZ166" s="115"/>
      <c r="BA166" s="115"/>
      <c r="BB166" s="115"/>
      <c r="BC166" s="115"/>
      <c r="BD166" s="115"/>
      <c r="BE166" s="115"/>
      <c r="BF166" s="115"/>
      <c r="BG166" s="115"/>
      <c r="BH166" s="115"/>
      <c r="BI166" s="115"/>
      <c r="BJ166" s="115"/>
      <c r="BK166" s="115"/>
      <c r="BL166" s="115"/>
      <c r="BM166" s="115"/>
      <c r="BN166" s="115"/>
      <c r="BO166" s="115"/>
      <c r="BP166" s="115"/>
      <c r="BQ166" s="115"/>
      <c r="BR166" s="115"/>
      <c r="BS166" s="115"/>
      <c r="BT166" s="115"/>
      <c r="BU166" s="115"/>
      <c r="BV166" s="388">
        <v>1.193</v>
      </c>
      <c r="BW166" s="492">
        <f t="shared" si="11"/>
        <v>2269.086</v>
      </c>
      <c r="BX166" s="492">
        <f t="shared" si="12"/>
        <v>17585.4165</v>
      </c>
      <c r="BY166" s="249"/>
      <c r="BZ166" s="115" t="s">
        <v>83</v>
      </c>
    </row>
    <row r="167" s="473" customFormat="1" ht="25" customHeight="1" spans="1:78 16363:16384">
      <c r="A167" s="272">
        <v>46178</v>
      </c>
      <c r="B167" s="272">
        <v>46233</v>
      </c>
      <c r="C167" s="273" t="s">
        <v>368</v>
      </c>
      <c r="D167" s="272" t="s">
        <v>369</v>
      </c>
      <c r="E167" s="273" t="s">
        <v>370</v>
      </c>
      <c r="F167" s="273" t="s">
        <v>69</v>
      </c>
      <c r="G167" s="273" t="s">
        <v>325</v>
      </c>
      <c r="H167" s="275">
        <v>4080</v>
      </c>
      <c r="I167" s="275">
        <v>6</v>
      </c>
      <c r="J167" s="287">
        <f t="shared" si="10"/>
        <v>680</v>
      </c>
      <c r="K167" s="287"/>
      <c r="L167" s="287"/>
      <c r="M167" s="287"/>
      <c r="N167" s="287"/>
      <c r="O167" s="287"/>
      <c r="P167" s="287"/>
      <c r="Q167" s="287"/>
      <c r="R167" s="287"/>
      <c r="S167" s="287"/>
      <c r="T167" s="287"/>
      <c r="U167" s="287"/>
      <c r="V167" s="287"/>
      <c r="W167" s="287"/>
      <c r="X167" s="287"/>
      <c r="Y167" s="287"/>
      <c r="Z167" s="287"/>
      <c r="AA167" s="287"/>
      <c r="AB167" s="287"/>
      <c r="AC167" s="287"/>
      <c r="AD167" s="115"/>
      <c r="AE167" s="115"/>
      <c r="AF167" s="115"/>
      <c r="AG167" s="115"/>
      <c r="AH167" s="115"/>
      <c r="AI167" s="115"/>
      <c r="AJ167" s="115"/>
      <c r="AK167" s="115"/>
      <c r="AL167" s="115"/>
      <c r="AM167" s="115"/>
      <c r="AN167" s="115"/>
      <c r="AO167" s="115"/>
      <c r="AP167" s="115"/>
      <c r="AQ167" s="287"/>
      <c r="AR167" s="287"/>
      <c r="AS167" s="287"/>
      <c r="AT167" s="287"/>
      <c r="AU167" s="287"/>
      <c r="AV167" s="287"/>
      <c r="AW167" s="287"/>
      <c r="AX167" s="287"/>
      <c r="AY167" s="115"/>
      <c r="AZ167" s="115"/>
      <c r="BA167" s="115"/>
      <c r="BB167" s="115"/>
      <c r="BC167" s="115"/>
      <c r="BD167" s="115"/>
      <c r="BE167" s="115"/>
      <c r="BF167" s="115"/>
      <c r="BG167" s="115"/>
      <c r="BH167" s="115"/>
      <c r="BI167" s="287"/>
      <c r="BJ167" s="287"/>
      <c r="BK167" s="287"/>
      <c r="BL167" s="287"/>
      <c r="BM167" s="287"/>
      <c r="BN167" s="287"/>
      <c r="BO167" s="287"/>
      <c r="BP167" s="287"/>
      <c r="BQ167" s="273"/>
      <c r="BR167" s="273">
        <f>H167</f>
        <v>4080</v>
      </c>
      <c r="BS167" s="287"/>
      <c r="BT167" s="287"/>
      <c r="BU167" s="287"/>
      <c r="BV167" s="283">
        <v>3.542</v>
      </c>
      <c r="BW167" s="490">
        <f t="shared" si="11"/>
        <v>14451.36</v>
      </c>
      <c r="BX167" s="490">
        <f t="shared" si="12"/>
        <v>111998.04</v>
      </c>
      <c r="BY167" s="494"/>
      <c r="BZ167" s="495" t="s">
        <v>83</v>
      </c>
    </row>
    <row r="168" s="4" customFormat="1" ht="25" customHeight="1" spans="1:78 16363:16384">
      <c r="A168" s="114">
        <v>46178</v>
      </c>
      <c r="B168" s="114">
        <v>46255</v>
      </c>
      <c r="C168" s="117" t="s">
        <v>371</v>
      </c>
      <c r="D168" s="114" t="s">
        <v>372</v>
      </c>
      <c r="E168" s="117" t="s">
        <v>373</v>
      </c>
      <c r="F168" s="117" t="s">
        <v>70</v>
      </c>
      <c r="G168" s="117" t="s">
        <v>339</v>
      </c>
      <c r="H168" s="211">
        <v>108</v>
      </c>
      <c r="I168" s="211">
        <v>6</v>
      </c>
      <c r="J168" s="115">
        <f t="shared" si="10"/>
        <v>18</v>
      </c>
      <c r="K168" s="115"/>
      <c r="L168" s="115"/>
      <c r="M168" s="115"/>
      <c r="N168" s="115"/>
      <c r="O168" s="115"/>
      <c r="P168" s="115"/>
      <c r="Q168" s="115"/>
      <c r="R168" s="115"/>
      <c r="S168" s="115"/>
      <c r="T168" s="115"/>
      <c r="U168" s="115"/>
      <c r="V168" s="115"/>
      <c r="W168" s="115"/>
      <c r="X168" s="115"/>
      <c r="Y168" s="115"/>
      <c r="Z168" s="115"/>
      <c r="AA168" s="115"/>
      <c r="AB168" s="115"/>
      <c r="AC168" s="115"/>
      <c r="AD168" s="115"/>
      <c r="AE168" s="115"/>
      <c r="AF168" s="115"/>
      <c r="AG168" s="115"/>
      <c r="AH168" s="115"/>
      <c r="AI168" s="115"/>
      <c r="AJ168" s="115"/>
      <c r="AK168" s="115"/>
      <c r="AL168" s="115"/>
      <c r="AM168" s="115"/>
      <c r="AN168" s="115"/>
      <c r="AO168" s="115"/>
      <c r="AP168" s="115"/>
      <c r="AQ168" s="115"/>
      <c r="AR168" s="115"/>
      <c r="AS168" s="115"/>
      <c r="AT168" s="115"/>
      <c r="AU168" s="115"/>
      <c r="AV168" s="115"/>
      <c r="AW168" s="115"/>
      <c r="AX168" s="115"/>
      <c r="AY168" s="115"/>
      <c r="AZ168" s="115"/>
      <c r="BA168" s="115"/>
      <c r="BB168" s="115"/>
      <c r="BC168" s="115"/>
      <c r="BD168" s="115"/>
      <c r="BE168" s="115"/>
      <c r="BF168" s="115"/>
      <c r="BG168" s="115"/>
      <c r="BH168" s="115"/>
      <c r="BI168" s="115"/>
      <c r="BJ168" s="115"/>
      <c r="BK168" s="115"/>
      <c r="BL168" s="115"/>
      <c r="BM168" s="115"/>
      <c r="BN168" s="115"/>
      <c r="BO168" s="115"/>
      <c r="BP168" s="115"/>
      <c r="BQ168" s="115"/>
      <c r="BR168" s="115"/>
      <c r="BS168" s="115">
        <f>H168</f>
        <v>108</v>
      </c>
      <c r="BT168" s="115"/>
      <c r="BU168" s="115"/>
      <c r="BV168" s="388">
        <v>3.443</v>
      </c>
      <c r="BW168" s="492">
        <f t="shared" si="11"/>
        <v>371.844</v>
      </c>
      <c r="BX168" s="492">
        <f t="shared" si="12"/>
        <v>2881.791</v>
      </c>
      <c r="BY168" s="249"/>
      <c r="BZ168" s="31" t="s">
        <v>83</v>
      </c>
    </row>
    <row r="169" s="4" customFormat="1" ht="25" customHeight="1" spans="1:78 16363:16384">
      <c r="A169" s="114">
        <v>46178</v>
      </c>
      <c r="B169" s="114">
        <v>46255</v>
      </c>
      <c r="C169" s="117" t="s">
        <v>371</v>
      </c>
      <c r="D169" s="114" t="s">
        <v>372</v>
      </c>
      <c r="E169" s="117" t="s">
        <v>373</v>
      </c>
      <c r="F169" s="117" t="s">
        <v>69</v>
      </c>
      <c r="G169" s="117" t="s">
        <v>325</v>
      </c>
      <c r="H169" s="211">
        <v>108</v>
      </c>
      <c r="I169" s="211">
        <v>6</v>
      </c>
      <c r="J169" s="115">
        <f t="shared" si="10"/>
        <v>18</v>
      </c>
      <c r="K169" s="115"/>
      <c r="L169" s="115"/>
      <c r="M169" s="115"/>
      <c r="N169" s="115"/>
      <c r="O169" s="115"/>
      <c r="P169" s="115"/>
      <c r="Q169" s="115"/>
      <c r="R169" s="115"/>
      <c r="S169" s="115"/>
      <c r="T169" s="115"/>
      <c r="U169" s="115"/>
      <c r="V169" s="115"/>
      <c r="W169" s="115"/>
      <c r="X169" s="115"/>
      <c r="Y169" s="115"/>
      <c r="Z169" s="115"/>
      <c r="AA169" s="115"/>
      <c r="AB169" s="115"/>
      <c r="AC169" s="115"/>
      <c r="AD169" s="115"/>
      <c r="AE169" s="115"/>
      <c r="AF169" s="115"/>
      <c r="AG169" s="115"/>
      <c r="AH169" s="115"/>
      <c r="AI169" s="115"/>
      <c r="AJ169" s="115"/>
      <c r="AK169" s="115"/>
      <c r="AL169" s="115"/>
      <c r="AM169" s="115"/>
      <c r="AN169" s="115"/>
      <c r="AO169" s="115"/>
      <c r="AP169" s="115"/>
      <c r="AQ169" s="115"/>
      <c r="AR169" s="115"/>
      <c r="AS169" s="115"/>
      <c r="AT169" s="115"/>
      <c r="AU169" s="115"/>
      <c r="AV169" s="115"/>
      <c r="AW169" s="115"/>
      <c r="AX169" s="115"/>
      <c r="AY169" s="115"/>
      <c r="AZ169" s="115"/>
      <c r="BA169" s="115"/>
      <c r="BB169" s="115"/>
      <c r="BC169" s="115"/>
      <c r="BD169" s="115"/>
      <c r="BE169" s="115"/>
      <c r="BF169" s="115"/>
      <c r="BG169" s="115"/>
      <c r="BH169" s="115"/>
      <c r="BI169" s="115"/>
      <c r="BJ169" s="115"/>
      <c r="BK169" s="115"/>
      <c r="BL169" s="115"/>
      <c r="BM169" s="115"/>
      <c r="BN169" s="115"/>
      <c r="BO169" s="115"/>
      <c r="BP169" s="115"/>
      <c r="BQ169" s="115"/>
      <c r="BR169" s="115">
        <f>H169</f>
        <v>108</v>
      </c>
      <c r="BS169" s="115"/>
      <c r="BT169" s="115"/>
      <c r="BU169" s="115"/>
      <c r="BV169" s="388">
        <v>3.542</v>
      </c>
      <c r="BW169" s="492">
        <f t="shared" si="11"/>
        <v>382.536</v>
      </c>
      <c r="BX169" s="492">
        <f t="shared" si="12"/>
        <v>2964.654</v>
      </c>
      <c r="BY169" s="249"/>
      <c r="BZ169" s="31" t="s">
        <v>83</v>
      </c>
    </row>
    <row r="170" s="4" customFormat="1" ht="25" customHeight="1" spans="1:78 16363:16384">
      <c r="A170" s="114">
        <v>46178</v>
      </c>
      <c r="B170" s="114">
        <v>46255</v>
      </c>
      <c r="C170" s="117" t="s">
        <v>371</v>
      </c>
      <c r="D170" s="114" t="s">
        <v>374</v>
      </c>
      <c r="E170" s="117" t="s">
        <v>375</v>
      </c>
      <c r="F170" s="117" t="s">
        <v>70</v>
      </c>
      <c r="G170" s="117" t="s">
        <v>339</v>
      </c>
      <c r="H170" s="211">
        <v>36</v>
      </c>
      <c r="I170" s="211">
        <v>6</v>
      </c>
      <c r="J170" s="115">
        <f t="shared" si="10"/>
        <v>6</v>
      </c>
      <c r="K170" s="115"/>
      <c r="L170" s="115"/>
      <c r="M170" s="115"/>
      <c r="N170" s="115"/>
      <c r="O170" s="115"/>
      <c r="P170" s="115"/>
      <c r="Q170" s="115"/>
      <c r="R170" s="115"/>
      <c r="S170" s="115"/>
      <c r="T170" s="115"/>
      <c r="U170" s="115"/>
      <c r="V170" s="115"/>
      <c r="W170" s="115"/>
      <c r="X170" s="115"/>
      <c r="Y170" s="115"/>
      <c r="Z170" s="115"/>
      <c r="AA170" s="115"/>
      <c r="AB170" s="115"/>
      <c r="AC170" s="115"/>
      <c r="AD170" s="115"/>
      <c r="AE170" s="115"/>
      <c r="AF170" s="115"/>
      <c r="AG170" s="115"/>
      <c r="AH170" s="115"/>
      <c r="AI170" s="115"/>
      <c r="AJ170" s="115"/>
      <c r="AK170" s="115"/>
      <c r="AL170" s="115"/>
      <c r="AM170" s="115"/>
      <c r="AN170" s="115"/>
      <c r="AO170" s="115"/>
      <c r="AP170" s="115"/>
      <c r="AQ170" s="115"/>
      <c r="AR170" s="115"/>
      <c r="AS170" s="115"/>
      <c r="AT170" s="115"/>
      <c r="AU170" s="115"/>
      <c r="AV170" s="115"/>
      <c r="AW170" s="115"/>
      <c r="AX170" s="115"/>
      <c r="AY170" s="115"/>
      <c r="AZ170" s="115"/>
      <c r="BA170" s="115"/>
      <c r="BB170" s="115"/>
      <c r="BC170" s="115"/>
      <c r="BD170" s="115"/>
      <c r="BE170" s="115"/>
      <c r="BF170" s="115"/>
      <c r="BG170" s="115"/>
      <c r="BH170" s="115"/>
      <c r="BI170" s="115"/>
      <c r="BJ170" s="115"/>
      <c r="BK170" s="115"/>
      <c r="BL170" s="115"/>
      <c r="BM170" s="115"/>
      <c r="BN170" s="115"/>
      <c r="BO170" s="115"/>
      <c r="BP170" s="115"/>
      <c r="BQ170" s="115"/>
      <c r="BR170" s="115"/>
      <c r="BS170" s="117">
        <f>H170</f>
        <v>36</v>
      </c>
      <c r="BT170" s="115"/>
      <c r="BU170" s="115"/>
      <c r="BV170" s="388">
        <v>3.443</v>
      </c>
      <c r="BW170" s="492">
        <f t="shared" si="11"/>
        <v>123.948</v>
      </c>
      <c r="BX170" s="492">
        <f t="shared" si="12"/>
        <v>960.597</v>
      </c>
      <c r="BY170" s="249"/>
      <c r="BZ170" s="31" t="s">
        <v>83</v>
      </c>
    </row>
    <row r="171" s="4" customFormat="1" ht="25" customHeight="1" spans="1:78 16363:16384">
      <c r="A171" s="114">
        <v>46178</v>
      </c>
      <c r="B171" s="114">
        <v>46255</v>
      </c>
      <c r="C171" s="117" t="s">
        <v>371</v>
      </c>
      <c r="D171" s="114" t="s">
        <v>374</v>
      </c>
      <c r="E171" s="117" t="s">
        <v>375</v>
      </c>
      <c r="F171" s="117" t="s">
        <v>69</v>
      </c>
      <c r="G171" s="117" t="s">
        <v>325</v>
      </c>
      <c r="H171" s="211">
        <v>36</v>
      </c>
      <c r="I171" s="211">
        <v>6</v>
      </c>
      <c r="J171" s="115">
        <f t="shared" si="10"/>
        <v>6</v>
      </c>
      <c r="K171" s="115"/>
      <c r="L171" s="115"/>
      <c r="M171" s="115"/>
      <c r="N171" s="115"/>
      <c r="O171" s="115"/>
      <c r="P171" s="115"/>
      <c r="Q171" s="115"/>
      <c r="R171" s="115"/>
      <c r="S171" s="115"/>
      <c r="T171" s="115"/>
      <c r="U171" s="115"/>
      <c r="V171" s="115"/>
      <c r="W171" s="115"/>
      <c r="X171" s="115"/>
      <c r="Y171" s="115"/>
      <c r="Z171" s="115"/>
      <c r="AA171" s="115"/>
      <c r="AB171" s="115"/>
      <c r="AC171" s="115"/>
      <c r="AD171" s="115"/>
      <c r="AE171" s="115"/>
      <c r="AF171" s="115"/>
      <c r="AG171" s="115"/>
      <c r="AH171" s="115"/>
      <c r="AI171" s="115"/>
      <c r="AJ171" s="115"/>
      <c r="AK171" s="115"/>
      <c r="AL171" s="115"/>
      <c r="AM171" s="115"/>
      <c r="AN171" s="115"/>
      <c r="AO171" s="115"/>
      <c r="AP171" s="115"/>
      <c r="AQ171" s="115"/>
      <c r="AR171" s="115"/>
      <c r="AS171" s="115"/>
      <c r="AT171" s="115"/>
      <c r="AU171" s="115"/>
      <c r="AV171" s="115"/>
      <c r="AW171" s="115"/>
      <c r="AX171" s="115"/>
      <c r="AY171" s="115"/>
      <c r="AZ171" s="115"/>
      <c r="BA171" s="115"/>
      <c r="BB171" s="115"/>
      <c r="BC171" s="115"/>
      <c r="BD171" s="115"/>
      <c r="BE171" s="115"/>
      <c r="BF171" s="115"/>
      <c r="BG171" s="115"/>
      <c r="BH171" s="115"/>
      <c r="BI171" s="115"/>
      <c r="BJ171" s="115"/>
      <c r="BK171" s="115"/>
      <c r="BL171" s="115"/>
      <c r="BM171" s="115"/>
      <c r="BN171" s="115"/>
      <c r="BO171" s="115"/>
      <c r="BP171" s="115"/>
      <c r="BQ171" s="117"/>
      <c r="BR171" s="117">
        <f>H171</f>
        <v>36</v>
      </c>
      <c r="BS171" s="115"/>
      <c r="BT171" s="115"/>
      <c r="BU171" s="115"/>
      <c r="BV171" s="388">
        <v>3.542</v>
      </c>
      <c r="BW171" s="492">
        <f t="shared" si="11"/>
        <v>127.512</v>
      </c>
      <c r="BX171" s="492">
        <f t="shared" si="12"/>
        <v>988.218</v>
      </c>
      <c r="BY171" s="249"/>
      <c r="BZ171" s="31" t="s">
        <v>83</v>
      </c>
    </row>
    <row r="172" s="4" customFormat="1" ht="25" customHeight="1" spans="1:78 16363:16384">
      <c r="A172" s="114">
        <v>46178</v>
      </c>
      <c r="B172" s="114">
        <v>46311</v>
      </c>
      <c r="C172" s="117" t="s">
        <v>371</v>
      </c>
      <c r="D172" s="114" t="s">
        <v>372</v>
      </c>
      <c r="E172" s="117" t="s">
        <v>376</v>
      </c>
      <c r="F172" s="117" t="s">
        <v>70</v>
      </c>
      <c r="G172" s="117" t="s">
        <v>339</v>
      </c>
      <c r="H172" s="211">
        <v>72</v>
      </c>
      <c r="I172" s="211">
        <v>6</v>
      </c>
      <c r="J172" s="115">
        <f t="shared" si="10"/>
        <v>12</v>
      </c>
      <c r="K172" s="115"/>
      <c r="L172" s="115"/>
      <c r="M172" s="115"/>
      <c r="N172" s="115"/>
      <c r="O172" s="115"/>
      <c r="P172" s="115"/>
      <c r="Q172" s="115"/>
      <c r="R172" s="115"/>
      <c r="S172" s="115"/>
      <c r="T172" s="115"/>
      <c r="U172" s="115"/>
      <c r="V172" s="115"/>
      <c r="W172" s="115"/>
      <c r="X172" s="115"/>
      <c r="Y172" s="115"/>
      <c r="Z172" s="115"/>
      <c r="AA172" s="115"/>
      <c r="AB172" s="115"/>
      <c r="AC172" s="115"/>
      <c r="AD172" s="115"/>
      <c r="AE172" s="115"/>
      <c r="AF172" s="115"/>
      <c r="AG172" s="115"/>
      <c r="AH172" s="115"/>
      <c r="AI172" s="115"/>
      <c r="AJ172" s="115"/>
      <c r="AK172" s="115"/>
      <c r="AL172" s="115"/>
      <c r="AM172" s="115"/>
      <c r="AN172" s="115"/>
      <c r="AO172" s="115"/>
      <c r="AP172" s="115"/>
      <c r="AQ172" s="115"/>
      <c r="AR172" s="115"/>
      <c r="AS172" s="115"/>
      <c r="AT172" s="115"/>
      <c r="AU172" s="115"/>
      <c r="AV172" s="115"/>
      <c r="AW172" s="115"/>
      <c r="AX172" s="115"/>
      <c r="AY172" s="115"/>
      <c r="AZ172" s="115"/>
      <c r="BA172" s="115"/>
      <c r="BB172" s="115"/>
      <c r="BC172" s="115"/>
      <c r="BD172" s="115"/>
      <c r="BE172" s="115"/>
      <c r="BF172" s="115"/>
      <c r="BG172" s="115"/>
      <c r="BH172" s="115"/>
      <c r="BI172" s="115"/>
      <c r="BJ172" s="115"/>
      <c r="BK172" s="115"/>
      <c r="BL172" s="115"/>
      <c r="BM172" s="115"/>
      <c r="BN172" s="115"/>
      <c r="BO172" s="115"/>
      <c r="BP172" s="115"/>
      <c r="BQ172" s="117"/>
      <c r="BR172" s="117"/>
      <c r="BS172" s="115">
        <f>H172</f>
        <v>72</v>
      </c>
      <c r="BT172" s="115"/>
      <c r="BU172" s="115"/>
      <c r="BV172" s="388">
        <v>3.443</v>
      </c>
      <c r="BW172" s="492">
        <f t="shared" si="11"/>
        <v>247.896</v>
      </c>
      <c r="BX172" s="492">
        <f t="shared" si="12"/>
        <v>1921.194</v>
      </c>
      <c r="BY172" s="249"/>
      <c r="BZ172" s="31" t="s">
        <v>83</v>
      </c>
    </row>
    <row r="173" s="4" customFormat="1" ht="25" customHeight="1" spans="1:78 16363:16384">
      <c r="A173" s="114">
        <v>46178</v>
      </c>
      <c r="B173" s="114">
        <v>46311</v>
      </c>
      <c r="C173" s="117" t="s">
        <v>371</v>
      </c>
      <c r="D173" s="114" t="s">
        <v>372</v>
      </c>
      <c r="E173" s="117" t="s">
        <v>376</v>
      </c>
      <c r="F173" s="117" t="s">
        <v>69</v>
      </c>
      <c r="G173" s="117" t="s">
        <v>325</v>
      </c>
      <c r="H173" s="211">
        <v>72</v>
      </c>
      <c r="I173" s="211">
        <v>6</v>
      </c>
      <c r="J173" s="115">
        <f t="shared" si="10"/>
        <v>12</v>
      </c>
      <c r="K173" s="115"/>
      <c r="L173" s="115"/>
      <c r="M173" s="115"/>
      <c r="N173" s="115"/>
      <c r="O173" s="115"/>
      <c r="P173" s="115"/>
      <c r="Q173" s="115"/>
      <c r="R173" s="115"/>
      <c r="S173" s="115"/>
      <c r="T173" s="115"/>
      <c r="U173" s="115"/>
      <c r="V173" s="115"/>
      <c r="W173" s="115"/>
      <c r="X173" s="115"/>
      <c r="Y173" s="115"/>
      <c r="Z173" s="115"/>
      <c r="AA173" s="115"/>
      <c r="AB173" s="115"/>
      <c r="AC173" s="115"/>
      <c r="AD173" s="115"/>
      <c r="AE173" s="115"/>
      <c r="AF173" s="115"/>
      <c r="AG173" s="115"/>
      <c r="AH173" s="115"/>
      <c r="AI173" s="115"/>
      <c r="AJ173" s="115"/>
      <c r="AK173" s="115"/>
      <c r="AL173" s="115"/>
      <c r="AM173" s="115"/>
      <c r="AN173" s="115"/>
      <c r="AO173" s="115"/>
      <c r="AP173" s="115"/>
      <c r="AQ173" s="115"/>
      <c r="AR173" s="115"/>
      <c r="AS173" s="115"/>
      <c r="AT173" s="115"/>
      <c r="AU173" s="115"/>
      <c r="AV173" s="115"/>
      <c r="AW173" s="115"/>
      <c r="AX173" s="115"/>
      <c r="AY173" s="115"/>
      <c r="AZ173" s="115"/>
      <c r="BA173" s="115"/>
      <c r="BB173" s="115"/>
      <c r="BC173" s="115"/>
      <c r="BD173" s="115"/>
      <c r="BE173" s="115"/>
      <c r="BF173" s="115"/>
      <c r="BG173" s="115"/>
      <c r="BH173" s="115"/>
      <c r="BI173" s="115"/>
      <c r="BJ173" s="115"/>
      <c r="BK173" s="115"/>
      <c r="BL173" s="115"/>
      <c r="BM173" s="115"/>
      <c r="BN173" s="115"/>
      <c r="BO173" s="115"/>
      <c r="BP173" s="115"/>
      <c r="BQ173" s="117"/>
      <c r="BR173" s="117">
        <f>H173</f>
        <v>72</v>
      </c>
      <c r="BS173" s="115"/>
      <c r="BT173" s="115"/>
      <c r="BU173" s="115"/>
      <c r="BV173" s="388">
        <v>3.542</v>
      </c>
      <c r="BW173" s="492">
        <f t="shared" si="11"/>
        <v>255.024</v>
      </c>
      <c r="BX173" s="492">
        <f t="shared" si="12"/>
        <v>1976.436</v>
      </c>
      <c r="BY173" s="249"/>
      <c r="BZ173" s="31" t="s">
        <v>83</v>
      </c>
    </row>
    <row r="174" s="4" customFormat="1" ht="25" customHeight="1" spans="1:78 16363:16384">
      <c r="A174" s="114">
        <v>46178</v>
      </c>
      <c r="B174" s="114">
        <v>46311</v>
      </c>
      <c r="C174" s="117" t="s">
        <v>371</v>
      </c>
      <c r="D174" s="114" t="s">
        <v>374</v>
      </c>
      <c r="E174" s="117" t="s">
        <v>377</v>
      </c>
      <c r="F174" s="117" t="s">
        <v>70</v>
      </c>
      <c r="G174" s="117" t="s">
        <v>339</v>
      </c>
      <c r="H174" s="211">
        <v>24</v>
      </c>
      <c r="I174" s="211">
        <v>6</v>
      </c>
      <c r="J174" s="115">
        <f t="shared" si="10"/>
        <v>4</v>
      </c>
      <c r="K174" s="115"/>
      <c r="L174" s="115"/>
      <c r="M174" s="115"/>
      <c r="N174" s="115"/>
      <c r="O174" s="115"/>
      <c r="P174" s="115"/>
      <c r="Q174" s="115"/>
      <c r="R174" s="115"/>
      <c r="S174" s="115"/>
      <c r="T174" s="115"/>
      <c r="U174" s="115"/>
      <c r="V174" s="115"/>
      <c r="W174" s="115"/>
      <c r="X174" s="115"/>
      <c r="Y174" s="115"/>
      <c r="Z174" s="115"/>
      <c r="AA174" s="115"/>
      <c r="AB174" s="115"/>
      <c r="AC174" s="115"/>
      <c r="AD174" s="115"/>
      <c r="AE174" s="115"/>
      <c r="AF174" s="115"/>
      <c r="AG174" s="115"/>
      <c r="AH174" s="115"/>
      <c r="AI174" s="115"/>
      <c r="AJ174" s="115"/>
      <c r="AK174" s="115"/>
      <c r="AL174" s="115"/>
      <c r="AM174" s="115"/>
      <c r="AN174" s="115"/>
      <c r="AO174" s="115"/>
      <c r="AP174" s="115"/>
      <c r="AQ174" s="115"/>
      <c r="AR174" s="115"/>
      <c r="AS174" s="115"/>
      <c r="AT174" s="115"/>
      <c r="AU174" s="115"/>
      <c r="AV174" s="115"/>
      <c r="AW174" s="115"/>
      <c r="AX174" s="115"/>
      <c r="AY174" s="115"/>
      <c r="AZ174" s="115"/>
      <c r="BA174" s="115"/>
      <c r="BB174" s="115"/>
      <c r="BC174" s="115"/>
      <c r="BD174" s="115"/>
      <c r="BE174" s="115"/>
      <c r="BF174" s="115"/>
      <c r="BG174" s="115"/>
      <c r="BH174" s="115"/>
      <c r="BI174" s="115"/>
      <c r="BJ174" s="115"/>
      <c r="BK174" s="115"/>
      <c r="BL174" s="115"/>
      <c r="BM174" s="115"/>
      <c r="BN174" s="115"/>
      <c r="BO174" s="115"/>
      <c r="BP174" s="115"/>
      <c r="BQ174" s="117"/>
      <c r="BR174" s="117"/>
      <c r="BS174" s="117">
        <f>H174</f>
        <v>24</v>
      </c>
      <c r="BT174" s="115"/>
      <c r="BU174" s="115"/>
      <c r="BV174" s="388">
        <v>3.443</v>
      </c>
      <c r="BW174" s="492">
        <f t="shared" si="11"/>
        <v>82.632</v>
      </c>
      <c r="BX174" s="492">
        <f t="shared" si="12"/>
        <v>640.398</v>
      </c>
      <c r="BY174" s="249"/>
      <c r="BZ174" s="31" t="s">
        <v>83</v>
      </c>
    </row>
    <row r="175" s="4" customFormat="1" ht="25" customHeight="1" spans="1:78 16363:16384">
      <c r="A175" s="114">
        <v>46178</v>
      </c>
      <c r="B175" s="114">
        <v>46311</v>
      </c>
      <c r="C175" s="117" t="s">
        <v>371</v>
      </c>
      <c r="D175" s="114" t="s">
        <v>374</v>
      </c>
      <c r="E175" s="117" t="s">
        <v>377</v>
      </c>
      <c r="F175" s="117" t="s">
        <v>69</v>
      </c>
      <c r="G175" s="117" t="s">
        <v>325</v>
      </c>
      <c r="H175" s="211">
        <v>24</v>
      </c>
      <c r="I175" s="211">
        <v>6</v>
      </c>
      <c r="J175" s="115">
        <f t="shared" si="10"/>
        <v>4</v>
      </c>
      <c r="K175" s="115"/>
      <c r="L175" s="115"/>
      <c r="M175" s="115"/>
      <c r="N175" s="115"/>
      <c r="O175" s="115"/>
      <c r="P175" s="115"/>
      <c r="Q175" s="115"/>
      <c r="R175" s="115"/>
      <c r="S175" s="115"/>
      <c r="T175" s="115"/>
      <c r="U175" s="115"/>
      <c r="V175" s="115"/>
      <c r="W175" s="115"/>
      <c r="X175" s="115"/>
      <c r="Y175" s="115"/>
      <c r="Z175" s="115"/>
      <c r="AA175" s="115"/>
      <c r="AB175" s="115"/>
      <c r="AC175" s="115"/>
      <c r="AD175" s="115"/>
      <c r="AE175" s="115"/>
      <c r="AF175" s="115"/>
      <c r="AG175" s="115"/>
      <c r="AH175" s="115"/>
      <c r="AI175" s="115"/>
      <c r="AJ175" s="115"/>
      <c r="AK175" s="115"/>
      <c r="AL175" s="115"/>
      <c r="AM175" s="115"/>
      <c r="AN175" s="115"/>
      <c r="AO175" s="115"/>
      <c r="AP175" s="115"/>
      <c r="AQ175" s="115"/>
      <c r="AR175" s="115"/>
      <c r="AS175" s="115"/>
      <c r="AT175" s="115"/>
      <c r="AU175" s="115"/>
      <c r="AV175" s="115"/>
      <c r="AW175" s="115"/>
      <c r="AX175" s="115"/>
      <c r="AY175" s="115"/>
      <c r="AZ175" s="115"/>
      <c r="BA175" s="115"/>
      <c r="BB175" s="115"/>
      <c r="BC175" s="115"/>
      <c r="BD175" s="115"/>
      <c r="BE175" s="115"/>
      <c r="BF175" s="115"/>
      <c r="BG175" s="115"/>
      <c r="BH175" s="115"/>
      <c r="BI175" s="115"/>
      <c r="BJ175" s="115"/>
      <c r="BK175" s="115"/>
      <c r="BL175" s="115"/>
      <c r="BM175" s="115"/>
      <c r="BN175" s="115"/>
      <c r="BO175" s="115"/>
      <c r="BP175" s="115"/>
      <c r="BQ175" s="117"/>
      <c r="BR175" s="117">
        <f>H175</f>
        <v>24</v>
      </c>
      <c r="BS175" s="115"/>
      <c r="BT175" s="115"/>
      <c r="BU175" s="115"/>
      <c r="BV175" s="388">
        <v>3.542</v>
      </c>
      <c r="BW175" s="492">
        <f t="shared" si="11"/>
        <v>85.008</v>
      </c>
      <c r="BX175" s="492">
        <f t="shared" si="12"/>
        <v>658.812</v>
      </c>
      <c r="BY175" s="249"/>
      <c r="BZ175" s="31" t="s">
        <v>83</v>
      </c>
    </row>
    <row r="176" s="4" customFormat="1" ht="25" customHeight="1" spans="1:78 16363:16384">
      <c r="A176" s="114">
        <v>46178</v>
      </c>
      <c r="B176" s="114">
        <v>46311</v>
      </c>
      <c r="C176" s="117" t="s">
        <v>371</v>
      </c>
      <c r="D176" s="114" t="s">
        <v>378</v>
      </c>
      <c r="E176" s="117" t="s">
        <v>379</v>
      </c>
      <c r="F176" s="117" t="s">
        <v>70</v>
      </c>
      <c r="G176" s="117" t="s">
        <v>339</v>
      </c>
      <c r="H176" s="211">
        <v>192</v>
      </c>
      <c r="I176" s="211">
        <v>6</v>
      </c>
      <c r="J176" s="115">
        <f t="shared" si="10"/>
        <v>32</v>
      </c>
      <c r="K176" s="115"/>
      <c r="L176" s="115"/>
      <c r="M176" s="115"/>
      <c r="N176" s="115"/>
      <c r="O176" s="115"/>
      <c r="P176" s="115"/>
      <c r="Q176" s="115"/>
      <c r="R176" s="115"/>
      <c r="S176" s="115"/>
      <c r="T176" s="115"/>
      <c r="U176" s="115"/>
      <c r="V176" s="115"/>
      <c r="W176" s="115"/>
      <c r="X176" s="115"/>
      <c r="Y176" s="115"/>
      <c r="Z176" s="115"/>
      <c r="AA176" s="115"/>
      <c r="AB176" s="115"/>
      <c r="AC176" s="115"/>
      <c r="AD176" s="115"/>
      <c r="AE176" s="115"/>
      <c r="AF176" s="115"/>
      <c r="AG176" s="115"/>
      <c r="AH176" s="115"/>
      <c r="AI176" s="115"/>
      <c r="AJ176" s="115"/>
      <c r="AK176" s="115"/>
      <c r="AL176" s="115"/>
      <c r="AM176" s="115"/>
      <c r="AN176" s="115"/>
      <c r="AO176" s="115"/>
      <c r="AP176" s="115"/>
      <c r="AQ176" s="115"/>
      <c r="AR176" s="115"/>
      <c r="AS176" s="115"/>
      <c r="AT176" s="115"/>
      <c r="AU176" s="115"/>
      <c r="AV176" s="115"/>
      <c r="AW176" s="115"/>
      <c r="AX176" s="115"/>
      <c r="AY176" s="115"/>
      <c r="AZ176" s="115"/>
      <c r="BA176" s="115"/>
      <c r="BB176" s="115"/>
      <c r="BC176" s="115"/>
      <c r="BD176" s="115"/>
      <c r="BE176" s="115"/>
      <c r="BF176" s="115"/>
      <c r="BG176" s="115"/>
      <c r="BH176" s="115"/>
      <c r="BI176" s="115"/>
      <c r="BJ176" s="115"/>
      <c r="BK176" s="115"/>
      <c r="BL176" s="115"/>
      <c r="BM176" s="115"/>
      <c r="BN176" s="115"/>
      <c r="BO176" s="115"/>
      <c r="BP176" s="115"/>
      <c r="BQ176" s="115"/>
      <c r="BR176" s="115"/>
      <c r="BS176" s="115">
        <f>H176</f>
        <v>192</v>
      </c>
      <c r="BT176" s="115"/>
      <c r="BU176" s="115"/>
      <c r="BV176" s="388">
        <v>3.443</v>
      </c>
      <c r="BW176" s="492">
        <f t="shared" si="11"/>
        <v>661.056</v>
      </c>
      <c r="BX176" s="492">
        <f t="shared" si="12"/>
        <v>5123.184</v>
      </c>
      <c r="BY176" s="249"/>
      <c r="BZ176" s="31" t="s">
        <v>83</v>
      </c>
    </row>
    <row r="177" s="4" customFormat="1" ht="25" customHeight="1" spans="1:78">
      <c r="A177" s="114">
        <v>46178</v>
      </c>
      <c r="B177" s="114">
        <v>46311</v>
      </c>
      <c r="C177" s="117" t="s">
        <v>371</v>
      </c>
      <c r="D177" s="114" t="s">
        <v>378</v>
      </c>
      <c r="E177" s="117" t="s">
        <v>379</v>
      </c>
      <c r="F177" s="117" t="s">
        <v>69</v>
      </c>
      <c r="G177" s="117" t="s">
        <v>325</v>
      </c>
      <c r="H177" s="211">
        <v>192</v>
      </c>
      <c r="I177" s="211">
        <v>6</v>
      </c>
      <c r="J177" s="115">
        <f t="shared" si="10"/>
        <v>32</v>
      </c>
      <c r="K177" s="115"/>
      <c r="L177" s="115"/>
      <c r="M177" s="115"/>
      <c r="N177" s="115"/>
      <c r="O177" s="115"/>
      <c r="P177" s="115"/>
      <c r="Q177" s="115"/>
      <c r="R177" s="115"/>
      <c r="S177" s="115"/>
      <c r="T177" s="115"/>
      <c r="U177" s="115"/>
      <c r="V177" s="115"/>
      <c r="W177" s="115"/>
      <c r="X177" s="115"/>
      <c r="Y177" s="115"/>
      <c r="Z177" s="115"/>
      <c r="AA177" s="115"/>
      <c r="AB177" s="115"/>
      <c r="AC177" s="115"/>
      <c r="AD177" s="115"/>
      <c r="AE177" s="115"/>
      <c r="AF177" s="115"/>
      <c r="AG177" s="115"/>
      <c r="AH177" s="115"/>
      <c r="AI177" s="115"/>
      <c r="AJ177" s="115"/>
      <c r="AK177" s="115"/>
      <c r="AL177" s="115"/>
      <c r="AM177" s="115"/>
      <c r="AN177" s="115"/>
      <c r="AO177" s="115"/>
      <c r="AP177" s="115"/>
      <c r="AQ177" s="115"/>
      <c r="AR177" s="115"/>
      <c r="AS177" s="115"/>
      <c r="AT177" s="115"/>
      <c r="AU177" s="115"/>
      <c r="AV177" s="115"/>
      <c r="AW177" s="115"/>
      <c r="AX177" s="115"/>
      <c r="AY177" s="115"/>
      <c r="AZ177" s="115"/>
      <c r="BA177" s="115"/>
      <c r="BB177" s="115"/>
      <c r="BC177" s="115"/>
      <c r="BD177" s="115"/>
      <c r="BE177" s="115"/>
      <c r="BF177" s="115"/>
      <c r="BG177" s="115"/>
      <c r="BH177" s="115"/>
      <c r="BI177" s="115"/>
      <c r="BJ177" s="115"/>
      <c r="BK177" s="115"/>
      <c r="BL177" s="115"/>
      <c r="BM177" s="115"/>
      <c r="BN177" s="115"/>
      <c r="BO177" s="115"/>
      <c r="BP177" s="115"/>
      <c r="BQ177" s="115"/>
      <c r="BR177" s="115">
        <f>H177</f>
        <v>192</v>
      </c>
      <c r="BS177" s="115"/>
      <c r="BT177" s="115"/>
      <c r="BU177" s="115"/>
      <c r="BV177" s="388">
        <v>3.542</v>
      </c>
      <c r="BW177" s="492">
        <f t="shared" si="11"/>
        <v>680.064</v>
      </c>
      <c r="BX177" s="492">
        <f t="shared" si="12"/>
        <v>5270.496</v>
      </c>
      <c r="BY177" s="249"/>
      <c r="BZ177" s="31" t="s">
        <v>83</v>
      </c>
    </row>
    <row r="178" s="4" customFormat="1" ht="25" customHeight="1" spans="1:78">
      <c r="A178" s="114">
        <v>46178</v>
      </c>
      <c r="B178" s="114">
        <v>46311</v>
      </c>
      <c r="C178" s="117" t="s">
        <v>371</v>
      </c>
      <c r="D178" s="114" t="s">
        <v>380</v>
      </c>
      <c r="E178" s="117" t="s">
        <v>381</v>
      </c>
      <c r="F178" s="117" t="s">
        <v>70</v>
      </c>
      <c r="G178" s="117" t="s">
        <v>339</v>
      </c>
      <c r="H178" s="211">
        <v>192</v>
      </c>
      <c r="I178" s="211">
        <v>6</v>
      </c>
      <c r="J178" s="115">
        <f t="shared" si="10"/>
        <v>32</v>
      </c>
      <c r="K178" s="115"/>
      <c r="L178" s="115"/>
      <c r="M178" s="115"/>
      <c r="N178" s="115"/>
      <c r="O178" s="115"/>
      <c r="P178" s="115"/>
      <c r="Q178" s="115"/>
      <c r="R178" s="115"/>
      <c r="S178" s="115"/>
      <c r="T178" s="115"/>
      <c r="U178" s="115"/>
      <c r="V178" s="115"/>
      <c r="W178" s="115"/>
      <c r="X178" s="115"/>
      <c r="Y178" s="115"/>
      <c r="Z178" s="115"/>
      <c r="AA178" s="115"/>
      <c r="AB178" s="115"/>
      <c r="AC178" s="115"/>
      <c r="AD178" s="115"/>
      <c r="AE178" s="115"/>
      <c r="AF178" s="115"/>
      <c r="AG178" s="115"/>
      <c r="AH178" s="115"/>
      <c r="AI178" s="115"/>
      <c r="AJ178" s="115"/>
      <c r="AK178" s="115"/>
      <c r="AL178" s="115"/>
      <c r="AM178" s="115"/>
      <c r="AN178" s="115"/>
      <c r="AO178" s="115"/>
      <c r="AP178" s="115"/>
      <c r="AQ178" s="115"/>
      <c r="AR178" s="115"/>
      <c r="AS178" s="115"/>
      <c r="AT178" s="115"/>
      <c r="AU178" s="115"/>
      <c r="AV178" s="115"/>
      <c r="AW178" s="115"/>
      <c r="AX178" s="115"/>
      <c r="AY178" s="115"/>
      <c r="AZ178" s="115"/>
      <c r="BA178" s="115"/>
      <c r="BB178" s="115"/>
      <c r="BC178" s="115"/>
      <c r="BD178" s="115"/>
      <c r="BE178" s="115"/>
      <c r="BF178" s="115"/>
      <c r="BG178" s="115"/>
      <c r="BH178" s="115"/>
      <c r="BI178" s="115"/>
      <c r="BJ178" s="115"/>
      <c r="BK178" s="115"/>
      <c r="BL178" s="115"/>
      <c r="BM178" s="115"/>
      <c r="BN178" s="115"/>
      <c r="BO178" s="115"/>
      <c r="BP178" s="115"/>
      <c r="BQ178" s="115"/>
      <c r="BR178" s="115"/>
      <c r="BS178" s="117">
        <f>H178</f>
        <v>192</v>
      </c>
      <c r="BT178" s="115"/>
      <c r="BU178" s="115"/>
      <c r="BV178" s="388">
        <v>3.443</v>
      </c>
      <c r="BW178" s="492">
        <f t="shared" si="11"/>
        <v>661.056</v>
      </c>
      <c r="BX178" s="492">
        <f t="shared" si="12"/>
        <v>5123.184</v>
      </c>
      <c r="BY178" s="249"/>
      <c r="BZ178" s="31" t="s">
        <v>83</v>
      </c>
    </row>
    <row r="179" s="4" customFormat="1" ht="25" customHeight="1" spans="1:78">
      <c r="A179" s="114">
        <v>46178</v>
      </c>
      <c r="B179" s="114">
        <v>46311</v>
      </c>
      <c r="C179" s="117" t="s">
        <v>371</v>
      </c>
      <c r="D179" s="114" t="s">
        <v>380</v>
      </c>
      <c r="E179" s="117" t="s">
        <v>381</v>
      </c>
      <c r="F179" s="117" t="s">
        <v>69</v>
      </c>
      <c r="G179" s="117" t="s">
        <v>325</v>
      </c>
      <c r="H179" s="211">
        <v>192</v>
      </c>
      <c r="I179" s="211">
        <v>6</v>
      </c>
      <c r="J179" s="115">
        <f t="shared" si="10"/>
        <v>32</v>
      </c>
      <c r="K179" s="115"/>
      <c r="L179" s="115"/>
      <c r="M179" s="115"/>
      <c r="N179" s="115"/>
      <c r="O179" s="115"/>
      <c r="P179" s="115"/>
      <c r="Q179" s="115"/>
      <c r="R179" s="115"/>
      <c r="S179" s="115"/>
      <c r="T179" s="115"/>
      <c r="U179" s="115"/>
      <c r="V179" s="115"/>
      <c r="W179" s="115"/>
      <c r="X179" s="115"/>
      <c r="Y179" s="115"/>
      <c r="Z179" s="115"/>
      <c r="AA179" s="115"/>
      <c r="AB179" s="115"/>
      <c r="AC179" s="115"/>
      <c r="AD179" s="115"/>
      <c r="AE179" s="115"/>
      <c r="AF179" s="115"/>
      <c r="AG179" s="115"/>
      <c r="AH179" s="115"/>
      <c r="AI179" s="115"/>
      <c r="AJ179" s="115"/>
      <c r="AK179" s="115"/>
      <c r="AL179" s="115"/>
      <c r="AM179" s="115"/>
      <c r="AN179" s="115"/>
      <c r="AO179" s="115"/>
      <c r="AP179" s="115"/>
      <c r="AQ179" s="115"/>
      <c r="AR179" s="115"/>
      <c r="AS179" s="115"/>
      <c r="AT179" s="115"/>
      <c r="AU179" s="115"/>
      <c r="AV179" s="115"/>
      <c r="AW179" s="115"/>
      <c r="AX179" s="115"/>
      <c r="AY179" s="115"/>
      <c r="AZ179" s="115"/>
      <c r="BA179" s="115"/>
      <c r="BB179" s="115"/>
      <c r="BC179" s="115"/>
      <c r="BD179" s="115"/>
      <c r="BE179" s="115"/>
      <c r="BF179" s="115"/>
      <c r="BG179" s="115"/>
      <c r="BH179" s="115"/>
      <c r="BI179" s="115"/>
      <c r="BJ179" s="115"/>
      <c r="BK179" s="115"/>
      <c r="BL179" s="115"/>
      <c r="BM179" s="115"/>
      <c r="BN179" s="115"/>
      <c r="BO179" s="115"/>
      <c r="BP179" s="115"/>
      <c r="BQ179" s="117"/>
      <c r="BR179" s="117">
        <f>H179</f>
        <v>192</v>
      </c>
      <c r="BS179" s="115"/>
      <c r="BT179" s="115"/>
      <c r="BU179" s="115"/>
      <c r="BV179" s="388">
        <v>3.542</v>
      </c>
      <c r="BW179" s="492">
        <f t="shared" si="11"/>
        <v>680.064</v>
      </c>
      <c r="BX179" s="492">
        <f t="shared" si="12"/>
        <v>5270.496</v>
      </c>
      <c r="BY179" s="249"/>
      <c r="BZ179" s="31" t="s">
        <v>83</v>
      </c>
    </row>
    <row r="180" s="4" customFormat="1" ht="25" customHeight="1" spans="1:78">
      <c r="A180" s="114">
        <v>46178</v>
      </c>
      <c r="B180" s="114">
        <v>46311</v>
      </c>
      <c r="C180" s="117" t="s">
        <v>371</v>
      </c>
      <c r="D180" s="114" t="s">
        <v>382</v>
      </c>
      <c r="E180" s="117" t="s">
        <v>383</v>
      </c>
      <c r="F180" s="117" t="s">
        <v>70</v>
      </c>
      <c r="G180" s="117" t="s">
        <v>339</v>
      </c>
      <c r="H180" s="211">
        <v>192</v>
      </c>
      <c r="I180" s="211">
        <v>6</v>
      </c>
      <c r="J180" s="115">
        <f t="shared" si="10"/>
        <v>32</v>
      </c>
      <c r="K180" s="115"/>
      <c r="L180" s="115"/>
      <c r="M180" s="115"/>
      <c r="N180" s="115"/>
      <c r="O180" s="115"/>
      <c r="P180" s="115"/>
      <c r="Q180" s="115"/>
      <c r="R180" s="115"/>
      <c r="S180" s="115"/>
      <c r="T180" s="115"/>
      <c r="U180" s="115"/>
      <c r="V180" s="115"/>
      <c r="W180" s="115"/>
      <c r="X180" s="115"/>
      <c r="Y180" s="115"/>
      <c r="Z180" s="115"/>
      <c r="AA180" s="115"/>
      <c r="AB180" s="115"/>
      <c r="AC180" s="115"/>
      <c r="AD180" s="115"/>
      <c r="AE180" s="115"/>
      <c r="AF180" s="115"/>
      <c r="AG180" s="115"/>
      <c r="AH180" s="115"/>
      <c r="AI180" s="115"/>
      <c r="AJ180" s="115"/>
      <c r="AK180" s="115"/>
      <c r="AL180" s="115"/>
      <c r="AM180" s="115"/>
      <c r="AN180" s="115"/>
      <c r="AO180" s="115"/>
      <c r="AP180" s="115"/>
      <c r="AQ180" s="115"/>
      <c r="AR180" s="115"/>
      <c r="AS180" s="115"/>
      <c r="AT180" s="115"/>
      <c r="AU180" s="115"/>
      <c r="AV180" s="115"/>
      <c r="AW180" s="115"/>
      <c r="AX180" s="115"/>
      <c r="AY180" s="115"/>
      <c r="AZ180" s="115"/>
      <c r="BA180" s="115"/>
      <c r="BB180" s="115"/>
      <c r="BC180" s="115"/>
      <c r="BD180" s="115"/>
      <c r="BE180" s="115"/>
      <c r="BF180" s="115"/>
      <c r="BG180" s="115"/>
      <c r="BH180" s="115"/>
      <c r="BI180" s="115"/>
      <c r="BJ180" s="115"/>
      <c r="BK180" s="115"/>
      <c r="BL180" s="115"/>
      <c r="BM180" s="115"/>
      <c r="BN180" s="115"/>
      <c r="BO180" s="115"/>
      <c r="BP180" s="115"/>
      <c r="BQ180" s="115"/>
      <c r="BR180" s="115"/>
      <c r="BS180" s="117">
        <f>H180</f>
        <v>192</v>
      </c>
      <c r="BT180" s="115"/>
      <c r="BU180" s="115"/>
      <c r="BV180" s="388">
        <v>3.443</v>
      </c>
      <c r="BW180" s="492">
        <f t="shared" si="11"/>
        <v>661.056</v>
      </c>
      <c r="BX180" s="492">
        <f t="shared" si="12"/>
        <v>5123.184</v>
      </c>
      <c r="BY180" s="249"/>
      <c r="BZ180" s="31" t="s">
        <v>83</v>
      </c>
    </row>
    <row r="181" s="4" customFormat="1" ht="25" customHeight="1" spans="1:78">
      <c r="A181" s="114">
        <v>46178</v>
      </c>
      <c r="B181" s="114">
        <v>46311</v>
      </c>
      <c r="C181" s="117" t="s">
        <v>371</v>
      </c>
      <c r="D181" s="114" t="s">
        <v>382</v>
      </c>
      <c r="E181" s="117" t="s">
        <v>383</v>
      </c>
      <c r="F181" s="117" t="s">
        <v>69</v>
      </c>
      <c r="G181" s="117" t="s">
        <v>325</v>
      </c>
      <c r="H181" s="211">
        <v>192</v>
      </c>
      <c r="I181" s="211">
        <v>6</v>
      </c>
      <c r="J181" s="115">
        <f t="shared" si="10"/>
        <v>32</v>
      </c>
      <c r="K181" s="115"/>
      <c r="L181" s="115"/>
      <c r="M181" s="115"/>
      <c r="N181" s="115"/>
      <c r="O181" s="115"/>
      <c r="P181" s="115"/>
      <c r="Q181" s="115"/>
      <c r="R181" s="115"/>
      <c r="S181" s="115"/>
      <c r="T181" s="115"/>
      <c r="U181" s="115"/>
      <c r="V181" s="115"/>
      <c r="W181" s="115"/>
      <c r="X181" s="115"/>
      <c r="Y181" s="115"/>
      <c r="Z181" s="115"/>
      <c r="AA181" s="115"/>
      <c r="AB181" s="115"/>
      <c r="AC181" s="115"/>
      <c r="AD181" s="115"/>
      <c r="AE181" s="115"/>
      <c r="AF181" s="115"/>
      <c r="AG181" s="115"/>
      <c r="AH181" s="115"/>
      <c r="AI181" s="115"/>
      <c r="AJ181" s="115"/>
      <c r="AK181" s="115"/>
      <c r="AL181" s="115"/>
      <c r="AM181" s="115"/>
      <c r="AN181" s="115"/>
      <c r="AO181" s="115"/>
      <c r="AP181" s="115"/>
      <c r="AQ181" s="115"/>
      <c r="AR181" s="115"/>
      <c r="AS181" s="115"/>
      <c r="AT181" s="115"/>
      <c r="AU181" s="115"/>
      <c r="AV181" s="115"/>
      <c r="AW181" s="115"/>
      <c r="AX181" s="115"/>
      <c r="AY181" s="115"/>
      <c r="AZ181" s="115"/>
      <c r="BA181" s="115"/>
      <c r="BB181" s="115"/>
      <c r="BC181" s="115"/>
      <c r="BD181" s="115"/>
      <c r="BE181" s="115"/>
      <c r="BF181" s="115"/>
      <c r="BG181" s="115"/>
      <c r="BH181" s="115"/>
      <c r="BI181" s="115"/>
      <c r="BJ181" s="115"/>
      <c r="BK181" s="115"/>
      <c r="BL181" s="115"/>
      <c r="BM181" s="115"/>
      <c r="BN181" s="115"/>
      <c r="BO181" s="115"/>
      <c r="BP181" s="115"/>
      <c r="BQ181" s="117"/>
      <c r="BR181" s="117">
        <f>H181</f>
        <v>192</v>
      </c>
      <c r="BS181" s="115"/>
      <c r="BT181" s="115"/>
      <c r="BU181" s="115"/>
      <c r="BV181" s="388">
        <v>3.542</v>
      </c>
      <c r="BW181" s="492">
        <f t="shared" si="11"/>
        <v>680.064</v>
      </c>
      <c r="BX181" s="492">
        <f t="shared" si="12"/>
        <v>5270.496</v>
      </c>
      <c r="BY181" s="249"/>
      <c r="BZ181" s="31" t="s">
        <v>83</v>
      </c>
    </row>
    <row r="182" s="4" customFormat="1" ht="25" customHeight="1" spans="1:78">
      <c r="A182" s="114">
        <v>46178</v>
      </c>
      <c r="B182" s="114">
        <v>46255</v>
      </c>
      <c r="C182" s="117" t="s">
        <v>371</v>
      </c>
      <c r="D182" s="114" t="s">
        <v>378</v>
      </c>
      <c r="E182" s="117" t="s">
        <v>384</v>
      </c>
      <c r="F182" s="117" t="s">
        <v>70</v>
      </c>
      <c r="G182" s="117" t="s">
        <v>339</v>
      </c>
      <c r="H182" s="211">
        <v>288</v>
      </c>
      <c r="I182" s="211">
        <v>6</v>
      </c>
      <c r="J182" s="115">
        <f t="shared" si="10"/>
        <v>48</v>
      </c>
      <c r="K182" s="115"/>
      <c r="L182" s="115"/>
      <c r="M182" s="115"/>
      <c r="N182" s="115"/>
      <c r="O182" s="115"/>
      <c r="P182" s="115"/>
      <c r="Q182" s="115"/>
      <c r="R182" s="115"/>
      <c r="S182" s="115"/>
      <c r="T182" s="115"/>
      <c r="U182" s="115"/>
      <c r="V182" s="115"/>
      <c r="W182" s="115"/>
      <c r="X182" s="115"/>
      <c r="Y182" s="115"/>
      <c r="Z182" s="115"/>
      <c r="AA182" s="115"/>
      <c r="AB182" s="115"/>
      <c r="AC182" s="115"/>
      <c r="AD182" s="115"/>
      <c r="AE182" s="115"/>
      <c r="AF182" s="115"/>
      <c r="AG182" s="115"/>
      <c r="AH182" s="115"/>
      <c r="AI182" s="115"/>
      <c r="AJ182" s="115"/>
      <c r="AK182" s="115"/>
      <c r="AL182" s="115"/>
      <c r="AM182" s="115"/>
      <c r="AN182" s="115"/>
      <c r="AO182" s="115"/>
      <c r="AP182" s="115"/>
      <c r="AQ182" s="115"/>
      <c r="AR182" s="115"/>
      <c r="AS182" s="115"/>
      <c r="AT182" s="115"/>
      <c r="AU182" s="115"/>
      <c r="AV182" s="115"/>
      <c r="AW182" s="115"/>
      <c r="AX182" s="115"/>
      <c r="AY182" s="115"/>
      <c r="AZ182" s="115"/>
      <c r="BA182" s="115"/>
      <c r="BB182" s="115"/>
      <c r="BC182" s="115"/>
      <c r="BD182" s="115"/>
      <c r="BE182" s="115"/>
      <c r="BF182" s="115"/>
      <c r="BG182" s="115"/>
      <c r="BH182" s="115"/>
      <c r="BI182" s="115"/>
      <c r="BJ182" s="115"/>
      <c r="BK182" s="115"/>
      <c r="BL182" s="115"/>
      <c r="BM182" s="115"/>
      <c r="BN182" s="115"/>
      <c r="BO182" s="115"/>
      <c r="BP182" s="115"/>
      <c r="BQ182" s="115"/>
      <c r="BR182" s="115"/>
      <c r="BS182" s="117">
        <f>H182</f>
        <v>288</v>
      </c>
      <c r="BT182" s="115"/>
      <c r="BU182" s="115"/>
      <c r="BV182" s="388">
        <v>3.443</v>
      </c>
      <c r="BW182" s="492">
        <f t="shared" si="11"/>
        <v>991.584</v>
      </c>
      <c r="BX182" s="492">
        <f t="shared" si="12"/>
        <v>7684.776</v>
      </c>
      <c r="BY182" s="249"/>
      <c r="BZ182" s="31" t="s">
        <v>83</v>
      </c>
    </row>
    <row r="183" s="4" customFormat="1" ht="25" customHeight="1" spans="1:78">
      <c r="A183" s="114">
        <v>46178</v>
      </c>
      <c r="B183" s="114">
        <v>46255</v>
      </c>
      <c r="C183" s="117" t="s">
        <v>371</v>
      </c>
      <c r="D183" s="114" t="s">
        <v>378</v>
      </c>
      <c r="E183" s="117" t="s">
        <v>384</v>
      </c>
      <c r="F183" s="117" t="s">
        <v>69</v>
      </c>
      <c r="G183" s="117" t="s">
        <v>325</v>
      </c>
      <c r="H183" s="211">
        <v>288</v>
      </c>
      <c r="I183" s="211">
        <v>6</v>
      </c>
      <c r="J183" s="115">
        <f t="shared" si="10"/>
        <v>48</v>
      </c>
      <c r="K183" s="115"/>
      <c r="L183" s="115"/>
      <c r="M183" s="115"/>
      <c r="N183" s="115"/>
      <c r="O183" s="115"/>
      <c r="P183" s="115"/>
      <c r="Q183" s="115"/>
      <c r="R183" s="115"/>
      <c r="S183" s="115"/>
      <c r="T183" s="115"/>
      <c r="U183" s="115"/>
      <c r="V183" s="115"/>
      <c r="W183" s="115"/>
      <c r="X183" s="115"/>
      <c r="Y183" s="115"/>
      <c r="Z183" s="115"/>
      <c r="AA183" s="115"/>
      <c r="AB183" s="115"/>
      <c r="AC183" s="115"/>
      <c r="AD183" s="115"/>
      <c r="AE183" s="115"/>
      <c r="AF183" s="115"/>
      <c r="AG183" s="115"/>
      <c r="AH183" s="115"/>
      <c r="AI183" s="115"/>
      <c r="AJ183" s="115"/>
      <c r="AK183" s="115"/>
      <c r="AL183" s="115"/>
      <c r="AM183" s="115"/>
      <c r="AN183" s="115"/>
      <c r="AO183" s="115"/>
      <c r="AP183" s="115"/>
      <c r="AQ183" s="115"/>
      <c r="AR183" s="115"/>
      <c r="AS183" s="115"/>
      <c r="AT183" s="115"/>
      <c r="AU183" s="115"/>
      <c r="AV183" s="115"/>
      <c r="AW183" s="115"/>
      <c r="AX183" s="115"/>
      <c r="AY183" s="115"/>
      <c r="AZ183" s="115"/>
      <c r="BA183" s="115"/>
      <c r="BB183" s="115"/>
      <c r="BC183" s="115"/>
      <c r="BD183" s="115"/>
      <c r="BE183" s="115"/>
      <c r="BF183" s="115"/>
      <c r="BG183" s="115"/>
      <c r="BH183" s="115"/>
      <c r="BI183" s="115"/>
      <c r="BJ183" s="115"/>
      <c r="BK183" s="115"/>
      <c r="BL183" s="115"/>
      <c r="BM183" s="115"/>
      <c r="BN183" s="115"/>
      <c r="BO183" s="115"/>
      <c r="BP183" s="115"/>
      <c r="BQ183" s="117"/>
      <c r="BR183" s="117">
        <f>H183</f>
        <v>288</v>
      </c>
      <c r="BS183" s="115"/>
      <c r="BT183" s="115"/>
      <c r="BU183" s="115"/>
      <c r="BV183" s="388">
        <v>3.542</v>
      </c>
      <c r="BW183" s="492">
        <f t="shared" si="11"/>
        <v>1020.096</v>
      </c>
      <c r="BX183" s="492">
        <f t="shared" si="12"/>
        <v>7905.744</v>
      </c>
      <c r="BY183" s="249"/>
      <c r="BZ183" s="31" t="s">
        <v>83</v>
      </c>
    </row>
    <row r="184" s="4" customFormat="1" ht="25" customHeight="1" spans="1:78">
      <c r="A184" s="114">
        <v>46178</v>
      </c>
      <c r="B184" s="114">
        <v>46255</v>
      </c>
      <c r="C184" s="117" t="s">
        <v>371</v>
      </c>
      <c r="D184" s="114" t="s">
        <v>380</v>
      </c>
      <c r="E184" s="117" t="s">
        <v>385</v>
      </c>
      <c r="F184" s="117" t="s">
        <v>70</v>
      </c>
      <c r="G184" s="117" t="s">
        <v>339</v>
      </c>
      <c r="H184" s="211">
        <v>288</v>
      </c>
      <c r="I184" s="211">
        <v>6</v>
      </c>
      <c r="J184" s="115">
        <f t="shared" si="10"/>
        <v>48</v>
      </c>
      <c r="K184" s="115"/>
      <c r="L184" s="115"/>
      <c r="M184" s="115"/>
      <c r="N184" s="115"/>
      <c r="O184" s="115"/>
      <c r="P184" s="115"/>
      <c r="Q184" s="115"/>
      <c r="R184" s="115"/>
      <c r="S184" s="115"/>
      <c r="T184" s="115"/>
      <c r="U184" s="115"/>
      <c r="V184" s="115"/>
      <c r="W184" s="115"/>
      <c r="X184" s="115"/>
      <c r="Y184" s="115"/>
      <c r="Z184" s="115"/>
      <c r="AA184" s="115"/>
      <c r="AB184" s="115"/>
      <c r="AC184" s="115"/>
      <c r="AD184" s="115"/>
      <c r="AE184" s="115"/>
      <c r="AF184" s="115"/>
      <c r="AG184" s="115"/>
      <c r="AH184" s="115"/>
      <c r="AI184" s="115"/>
      <c r="AJ184" s="115"/>
      <c r="AK184" s="115"/>
      <c r="AL184" s="115"/>
      <c r="AM184" s="115"/>
      <c r="AN184" s="115"/>
      <c r="AO184" s="115"/>
      <c r="AP184" s="115"/>
      <c r="AQ184" s="115"/>
      <c r="AR184" s="115"/>
      <c r="AS184" s="115"/>
      <c r="AT184" s="115"/>
      <c r="AU184" s="115"/>
      <c r="AV184" s="115"/>
      <c r="AW184" s="115"/>
      <c r="AX184" s="115"/>
      <c r="AY184" s="115"/>
      <c r="AZ184" s="115"/>
      <c r="BA184" s="115"/>
      <c r="BB184" s="115"/>
      <c r="BC184" s="115"/>
      <c r="BD184" s="115"/>
      <c r="BE184" s="115"/>
      <c r="BF184" s="115"/>
      <c r="BG184" s="115"/>
      <c r="BH184" s="115"/>
      <c r="BI184" s="115"/>
      <c r="BJ184" s="115"/>
      <c r="BK184" s="115"/>
      <c r="BL184" s="115"/>
      <c r="BM184" s="115"/>
      <c r="BN184" s="115"/>
      <c r="BO184" s="115"/>
      <c r="BP184" s="115"/>
      <c r="BQ184" s="115"/>
      <c r="BR184" s="115"/>
      <c r="BS184" s="117">
        <f t="shared" ref="BS184:BS191" si="13">H184</f>
        <v>288</v>
      </c>
      <c r="BT184" s="115"/>
      <c r="BU184" s="115"/>
      <c r="BV184" s="388">
        <v>3.443</v>
      </c>
      <c r="BW184" s="492">
        <f t="shared" si="11"/>
        <v>991.584</v>
      </c>
      <c r="BX184" s="492">
        <f t="shared" si="12"/>
        <v>7684.776</v>
      </c>
      <c r="BY184" s="249"/>
      <c r="BZ184" s="31" t="s">
        <v>83</v>
      </c>
    </row>
    <row r="185" s="4" customFormat="1" ht="25" customHeight="1" spans="1:78">
      <c r="A185" s="114">
        <v>46178</v>
      </c>
      <c r="B185" s="114">
        <v>46255</v>
      </c>
      <c r="C185" s="117" t="s">
        <v>371</v>
      </c>
      <c r="D185" s="114" t="s">
        <v>380</v>
      </c>
      <c r="E185" s="117" t="s">
        <v>385</v>
      </c>
      <c r="F185" s="117" t="s">
        <v>69</v>
      </c>
      <c r="G185" s="117" t="s">
        <v>325</v>
      </c>
      <c r="H185" s="211">
        <v>288</v>
      </c>
      <c r="I185" s="211">
        <v>6</v>
      </c>
      <c r="J185" s="115">
        <f t="shared" si="10"/>
        <v>48</v>
      </c>
      <c r="K185" s="115"/>
      <c r="L185" s="115"/>
      <c r="M185" s="115"/>
      <c r="N185" s="115"/>
      <c r="O185" s="115"/>
      <c r="P185" s="115"/>
      <c r="Q185" s="115"/>
      <c r="R185" s="115"/>
      <c r="S185" s="115"/>
      <c r="T185" s="115"/>
      <c r="U185" s="115"/>
      <c r="V185" s="115"/>
      <c r="W185" s="115"/>
      <c r="X185" s="115"/>
      <c r="Y185" s="115"/>
      <c r="Z185" s="115"/>
      <c r="AA185" s="115"/>
      <c r="AB185" s="115"/>
      <c r="AC185" s="115"/>
      <c r="AD185" s="115"/>
      <c r="AE185" s="115"/>
      <c r="AF185" s="115"/>
      <c r="AG185" s="115"/>
      <c r="AH185" s="115"/>
      <c r="AI185" s="115"/>
      <c r="AJ185" s="115"/>
      <c r="AK185" s="115"/>
      <c r="AL185" s="115"/>
      <c r="AM185" s="115"/>
      <c r="AN185" s="115"/>
      <c r="AO185" s="115"/>
      <c r="AP185" s="115"/>
      <c r="AQ185" s="115"/>
      <c r="AR185" s="115"/>
      <c r="AS185" s="115"/>
      <c r="AT185" s="115"/>
      <c r="AU185" s="115"/>
      <c r="AV185" s="115"/>
      <c r="AW185" s="115"/>
      <c r="AX185" s="115"/>
      <c r="AY185" s="115"/>
      <c r="AZ185" s="115"/>
      <c r="BA185" s="115"/>
      <c r="BB185" s="115"/>
      <c r="BC185" s="115"/>
      <c r="BD185" s="115"/>
      <c r="BE185" s="115"/>
      <c r="BF185" s="115"/>
      <c r="BG185" s="115"/>
      <c r="BH185" s="115"/>
      <c r="BI185" s="115"/>
      <c r="BJ185" s="115"/>
      <c r="BK185" s="115"/>
      <c r="BL185" s="115"/>
      <c r="BM185" s="115"/>
      <c r="BN185" s="115"/>
      <c r="BO185" s="115"/>
      <c r="BP185" s="115"/>
      <c r="BQ185" s="117"/>
      <c r="BR185" s="117">
        <f>H185</f>
        <v>288</v>
      </c>
      <c r="BS185" s="115"/>
      <c r="BT185" s="115"/>
      <c r="BU185" s="115"/>
      <c r="BV185" s="388">
        <v>3.542</v>
      </c>
      <c r="BW185" s="492">
        <f t="shared" si="11"/>
        <v>1020.096</v>
      </c>
      <c r="BX185" s="492">
        <f t="shared" si="12"/>
        <v>7905.744</v>
      </c>
      <c r="BY185" s="249"/>
      <c r="BZ185" s="31" t="s">
        <v>83</v>
      </c>
    </row>
    <row r="186" s="4" customFormat="1" ht="25" customHeight="1" spans="1:78">
      <c r="A186" s="114">
        <v>46178</v>
      </c>
      <c r="B186" s="114">
        <v>46255</v>
      </c>
      <c r="C186" s="117" t="s">
        <v>371</v>
      </c>
      <c r="D186" s="114" t="s">
        <v>382</v>
      </c>
      <c r="E186" s="117" t="s">
        <v>386</v>
      </c>
      <c r="F186" s="117" t="s">
        <v>70</v>
      </c>
      <c r="G186" s="117" t="s">
        <v>339</v>
      </c>
      <c r="H186" s="211">
        <v>288</v>
      </c>
      <c r="I186" s="211">
        <v>6</v>
      </c>
      <c r="J186" s="115">
        <f t="shared" si="10"/>
        <v>48</v>
      </c>
      <c r="K186" s="115"/>
      <c r="L186" s="115"/>
      <c r="M186" s="115"/>
      <c r="N186" s="115"/>
      <c r="O186" s="115"/>
      <c r="P186" s="115"/>
      <c r="Q186" s="115"/>
      <c r="R186" s="115"/>
      <c r="S186" s="115"/>
      <c r="T186" s="115"/>
      <c r="U186" s="115"/>
      <c r="V186" s="115"/>
      <c r="W186" s="115"/>
      <c r="X186" s="115"/>
      <c r="Y186" s="115"/>
      <c r="Z186" s="115"/>
      <c r="AA186" s="115"/>
      <c r="AB186" s="115"/>
      <c r="AC186" s="115"/>
      <c r="AD186" s="115"/>
      <c r="AE186" s="115"/>
      <c r="AF186" s="115"/>
      <c r="AG186" s="115"/>
      <c r="AH186" s="115"/>
      <c r="AI186" s="115"/>
      <c r="AJ186" s="115"/>
      <c r="AK186" s="115"/>
      <c r="AL186" s="115"/>
      <c r="AM186" s="115"/>
      <c r="AN186" s="115"/>
      <c r="AO186" s="115"/>
      <c r="AP186" s="115"/>
      <c r="AQ186" s="115"/>
      <c r="AR186" s="115"/>
      <c r="AS186" s="115"/>
      <c r="AT186" s="115"/>
      <c r="AU186" s="115"/>
      <c r="AV186" s="115"/>
      <c r="AW186" s="115"/>
      <c r="AX186" s="115"/>
      <c r="AY186" s="115"/>
      <c r="AZ186" s="115"/>
      <c r="BA186" s="115"/>
      <c r="BB186" s="115"/>
      <c r="BC186" s="115"/>
      <c r="BD186" s="115"/>
      <c r="BE186" s="115"/>
      <c r="BF186" s="115"/>
      <c r="BG186" s="115"/>
      <c r="BH186" s="115"/>
      <c r="BI186" s="115"/>
      <c r="BJ186" s="115"/>
      <c r="BK186" s="115"/>
      <c r="BL186" s="115"/>
      <c r="BM186" s="115"/>
      <c r="BN186" s="115"/>
      <c r="BO186" s="115"/>
      <c r="BP186" s="115"/>
      <c r="BQ186" s="115"/>
      <c r="BR186" s="115"/>
      <c r="BS186" s="117">
        <f t="shared" si="13"/>
        <v>288</v>
      </c>
      <c r="BT186" s="115"/>
      <c r="BU186" s="115"/>
      <c r="BV186" s="388">
        <v>3.443</v>
      </c>
      <c r="BW186" s="492">
        <f t="shared" si="11"/>
        <v>991.584</v>
      </c>
      <c r="BX186" s="492">
        <f t="shared" si="12"/>
        <v>7684.776</v>
      </c>
      <c r="BY186" s="249"/>
      <c r="BZ186" s="31" t="s">
        <v>83</v>
      </c>
    </row>
    <row r="187" s="4" customFormat="1" ht="25" customHeight="1" spans="1:78">
      <c r="A187" s="114">
        <v>46178</v>
      </c>
      <c r="B187" s="114">
        <v>46255</v>
      </c>
      <c r="C187" s="117" t="s">
        <v>371</v>
      </c>
      <c r="D187" s="114" t="s">
        <v>382</v>
      </c>
      <c r="E187" s="117" t="s">
        <v>386</v>
      </c>
      <c r="F187" s="117" t="s">
        <v>69</v>
      </c>
      <c r="G187" s="117" t="s">
        <v>325</v>
      </c>
      <c r="H187" s="211">
        <v>288</v>
      </c>
      <c r="I187" s="211">
        <v>6</v>
      </c>
      <c r="J187" s="115">
        <f t="shared" si="10"/>
        <v>48</v>
      </c>
      <c r="K187" s="115"/>
      <c r="L187" s="115"/>
      <c r="M187" s="115"/>
      <c r="N187" s="115"/>
      <c r="O187" s="115"/>
      <c r="P187" s="115"/>
      <c r="Q187" s="115"/>
      <c r="R187" s="115"/>
      <c r="S187" s="115"/>
      <c r="T187" s="115"/>
      <c r="U187" s="115"/>
      <c r="V187" s="115"/>
      <c r="W187" s="115"/>
      <c r="X187" s="115"/>
      <c r="Y187" s="115"/>
      <c r="Z187" s="115"/>
      <c r="AA187" s="115"/>
      <c r="AB187" s="115"/>
      <c r="AC187" s="115"/>
      <c r="AD187" s="115"/>
      <c r="AE187" s="115"/>
      <c r="AF187" s="115"/>
      <c r="AG187" s="115"/>
      <c r="AH187" s="115"/>
      <c r="AI187" s="115"/>
      <c r="AJ187" s="115"/>
      <c r="AK187" s="115"/>
      <c r="AL187" s="115"/>
      <c r="AM187" s="115"/>
      <c r="AN187" s="115"/>
      <c r="AO187" s="115"/>
      <c r="AP187" s="115"/>
      <c r="AQ187" s="115"/>
      <c r="AR187" s="115"/>
      <c r="AS187" s="115"/>
      <c r="AT187" s="115"/>
      <c r="AU187" s="115"/>
      <c r="AV187" s="115"/>
      <c r="AW187" s="115"/>
      <c r="AX187" s="115"/>
      <c r="AY187" s="115"/>
      <c r="AZ187" s="115"/>
      <c r="BA187" s="115"/>
      <c r="BB187" s="115"/>
      <c r="BC187" s="115"/>
      <c r="BD187" s="115"/>
      <c r="BE187" s="115"/>
      <c r="BF187" s="115"/>
      <c r="BG187" s="115"/>
      <c r="BH187" s="115"/>
      <c r="BI187" s="115"/>
      <c r="BJ187" s="115"/>
      <c r="BK187" s="115"/>
      <c r="BL187" s="115"/>
      <c r="BM187" s="115"/>
      <c r="BN187" s="115"/>
      <c r="BO187" s="115"/>
      <c r="BP187" s="115"/>
      <c r="BQ187" s="117"/>
      <c r="BR187" s="117">
        <f>H187</f>
        <v>288</v>
      </c>
      <c r="BS187" s="115"/>
      <c r="BT187" s="115"/>
      <c r="BU187" s="115"/>
      <c r="BV187" s="388">
        <v>3.542</v>
      </c>
      <c r="BW187" s="492">
        <f t="shared" si="11"/>
        <v>1020.096</v>
      </c>
      <c r="BX187" s="492">
        <f t="shared" si="12"/>
        <v>7905.744</v>
      </c>
      <c r="BY187" s="249"/>
      <c r="BZ187" s="31" t="s">
        <v>83</v>
      </c>
    </row>
    <row r="188" s="4" customFormat="1" ht="25" customHeight="1" spans="1:78">
      <c r="A188" s="114">
        <v>46183</v>
      </c>
      <c r="B188" s="114">
        <v>46252</v>
      </c>
      <c r="C188" s="117" t="s">
        <v>78</v>
      </c>
      <c r="D188" s="114" t="s">
        <v>84</v>
      </c>
      <c r="E188" s="117" t="s">
        <v>387</v>
      </c>
      <c r="F188" s="117" t="s">
        <v>65</v>
      </c>
      <c r="G188" s="117" t="s">
        <v>260</v>
      </c>
      <c r="H188" s="211">
        <v>300</v>
      </c>
      <c r="I188" s="211">
        <v>6</v>
      </c>
      <c r="J188" s="115">
        <f t="shared" si="10"/>
        <v>50</v>
      </c>
      <c r="K188" s="115"/>
      <c r="L188" s="115"/>
      <c r="M188" s="115"/>
      <c r="N188" s="115"/>
      <c r="O188" s="115"/>
      <c r="P188" s="115"/>
      <c r="Q188" s="115"/>
      <c r="R188" s="115"/>
      <c r="S188" s="115"/>
      <c r="T188" s="115"/>
      <c r="U188" s="115"/>
      <c r="V188" s="115"/>
      <c r="W188" s="115"/>
      <c r="X188" s="115"/>
      <c r="Y188" s="115"/>
      <c r="Z188" s="115"/>
      <c r="AA188" s="115"/>
      <c r="AB188" s="115"/>
      <c r="AC188" s="115"/>
      <c r="AD188" s="115"/>
      <c r="AE188" s="115"/>
      <c r="AF188" s="115"/>
      <c r="AG188" s="115"/>
      <c r="AH188" s="115"/>
      <c r="AI188" s="115"/>
      <c r="AJ188" s="115"/>
      <c r="AK188" s="115"/>
      <c r="AL188" s="115"/>
      <c r="AM188" s="115"/>
      <c r="AN188" s="115"/>
      <c r="AO188" s="115"/>
      <c r="AP188" s="115"/>
      <c r="AQ188" s="115"/>
      <c r="AR188" s="115"/>
      <c r="AS188" s="115"/>
      <c r="AT188" s="115"/>
      <c r="AU188" s="115"/>
      <c r="AV188" s="115"/>
      <c r="AW188" s="115"/>
      <c r="AX188" s="115"/>
      <c r="AY188" s="115"/>
      <c r="AZ188" s="115"/>
      <c r="BA188" s="115"/>
      <c r="BB188" s="115"/>
      <c r="BC188" s="115"/>
      <c r="BD188" s="115"/>
      <c r="BE188" s="115"/>
      <c r="BF188" s="115"/>
      <c r="BG188" s="115"/>
      <c r="BH188" s="115"/>
      <c r="BI188" s="115"/>
      <c r="BJ188" s="115"/>
      <c r="BK188" s="115"/>
      <c r="BL188" s="115"/>
      <c r="BM188" s="115"/>
      <c r="BN188" s="117">
        <f>H188</f>
        <v>300</v>
      </c>
      <c r="BO188" s="115"/>
      <c r="BP188" s="115"/>
      <c r="BQ188" s="117"/>
      <c r="BR188" s="117"/>
      <c r="BS188" s="115"/>
      <c r="BT188" s="115"/>
      <c r="BU188" s="115"/>
      <c r="BV188" s="388">
        <v>3.503</v>
      </c>
      <c r="BW188" s="492">
        <f t="shared" si="11"/>
        <v>1050.9</v>
      </c>
      <c r="BX188" s="492">
        <f t="shared" si="12"/>
        <v>8144.475</v>
      </c>
      <c r="BY188" s="249"/>
      <c r="BZ188" s="31" t="s">
        <v>83</v>
      </c>
    </row>
    <row r="189" s="4" customFormat="1" ht="25" customHeight="1" spans="1:78">
      <c r="A189" s="114">
        <v>46183</v>
      </c>
      <c r="B189" s="114">
        <v>46252</v>
      </c>
      <c r="C189" s="117" t="s">
        <v>388</v>
      </c>
      <c r="D189" s="114" t="s">
        <v>79</v>
      </c>
      <c r="E189" s="117" t="s">
        <v>389</v>
      </c>
      <c r="F189" s="117" t="s">
        <v>65</v>
      </c>
      <c r="G189" s="117" t="s">
        <v>260</v>
      </c>
      <c r="H189" s="211">
        <v>3000</v>
      </c>
      <c r="I189" s="211">
        <v>6</v>
      </c>
      <c r="J189" s="115">
        <f t="shared" si="10"/>
        <v>500</v>
      </c>
      <c r="K189" s="115"/>
      <c r="L189" s="115"/>
      <c r="M189" s="115"/>
      <c r="N189" s="115"/>
      <c r="O189" s="115"/>
      <c r="P189" s="115"/>
      <c r="Q189" s="115"/>
      <c r="R189" s="115"/>
      <c r="S189" s="115"/>
      <c r="T189" s="115"/>
      <c r="U189" s="115"/>
      <c r="V189" s="115"/>
      <c r="W189" s="115"/>
      <c r="X189" s="115"/>
      <c r="Y189" s="115"/>
      <c r="Z189" s="115"/>
      <c r="AA189" s="115"/>
      <c r="AB189" s="115"/>
      <c r="AC189" s="115"/>
      <c r="AD189" s="115"/>
      <c r="AE189" s="115"/>
      <c r="AF189" s="115"/>
      <c r="AG189" s="115"/>
      <c r="AH189" s="115"/>
      <c r="AI189" s="115"/>
      <c r="AJ189" s="115"/>
      <c r="AK189" s="115"/>
      <c r="AL189" s="115"/>
      <c r="AM189" s="115"/>
      <c r="AN189" s="115"/>
      <c r="AO189" s="115"/>
      <c r="AP189" s="115"/>
      <c r="AQ189" s="115"/>
      <c r="AR189" s="115"/>
      <c r="AS189" s="115"/>
      <c r="AT189" s="115"/>
      <c r="AU189" s="115"/>
      <c r="AV189" s="115"/>
      <c r="AW189" s="115"/>
      <c r="AX189" s="115"/>
      <c r="AY189" s="115"/>
      <c r="AZ189" s="115"/>
      <c r="BA189" s="115"/>
      <c r="BB189" s="115"/>
      <c r="BC189" s="115"/>
      <c r="BD189" s="115"/>
      <c r="BE189" s="115"/>
      <c r="BF189" s="115"/>
      <c r="BG189" s="115"/>
      <c r="BH189" s="115"/>
      <c r="BI189" s="115"/>
      <c r="BJ189" s="115"/>
      <c r="BK189" s="115"/>
      <c r="BL189" s="115"/>
      <c r="BM189" s="115"/>
      <c r="BN189" s="117">
        <f>H189</f>
        <v>3000</v>
      </c>
      <c r="BO189" s="115"/>
      <c r="BP189" s="115"/>
      <c r="BQ189" s="115"/>
      <c r="BR189" s="115"/>
      <c r="BS189" s="117"/>
      <c r="BT189" s="115"/>
      <c r="BU189" s="115"/>
      <c r="BV189" s="388">
        <v>3.503</v>
      </c>
      <c r="BW189" s="492">
        <f t="shared" si="11"/>
        <v>10509</v>
      </c>
      <c r="BX189" s="492">
        <f t="shared" si="12"/>
        <v>81444.75</v>
      </c>
      <c r="BY189" s="249"/>
      <c r="BZ189" s="31" t="s">
        <v>83</v>
      </c>
    </row>
    <row r="190" s="4" customFormat="1" ht="25" customHeight="1" spans="1:78">
      <c r="A190" s="114">
        <v>46197</v>
      </c>
      <c r="B190" s="114">
        <v>46259</v>
      </c>
      <c r="C190" s="117" t="s">
        <v>390</v>
      </c>
      <c r="D190" s="114" t="s">
        <v>391</v>
      </c>
      <c r="E190" s="117" t="s">
        <v>392</v>
      </c>
      <c r="F190" s="117" t="s">
        <v>70</v>
      </c>
      <c r="G190" s="117" t="s">
        <v>339</v>
      </c>
      <c r="H190" s="211">
        <v>402</v>
      </c>
      <c r="I190" s="211">
        <v>6</v>
      </c>
      <c r="J190" s="115">
        <f t="shared" si="10"/>
        <v>67</v>
      </c>
      <c r="K190" s="115"/>
      <c r="L190" s="115"/>
      <c r="M190" s="115"/>
      <c r="N190" s="115"/>
      <c r="O190" s="115"/>
      <c r="P190" s="115"/>
      <c r="Q190" s="115"/>
      <c r="R190" s="115"/>
      <c r="S190" s="115"/>
      <c r="T190" s="115"/>
      <c r="U190" s="115"/>
      <c r="V190" s="115"/>
      <c r="W190" s="115"/>
      <c r="X190" s="115"/>
      <c r="Y190" s="115"/>
      <c r="Z190" s="115"/>
      <c r="AA190" s="115"/>
      <c r="AB190" s="115"/>
      <c r="AC190" s="115"/>
      <c r="AD190" s="115"/>
      <c r="AE190" s="115"/>
      <c r="AF190" s="115"/>
      <c r="AG190" s="115"/>
      <c r="AH190" s="115"/>
      <c r="AI190" s="115"/>
      <c r="AJ190" s="115"/>
      <c r="AK190" s="115"/>
      <c r="AL190" s="115"/>
      <c r="AM190" s="115"/>
      <c r="AN190" s="115"/>
      <c r="AO190" s="115"/>
      <c r="AP190" s="115"/>
      <c r="AQ190" s="115"/>
      <c r="AR190" s="115"/>
      <c r="AS190" s="115"/>
      <c r="AT190" s="115"/>
      <c r="AU190" s="115"/>
      <c r="AV190" s="115"/>
      <c r="AW190" s="115"/>
      <c r="AX190" s="115"/>
      <c r="AY190" s="115"/>
      <c r="AZ190" s="115"/>
      <c r="BA190" s="115"/>
      <c r="BB190" s="115"/>
      <c r="BC190" s="115"/>
      <c r="BD190" s="115"/>
      <c r="BE190" s="115"/>
      <c r="BF190" s="115"/>
      <c r="BG190" s="115"/>
      <c r="BH190" s="115"/>
      <c r="BI190" s="115"/>
      <c r="BJ190" s="115"/>
      <c r="BK190" s="115"/>
      <c r="BL190" s="115"/>
      <c r="BM190" s="115"/>
      <c r="BN190" s="117"/>
      <c r="BO190" s="115"/>
      <c r="BP190" s="115"/>
      <c r="BQ190" s="115"/>
      <c r="BR190" s="115"/>
      <c r="BS190" s="117">
        <f>H190</f>
        <v>402</v>
      </c>
      <c r="BT190" s="115"/>
      <c r="BU190" s="115"/>
      <c r="BV190" s="388">
        <v>3.443</v>
      </c>
      <c r="BW190" s="492">
        <f t="shared" si="11"/>
        <v>1384.086</v>
      </c>
      <c r="BX190" s="492">
        <f t="shared" si="12"/>
        <v>10726.6665</v>
      </c>
      <c r="BY190" s="249"/>
      <c r="BZ190" s="31" t="s">
        <v>83</v>
      </c>
    </row>
    <row r="191" s="4" customFormat="1" ht="25" customHeight="1" spans="1:78">
      <c r="A191" s="114">
        <v>46197</v>
      </c>
      <c r="B191" s="114">
        <v>46259</v>
      </c>
      <c r="C191" s="117" t="s">
        <v>390</v>
      </c>
      <c r="D191" s="114" t="s">
        <v>391</v>
      </c>
      <c r="E191" s="117" t="s">
        <v>393</v>
      </c>
      <c r="F191" s="117" t="s">
        <v>70</v>
      </c>
      <c r="G191" s="117" t="s">
        <v>339</v>
      </c>
      <c r="H191" s="211">
        <v>558</v>
      </c>
      <c r="I191" s="211">
        <v>6</v>
      </c>
      <c r="J191" s="115">
        <f t="shared" si="10"/>
        <v>93</v>
      </c>
      <c r="K191" s="115"/>
      <c r="L191" s="115"/>
      <c r="M191" s="115"/>
      <c r="N191" s="115"/>
      <c r="O191" s="115"/>
      <c r="P191" s="115"/>
      <c r="Q191" s="115"/>
      <c r="R191" s="115"/>
      <c r="S191" s="115"/>
      <c r="T191" s="115"/>
      <c r="U191" s="115"/>
      <c r="V191" s="115"/>
      <c r="W191" s="115"/>
      <c r="X191" s="115"/>
      <c r="Y191" s="115"/>
      <c r="Z191" s="115"/>
      <c r="AA191" s="115"/>
      <c r="AB191" s="115"/>
      <c r="AC191" s="115"/>
      <c r="AD191" s="115"/>
      <c r="AE191" s="115"/>
      <c r="AF191" s="115"/>
      <c r="AG191" s="115"/>
      <c r="AH191" s="115"/>
      <c r="AI191" s="115"/>
      <c r="AJ191" s="115"/>
      <c r="AK191" s="115"/>
      <c r="AL191" s="115"/>
      <c r="AM191" s="115"/>
      <c r="AN191" s="115"/>
      <c r="AO191" s="115"/>
      <c r="AP191" s="115"/>
      <c r="AQ191" s="115"/>
      <c r="AR191" s="115"/>
      <c r="AS191" s="115"/>
      <c r="AT191" s="115"/>
      <c r="AU191" s="115"/>
      <c r="AV191" s="115"/>
      <c r="AW191" s="115"/>
      <c r="AX191" s="115"/>
      <c r="AY191" s="115"/>
      <c r="AZ191" s="115"/>
      <c r="BA191" s="115"/>
      <c r="BB191" s="115"/>
      <c r="BC191" s="115"/>
      <c r="BD191" s="115"/>
      <c r="BE191" s="115"/>
      <c r="BF191" s="115"/>
      <c r="BG191" s="115"/>
      <c r="BH191" s="115"/>
      <c r="BI191" s="115"/>
      <c r="BJ191" s="115"/>
      <c r="BK191" s="115"/>
      <c r="BL191" s="115"/>
      <c r="BM191" s="115"/>
      <c r="BN191" s="117"/>
      <c r="BO191" s="115"/>
      <c r="BP191" s="115"/>
      <c r="BQ191" s="115"/>
      <c r="BR191" s="115"/>
      <c r="BS191" s="117">
        <f>H191</f>
        <v>558</v>
      </c>
      <c r="BT191" s="115"/>
      <c r="BU191" s="115"/>
      <c r="BV191" s="388">
        <v>3.443</v>
      </c>
      <c r="BW191" s="492">
        <f t="shared" si="11"/>
        <v>1921.194</v>
      </c>
      <c r="BX191" s="492">
        <f t="shared" si="12"/>
        <v>14889.2535</v>
      </c>
      <c r="BY191" s="249"/>
      <c r="BZ191" s="31" t="s">
        <v>83</v>
      </c>
    </row>
    <row r="192" s="4" customFormat="1" ht="25" customHeight="1" spans="1:78">
      <c r="A192" s="114">
        <v>46197</v>
      </c>
      <c r="B192" s="114">
        <v>46273</v>
      </c>
      <c r="C192" s="117" t="s">
        <v>78</v>
      </c>
      <c r="D192" s="114" t="s">
        <v>79</v>
      </c>
      <c r="E192" s="117" t="s">
        <v>394</v>
      </c>
      <c r="F192" s="117" t="s">
        <v>65</v>
      </c>
      <c r="G192" s="117" t="s">
        <v>260</v>
      </c>
      <c r="H192" s="211">
        <v>3000</v>
      </c>
      <c r="I192" s="211">
        <v>6</v>
      </c>
      <c r="J192" s="115">
        <f t="shared" si="10"/>
        <v>500</v>
      </c>
      <c r="K192" s="115"/>
      <c r="L192" s="115"/>
      <c r="M192" s="115"/>
      <c r="N192" s="115"/>
      <c r="O192" s="115"/>
      <c r="P192" s="115"/>
      <c r="Q192" s="115"/>
      <c r="R192" s="115"/>
      <c r="S192" s="115"/>
      <c r="T192" s="115"/>
      <c r="U192" s="115"/>
      <c r="V192" s="115"/>
      <c r="W192" s="115"/>
      <c r="X192" s="115"/>
      <c r="Y192" s="115"/>
      <c r="Z192" s="115"/>
      <c r="AA192" s="115"/>
      <c r="AB192" s="115"/>
      <c r="AC192" s="115"/>
      <c r="AD192" s="115"/>
      <c r="AE192" s="115"/>
      <c r="AF192" s="115"/>
      <c r="AG192" s="115"/>
      <c r="AH192" s="115"/>
      <c r="AI192" s="115"/>
      <c r="AJ192" s="115"/>
      <c r="AK192" s="115"/>
      <c r="AL192" s="115"/>
      <c r="AM192" s="115"/>
      <c r="AN192" s="115"/>
      <c r="AO192" s="115"/>
      <c r="AP192" s="115"/>
      <c r="AQ192" s="115"/>
      <c r="AR192" s="115"/>
      <c r="AS192" s="115"/>
      <c r="AT192" s="115"/>
      <c r="AU192" s="115"/>
      <c r="AV192" s="115"/>
      <c r="AW192" s="115"/>
      <c r="AX192" s="115"/>
      <c r="AY192" s="115"/>
      <c r="AZ192" s="115"/>
      <c r="BA192" s="115"/>
      <c r="BB192" s="115"/>
      <c r="BC192" s="115"/>
      <c r="BD192" s="115"/>
      <c r="BE192" s="115"/>
      <c r="BF192" s="115"/>
      <c r="BG192" s="115"/>
      <c r="BH192" s="115"/>
      <c r="BI192" s="115"/>
      <c r="BJ192" s="115"/>
      <c r="BK192" s="115"/>
      <c r="BL192" s="115"/>
      <c r="BM192" s="115"/>
      <c r="BN192" s="117">
        <f>H192</f>
        <v>3000</v>
      </c>
      <c r="BO192" s="115"/>
      <c r="BP192" s="115"/>
      <c r="BQ192" s="115"/>
      <c r="BR192" s="115"/>
      <c r="BS192" s="115"/>
      <c r="BT192" s="115"/>
      <c r="BU192" s="115"/>
      <c r="BV192" s="388">
        <v>3.503</v>
      </c>
      <c r="BW192" s="492">
        <f t="shared" si="11"/>
        <v>10509</v>
      </c>
      <c r="BX192" s="492">
        <f t="shared" si="12"/>
        <v>81444.75</v>
      </c>
      <c r="BY192" s="249"/>
      <c r="BZ192" s="31" t="s">
        <v>83</v>
      </c>
    </row>
    <row r="193" s="4" customFormat="1" ht="25" customHeight="1" spans="1:78">
      <c r="A193" s="114">
        <v>46197</v>
      </c>
      <c r="B193" s="114">
        <v>46273</v>
      </c>
      <c r="C193" s="117" t="s">
        <v>78</v>
      </c>
      <c r="D193" s="114" t="s">
        <v>84</v>
      </c>
      <c r="E193" s="117" t="s">
        <v>395</v>
      </c>
      <c r="F193" s="117" t="s">
        <v>65</v>
      </c>
      <c r="G193" s="117" t="s">
        <v>260</v>
      </c>
      <c r="H193" s="211">
        <v>396</v>
      </c>
      <c r="I193" s="211">
        <v>6</v>
      </c>
      <c r="J193" s="115">
        <f t="shared" si="10"/>
        <v>66</v>
      </c>
      <c r="K193" s="115"/>
      <c r="L193" s="115"/>
      <c r="M193" s="115"/>
      <c r="N193" s="115"/>
      <c r="O193" s="115"/>
      <c r="P193" s="115"/>
      <c r="Q193" s="115"/>
      <c r="R193" s="115"/>
      <c r="S193" s="115"/>
      <c r="T193" s="115"/>
      <c r="U193" s="115"/>
      <c r="V193" s="115"/>
      <c r="W193" s="115"/>
      <c r="X193" s="115"/>
      <c r="Y193" s="115"/>
      <c r="Z193" s="115"/>
      <c r="AA193" s="115"/>
      <c r="AB193" s="115"/>
      <c r="AC193" s="115"/>
      <c r="AD193" s="115"/>
      <c r="AE193" s="115"/>
      <c r="AF193" s="115"/>
      <c r="AG193" s="115"/>
      <c r="AH193" s="115"/>
      <c r="AI193" s="115"/>
      <c r="AJ193" s="115"/>
      <c r="AK193" s="115"/>
      <c r="AL193" s="115"/>
      <c r="AM193" s="115"/>
      <c r="AN193" s="115"/>
      <c r="AO193" s="115"/>
      <c r="AP193" s="115"/>
      <c r="AQ193" s="115"/>
      <c r="AR193" s="115"/>
      <c r="AS193" s="115"/>
      <c r="AT193" s="115"/>
      <c r="AU193" s="115"/>
      <c r="AV193" s="115"/>
      <c r="AW193" s="115"/>
      <c r="AX193" s="115"/>
      <c r="AY193" s="115"/>
      <c r="AZ193" s="115"/>
      <c r="BA193" s="115"/>
      <c r="BB193" s="115"/>
      <c r="BC193" s="115"/>
      <c r="BD193" s="115"/>
      <c r="BE193" s="115"/>
      <c r="BF193" s="115"/>
      <c r="BG193" s="115"/>
      <c r="BH193" s="115"/>
      <c r="BI193" s="115"/>
      <c r="BJ193" s="115"/>
      <c r="BK193" s="115"/>
      <c r="BL193" s="115"/>
      <c r="BM193" s="115"/>
      <c r="BN193" s="117">
        <f>H193</f>
        <v>396</v>
      </c>
      <c r="BO193" s="115"/>
      <c r="BP193" s="115"/>
      <c r="BQ193" s="115"/>
      <c r="BR193" s="115"/>
      <c r="BS193" s="115"/>
      <c r="BT193" s="115"/>
      <c r="BU193" s="115"/>
      <c r="BV193" s="388">
        <v>3.503</v>
      </c>
      <c r="BW193" s="492">
        <f t="shared" si="11"/>
        <v>1387.188</v>
      </c>
      <c r="BX193" s="492">
        <f t="shared" si="12"/>
        <v>10750.707</v>
      </c>
      <c r="BY193" s="249"/>
      <c r="BZ193" s="31" t="s">
        <v>83</v>
      </c>
    </row>
    <row r="194" s="4" customFormat="1" ht="25" customHeight="1" spans="1:78">
      <c r="A194" s="114">
        <v>46210</v>
      </c>
      <c r="B194" s="114">
        <v>46275</v>
      </c>
      <c r="C194" s="428" t="s">
        <v>396</v>
      </c>
      <c r="D194" s="429" t="s">
        <v>150</v>
      </c>
      <c r="E194" s="428" t="s">
        <v>397</v>
      </c>
      <c r="F194" s="428" t="s">
        <v>68</v>
      </c>
      <c r="G194" s="428" t="s">
        <v>398</v>
      </c>
      <c r="H194" s="211">
        <v>9130</v>
      </c>
      <c r="I194" s="211">
        <v>110</v>
      </c>
      <c r="J194" s="115">
        <f t="shared" si="10"/>
        <v>83</v>
      </c>
      <c r="K194" s="115"/>
      <c r="L194" s="115"/>
      <c r="M194" s="115"/>
      <c r="N194" s="115"/>
      <c r="O194" s="115"/>
      <c r="P194" s="115"/>
      <c r="Q194" s="115"/>
      <c r="R194" s="115"/>
      <c r="S194" s="115"/>
      <c r="T194" s="115"/>
      <c r="U194" s="115"/>
      <c r="V194" s="115"/>
      <c r="W194" s="115"/>
      <c r="X194" s="115"/>
      <c r="Y194" s="115"/>
      <c r="Z194" s="115"/>
      <c r="AA194" s="115"/>
      <c r="AB194" s="115"/>
      <c r="AC194" s="115"/>
      <c r="AD194" s="115"/>
      <c r="AE194" s="115"/>
      <c r="AF194" s="115"/>
      <c r="AG194" s="115"/>
      <c r="AH194" s="115"/>
      <c r="AI194" s="115"/>
      <c r="AJ194" s="115"/>
      <c r="AK194" s="115"/>
      <c r="AL194" s="115"/>
      <c r="AM194" s="115"/>
      <c r="AN194" s="115"/>
      <c r="AO194" s="115"/>
      <c r="AP194" s="115"/>
      <c r="AQ194" s="115"/>
      <c r="AR194" s="115"/>
      <c r="AS194" s="115"/>
      <c r="AT194" s="115"/>
      <c r="AU194" s="115"/>
      <c r="AV194" s="115"/>
      <c r="AW194" s="115"/>
      <c r="AX194" s="115"/>
      <c r="AY194" s="115"/>
      <c r="AZ194" s="115"/>
      <c r="BA194" s="115"/>
      <c r="BB194" s="115"/>
      <c r="BC194" s="115"/>
      <c r="BD194" s="115"/>
      <c r="BE194" s="115"/>
      <c r="BF194" s="115"/>
      <c r="BG194" s="115"/>
      <c r="BH194" s="115"/>
      <c r="BI194" s="115"/>
      <c r="BJ194" s="115"/>
      <c r="BK194" s="115"/>
      <c r="BL194" s="115"/>
      <c r="BM194" s="115"/>
      <c r="BN194" s="117"/>
      <c r="BO194" s="115"/>
      <c r="BP194" s="115"/>
      <c r="BQ194" s="115">
        <f>H194</f>
        <v>9130</v>
      </c>
      <c r="BR194" s="115"/>
      <c r="BS194" s="115"/>
      <c r="BT194" s="115"/>
      <c r="BU194" s="115"/>
      <c r="BV194" s="388">
        <v>4.626</v>
      </c>
      <c r="BW194" s="492">
        <f t="shared" si="11"/>
        <v>42235.38</v>
      </c>
      <c r="BX194" s="492">
        <f t="shared" si="12"/>
        <v>327324.195</v>
      </c>
      <c r="BY194" s="249"/>
      <c r="BZ194" s="31" t="s">
        <v>83</v>
      </c>
    </row>
    <row r="195" s="4" customFormat="1" ht="25" customHeight="1" spans="1:78">
      <c r="A195" s="114">
        <v>46231</v>
      </c>
      <c r="B195" s="114">
        <v>46303</v>
      </c>
      <c r="C195" s="428" t="s">
        <v>240</v>
      </c>
      <c r="D195" s="429" t="s">
        <v>241</v>
      </c>
      <c r="E195" s="428" t="s">
        <v>399</v>
      </c>
      <c r="F195" s="428" t="s">
        <v>64</v>
      </c>
      <c r="G195" s="117" t="s">
        <v>259</v>
      </c>
      <c r="H195" s="211">
        <v>4116</v>
      </c>
      <c r="I195" s="211">
        <v>6</v>
      </c>
      <c r="J195" s="115">
        <f t="shared" si="10"/>
        <v>686</v>
      </c>
      <c r="K195" s="115"/>
      <c r="L195" s="115"/>
      <c r="M195" s="115"/>
      <c r="N195" s="115"/>
      <c r="O195" s="115"/>
      <c r="P195" s="115"/>
      <c r="Q195" s="115"/>
      <c r="R195" s="115"/>
      <c r="S195" s="115"/>
      <c r="T195" s="115"/>
      <c r="U195" s="115"/>
      <c r="V195" s="115"/>
      <c r="W195" s="115"/>
      <c r="X195" s="115"/>
      <c r="Y195" s="115"/>
      <c r="Z195" s="115"/>
      <c r="AA195" s="115"/>
      <c r="AB195" s="115"/>
      <c r="AC195" s="115"/>
      <c r="AD195" s="115"/>
      <c r="AE195" s="115"/>
      <c r="AF195" s="115"/>
      <c r="AG195" s="115"/>
      <c r="AH195" s="115"/>
      <c r="AI195" s="115"/>
      <c r="AJ195" s="115"/>
      <c r="AK195" s="115"/>
      <c r="AL195" s="115"/>
      <c r="AM195" s="115"/>
      <c r="AN195" s="115"/>
      <c r="AO195" s="115"/>
      <c r="AP195" s="115"/>
      <c r="AQ195" s="115"/>
      <c r="AR195" s="115"/>
      <c r="AS195" s="115"/>
      <c r="AT195" s="115"/>
      <c r="AU195" s="115"/>
      <c r="AV195" s="115"/>
      <c r="AW195" s="115"/>
      <c r="AX195" s="115"/>
      <c r="AY195" s="115"/>
      <c r="AZ195" s="115"/>
      <c r="BA195" s="115"/>
      <c r="BB195" s="115"/>
      <c r="BC195" s="115"/>
      <c r="BD195" s="115"/>
      <c r="BE195" s="115"/>
      <c r="BF195" s="115"/>
      <c r="BG195" s="115"/>
      <c r="BH195" s="115"/>
      <c r="BI195" s="115"/>
      <c r="BJ195" s="115"/>
      <c r="BK195" s="115"/>
      <c r="BL195" s="115"/>
      <c r="BM195" s="115">
        <f>H195</f>
        <v>4116</v>
      </c>
      <c r="BN195" s="117"/>
      <c r="BO195" s="115"/>
      <c r="BP195" s="115"/>
      <c r="BQ195" s="115"/>
      <c r="BR195" s="115"/>
      <c r="BS195" s="115"/>
      <c r="BT195" s="115"/>
      <c r="BU195" s="115"/>
      <c r="BV195" s="388">
        <v>4.075</v>
      </c>
      <c r="BW195" s="492">
        <f t="shared" si="11"/>
        <v>16772.7</v>
      </c>
      <c r="BX195" s="492">
        <f t="shared" si="12"/>
        <v>129988.425</v>
      </c>
      <c r="BY195" s="249"/>
      <c r="BZ195" s="115" t="s">
        <v>83</v>
      </c>
    </row>
    <row r="196" s="4" customFormat="1" ht="25" customHeight="1" spans="1:78">
      <c r="A196" s="114">
        <v>46231</v>
      </c>
      <c r="B196" s="114">
        <v>46303</v>
      </c>
      <c r="C196" s="428" t="s">
        <v>240</v>
      </c>
      <c r="D196" s="429" t="s">
        <v>241</v>
      </c>
      <c r="E196" s="428" t="s">
        <v>399</v>
      </c>
      <c r="F196" s="428" t="s">
        <v>60</v>
      </c>
      <c r="G196" s="428" t="s">
        <v>253</v>
      </c>
      <c r="H196" s="211">
        <v>4116</v>
      </c>
      <c r="I196" s="211">
        <v>6</v>
      </c>
      <c r="J196" s="115">
        <f t="shared" si="10"/>
        <v>686</v>
      </c>
      <c r="K196" s="115"/>
      <c r="L196" s="115"/>
      <c r="M196" s="115"/>
      <c r="N196" s="115"/>
      <c r="O196" s="115"/>
      <c r="P196" s="115"/>
      <c r="Q196" s="115"/>
      <c r="R196" s="115"/>
      <c r="S196" s="115"/>
      <c r="T196" s="115"/>
      <c r="U196" s="115"/>
      <c r="V196" s="115"/>
      <c r="W196" s="115"/>
      <c r="X196" s="115"/>
      <c r="Y196" s="115"/>
      <c r="Z196" s="115"/>
      <c r="AA196" s="115"/>
      <c r="AB196" s="115"/>
      <c r="AC196" s="115"/>
      <c r="AD196" s="115"/>
      <c r="AE196" s="115"/>
      <c r="AF196" s="115"/>
      <c r="AG196" s="115"/>
      <c r="AH196" s="115"/>
      <c r="AI196" s="115"/>
      <c r="AJ196" s="115"/>
      <c r="AK196" s="115"/>
      <c r="AL196" s="115"/>
      <c r="AM196" s="115"/>
      <c r="AN196" s="115"/>
      <c r="AO196" s="115"/>
      <c r="AP196" s="115"/>
      <c r="AQ196" s="115"/>
      <c r="AR196" s="115"/>
      <c r="AS196" s="115"/>
      <c r="AT196" s="115"/>
      <c r="AU196" s="115"/>
      <c r="AV196" s="115"/>
      <c r="AW196" s="115"/>
      <c r="AX196" s="115"/>
      <c r="AY196" s="115"/>
      <c r="AZ196" s="115"/>
      <c r="BA196" s="115"/>
      <c r="BB196" s="115"/>
      <c r="BC196" s="115"/>
      <c r="BD196" s="115"/>
      <c r="BE196" s="115"/>
      <c r="BF196" s="115"/>
      <c r="BG196" s="115"/>
      <c r="BH196" s="115"/>
      <c r="BI196" s="115">
        <f>H196</f>
        <v>4116</v>
      </c>
      <c r="BJ196" s="115"/>
      <c r="BK196" s="115"/>
      <c r="BL196" s="115"/>
      <c r="BM196" s="115"/>
      <c r="BN196" s="117"/>
      <c r="BO196" s="115"/>
      <c r="BP196" s="115"/>
      <c r="BQ196" s="115"/>
      <c r="BR196" s="115"/>
      <c r="BS196" s="115"/>
      <c r="BT196" s="115"/>
      <c r="BU196" s="115"/>
      <c r="BV196" s="388">
        <v>3.989</v>
      </c>
      <c r="BW196" s="492">
        <f t="shared" si="11"/>
        <v>16418.724</v>
      </c>
      <c r="BX196" s="492">
        <f t="shared" si="12"/>
        <v>127245.111</v>
      </c>
      <c r="BY196" s="249"/>
      <c r="BZ196" s="496" t="s">
        <v>83</v>
      </c>
    </row>
    <row r="197" s="474" customFormat="1" ht="25" customHeight="1" spans="1:78">
      <c r="A197" s="421">
        <v>46248</v>
      </c>
      <c r="B197" s="421">
        <v>46304</v>
      </c>
      <c r="C197" s="438" t="s">
        <v>400</v>
      </c>
      <c r="D197" s="437" t="s">
        <v>105</v>
      </c>
      <c r="E197" s="438" t="s">
        <v>401</v>
      </c>
      <c r="F197" s="438" t="s">
        <v>69</v>
      </c>
      <c r="G197" s="439" t="s">
        <v>325</v>
      </c>
      <c r="H197" s="440">
        <v>3576</v>
      </c>
      <c r="I197" s="440"/>
      <c r="J197" s="497"/>
      <c r="K197" s="497"/>
      <c r="L197" s="497"/>
      <c r="M197" s="497"/>
      <c r="N197" s="497"/>
      <c r="O197" s="497"/>
      <c r="P197" s="497"/>
      <c r="Q197" s="497"/>
      <c r="R197" s="497"/>
      <c r="S197" s="497"/>
      <c r="T197" s="497"/>
      <c r="U197" s="497"/>
      <c r="V197" s="497"/>
      <c r="W197" s="497"/>
      <c r="X197" s="497"/>
      <c r="Y197" s="497"/>
      <c r="Z197" s="497"/>
      <c r="AA197" s="497"/>
      <c r="AB197" s="497"/>
      <c r="AC197" s="497"/>
      <c r="AD197" s="497"/>
      <c r="AE197" s="497"/>
      <c r="AF197" s="497"/>
      <c r="AG197" s="497"/>
      <c r="AH197" s="497"/>
      <c r="AI197" s="497"/>
      <c r="AJ197" s="497"/>
      <c r="AK197" s="497"/>
      <c r="AL197" s="497"/>
      <c r="AM197" s="497"/>
      <c r="AN197" s="497"/>
      <c r="AO197" s="497"/>
      <c r="AP197" s="497"/>
      <c r="AQ197" s="497"/>
      <c r="AR197" s="497"/>
      <c r="AS197" s="497"/>
      <c r="AT197" s="497"/>
      <c r="AU197" s="497"/>
      <c r="AV197" s="497"/>
      <c r="AW197" s="497"/>
      <c r="AX197" s="497"/>
      <c r="AY197" s="497"/>
      <c r="AZ197" s="497"/>
      <c r="BA197" s="497"/>
      <c r="BB197" s="497"/>
      <c r="BC197" s="497"/>
      <c r="BD197" s="497"/>
      <c r="BE197" s="497"/>
      <c r="BF197" s="497"/>
      <c r="BG197" s="497"/>
      <c r="BH197" s="497"/>
      <c r="BI197" s="497"/>
      <c r="BJ197" s="497"/>
      <c r="BK197" s="497"/>
      <c r="BL197" s="497"/>
      <c r="BM197" s="497"/>
      <c r="BN197" s="439"/>
      <c r="BO197" s="497"/>
      <c r="BP197" s="497"/>
      <c r="BQ197" s="497"/>
      <c r="BR197" s="497">
        <f>H197</f>
        <v>3576</v>
      </c>
      <c r="BS197" s="497"/>
      <c r="BT197" s="497"/>
      <c r="BU197" s="497"/>
      <c r="BV197" s="447">
        <v>3.542</v>
      </c>
      <c r="BW197" s="498">
        <f t="shared" si="11"/>
        <v>12666.192</v>
      </c>
      <c r="BX197" s="498">
        <f t="shared" si="12"/>
        <v>98162.988</v>
      </c>
      <c r="BY197" s="499"/>
      <c r="BZ197" s="500" t="s">
        <v>83</v>
      </c>
    </row>
    <row r="198" s="4" customFormat="1" ht="25" customHeight="1" spans="1:78">
      <c r="A198" s="114"/>
      <c r="B198" s="114"/>
      <c r="C198" s="117"/>
      <c r="D198" s="114"/>
      <c r="E198" s="117"/>
      <c r="F198" s="117"/>
      <c r="G198" s="117"/>
      <c r="H198" s="211"/>
      <c r="I198" s="211"/>
      <c r="J198" s="115"/>
      <c r="K198" s="115"/>
      <c r="L198" s="115"/>
      <c r="M198" s="115"/>
      <c r="N198" s="115"/>
      <c r="O198" s="115"/>
      <c r="P198" s="115"/>
      <c r="Q198" s="115"/>
      <c r="R198" s="115"/>
      <c r="S198" s="115"/>
      <c r="T198" s="115"/>
      <c r="U198" s="115"/>
      <c r="V198" s="115"/>
      <c r="W198" s="115"/>
      <c r="X198" s="115"/>
      <c r="Y198" s="115"/>
      <c r="Z198" s="115"/>
      <c r="AA198" s="115"/>
      <c r="AB198" s="115"/>
      <c r="AC198" s="115"/>
      <c r="AD198" s="115"/>
      <c r="AE198" s="115"/>
      <c r="AF198" s="115"/>
      <c r="AG198" s="115"/>
      <c r="AH198" s="115"/>
      <c r="AI198" s="115"/>
      <c r="AJ198" s="115"/>
      <c r="AK198" s="115"/>
      <c r="AL198" s="115"/>
      <c r="AM198" s="115"/>
      <c r="AN198" s="115"/>
      <c r="AO198" s="115"/>
      <c r="AP198" s="115"/>
      <c r="AQ198" s="115"/>
      <c r="AR198" s="115"/>
      <c r="AS198" s="115"/>
      <c r="AT198" s="115"/>
      <c r="AU198" s="115"/>
      <c r="AV198" s="115"/>
      <c r="AW198" s="115"/>
      <c r="AX198" s="115"/>
      <c r="AY198" s="115"/>
      <c r="AZ198" s="115"/>
      <c r="BA198" s="115"/>
      <c r="BB198" s="115"/>
      <c r="BC198" s="115"/>
      <c r="BD198" s="115"/>
      <c r="BE198" s="115"/>
      <c r="BF198" s="115"/>
      <c r="BG198" s="115"/>
      <c r="BH198" s="115"/>
      <c r="BI198" s="115"/>
      <c r="BJ198" s="115"/>
      <c r="BK198" s="115"/>
      <c r="BL198" s="115"/>
      <c r="BM198" s="115"/>
      <c r="BN198" s="117"/>
      <c r="BO198" s="115"/>
      <c r="BP198" s="115"/>
      <c r="BQ198" s="115"/>
      <c r="BR198" s="115"/>
      <c r="BS198" s="115"/>
      <c r="BT198" s="115"/>
      <c r="BU198" s="115"/>
      <c r="BV198" s="388"/>
      <c r="BW198" s="492"/>
      <c r="BX198" s="492"/>
      <c r="BY198" s="249"/>
      <c r="BZ198" s="31"/>
    </row>
    <row r="199" s="4" customFormat="1" ht="25" customHeight="1" spans="1:78">
      <c r="A199" s="114"/>
      <c r="B199" s="114"/>
      <c r="C199" s="117"/>
      <c r="D199" s="114"/>
      <c r="E199" s="117"/>
      <c r="F199" s="117"/>
      <c r="G199" s="117"/>
      <c r="H199" s="211"/>
      <c r="I199" s="211"/>
      <c r="J199" s="115"/>
      <c r="K199" s="115"/>
      <c r="L199" s="115"/>
      <c r="M199" s="115"/>
      <c r="N199" s="115"/>
      <c r="O199" s="115"/>
      <c r="P199" s="115"/>
      <c r="Q199" s="115"/>
      <c r="R199" s="115"/>
      <c r="S199" s="115"/>
      <c r="T199" s="115"/>
      <c r="U199" s="115"/>
      <c r="V199" s="115"/>
      <c r="W199" s="115"/>
      <c r="X199" s="115"/>
      <c r="Y199" s="115"/>
      <c r="Z199" s="115"/>
      <c r="AA199" s="115"/>
      <c r="AB199" s="115"/>
      <c r="AC199" s="115"/>
      <c r="AD199" s="115"/>
      <c r="AE199" s="115"/>
      <c r="AF199" s="115"/>
      <c r="AG199" s="115"/>
      <c r="AH199" s="115"/>
      <c r="AI199" s="115"/>
      <c r="AJ199" s="115"/>
      <c r="AK199" s="115"/>
      <c r="AL199" s="115"/>
      <c r="AM199" s="115"/>
      <c r="AN199" s="115"/>
      <c r="AO199" s="115"/>
      <c r="AP199" s="115"/>
      <c r="AQ199" s="115"/>
      <c r="AR199" s="115"/>
      <c r="AS199" s="115"/>
      <c r="AT199" s="115"/>
      <c r="AU199" s="115"/>
      <c r="AV199" s="115"/>
      <c r="AW199" s="115"/>
      <c r="AX199" s="115"/>
      <c r="AY199" s="115"/>
      <c r="AZ199" s="115"/>
      <c r="BA199" s="115"/>
      <c r="BB199" s="115"/>
      <c r="BC199" s="115"/>
      <c r="BD199" s="115"/>
      <c r="BE199" s="115"/>
      <c r="BF199" s="115"/>
      <c r="BG199" s="115"/>
      <c r="BH199" s="115"/>
      <c r="BI199" s="115"/>
      <c r="BJ199" s="115"/>
      <c r="BK199" s="115"/>
      <c r="BL199" s="115"/>
      <c r="BM199" s="115"/>
      <c r="BN199" s="117"/>
      <c r="BO199" s="115"/>
      <c r="BP199" s="115"/>
      <c r="BQ199" s="115"/>
      <c r="BR199" s="115"/>
      <c r="BS199" s="115"/>
      <c r="BT199" s="115"/>
      <c r="BU199" s="115"/>
      <c r="BV199" s="388"/>
      <c r="BW199" s="492"/>
      <c r="BX199" s="492"/>
      <c r="BY199" s="249"/>
      <c r="BZ199" s="31"/>
    </row>
    <row r="200" s="4" customFormat="1" ht="25" customHeight="1" spans="1:78">
      <c r="A200" s="114"/>
      <c r="B200" s="114"/>
      <c r="C200" s="117"/>
      <c r="D200" s="114"/>
      <c r="E200" s="117"/>
      <c r="F200" s="117"/>
      <c r="G200" s="206"/>
      <c r="H200" s="211"/>
      <c r="I200" s="211"/>
      <c r="J200" s="115"/>
      <c r="K200" s="115"/>
      <c r="L200" s="115"/>
      <c r="M200" s="115"/>
      <c r="N200" s="115"/>
      <c r="O200" s="115"/>
      <c r="P200" s="115"/>
      <c r="Q200" s="115"/>
      <c r="R200" s="115"/>
      <c r="S200" s="115"/>
      <c r="T200" s="115"/>
      <c r="U200" s="115"/>
      <c r="V200" s="115"/>
      <c r="W200" s="115"/>
      <c r="X200" s="115"/>
      <c r="Y200" s="115"/>
      <c r="Z200" s="115"/>
      <c r="AA200" s="115"/>
      <c r="AB200" s="115"/>
      <c r="AC200" s="115"/>
      <c r="AD200" s="115"/>
      <c r="AE200" s="115"/>
      <c r="AF200" s="115"/>
      <c r="AG200" s="115"/>
      <c r="AH200" s="115"/>
      <c r="AI200" s="115"/>
      <c r="AJ200" s="115"/>
      <c r="AK200" s="115"/>
      <c r="AL200" s="115"/>
      <c r="AM200" s="115"/>
      <c r="AN200" s="115"/>
      <c r="AO200" s="115"/>
      <c r="AP200" s="115"/>
      <c r="AQ200" s="115"/>
      <c r="AR200" s="115"/>
      <c r="AS200" s="115"/>
      <c r="AT200" s="115"/>
      <c r="AU200" s="115"/>
      <c r="AV200" s="115"/>
      <c r="AW200" s="115"/>
      <c r="AX200" s="115"/>
      <c r="AY200" s="115"/>
      <c r="AZ200" s="115"/>
      <c r="BA200" s="115"/>
      <c r="BB200" s="115"/>
      <c r="BC200" s="115"/>
      <c r="BD200" s="115"/>
      <c r="BE200" s="115"/>
      <c r="BF200" s="115"/>
      <c r="BG200" s="115"/>
      <c r="BH200" s="115"/>
      <c r="BI200" s="115"/>
      <c r="BJ200" s="115"/>
      <c r="BK200" s="115"/>
      <c r="BL200" s="115"/>
      <c r="BM200" s="115"/>
      <c r="BN200" s="115"/>
      <c r="BO200" s="115"/>
      <c r="BP200" s="115"/>
      <c r="BQ200" s="115"/>
      <c r="BR200" s="115"/>
      <c r="BS200" s="115"/>
      <c r="BT200" s="115"/>
      <c r="BU200" s="115"/>
      <c r="BV200" s="388"/>
      <c r="BW200" s="492">
        <f>SUM(K200:BU200)*BV200</f>
        <v>0</v>
      </c>
      <c r="BX200" s="492">
        <f>BW200*7.75</f>
        <v>0</v>
      </c>
      <c r="BY200" s="249"/>
      <c r="BZ200" s="115"/>
    </row>
    <row r="201" s="475" customFormat="1" ht="25" customHeight="1" spans="1:78">
      <c r="A201" s="501"/>
      <c r="B201" s="501"/>
      <c r="C201" s="502"/>
      <c r="D201" s="502"/>
      <c r="E201" s="502"/>
      <c r="F201" s="502"/>
      <c r="G201" s="502"/>
      <c r="H201" s="503">
        <f>SUM(H1:H200)</f>
        <v>592095</v>
      </c>
      <c r="I201" s="503" t="b">
        <f>H201=BV201</f>
        <v>1</v>
      </c>
      <c r="J201" s="504"/>
      <c r="K201" s="504">
        <f t="shared" ref="K201:BT201" si="14">SUM(K1:K200)</f>
        <v>29808</v>
      </c>
      <c r="L201" s="504">
        <f t="shared" si="14"/>
        <v>5484</v>
      </c>
      <c r="M201" s="504">
        <f t="shared" si="14"/>
        <v>7080</v>
      </c>
      <c r="N201" s="504">
        <f t="shared" si="14"/>
        <v>0</v>
      </c>
      <c r="O201" s="504">
        <f t="shared" si="14"/>
        <v>5592</v>
      </c>
      <c r="P201" s="504">
        <f t="shared" si="14"/>
        <v>0</v>
      </c>
      <c r="Q201" s="504">
        <f t="shared" si="14"/>
        <v>3000</v>
      </c>
      <c r="R201" s="504">
        <f t="shared" si="14"/>
        <v>14760</v>
      </c>
      <c r="S201" s="504">
        <f t="shared" si="14"/>
        <v>7452</v>
      </c>
      <c r="T201" s="504">
        <f t="shared" si="14"/>
        <v>17604</v>
      </c>
      <c r="U201" s="504">
        <f t="shared" si="14"/>
        <v>4026</v>
      </c>
      <c r="V201" s="504">
        <f t="shared" si="14"/>
        <v>306</v>
      </c>
      <c r="W201" s="504">
        <f t="shared" si="14"/>
        <v>0</v>
      </c>
      <c r="X201" s="504">
        <f t="shared" si="14"/>
        <v>0</v>
      </c>
      <c r="Y201" s="504">
        <f t="shared" si="14"/>
        <v>0</v>
      </c>
      <c r="Z201" s="504">
        <f t="shared" si="14"/>
        <v>0</v>
      </c>
      <c r="AA201" s="504">
        <f t="shared" si="14"/>
        <v>300</v>
      </c>
      <c r="AB201" s="504">
        <f t="shared" si="14"/>
        <v>14478</v>
      </c>
      <c r="AC201" s="504">
        <f t="shared" si="14"/>
        <v>801</v>
      </c>
      <c r="AD201" s="504">
        <f t="shared" si="14"/>
        <v>0</v>
      </c>
      <c r="AE201" s="504">
        <f t="shared" si="14"/>
        <v>0</v>
      </c>
      <c r="AF201" s="504">
        <f t="shared" si="14"/>
        <v>0</v>
      </c>
      <c r="AG201" s="504">
        <f t="shared" si="14"/>
        <v>0</v>
      </c>
      <c r="AH201" s="504">
        <f t="shared" si="14"/>
        <v>0</v>
      </c>
      <c r="AI201" s="504">
        <f t="shared" si="14"/>
        <v>0</v>
      </c>
      <c r="AJ201" s="504">
        <f t="shared" si="14"/>
        <v>0</v>
      </c>
      <c r="AK201" s="504">
        <f t="shared" si="14"/>
        <v>0</v>
      </c>
      <c r="AL201" s="504">
        <f t="shared" si="14"/>
        <v>0</v>
      </c>
      <c r="AM201" s="504">
        <f t="shared" si="14"/>
        <v>0</v>
      </c>
      <c r="AN201" s="504">
        <f t="shared" si="14"/>
        <v>0</v>
      </c>
      <c r="AO201" s="504">
        <f t="shared" si="14"/>
        <v>0</v>
      </c>
      <c r="AP201" s="504">
        <f t="shared" si="14"/>
        <v>0</v>
      </c>
      <c r="AQ201" s="504">
        <f t="shared" si="14"/>
        <v>10176</v>
      </c>
      <c r="AR201" s="504">
        <f t="shared" si="14"/>
        <v>148044</v>
      </c>
      <c r="AS201" s="504">
        <f t="shared" si="14"/>
        <v>54996</v>
      </c>
      <c r="AT201" s="504">
        <f t="shared" si="14"/>
        <v>42138</v>
      </c>
      <c r="AU201" s="504">
        <f t="shared" si="14"/>
        <v>15798</v>
      </c>
      <c r="AV201" s="504">
        <f t="shared" si="14"/>
        <v>42720</v>
      </c>
      <c r="AW201" s="504">
        <f t="shared" si="14"/>
        <v>0</v>
      </c>
      <c r="AX201" s="504">
        <f t="shared" si="14"/>
        <v>27120</v>
      </c>
      <c r="AY201" s="504">
        <f t="shared" si="14"/>
        <v>0</v>
      </c>
      <c r="AZ201" s="504">
        <f t="shared" si="14"/>
        <v>0</v>
      </c>
      <c r="BA201" s="504">
        <f t="shared" si="14"/>
        <v>0</v>
      </c>
      <c r="BB201" s="504">
        <f t="shared" si="14"/>
        <v>0</v>
      </c>
      <c r="BC201" s="504">
        <f t="shared" si="14"/>
        <v>0</v>
      </c>
      <c r="BD201" s="504">
        <f t="shared" si="14"/>
        <v>0</v>
      </c>
      <c r="BE201" s="504">
        <f t="shared" si="14"/>
        <v>0</v>
      </c>
      <c r="BF201" s="504">
        <f t="shared" si="14"/>
        <v>0</v>
      </c>
      <c r="BG201" s="504">
        <f t="shared" si="14"/>
        <v>0</v>
      </c>
      <c r="BH201" s="504">
        <f t="shared" si="14"/>
        <v>0</v>
      </c>
      <c r="BI201" s="504">
        <f t="shared" si="14"/>
        <v>4716</v>
      </c>
      <c r="BJ201" s="504">
        <f t="shared" si="14"/>
        <v>0</v>
      </c>
      <c r="BK201" s="504">
        <f t="shared" si="14"/>
        <v>21824</v>
      </c>
      <c r="BL201" s="504">
        <f t="shared" si="14"/>
        <v>306</v>
      </c>
      <c r="BM201" s="504">
        <f t="shared" si="14"/>
        <v>7356</v>
      </c>
      <c r="BN201" s="504">
        <f t="shared" si="14"/>
        <v>9096</v>
      </c>
      <c r="BO201" s="504">
        <f t="shared" si="14"/>
        <v>4038</v>
      </c>
      <c r="BP201" s="504">
        <f t="shared" si="14"/>
        <v>12570</v>
      </c>
      <c r="BQ201" s="504">
        <f>SUM(BQ194:BQ200)</f>
        <v>9130</v>
      </c>
      <c r="BR201" s="504">
        <f>SUM(BR1:BR200)</f>
        <v>50904</v>
      </c>
      <c r="BS201" s="504">
        <f>SUM(BS1:BS200)</f>
        <v>7224</v>
      </c>
      <c r="BT201" s="504">
        <f>SUM(BT1:BT200)</f>
        <v>13128</v>
      </c>
      <c r="BU201" s="504">
        <f>SUM(BU1:BU200)</f>
        <v>120</v>
      </c>
      <c r="BV201" s="504">
        <f>SUM(K201:BU201)</f>
        <v>592095</v>
      </c>
      <c r="BW201" s="504">
        <f>SUM(BW1:BW200)</f>
        <v>1779413.998</v>
      </c>
      <c r="BX201" s="503">
        <f>SUM(BX1:BX200)</f>
        <v>13790458.4845</v>
      </c>
      <c r="BY201" s="249"/>
      <c r="BZ201" s="502"/>
    </row>
    <row r="202" s="471" customFormat="1" ht="25" customHeight="1" spans="1:78">
      <c r="H202" s="476"/>
      <c r="BV202" s="477"/>
      <c r="BY202" s="479"/>
    </row>
    <row r="203" s="471" customFormat="1" ht="25" customHeight="1" spans="1:78">
      <c r="A203" s="505" t="s">
        <v>402</v>
      </c>
      <c r="B203" s="506">
        <f>'[1]各客每周报 (2)'!$C$2+'[1]各客每周报 (2)'!$D$2</f>
        <v>4931776.05</v>
      </c>
      <c r="H203" s="476"/>
      <c r="BV203" s="477"/>
      <c r="BY203" s="479"/>
    </row>
    <row r="204" s="471" customFormat="1" ht="25" customHeight="1" spans="1:78">
      <c r="A204" s="505" t="s">
        <v>403</v>
      </c>
      <c r="B204" s="88">
        <f>B206+B207+B208</f>
        <v>13790458.4845</v>
      </c>
      <c r="C204" s="507">
        <f>B204-B209-B210</f>
        <v>-0.0019999947398901</v>
      </c>
      <c r="H204" s="476"/>
      <c r="BV204" s="477"/>
      <c r="BY204" s="479"/>
    </row>
    <row r="205" s="471" customFormat="1" ht="25" customHeight="1" spans="1:78">
      <c r="A205" s="505" t="s">
        <v>404</v>
      </c>
      <c r="B205" s="508">
        <f>B206+B207</f>
        <v>11925955.3005</v>
      </c>
      <c r="C205" s="507"/>
      <c r="H205" s="476"/>
      <c r="J205" s="476"/>
      <c r="BV205" s="477"/>
      <c r="BY205" s="479"/>
    </row>
    <row r="206" s="471" customFormat="1" ht="25" customHeight="1" spans="1:78">
      <c r="A206" s="505" t="s">
        <v>146</v>
      </c>
      <c r="B206" s="508">
        <f>SUMIF(BZ1:BZ592,A206,BX1:BX592)</f>
        <v>2099773.716</v>
      </c>
      <c r="C206" s="507"/>
      <c r="H206" s="476"/>
      <c r="J206" s="476"/>
      <c r="BV206" s="477"/>
      <c r="BY206" s="479"/>
    </row>
    <row r="207" s="471" customFormat="1" ht="25" customHeight="1" spans="1:78">
      <c r="A207" s="505" t="s">
        <v>83</v>
      </c>
      <c r="B207" s="508">
        <f>SUMIF(BZ1:BZ592,A207,BX1:BX592)</f>
        <v>9826181.5845</v>
      </c>
      <c r="C207" s="507"/>
      <c r="H207" s="476"/>
      <c r="J207" s="476"/>
      <c r="BV207" s="477"/>
      <c r="BY207" s="479"/>
    </row>
    <row r="208" s="471" customFormat="1" ht="25" customHeight="1" spans="1:78">
      <c r="A208" s="505" t="s">
        <v>93</v>
      </c>
      <c r="B208" s="508">
        <f>SUMIF(BZ2:BZ593,A208,BX2:BX593)</f>
        <v>1864503.184</v>
      </c>
      <c r="C208" s="507"/>
      <c r="H208" s="476"/>
      <c r="J208" s="476"/>
      <c r="BV208" s="477"/>
      <c r="BY208" s="479"/>
    </row>
    <row r="209" s="471" customFormat="1" ht="25" customHeight="1" spans="1:77">
      <c r="A209" s="505" t="s">
        <v>405</v>
      </c>
      <c r="B209" s="508">
        <f>B车间总排期!AG70+A车间总排期!AG7+印尼总排期!AG7</f>
        <v>3383176.3665</v>
      </c>
      <c r="C209" s="507"/>
      <c r="H209" s="509"/>
      <c r="I209" s="475"/>
      <c r="J209" s="510"/>
      <c r="BV209" s="477"/>
      <c r="BY209" s="479"/>
    </row>
    <row r="210" s="471" customFormat="1" ht="25" customHeight="1" spans="1:77">
      <c r="A210" s="505" t="s">
        <v>406</v>
      </c>
      <c r="B210" s="508">
        <f>已走货!AG143</f>
        <v>10407282.12</v>
      </c>
      <c r="C210" s="507"/>
      <c r="H210" s="509"/>
      <c r="J210" s="509"/>
      <c r="BV210" s="477"/>
      <c r="BY210" s="479"/>
    </row>
    <row r="211" s="471" customFormat="1" ht="25" customHeight="1" spans="1:77">
      <c r="A211" s="505"/>
      <c r="B211" s="508"/>
      <c r="C211" s="506"/>
      <c r="H211" s="509"/>
      <c r="J211" s="509"/>
      <c r="BV211" s="477"/>
      <c r="BY211" s="479"/>
    </row>
    <row r="212" s="471" customFormat="1" ht="25" customHeight="1" spans="1:77">
      <c r="A212" s="511" t="s">
        <v>88</v>
      </c>
      <c r="B212" s="512">
        <f>SUMIF(D1:D592,A212,BX1:BX592)</f>
        <v>1248171.6</v>
      </c>
      <c r="C212" s="513">
        <f>B212-B213-B214-B215</f>
        <v>0</v>
      </c>
      <c r="H212" s="509"/>
      <c r="J212" s="509"/>
      <c r="BV212" s="477"/>
      <c r="BY212" s="479"/>
    </row>
    <row r="213" s="471" customFormat="1" ht="25" customHeight="1" spans="1:77">
      <c r="A213" s="511" t="s">
        <v>146</v>
      </c>
      <c r="B213" s="512">
        <f>SUMIFS(BX1:BX592,D1:D592,A212,BZ1:BZ592,A213)</f>
        <v>0</v>
      </c>
      <c r="C213" s="513"/>
      <c r="H213" s="509"/>
      <c r="J213" s="509"/>
      <c r="BV213" s="477"/>
      <c r="BY213" s="479"/>
    </row>
    <row r="214" s="471" customFormat="1" ht="25" customHeight="1" spans="1:77">
      <c r="A214" s="511" t="s">
        <v>83</v>
      </c>
      <c r="B214" s="512">
        <f>SUMIFS(BX1:BX592,D1:D592,A212,BZ1:BZ592,A214)</f>
        <v>0</v>
      </c>
      <c r="C214" s="513"/>
      <c r="H214" s="476"/>
      <c r="J214" s="476"/>
      <c r="BV214" s="477"/>
      <c r="BY214" s="479"/>
    </row>
    <row r="215" s="471" customFormat="1" ht="25" customHeight="1" spans="1:77">
      <c r="A215" s="511" t="s">
        <v>93</v>
      </c>
      <c r="B215" s="512">
        <f>SUMIFS(BX1:BX592,D1:D592,A212,BZ1:BZ592,A215)</f>
        <v>1248171.6</v>
      </c>
      <c r="C215" s="513"/>
      <c r="H215" s="476"/>
      <c r="J215" s="476"/>
      <c r="BV215" s="477"/>
      <c r="BY215" s="479"/>
    </row>
    <row r="216" s="471" customFormat="1" ht="25" customHeight="1" spans="1:77">
      <c r="A216" s="471" t="s">
        <v>407</v>
      </c>
      <c r="H216" s="476"/>
      <c r="J216" s="476"/>
      <c r="BV216" s="477"/>
      <c r="BY216" s="479"/>
    </row>
    <row r="217" s="471" customFormat="1" ht="25" customHeight="1" spans="1:77">
      <c r="A217" s="115" t="s">
        <v>408</v>
      </c>
      <c r="B217" s="115" t="s">
        <v>409</v>
      </c>
      <c r="C217" s="115"/>
      <c r="H217" s="476"/>
      <c r="J217" s="476"/>
      <c r="BV217" s="477"/>
      <c r="BY217" s="479"/>
    </row>
    <row r="218" s="471" customFormat="1" ht="25" customHeight="1" spans="1:77">
      <c r="A218" s="115" t="s">
        <v>410</v>
      </c>
      <c r="B218" s="115" t="s">
        <v>411</v>
      </c>
      <c r="C218" s="115"/>
      <c r="D218" s="506"/>
      <c r="E218" s="506"/>
      <c r="H218" s="476"/>
      <c r="J218" s="476"/>
      <c r="BV218" s="477"/>
      <c r="BY218" s="479"/>
    </row>
    <row r="219" s="471" customFormat="1" ht="25" customHeight="1" spans="1:77">
      <c r="A219" s="514" t="s">
        <v>412</v>
      </c>
      <c r="B219" s="515" t="s">
        <v>413</v>
      </c>
      <c r="C219" s="515"/>
      <c r="D219" s="506"/>
      <c r="E219" s="506"/>
      <c r="H219" s="476"/>
      <c r="J219" s="476"/>
      <c r="BV219" s="477"/>
      <c r="BY219" s="479"/>
    </row>
    <row r="220" s="471" customFormat="1" ht="25" customHeight="1" spans="1:77">
      <c r="A220" s="488" t="s">
        <v>414</v>
      </c>
      <c r="B220" s="287" t="s">
        <v>415</v>
      </c>
      <c r="C220" s="287"/>
      <c r="D220" s="506"/>
      <c r="E220" s="506"/>
      <c r="H220" s="476"/>
      <c r="J220" s="476"/>
      <c r="BV220" s="477"/>
      <c r="BY220" s="479"/>
    </row>
    <row r="221" s="471" customFormat="1" ht="25" customHeight="1" spans="1:77">
      <c r="A221" s="502" t="s">
        <v>416</v>
      </c>
      <c r="B221" s="502" t="s">
        <v>417</v>
      </c>
      <c r="C221" s="502"/>
      <c r="H221" s="476"/>
      <c r="J221" s="476"/>
      <c r="BV221" s="477"/>
      <c r="BY221" s="479"/>
    </row>
    <row r="222" ht="25" customHeight="1" spans="1:77">
      <c r="J222" s="476"/>
    </row>
    <row r="223" ht="25" customHeight="1" spans="1:77">
      <c r="J223" s="476"/>
    </row>
    <row r="224" ht="25" customHeight="1" spans="1:77">
      <c r="J224" s="476"/>
    </row>
    <row r="225" ht="25" customHeight="1" spans="10:10">
      <c r="J225" s="476"/>
    </row>
    <row r="226" ht="25" customHeight="1" spans="10:10">
      <c r="J226" s="476"/>
    </row>
    <row r="227" ht="25" customHeight="1" spans="10:10">
      <c r="J227" s="476"/>
    </row>
    <row r="228" ht="25" customHeight="1" spans="10:10">
      <c r="J228" s="476"/>
    </row>
    <row r="229" ht="25" customHeight="1"/>
    <row r="230" ht="25" customHeight="1"/>
    <row r="231" ht="25" customHeight="1"/>
    <row r="232" ht="25" customHeight="1"/>
    <row r="233" ht="25" customHeight="1"/>
    <row r="234" ht="25" customHeight="1"/>
    <row r="235" ht="25" customHeight="1"/>
    <row r="236" ht="25" customHeight="1"/>
    <row r="237" ht="25" customHeight="1"/>
    <row r="238" ht="25" customHeight="1"/>
    <row r="239" ht="25" customHeight="1"/>
    <row r="240" ht="25" customHeight="1"/>
    <row r="241" ht="25" customHeight="1"/>
    <row r="242" ht="25" customHeight="1"/>
    <row r="243" ht="25" customHeight="1"/>
    <row r="244" ht="25" customHeight="1"/>
    <row r="245" ht="25" customHeight="1"/>
    <row r="246" ht="25" customHeight="1"/>
    <row r="247" ht="25" customHeight="1"/>
    <row r="248" ht="25" customHeight="1"/>
    <row r="249" ht="25" customHeight="1"/>
    <row r="250" ht="25" customHeight="1"/>
    <row r="251" ht="25" customHeight="1"/>
    <row r="252" ht="25" customHeight="1"/>
    <row r="253" ht="25" customHeight="1"/>
    <row r="254" ht="25" customHeight="1"/>
    <row r="255" ht="25" customHeight="1"/>
    <row r="256" ht="25" customHeight="1"/>
    <row r="257" ht="25" customHeight="1"/>
    <row r="258" ht="25" customHeight="1"/>
    <row r="259" ht="25" customHeight="1"/>
    <row r="260" ht="25" customHeight="1"/>
    <row r="261" ht="25" customHeight="1"/>
    <row r="262" ht="25" customHeight="1"/>
    <row r="263" ht="25" customHeight="1"/>
    <row r="264" ht="25" customHeight="1"/>
    <row r="265" ht="25" customHeight="1"/>
    <row r="266" ht="25" customHeight="1"/>
    <row r="267" ht="25" customHeight="1"/>
    <row r="268" ht="25" customHeight="1"/>
    <row r="269" ht="25" customHeight="1"/>
    <row r="270" ht="25" customHeight="1"/>
    <row r="271" ht="25" customHeight="1"/>
    <row r="272" ht="25" customHeight="1"/>
    <row r="273" ht="25" customHeight="1"/>
    <row r="274" ht="25" customHeight="1"/>
    <row r="275" ht="25" customHeight="1"/>
    <row r="276" ht="25" customHeight="1"/>
    <row r="277" ht="25" customHeight="1"/>
    <row r="278" ht="25" customHeight="1"/>
    <row r="279" ht="25" customHeight="1"/>
    <row r="280" ht="25" customHeight="1"/>
    <row r="281" ht="25" customHeight="1"/>
    <row r="282" ht="25" customHeight="1"/>
    <row r="283" ht="25" customHeight="1"/>
    <row r="284" ht="25" customHeight="1"/>
    <row r="285" ht="25" customHeight="1"/>
    <row r="286" ht="25" customHeight="1"/>
    <row r="287" ht="25" customHeight="1"/>
    <row r="288" ht="25" customHeight="1"/>
    <row r="289" ht="25" customHeight="1"/>
    <row r="290" ht="25" customHeight="1"/>
    <row r="291" ht="25" customHeight="1"/>
    <row r="292" ht="25" customHeight="1"/>
    <row r="293" ht="25" customHeight="1"/>
    <row r="294" ht="25" customHeight="1"/>
    <row r="295" ht="25" customHeight="1"/>
    <row r="296" ht="25" customHeight="1"/>
    <row r="297" ht="25" customHeight="1"/>
    <row r="298" ht="25" customHeight="1"/>
    <row r="299" ht="25" customHeight="1"/>
    <row r="300" ht="25" customHeight="1"/>
    <row r="301" ht="25" customHeight="1"/>
  </sheetData>
  <sheetProtection formatCells="0" autoFilter="0"/>
  <autoFilter xmlns:etc="http://www.wps.cn/officeDocument/2017/etCustomData" ref="A1:XFD228" etc:filterBottomFollowUsedRange="1">
    <extLst/>
  </autoFilter>
  <mergeCells count="7">
    <mergeCell ref="B217:C217"/>
    <mergeCell ref="B218:C218"/>
    <mergeCell ref="B219:C219"/>
    <mergeCell ref="B220:C220"/>
    <mergeCell ref="B221:C221"/>
    <mergeCell ref="C204:C210"/>
    <mergeCell ref="C212:C215"/>
  </mergeCells>
  <pageMargins left="0.310416666666667" right="0.279166666666667" top="0.869444444444444" bottom="0.708333333333333" header="0.511805555555556" footer="0.511805555555556"/>
  <pageSetup paperSize="9" scale="45" orientation="landscape" horizontalDpi="600"/>
  <headerFooter alignWithMargins="0" scaleWithDoc="0">
    <oddHeader>&amp;CTIGERHEAD 合同评审表</oddHeader>
    <oddFooter>&amp;L制表人：罗 叶&amp;C第 &amp;P 页 ，共 &amp;N 页&amp;R&amp;D</oddFooter>
  </headerFooter>
  <ignoredErrors>
    <ignoredError sqref="BV201" formula="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294"/>
  <sheetViews>
    <sheetView workbookViewId="0">
      <pane xSplit="13" ySplit="1" topLeftCell="N2" activePane="bottomRight" state="frozen"/>
      <selection/>
      <selection pane="topRight"/>
      <selection pane="bottomLeft"/>
      <selection pane="bottomRight" activeCell="O3" sqref="O3"/>
    </sheetView>
  </sheetViews>
  <sheetFormatPr defaultColWidth="10" defaultRowHeight="14.25"/>
  <cols>
    <col min="1" max="1" width="15" style="59" customWidth="1"/>
    <col min="2" max="3" width="10" style="52"/>
    <col min="4" max="4" width="19.025" style="52" customWidth="1"/>
    <col min="5" max="6" width="14.4416666666667" style="52" customWidth="1"/>
    <col min="7" max="7" width="10" style="52"/>
    <col min="8" max="8" width="15.1333333333333" style="52" customWidth="1"/>
    <col min="9" max="9" width="8.44166666666667" style="200" customWidth="1"/>
    <col min="10" max="10" width="6.66666666666667" style="200" customWidth="1"/>
    <col min="11" max="11" width="6.55833333333333" style="52" customWidth="1"/>
    <col min="12" max="12" width="14.3333333333333" style="59" customWidth="1"/>
    <col min="13" max="13" width="14.225" style="59" customWidth="1"/>
    <col min="14" max="14" width="12.5583333333333" style="52" customWidth="1"/>
    <col min="15" max="15" width="16.225" style="52" customWidth="1"/>
    <col min="16" max="16" width="12.0166666666667" style="216" customWidth="1"/>
    <col min="17" max="19" width="10" style="216" customWidth="1"/>
    <col min="20" max="20" width="11.1083333333333" style="216" customWidth="1"/>
    <col min="21" max="21" width="10" style="216" customWidth="1"/>
    <col min="22" max="23" width="11.8916666666667" style="52" customWidth="1"/>
    <col min="24" max="24" width="11.8916666666667" style="217" customWidth="1"/>
    <col min="25" max="25" width="26.4" style="216" customWidth="1"/>
    <col min="26" max="27" width="10" style="52" customWidth="1"/>
    <col min="28" max="29" width="12" style="52" customWidth="1"/>
    <col min="30" max="30" width="75.8083333333333" style="201" customWidth="1"/>
    <col min="31" max="31" width="10" style="52" customWidth="1"/>
    <col min="32" max="32" width="14" style="18" customWidth="1"/>
    <col min="33" max="33" width="14.225" style="52" customWidth="1"/>
    <col min="34" max="34" width="13.775" style="52" customWidth="1"/>
    <col min="35" max="35" width="12.575" style="52" customWidth="1"/>
    <col min="36" max="37" width="10" style="52"/>
    <col min="38" max="38" width="8.89166666666667" style="52" customWidth="1"/>
    <col min="39" max="40" width="10" style="52"/>
    <col min="41" max="41" width="10" style="52" customWidth="1"/>
    <col min="42" max="43" width="10" style="3" customWidth="1"/>
    <col min="44" max="44" width="11.2666666666667" style="52" customWidth="1"/>
    <col min="45" max="16384" width="10" style="52"/>
  </cols>
  <sheetData>
    <row r="1" s="198" customFormat="1" ht="25" customHeight="1" spans="1:43">
      <c r="A1" s="202" t="s">
        <v>0</v>
      </c>
      <c r="B1" s="96" t="s">
        <v>3</v>
      </c>
      <c r="C1" s="96" t="s">
        <v>418</v>
      </c>
      <c r="D1" s="96" t="s">
        <v>2</v>
      </c>
      <c r="E1" s="96" t="s">
        <v>419</v>
      </c>
      <c r="F1" s="96"/>
      <c r="G1" s="96" t="s">
        <v>5</v>
      </c>
      <c r="H1" s="96" t="s">
        <v>6</v>
      </c>
      <c r="I1" s="203" t="s">
        <v>7</v>
      </c>
      <c r="J1" s="203" t="s">
        <v>8</v>
      </c>
      <c r="K1" s="96" t="s">
        <v>9</v>
      </c>
      <c r="L1" s="202" t="s">
        <v>1</v>
      </c>
      <c r="M1" s="202" t="s">
        <v>420</v>
      </c>
      <c r="N1" s="96" t="s">
        <v>421</v>
      </c>
      <c r="O1" s="96" t="s">
        <v>422</v>
      </c>
      <c r="P1" s="219" t="s">
        <v>423</v>
      </c>
      <c r="Q1" s="219" t="s">
        <v>424</v>
      </c>
      <c r="R1" s="219" t="s">
        <v>425</v>
      </c>
      <c r="S1" s="219" t="s">
        <v>426</v>
      </c>
      <c r="T1" s="219" t="s">
        <v>427</v>
      </c>
      <c r="U1" s="219" t="s">
        <v>428</v>
      </c>
      <c r="V1" s="96" t="s">
        <v>429</v>
      </c>
      <c r="W1" s="96" t="s">
        <v>430</v>
      </c>
      <c r="X1" s="381" t="s">
        <v>431</v>
      </c>
      <c r="Y1" s="219" t="s">
        <v>432</v>
      </c>
      <c r="Z1" s="96" t="s">
        <v>433</v>
      </c>
      <c r="AA1" s="96" t="s">
        <v>434</v>
      </c>
      <c r="AB1" s="96" t="s">
        <v>435</v>
      </c>
      <c r="AC1" s="96" t="s">
        <v>436</v>
      </c>
      <c r="AD1" s="204" t="s">
        <v>437</v>
      </c>
      <c r="AE1" s="96" t="s">
        <v>73</v>
      </c>
      <c r="AF1" s="96" t="s">
        <v>74</v>
      </c>
      <c r="AG1" s="96" t="s">
        <v>75</v>
      </c>
      <c r="AH1" s="96" t="s">
        <v>438</v>
      </c>
      <c r="AI1" s="95" t="s">
        <v>439</v>
      </c>
      <c r="AJ1" s="95" t="s">
        <v>440</v>
      </c>
      <c r="AK1" s="95" t="s">
        <v>441</v>
      </c>
      <c r="AL1" s="95" t="s">
        <v>442</v>
      </c>
      <c r="AM1" s="95" t="s">
        <v>443</v>
      </c>
      <c r="AN1" s="134" t="s">
        <v>444</v>
      </c>
      <c r="AO1" s="134"/>
      <c r="AP1" s="134"/>
      <c r="AQ1" s="134"/>
    </row>
    <row r="2" s="452" customFormat="1" ht="25" customHeight="1" spans="1:43">
      <c r="A2" s="453">
        <v>46172</v>
      </c>
      <c r="B2" s="453" t="s">
        <v>79</v>
      </c>
      <c r="C2" s="454" t="s">
        <v>445</v>
      </c>
      <c r="D2" s="291" t="s">
        <v>363</v>
      </c>
      <c r="E2" s="291" t="s">
        <v>364</v>
      </c>
      <c r="F2" s="291" t="s">
        <v>49</v>
      </c>
      <c r="G2" s="291" t="s">
        <v>49</v>
      </c>
      <c r="H2" s="291" t="s">
        <v>144</v>
      </c>
      <c r="I2" s="455">
        <v>3984</v>
      </c>
      <c r="J2" s="455">
        <v>4</v>
      </c>
      <c r="K2" s="291">
        <f>I2/J2</f>
        <v>996</v>
      </c>
      <c r="L2" s="453">
        <v>46238</v>
      </c>
      <c r="M2" s="453">
        <v>46238</v>
      </c>
      <c r="N2" s="453">
        <v>46238</v>
      </c>
      <c r="O2" s="291" t="s">
        <v>446</v>
      </c>
      <c r="P2" s="456" t="s">
        <v>447</v>
      </c>
      <c r="Q2" s="457">
        <v>46183</v>
      </c>
      <c r="R2" s="457">
        <v>46183</v>
      </c>
      <c r="S2" s="457">
        <v>46198</v>
      </c>
      <c r="T2" s="457">
        <v>46184</v>
      </c>
      <c r="U2" s="458" t="s">
        <v>448</v>
      </c>
      <c r="V2" s="459" t="s">
        <v>449</v>
      </c>
      <c r="W2" s="459" t="s">
        <v>450</v>
      </c>
      <c r="X2" s="460" t="str">
        <f t="array" ref="X2">INDEX(系统货号!C:C,MATCH(1,(系统货号!A:A=G2)*(系统货号!B:B=V2),0))</f>
        <v>PF001A1-KMART</v>
      </c>
      <c r="Y2" s="461" t="s">
        <v>451</v>
      </c>
      <c r="Z2" s="459"/>
      <c r="AA2" s="459"/>
      <c r="AB2" s="291" t="s">
        <v>450</v>
      </c>
      <c r="AC2" s="462" t="s">
        <v>452</v>
      </c>
      <c r="AD2" s="463" t="s">
        <v>453</v>
      </c>
      <c r="AE2" s="464">
        <v>10.262</v>
      </c>
      <c r="AF2" s="465">
        <f>I2*AE2</f>
        <v>40883.808</v>
      </c>
      <c r="AG2" s="465">
        <f>AF2*7.75</f>
        <v>316849.512</v>
      </c>
      <c r="AH2" s="466">
        <v>46175</v>
      </c>
      <c r="AI2" s="454" t="s">
        <v>454</v>
      </c>
      <c r="AJ2" s="291">
        <f>672+1976+1120+216</f>
        <v>3984</v>
      </c>
      <c r="AK2" s="291">
        <f>AJ2-I2</f>
        <v>0</v>
      </c>
      <c r="AL2" s="291"/>
      <c r="AM2" s="291"/>
      <c r="AN2" s="467"/>
      <c r="AO2" s="467"/>
      <c r="AP2" s="467"/>
      <c r="AQ2" s="467"/>
    </row>
    <row r="3" s="380" customFormat="1" ht="25" customHeight="1" spans="1:43">
      <c r="A3" s="114"/>
      <c r="B3" s="114"/>
      <c r="C3" s="34"/>
      <c r="D3" s="117"/>
      <c r="E3" s="117"/>
      <c r="F3" s="117"/>
      <c r="G3" s="117"/>
      <c r="H3" s="117"/>
      <c r="I3" s="211"/>
      <c r="J3" s="211"/>
      <c r="K3" s="117" t="e">
        <f>I3/J3</f>
        <v>#DIV/0!</v>
      </c>
      <c r="L3" s="114"/>
      <c r="M3" s="114"/>
      <c r="N3" s="114"/>
      <c r="O3" s="117"/>
      <c r="P3" s="382"/>
      <c r="Q3" s="383"/>
      <c r="R3" s="383"/>
      <c r="S3" s="383"/>
      <c r="T3" s="384"/>
      <c r="U3" s="385"/>
      <c r="V3" s="384"/>
      <c r="W3" s="384"/>
      <c r="X3" s="419">
        <f t="array" ref="X3">INDEX(系统货号!C:C,MATCH(1,(系统货号!A:A=G3)*(系统货号!B:B=V3),0))</f>
        <v>0</v>
      </c>
      <c r="Y3" s="385"/>
      <c r="Z3" s="384"/>
      <c r="AA3" s="384"/>
      <c r="AB3" s="117"/>
      <c r="AC3" s="426"/>
      <c r="AD3" s="128"/>
      <c r="AE3" s="388"/>
      <c r="AF3" s="389">
        <f>I3*AE3</f>
        <v>0</v>
      </c>
      <c r="AG3" s="389">
        <f>AF3*7.75</f>
        <v>0</v>
      </c>
      <c r="AH3" s="390"/>
      <c r="AI3" s="117"/>
      <c r="AJ3" s="117"/>
      <c r="AK3" s="117"/>
      <c r="AL3" s="117"/>
      <c r="AM3" s="117"/>
      <c r="AN3" s="391"/>
      <c r="AO3" s="391"/>
      <c r="AP3" s="391"/>
      <c r="AQ3" s="391"/>
    </row>
    <row r="4" s="380" customFormat="1" ht="25" customHeight="1" spans="1:43">
      <c r="A4" s="114"/>
      <c r="B4" s="114"/>
      <c r="C4" s="34"/>
      <c r="D4" s="117"/>
      <c r="E4" s="117"/>
      <c r="F4" s="117"/>
      <c r="G4" s="117"/>
      <c r="H4" s="117"/>
      <c r="I4" s="211"/>
      <c r="J4" s="211"/>
      <c r="K4" s="117" t="e">
        <f>I4/J4</f>
        <v>#DIV/0!</v>
      </c>
      <c r="L4" s="114"/>
      <c r="M4" s="114"/>
      <c r="N4" s="114"/>
      <c r="O4" s="117"/>
      <c r="P4" s="382"/>
      <c r="Q4" s="383"/>
      <c r="R4" s="383"/>
      <c r="S4" s="383"/>
      <c r="T4" s="384"/>
      <c r="U4" s="385"/>
      <c r="V4" s="384"/>
      <c r="W4" s="384"/>
      <c r="X4" s="419">
        <f t="array" ref="X4">INDEX(系统货号!C:C,MATCH(1,(系统货号!A:A=G4)*(系统货号!B:B=V4),0))</f>
        <v>0</v>
      </c>
      <c r="Y4" s="385"/>
      <c r="Z4" s="384"/>
      <c r="AA4" s="384"/>
      <c r="AB4" s="117"/>
      <c r="AC4" s="426"/>
      <c r="AD4" s="128"/>
      <c r="AE4" s="388"/>
      <c r="AF4" s="389">
        <f>I4*AE4</f>
        <v>0</v>
      </c>
      <c r="AG4" s="389">
        <f>AF4*7.75</f>
        <v>0</v>
      </c>
      <c r="AH4" s="390"/>
      <c r="AI4" s="117"/>
      <c r="AJ4" s="117"/>
      <c r="AK4" s="117"/>
      <c r="AL4" s="117"/>
      <c r="AM4" s="117"/>
      <c r="AN4" s="391"/>
      <c r="AO4" s="391"/>
      <c r="AP4" s="391"/>
      <c r="AQ4" s="391"/>
    </row>
    <row r="5" s="380" customFormat="1" ht="25" customHeight="1" spans="1:43">
      <c r="A5" s="114"/>
      <c r="B5" s="114"/>
      <c r="C5" s="34"/>
      <c r="D5" s="117"/>
      <c r="E5" s="117"/>
      <c r="F5" s="117"/>
      <c r="G5" s="117"/>
      <c r="H5" s="117"/>
      <c r="I5" s="211"/>
      <c r="J5" s="211"/>
      <c r="K5" s="117" t="e">
        <f>I5/J5</f>
        <v>#DIV/0!</v>
      </c>
      <c r="L5" s="114"/>
      <c r="M5" s="114"/>
      <c r="N5" s="114"/>
      <c r="O5" s="117"/>
      <c r="P5" s="382"/>
      <c r="Q5" s="383"/>
      <c r="R5" s="383"/>
      <c r="S5" s="383"/>
      <c r="T5" s="384"/>
      <c r="U5" s="385"/>
      <c r="V5" s="384"/>
      <c r="W5" s="384"/>
      <c r="X5" s="419">
        <f t="array" ref="X5">INDEX(系统货号!C:C,MATCH(1,(系统货号!A:A=G5)*(系统货号!B:B=V5),0))</f>
        <v>0</v>
      </c>
      <c r="Y5" s="385"/>
      <c r="Z5" s="384"/>
      <c r="AA5" s="384"/>
      <c r="AB5" s="117"/>
      <c r="AC5" s="426"/>
      <c r="AD5" s="128"/>
      <c r="AE5" s="388"/>
      <c r="AF5" s="389">
        <f>I5*AE5</f>
        <v>0</v>
      </c>
      <c r="AG5" s="389">
        <f>AF5*7.75</f>
        <v>0</v>
      </c>
      <c r="AH5" s="390"/>
      <c r="AI5" s="117"/>
      <c r="AJ5" s="117"/>
      <c r="AK5" s="117"/>
      <c r="AL5" s="117"/>
      <c r="AM5" s="117"/>
      <c r="AN5" s="391"/>
      <c r="AO5" s="391"/>
      <c r="AP5" s="391"/>
      <c r="AQ5" s="391"/>
    </row>
    <row r="6" s="380" customFormat="1" ht="25" customHeight="1" spans="1:43">
      <c r="A6" s="114"/>
      <c r="B6" s="117"/>
      <c r="C6" s="117"/>
      <c r="D6" s="117"/>
      <c r="E6" s="117"/>
      <c r="F6" s="117"/>
      <c r="G6" s="117"/>
      <c r="H6" s="117"/>
      <c r="I6" s="211"/>
      <c r="J6" s="211"/>
      <c r="K6" s="117" t="e">
        <f>I6/J6</f>
        <v>#DIV/0!</v>
      </c>
      <c r="L6" s="114"/>
      <c r="M6" s="114"/>
      <c r="N6" s="114"/>
      <c r="O6" s="117"/>
      <c r="P6" s="382"/>
      <c r="Q6" s="383"/>
      <c r="R6" s="383"/>
      <c r="S6" s="383"/>
      <c r="T6" s="384"/>
      <c r="U6" s="385"/>
      <c r="V6" s="384"/>
      <c r="W6" s="384"/>
      <c r="X6" s="419">
        <f t="array" ref="X6">INDEX(系统货号!C:C,MATCH(1,(系统货号!A:A=G6)*(系统货号!B:B=V6),0))</f>
        <v>0</v>
      </c>
      <c r="Y6" s="385"/>
      <c r="Z6" s="384"/>
      <c r="AA6" s="384"/>
      <c r="AB6" s="117"/>
      <c r="AC6" s="432"/>
      <c r="AD6" s="128"/>
      <c r="AE6" s="388"/>
      <c r="AF6" s="389">
        <f>I6*AE6</f>
        <v>0</v>
      </c>
      <c r="AG6" s="389">
        <f>AF6*7.75</f>
        <v>0</v>
      </c>
      <c r="AH6" s="389"/>
      <c r="AI6" s="117"/>
      <c r="AJ6" s="117"/>
      <c r="AK6" s="117"/>
      <c r="AL6" s="117"/>
      <c r="AM6" s="117"/>
      <c r="AN6" s="391"/>
      <c r="AO6" s="391"/>
      <c r="AP6" s="391"/>
      <c r="AQ6" s="391"/>
    </row>
    <row r="7" s="52" customFormat="1" ht="25" customHeight="1" spans="1:43">
      <c r="A7" s="30"/>
      <c r="B7" s="34"/>
      <c r="C7" s="34"/>
      <c r="D7" s="34"/>
      <c r="E7" s="34"/>
      <c r="F7" s="34"/>
      <c r="G7" s="34"/>
      <c r="H7" s="34"/>
      <c r="I7" s="392">
        <f>SUM(I2:I6)</f>
        <v>3984</v>
      </c>
      <c r="J7" s="392"/>
      <c r="K7" s="34"/>
      <c r="L7" s="30"/>
      <c r="M7" s="30"/>
      <c r="N7" s="34"/>
      <c r="O7" s="120"/>
      <c r="P7" s="393"/>
      <c r="Q7" s="393"/>
      <c r="R7" s="393"/>
      <c r="S7" s="393"/>
      <c r="T7" s="393"/>
      <c r="U7" s="393"/>
      <c r="V7" s="34"/>
      <c r="W7" s="34"/>
      <c r="X7" s="419"/>
      <c r="Y7" s="393"/>
      <c r="Z7" s="34"/>
      <c r="AA7" s="34"/>
      <c r="AB7" s="34"/>
      <c r="AC7" s="34"/>
      <c r="AD7" s="394"/>
      <c r="AE7" s="395">
        <f>SUM(AE2:AE6)</f>
        <v>10.262</v>
      </c>
      <c r="AF7" s="392">
        <f>SUM(AF2:AF6)</f>
        <v>40883.808</v>
      </c>
      <c r="AG7" s="392">
        <f>SUM(AG2:AG6)</f>
        <v>316849.512</v>
      </c>
      <c r="AH7" s="34"/>
      <c r="AI7" s="34"/>
      <c r="AJ7" s="34"/>
      <c r="AK7" s="34"/>
      <c r="AL7" s="34"/>
      <c r="AM7" s="34"/>
      <c r="AN7" s="396"/>
      <c r="AO7" s="396"/>
      <c r="AP7" s="396"/>
      <c r="AQ7" s="396"/>
    </row>
    <row r="8" s="52" customFormat="1" ht="25" customHeight="1" spans="1:43">
      <c r="A8" s="59"/>
      <c r="I8" s="200"/>
      <c r="J8" s="200"/>
      <c r="L8" s="59"/>
      <c r="M8" s="59"/>
      <c r="O8" s="132"/>
      <c r="P8" s="216"/>
      <c r="Q8" s="216"/>
      <c r="R8" s="216"/>
      <c r="S8" s="216"/>
      <c r="T8" s="216"/>
      <c r="U8" s="216"/>
      <c r="X8" s="217"/>
      <c r="Y8" s="216"/>
      <c r="AD8" s="201"/>
      <c r="AF8" s="18"/>
    </row>
    <row r="9" s="52" customFormat="1" ht="25" customHeight="1" spans="1:43">
      <c r="A9" s="59"/>
      <c r="I9" s="200"/>
      <c r="J9" s="200"/>
      <c r="L9" s="59"/>
      <c r="M9" s="59"/>
      <c r="O9" s="132"/>
      <c r="P9" s="216"/>
      <c r="Q9" s="216"/>
      <c r="R9" s="216"/>
      <c r="S9" s="216"/>
      <c r="T9" s="216"/>
      <c r="U9" s="216"/>
      <c r="X9" s="217"/>
      <c r="Y9" s="216"/>
      <c r="AD9" s="201"/>
      <c r="AF9" s="18"/>
    </row>
    <row r="10" s="52" customFormat="1" ht="25" customHeight="1" spans="1:43">
      <c r="A10" s="59"/>
      <c r="I10" s="200"/>
      <c r="J10" s="200"/>
      <c r="L10" s="59"/>
      <c r="M10" s="59"/>
      <c r="O10" s="132"/>
      <c r="P10" s="216"/>
      <c r="Q10" s="216"/>
      <c r="R10" s="216"/>
      <c r="S10" s="216"/>
      <c r="T10" s="216"/>
      <c r="U10" s="216"/>
      <c r="X10" s="217"/>
      <c r="Y10" s="216"/>
      <c r="AD10" s="201"/>
      <c r="AF10" s="18"/>
    </row>
    <row r="11" s="52" customFormat="1" ht="25" customHeight="1" spans="1:43">
      <c r="A11" s="59"/>
      <c r="I11" s="200"/>
      <c r="J11" s="200"/>
      <c r="L11" s="59"/>
      <c r="M11" s="59"/>
      <c r="O11" s="132"/>
      <c r="P11" s="216"/>
      <c r="Q11" s="216"/>
      <c r="R11" s="216"/>
      <c r="S11" s="216"/>
      <c r="T11" s="216"/>
      <c r="U11" s="216"/>
      <c r="X11" s="217"/>
      <c r="Y11" s="216"/>
      <c r="AD11" s="201"/>
      <c r="AF11" s="18"/>
    </row>
    <row r="12" s="52" customFormat="1" ht="25" customHeight="1" spans="1:43">
      <c r="A12" s="59"/>
      <c r="I12" s="200"/>
      <c r="J12" s="200"/>
      <c r="L12" s="59"/>
      <c r="M12" s="59"/>
      <c r="O12" s="132"/>
      <c r="P12" s="216"/>
      <c r="Q12" s="216"/>
      <c r="R12" s="216"/>
      <c r="S12" s="216"/>
      <c r="T12" s="216"/>
      <c r="U12" s="216"/>
      <c r="X12" s="217"/>
      <c r="Y12" s="216"/>
      <c r="AD12" s="201"/>
      <c r="AF12" s="18"/>
    </row>
    <row r="13" s="52" customFormat="1" ht="25" customHeight="1" spans="1:43">
      <c r="A13" s="59"/>
      <c r="I13" s="200"/>
      <c r="J13" s="200"/>
      <c r="L13" s="59"/>
      <c r="M13" s="59"/>
      <c r="O13" s="132"/>
      <c r="P13" s="216"/>
      <c r="Q13" s="216"/>
      <c r="R13" s="216"/>
      <c r="S13" s="216"/>
      <c r="T13" s="216"/>
      <c r="U13" s="216"/>
      <c r="X13" s="217"/>
      <c r="Y13" s="216"/>
      <c r="AD13" s="201"/>
      <c r="AF13" s="18"/>
    </row>
    <row r="14" s="52" customFormat="1" ht="25" customHeight="1" spans="1:43">
      <c r="A14" s="59"/>
      <c r="I14" s="200"/>
      <c r="J14" s="200"/>
      <c r="L14" s="59"/>
      <c r="M14" s="59"/>
      <c r="P14" s="216"/>
      <c r="Q14" s="216"/>
      <c r="R14" s="216"/>
      <c r="S14" s="216"/>
      <c r="T14" s="216"/>
      <c r="U14" s="216"/>
      <c r="X14" s="217"/>
      <c r="Y14" s="216"/>
      <c r="AD14" s="201"/>
      <c r="AF14" s="18"/>
    </row>
    <row r="15" s="52" customFormat="1" ht="25" customHeight="1" spans="1:43">
      <c r="A15" s="59"/>
      <c r="I15" s="200"/>
      <c r="J15" s="200"/>
      <c r="L15" s="59"/>
      <c r="M15" s="59"/>
      <c r="P15" s="216"/>
      <c r="Q15" s="216"/>
      <c r="R15" s="216"/>
      <c r="S15" s="216"/>
      <c r="T15" s="216"/>
      <c r="U15" s="216"/>
      <c r="X15" s="217"/>
      <c r="Y15" s="216"/>
      <c r="AD15" s="201"/>
      <c r="AF15" s="18"/>
    </row>
    <row r="16" s="52" customFormat="1" ht="25" customHeight="1" spans="1:43">
      <c r="A16" s="59"/>
      <c r="I16" s="200"/>
      <c r="J16" s="200"/>
      <c r="L16" s="59"/>
      <c r="M16" s="59"/>
      <c r="P16" s="216"/>
      <c r="Q16" s="216"/>
      <c r="R16" s="216"/>
      <c r="S16" s="216"/>
      <c r="T16" s="216"/>
      <c r="U16" s="216"/>
      <c r="X16" s="217"/>
      <c r="Y16" s="216"/>
      <c r="AD16" s="201"/>
      <c r="AF16" s="18"/>
    </row>
    <row r="17" s="52" customFormat="1" ht="25" customHeight="1" spans="1:32">
      <c r="A17" s="59"/>
      <c r="I17" s="200"/>
      <c r="J17" s="200"/>
      <c r="L17" s="59"/>
      <c r="M17" s="59"/>
      <c r="P17" s="216"/>
      <c r="Q17" s="216"/>
      <c r="R17" s="216"/>
      <c r="S17" s="216"/>
      <c r="T17" s="216"/>
      <c r="U17" s="216"/>
      <c r="X17" s="217"/>
      <c r="Y17" s="216"/>
      <c r="AD17" s="201"/>
      <c r="AF17" s="18"/>
    </row>
    <row r="18" s="52" customFormat="1" ht="25" customHeight="1" spans="1:32">
      <c r="A18" s="59"/>
      <c r="I18" s="200"/>
      <c r="J18" s="200"/>
      <c r="L18" s="59"/>
      <c r="M18" s="59"/>
      <c r="P18" s="216"/>
      <c r="Q18" s="216"/>
      <c r="R18" s="216"/>
      <c r="S18" s="216"/>
      <c r="T18" s="216"/>
      <c r="U18" s="216"/>
      <c r="X18" s="217"/>
      <c r="Y18" s="216"/>
      <c r="AD18" s="201"/>
      <c r="AF18" s="18"/>
    </row>
    <row r="19" s="52" customFormat="1" ht="25" customHeight="1" spans="1:32">
      <c r="A19" s="59"/>
      <c r="I19" s="200"/>
      <c r="J19" s="200"/>
      <c r="L19" s="59"/>
      <c r="M19" s="59"/>
      <c r="P19" s="216"/>
      <c r="Q19" s="216"/>
      <c r="R19" s="216"/>
      <c r="S19" s="216"/>
      <c r="T19" s="216"/>
      <c r="U19" s="216"/>
      <c r="X19" s="217"/>
      <c r="Y19" s="216"/>
      <c r="AD19" s="201"/>
      <c r="AF19" s="18"/>
    </row>
    <row r="20" s="52" customFormat="1" ht="25" customHeight="1" spans="1:32">
      <c r="A20" s="59"/>
      <c r="I20" s="200"/>
      <c r="J20" s="200"/>
      <c r="L20" s="59"/>
      <c r="M20" s="59"/>
      <c r="P20" s="216"/>
      <c r="Q20" s="216"/>
      <c r="R20" s="216"/>
      <c r="S20" s="216"/>
      <c r="T20" s="216"/>
      <c r="U20" s="216"/>
      <c r="X20" s="217"/>
      <c r="Y20" s="216"/>
      <c r="AD20" s="201"/>
      <c r="AF20" s="18"/>
    </row>
    <row r="21" s="52" customFormat="1" ht="25" customHeight="1" spans="1:32">
      <c r="A21" s="59"/>
      <c r="I21" s="200"/>
      <c r="J21" s="200"/>
      <c r="L21" s="59"/>
      <c r="M21" s="59"/>
      <c r="P21" s="216"/>
      <c r="Q21" s="216"/>
      <c r="R21" s="216"/>
      <c r="S21" s="216"/>
      <c r="T21" s="216"/>
      <c r="U21" s="216"/>
      <c r="X21" s="217"/>
      <c r="Y21" s="216"/>
      <c r="AD21" s="201"/>
      <c r="AF21" s="18"/>
    </row>
    <row r="22" s="52" customFormat="1" ht="25" customHeight="1" spans="1:32">
      <c r="A22" s="59"/>
      <c r="I22" s="200"/>
      <c r="J22" s="200"/>
      <c r="L22" s="59"/>
      <c r="M22" s="59"/>
      <c r="P22" s="216"/>
      <c r="Q22" s="216"/>
      <c r="R22" s="216"/>
      <c r="S22" s="216"/>
      <c r="T22" s="216"/>
      <c r="U22" s="216"/>
      <c r="X22" s="217"/>
      <c r="Y22" s="216"/>
      <c r="AD22" s="201"/>
      <c r="AF22" s="18"/>
    </row>
    <row r="23" s="52" customFormat="1" ht="25" customHeight="1" spans="1:32">
      <c r="A23" s="59"/>
      <c r="I23" s="200"/>
      <c r="J23" s="200"/>
      <c r="L23" s="59"/>
      <c r="M23" s="59"/>
      <c r="P23" s="216"/>
      <c r="Q23" s="216"/>
      <c r="R23" s="216"/>
      <c r="S23" s="216"/>
      <c r="T23" s="216"/>
      <c r="U23" s="216"/>
      <c r="X23" s="217"/>
      <c r="Y23" s="216"/>
      <c r="AD23" s="201"/>
      <c r="AF23" s="18"/>
    </row>
    <row r="24" s="52" customFormat="1" ht="25" customHeight="1" spans="1:32">
      <c r="A24" s="59"/>
      <c r="I24" s="200"/>
      <c r="J24" s="200"/>
      <c r="L24" s="59"/>
      <c r="M24" s="59"/>
      <c r="P24" s="216"/>
      <c r="Q24" s="216"/>
      <c r="R24" s="216"/>
      <c r="S24" s="216"/>
      <c r="T24" s="216"/>
      <c r="U24" s="216"/>
      <c r="X24" s="217"/>
      <c r="Y24" s="216"/>
      <c r="AD24" s="201"/>
      <c r="AF24" s="18"/>
    </row>
    <row r="25" ht="25" customHeight="1"/>
    <row r="26" ht="25" customHeight="1"/>
    <row r="27" ht="25" customHeight="1"/>
    <row r="28" ht="25" customHeight="1"/>
    <row r="29" ht="25" customHeight="1"/>
    <row r="30" ht="25" customHeight="1"/>
    <row r="31" ht="25" customHeight="1"/>
    <row r="32" ht="25" customHeight="1"/>
    <row r="33" ht="25" customHeight="1"/>
    <row r="34" ht="25" customHeight="1"/>
    <row r="35" ht="25" customHeight="1"/>
    <row r="36" ht="25" customHeight="1"/>
    <row r="37" ht="25" customHeight="1"/>
    <row r="38" ht="25" customHeight="1"/>
    <row r="39" ht="25" customHeight="1"/>
    <row r="40" ht="25" customHeight="1"/>
    <row r="41" ht="25" customHeight="1"/>
    <row r="42" ht="25" customHeight="1"/>
    <row r="43" ht="25" customHeight="1"/>
    <row r="44" ht="25" customHeight="1"/>
    <row r="45" ht="25" customHeight="1"/>
    <row r="46" ht="25" customHeight="1"/>
    <row r="47" ht="25" customHeight="1"/>
    <row r="48" ht="25" customHeight="1"/>
    <row r="49" ht="25" customHeight="1"/>
    <row r="50" ht="25" customHeight="1"/>
    <row r="51" ht="25" customHeight="1"/>
    <row r="52" ht="25" customHeight="1"/>
    <row r="53" ht="25" customHeight="1"/>
    <row r="54" ht="25" customHeight="1"/>
    <row r="55" ht="25" customHeight="1"/>
    <row r="56" ht="25" customHeight="1"/>
    <row r="57" ht="25" customHeight="1"/>
    <row r="58" ht="25" customHeight="1"/>
    <row r="59" ht="25" customHeight="1"/>
    <row r="60" ht="25" customHeight="1"/>
    <row r="61" ht="25" customHeight="1"/>
    <row r="62" ht="25" customHeight="1"/>
    <row r="63" ht="25" customHeight="1"/>
    <row r="64" ht="25" customHeight="1"/>
    <row r="65" ht="25" customHeight="1"/>
    <row r="66" ht="25" customHeight="1"/>
    <row r="67" ht="25" customHeight="1"/>
    <row r="68" ht="25" customHeight="1"/>
    <row r="69" ht="25" customHeight="1"/>
    <row r="70" ht="25" customHeight="1"/>
    <row r="71" ht="25" customHeight="1"/>
    <row r="72" ht="25" customHeight="1"/>
    <row r="73" ht="25" customHeight="1"/>
    <row r="74" ht="25" customHeight="1"/>
    <row r="75" ht="25" customHeight="1"/>
    <row r="76" ht="25" customHeight="1"/>
    <row r="77" ht="25" customHeight="1"/>
    <row r="78" ht="25" customHeight="1"/>
    <row r="79" ht="25" customHeight="1"/>
    <row r="80" ht="25" customHeight="1"/>
    <row r="81" ht="25" customHeight="1"/>
    <row r="82" ht="25" customHeight="1"/>
    <row r="83" ht="25" customHeight="1"/>
    <row r="84" ht="25" customHeight="1"/>
    <row r="85" ht="25" customHeight="1"/>
    <row r="86" ht="25" customHeight="1"/>
    <row r="87" ht="25" customHeight="1"/>
    <row r="88" ht="25" customHeight="1"/>
    <row r="89" ht="25" customHeight="1"/>
    <row r="90" ht="25" customHeight="1"/>
    <row r="91" ht="25" customHeight="1"/>
    <row r="92" ht="25" customHeight="1"/>
    <row r="93" ht="25" customHeight="1"/>
    <row r="94" ht="25" customHeight="1"/>
    <row r="95" ht="25" customHeight="1"/>
    <row r="96" ht="25" customHeight="1"/>
    <row r="97" ht="25" customHeight="1"/>
    <row r="98" ht="25" customHeight="1"/>
    <row r="99" ht="25" customHeight="1"/>
    <row r="100" ht="25" customHeight="1"/>
    <row r="101" ht="25" customHeight="1"/>
    <row r="102" ht="25" customHeight="1"/>
    <row r="103" ht="25" customHeight="1"/>
    <row r="104" ht="25" customHeight="1"/>
    <row r="105" ht="25" customHeight="1"/>
    <row r="106" ht="25" customHeight="1"/>
    <row r="107" ht="25" customHeight="1"/>
    <row r="108" ht="25" customHeight="1"/>
    <row r="109" ht="25" customHeight="1"/>
    <row r="110" ht="25" customHeight="1"/>
    <row r="111" ht="25" customHeight="1"/>
    <row r="112" ht="25" customHeight="1"/>
    <row r="113" ht="25" customHeight="1"/>
    <row r="114" ht="25" customHeight="1"/>
    <row r="115" ht="25" customHeight="1"/>
    <row r="116" ht="25" customHeight="1"/>
    <row r="117" ht="25" customHeight="1"/>
    <row r="118" ht="25" customHeight="1"/>
    <row r="119" ht="25" customHeight="1"/>
    <row r="120" ht="25" customHeight="1"/>
    <row r="121" ht="25" customHeight="1"/>
    <row r="122" ht="25" customHeight="1"/>
    <row r="123" ht="25" customHeight="1"/>
    <row r="124" ht="25" customHeight="1"/>
    <row r="125" ht="25" customHeight="1"/>
    <row r="126" ht="25" customHeight="1"/>
    <row r="127" ht="25" customHeight="1"/>
    <row r="128" ht="25" customHeight="1"/>
    <row r="129" ht="25" customHeight="1"/>
    <row r="130" ht="25" customHeight="1"/>
    <row r="131" ht="25" customHeight="1"/>
    <row r="132" ht="25" customHeight="1"/>
    <row r="133" ht="25" customHeight="1"/>
    <row r="134" ht="25" customHeight="1"/>
    <row r="135" ht="25" customHeight="1"/>
    <row r="136" ht="25" customHeight="1"/>
    <row r="137" ht="25" customHeight="1"/>
    <row r="138" ht="25" customHeight="1"/>
    <row r="139" ht="25" customHeight="1"/>
    <row r="140" ht="25" customHeight="1"/>
    <row r="141" ht="25" customHeight="1"/>
    <row r="142" ht="25" customHeight="1"/>
    <row r="143" ht="25" customHeight="1"/>
    <row r="144" ht="25" customHeight="1"/>
    <row r="145" ht="25" customHeight="1"/>
    <row r="146" ht="25" customHeight="1"/>
    <row r="147" ht="25" customHeight="1"/>
    <row r="148" ht="25" customHeight="1"/>
    <row r="149" ht="25" customHeight="1"/>
    <row r="150" ht="25" customHeight="1"/>
    <row r="151" ht="25" customHeight="1"/>
    <row r="152" ht="25" customHeight="1"/>
    <row r="153" ht="25" customHeight="1"/>
    <row r="154" ht="25" customHeight="1"/>
    <row r="155" ht="25" customHeight="1"/>
    <row r="156" ht="25" customHeight="1"/>
    <row r="157" ht="25" customHeight="1"/>
    <row r="158" ht="25" customHeight="1"/>
    <row r="159" ht="25" customHeight="1"/>
    <row r="160" ht="25" customHeight="1"/>
    <row r="161" ht="25" customHeight="1"/>
    <row r="162" ht="25" customHeight="1"/>
    <row r="163" ht="25" customHeight="1"/>
    <row r="164" ht="25" customHeight="1"/>
    <row r="165" ht="25" customHeight="1"/>
    <row r="166" ht="25" customHeight="1"/>
    <row r="167" ht="25" customHeight="1"/>
    <row r="168" ht="25" customHeight="1"/>
    <row r="169" ht="25" customHeight="1"/>
    <row r="170" ht="25" customHeight="1"/>
    <row r="171" ht="25" customHeight="1"/>
    <row r="172" ht="25" customHeight="1"/>
    <row r="173" ht="25" customHeight="1"/>
    <row r="174" ht="25" customHeight="1"/>
    <row r="175" ht="25" customHeight="1"/>
    <row r="176" ht="25" customHeight="1"/>
    <row r="177" ht="25" customHeight="1"/>
    <row r="178" ht="25" customHeight="1"/>
    <row r="179" ht="25" customHeight="1"/>
    <row r="180" ht="25" customHeight="1"/>
    <row r="181" ht="25" customHeight="1"/>
    <row r="182" ht="25" customHeight="1"/>
    <row r="183" ht="25" customHeight="1"/>
    <row r="184" ht="25" customHeight="1"/>
    <row r="185" ht="25" customHeight="1"/>
    <row r="186" ht="25" customHeight="1"/>
    <row r="187" ht="25" customHeight="1"/>
    <row r="188" ht="25" customHeight="1"/>
    <row r="189" ht="25" customHeight="1"/>
    <row r="190" ht="25" customHeight="1"/>
    <row r="191" ht="25" customHeight="1"/>
    <row r="192" ht="25" customHeight="1"/>
    <row r="193" ht="25" customHeight="1"/>
    <row r="194" ht="25" customHeight="1"/>
    <row r="195" ht="25" customHeight="1"/>
    <row r="196" ht="25" customHeight="1"/>
    <row r="197" ht="25" customHeight="1"/>
    <row r="198" ht="25" customHeight="1"/>
    <row r="199" ht="25" customHeight="1"/>
    <row r="200" ht="25" customHeight="1"/>
    <row r="201" ht="25" customHeight="1"/>
    <row r="202" ht="25" customHeight="1"/>
    <row r="203" ht="25" customHeight="1"/>
    <row r="204" ht="25" customHeight="1"/>
    <row r="205" ht="25" customHeight="1"/>
    <row r="206" ht="25" customHeight="1"/>
    <row r="207" ht="25" customHeight="1"/>
    <row r="208" ht="25" customHeight="1"/>
    <row r="209" ht="25" customHeight="1"/>
    <row r="210" ht="25" customHeight="1"/>
    <row r="211" ht="25" customHeight="1"/>
    <row r="212" ht="25" customHeight="1"/>
    <row r="213" ht="25" customHeight="1"/>
    <row r="214" ht="25" customHeight="1"/>
    <row r="215" ht="25" customHeight="1"/>
    <row r="216" ht="25" customHeight="1"/>
    <row r="217" ht="25" customHeight="1"/>
    <row r="218" ht="25" customHeight="1"/>
    <row r="219" ht="25" customHeight="1"/>
    <row r="220" ht="25" customHeight="1"/>
    <row r="221" ht="25" customHeight="1"/>
    <row r="222" ht="25" customHeight="1"/>
    <row r="223" ht="25" customHeight="1"/>
    <row r="224" ht="25" customHeight="1"/>
    <row r="225" ht="25" customHeight="1"/>
    <row r="226" ht="25" customHeight="1"/>
    <row r="227" ht="25" customHeight="1"/>
    <row r="228" ht="25" customHeight="1"/>
    <row r="229" ht="25" customHeight="1"/>
    <row r="230" ht="25" customHeight="1"/>
    <row r="231" ht="25" customHeight="1"/>
    <row r="232" ht="25" customHeight="1"/>
    <row r="233" ht="25" customHeight="1"/>
    <row r="234" ht="25" customHeight="1"/>
    <row r="235" ht="25" customHeight="1"/>
    <row r="236" ht="25" customHeight="1"/>
    <row r="237" ht="25" customHeight="1"/>
    <row r="238" ht="25" customHeight="1"/>
    <row r="239" ht="25" customHeight="1"/>
    <row r="240" ht="25" customHeight="1"/>
    <row r="241" ht="25" customHeight="1"/>
    <row r="242" ht="25" customHeight="1"/>
    <row r="243" ht="25" customHeight="1"/>
    <row r="244" ht="25" customHeight="1"/>
    <row r="245" ht="25" customHeight="1"/>
    <row r="246" ht="25" customHeight="1"/>
    <row r="247" ht="25" customHeight="1"/>
    <row r="248" ht="25" customHeight="1"/>
    <row r="249" ht="25" customHeight="1"/>
    <row r="250" ht="25" customHeight="1"/>
    <row r="251" ht="25" customHeight="1"/>
    <row r="252" ht="25" customHeight="1"/>
    <row r="253" ht="25" customHeight="1"/>
    <row r="254" ht="25" customHeight="1"/>
    <row r="255" ht="25" customHeight="1"/>
    <row r="256" ht="25" customHeight="1"/>
    <row r="257" ht="25" customHeight="1"/>
    <row r="258" ht="25" customHeight="1"/>
    <row r="259" ht="25" customHeight="1"/>
    <row r="260" ht="25" customHeight="1"/>
    <row r="261" ht="25" customHeight="1"/>
    <row r="262" ht="25" customHeight="1"/>
    <row r="263" ht="25" customHeight="1"/>
    <row r="264" ht="25" customHeight="1"/>
    <row r="265" ht="25" customHeight="1"/>
    <row r="266" ht="25" customHeight="1"/>
    <row r="267" ht="25" customHeight="1"/>
    <row r="268" ht="25" customHeight="1"/>
    <row r="269" ht="25" customHeight="1"/>
    <row r="270" ht="25" customHeight="1"/>
    <row r="271" ht="25" customHeight="1"/>
    <row r="272" ht="25" customHeight="1"/>
    <row r="273" ht="25" customHeight="1"/>
    <row r="274" ht="25" customHeight="1"/>
    <row r="275" ht="25" customHeight="1"/>
    <row r="276" ht="25" customHeight="1"/>
    <row r="277" ht="25" customHeight="1"/>
    <row r="278" ht="25" customHeight="1"/>
    <row r="279" ht="25" customHeight="1"/>
    <row r="280" ht="25" customHeight="1"/>
    <row r="281" ht="25" customHeight="1"/>
    <row r="282" ht="25" customHeight="1"/>
    <row r="283" ht="25" customHeight="1"/>
    <row r="284" ht="25" customHeight="1"/>
    <row r="285" ht="25" customHeight="1"/>
    <row r="286" ht="25" customHeight="1"/>
    <row r="287" ht="25" customHeight="1"/>
    <row r="288" ht="25" customHeight="1"/>
    <row r="289" ht="25" customHeight="1"/>
    <row r="290" ht="25" customHeight="1"/>
    <row r="291" ht="25" customHeight="1"/>
    <row r="292" ht="25" customHeight="1"/>
    <row r="293" ht="25" customHeight="1"/>
    <row r="294" ht="25" customHeight="1"/>
  </sheetData>
  <sheetProtection formatCells="0" formatColumns="0" formatRows="0" insertRows="0" insertColumns="0" insertHyperlinks="0" deleteColumns="0" deleteRows="0" sort="0" autoFilter="0" pivotTables="0"/>
  <conditionalFormatting sqref="R2">
    <cfRule type="containsText" dxfId="0" priority="1" operator="between" text="未提供">
      <formula>NOT(ISERROR(SEARCH("未提供",R2)))</formula>
    </cfRule>
  </conditionalFormatting>
  <conditionalFormatting sqref="R3:R5">
    <cfRule type="containsText" dxfId="0" priority="2" operator="between" text="未提供">
      <formula>NOT(ISERROR(SEARCH("未提供",R3)))</formula>
    </cfRule>
  </conditionalFormatting>
  <conditionalFormatting sqref="S2:S5">
    <cfRule type="containsText" dxfId="0" priority="3" operator="between" text="未确认">
      <formula>NOT(ISERROR(SEARCH("未确认",S2)))</formula>
    </cfRule>
    <cfRule type="containsText" dxfId="0" priority="4" operator="between" text="/">
      <formula>NOT(ISERROR(SEARCH("/",S2)))</formula>
    </cfRule>
    <cfRule type="containsText" dxfId="0" priority="5" operator="between" text="未确认//">
      <formula>NOT(ISERROR(SEARCH("未确认//",S2)))</formula>
    </cfRule>
    <cfRule type="containsText" dxfId="0" priority="6" operator="between" text="未确认/">
      <formula>NOT(ISERROR(SEARCH("未确认/",S2)))</formula>
    </cfRule>
  </conditionalFormatting>
  <conditionalFormatting sqref="U2:U5">
    <cfRule type="containsText" dxfId="0" priority="8" operator="between" text="欠">
      <formula>NOT(ISERROR(SEARCH("欠",U2)))</formula>
    </cfRule>
    <cfRule type="containsText" dxfId="0" priority="9" operator="between" text="否">
      <formula>NOT(ISERROR(SEARCH("否",U2)))</formula>
    </cfRule>
  </conditionalFormatting>
  <conditionalFormatting sqref="Q1 Q6:Q65534">
    <cfRule type="containsText" dxfId="0" priority="104" operator="between" text="未提供">
      <formula>NOT(ISERROR(SEARCH("未提供",Q1)))</formula>
    </cfRule>
  </conditionalFormatting>
  <conditionalFormatting sqref="R1 R6:R65534">
    <cfRule type="containsText" dxfId="0" priority="100" operator="between" text="/">
      <formula>NOT(ISERROR(SEARCH("/",R1)))</formula>
    </cfRule>
  </conditionalFormatting>
  <conditionalFormatting sqref="S1 S6:S65534">
    <cfRule type="containsText" dxfId="0" priority="101" operator="between" text="未确认">
      <formula>NOT(ISERROR(SEARCH("未确认",S1)))</formula>
    </cfRule>
    <cfRule type="containsText" dxfId="0" priority="102" operator="between" text="未确认">
      <formula>NOT(ISERROR(SEARCH("未确认",S1)))</formula>
    </cfRule>
  </conditionalFormatting>
  <conditionalFormatting sqref="T1 T6:T65534">
    <cfRule type="containsText" dxfId="0" priority="103" operator="between" text="未提供">
      <formula>NOT(ISERROR(SEARCH("未提供",T1)))</formula>
    </cfRule>
  </conditionalFormatting>
  <conditionalFormatting sqref="Q2 T2 Q3:Q5 T3:T5">
    <cfRule type="containsText" dxfId="0" priority="7" operator="between" text="未提供">
      <formula>NOT(ISERROR(SEARCH("未提供",Q2)))</formula>
    </cfRule>
  </conditionalFormatting>
  <pageMargins left="0.75" right="0.75" top="1" bottom="1" header="0.5" footer="0.5"/>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357"/>
  <sheetViews>
    <sheetView tabSelected="1" zoomScale="70" zoomScaleNormal="70" workbookViewId="0">
      <pane xSplit="14" ySplit="1" topLeftCell="U66" activePane="bottomRight" state="frozen"/>
      <selection/>
      <selection pane="topRight"/>
      <selection pane="bottomLeft"/>
      <selection pane="bottomRight" activeCell="O2" sqref="O2"/>
    </sheetView>
  </sheetViews>
  <sheetFormatPr defaultColWidth="10" defaultRowHeight="14.25"/>
  <cols>
    <col min="1" max="1" width="15" style="59" customWidth="1"/>
    <col min="2" max="3" width="10" style="52"/>
    <col min="4" max="4" width="22.6083333333333" style="52" customWidth="1"/>
    <col min="5" max="5" width="14.4416666666667" style="52" customWidth="1"/>
    <col min="6" max="6" width="14.4416666666667" style="52" hidden="1" customWidth="1"/>
    <col min="7" max="7" width="10" style="52"/>
    <col min="8" max="8" width="20.5" style="52" customWidth="1"/>
    <col min="9" max="9" width="8.44166666666667" style="200" customWidth="1"/>
    <col min="10" max="10" width="6.66666666666667" style="200" customWidth="1"/>
    <col min="11" max="11" width="10" style="52" customWidth="1"/>
    <col min="12" max="12" width="14.3333333333333" style="59" customWidth="1"/>
    <col min="13" max="13" width="14.225" style="59" customWidth="1"/>
    <col min="14" max="14" width="12.5583333333333" style="52" customWidth="1"/>
    <col min="15" max="15" width="16.225" style="52" customWidth="1"/>
    <col min="16" max="16" width="12.0166666666667" style="216" customWidth="1"/>
    <col min="17" max="21" width="10" style="216" customWidth="1"/>
    <col min="22" max="23" width="11.8916666666667" style="52" customWidth="1"/>
    <col min="24" max="24" width="11.8916666666667" style="217" customWidth="1"/>
    <col min="25" max="25" width="26.4" style="216" customWidth="1"/>
    <col min="26" max="27" width="10" style="52" customWidth="1"/>
    <col min="28" max="29" width="12" style="52" customWidth="1"/>
    <col min="30" max="30" width="75.8083333333333" style="201" customWidth="1"/>
    <col min="31" max="31" width="10" style="52" customWidth="1"/>
    <col min="32" max="32" width="14" style="18" customWidth="1"/>
    <col min="33" max="33" width="14.225" style="52" customWidth="1"/>
    <col min="34" max="34" width="13.775" style="52" customWidth="1"/>
    <col min="35" max="35" width="9.53333333333333" style="52" customWidth="1"/>
    <col min="36" max="36" width="9.46666666666667" style="52" customWidth="1"/>
    <col min="37" max="38" width="10" style="52"/>
    <col min="39" max="39" width="8.89166666666667" style="52" customWidth="1"/>
    <col min="40" max="41" width="10" style="52"/>
    <col min="42" max="42" width="10" style="52" customWidth="1"/>
    <col min="43" max="43" width="10" style="3" customWidth="1"/>
    <col min="44" max="44" width="11.2666666666667" style="52" customWidth="1"/>
    <col min="45" max="16384" width="10" style="52"/>
  </cols>
  <sheetData>
    <row r="1" s="198" customFormat="1" ht="22" customHeight="1" spans="1:43">
      <c r="A1" s="202" t="s">
        <v>0</v>
      </c>
      <c r="B1" s="96" t="s">
        <v>3</v>
      </c>
      <c r="C1" s="96" t="s">
        <v>418</v>
      </c>
      <c r="D1" s="96" t="s">
        <v>2</v>
      </c>
      <c r="E1" s="96" t="s">
        <v>419</v>
      </c>
      <c r="F1" s="96" t="s">
        <v>455</v>
      </c>
      <c r="G1" s="96" t="s">
        <v>5</v>
      </c>
      <c r="H1" s="96" t="s">
        <v>6</v>
      </c>
      <c r="I1" s="203" t="s">
        <v>7</v>
      </c>
      <c r="J1" s="203" t="s">
        <v>8</v>
      </c>
      <c r="K1" s="96" t="s">
        <v>9</v>
      </c>
      <c r="L1" s="202" t="s">
        <v>1</v>
      </c>
      <c r="M1" s="202" t="s">
        <v>420</v>
      </c>
      <c r="N1" s="96" t="s">
        <v>421</v>
      </c>
      <c r="O1" s="96" t="s">
        <v>422</v>
      </c>
      <c r="P1" s="219" t="s">
        <v>423</v>
      </c>
      <c r="Q1" s="219" t="s">
        <v>424</v>
      </c>
      <c r="R1" s="219" t="s">
        <v>425</v>
      </c>
      <c r="S1" s="219" t="s">
        <v>426</v>
      </c>
      <c r="T1" s="219" t="s">
        <v>427</v>
      </c>
      <c r="U1" s="219" t="s">
        <v>428</v>
      </c>
      <c r="V1" s="96" t="s">
        <v>429</v>
      </c>
      <c r="W1" s="96" t="s">
        <v>430</v>
      </c>
      <c r="X1" s="381" t="s">
        <v>431</v>
      </c>
      <c r="Y1" s="219" t="s">
        <v>432</v>
      </c>
      <c r="Z1" s="96" t="s">
        <v>433</v>
      </c>
      <c r="AA1" s="96" t="s">
        <v>434</v>
      </c>
      <c r="AB1" s="96" t="s">
        <v>435</v>
      </c>
      <c r="AC1" s="96" t="s">
        <v>436</v>
      </c>
      <c r="AD1" s="204" t="s">
        <v>437</v>
      </c>
      <c r="AE1" s="96" t="s">
        <v>73</v>
      </c>
      <c r="AF1" s="96" t="s">
        <v>74</v>
      </c>
      <c r="AG1" s="96" t="s">
        <v>75</v>
      </c>
      <c r="AH1" s="96" t="s">
        <v>438</v>
      </c>
      <c r="AI1" s="399" t="s">
        <v>456</v>
      </c>
      <c r="AJ1" s="95" t="s">
        <v>439</v>
      </c>
      <c r="AK1" s="95" t="s">
        <v>440</v>
      </c>
      <c r="AL1" s="95" t="s">
        <v>441</v>
      </c>
      <c r="AM1" s="95" t="s">
        <v>442</v>
      </c>
      <c r="AN1" s="95" t="s">
        <v>443</v>
      </c>
      <c r="AO1" s="134" t="s">
        <v>444</v>
      </c>
      <c r="AP1" s="134"/>
      <c r="AQ1" s="134"/>
    </row>
    <row r="2" s="397" customFormat="1" ht="25" customHeight="1" spans="1:43">
      <c r="A2" s="400">
        <v>46147</v>
      </c>
      <c r="B2" s="400" t="s">
        <v>337</v>
      </c>
      <c r="C2" s="68" t="s">
        <v>445</v>
      </c>
      <c r="D2" s="298" t="s">
        <v>336</v>
      </c>
      <c r="E2" s="298" t="s">
        <v>338</v>
      </c>
      <c r="F2" s="298"/>
      <c r="G2" s="298" t="s">
        <v>70</v>
      </c>
      <c r="H2" s="298" t="s">
        <v>339</v>
      </c>
      <c r="I2" s="401">
        <v>2004</v>
      </c>
      <c r="J2" s="401">
        <v>6</v>
      </c>
      <c r="K2" s="298">
        <f t="shared" ref="K2:K23" si="0">I2/J2</f>
        <v>334</v>
      </c>
      <c r="L2" s="400">
        <v>46238</v>
      </c>
      <c r="M2" s="402">
        <v>46238</v>
      </c>
      <c r="N2" s="64" t="s">
        <v>457</v>
      </c>
      <c r="O2" s="298" t="s">
        <v>446</v>
      </c>
      <c r="P2" s="403">
        <v>46254</v>
      </c>
      <c r="Q2" s="404">
        <v>46182</v>
      </c>
      <c r="R2" s="404">
        <v>46185</v>
      </c>
      <c r="S2" s="404">
        <v>46213</v>
      </c>
      <c r="T2" s="404">
        <v>46174</v>
      </c>
      <c r="U2" s="405" t="s">
        <v>448</v>
      </c>
      <c r="V2" s="406" t="s">
        <v>458</v>
      </c>
      <c r="W2" s="407" t="s">
        <v>459</v>
      </c>
      <c r="X2" s="386" t="str">
        <f t="array" ref="X2">INDEX(系统货号!C:C,MATCH(1,(系统货号!A:A=G2)*(系统货号!B:B=V2),0))</f>
        <v>BS085D6</v>
      </c>
      <c r="Y2" s="405"/>
      <c r="Z2" s="407"/>
      <c r="AA2" s="407"/>
      <c r="AB2" s="408" t="s">
        <v>460</v>
      </c>
      <c r="AC2" s="408" t="s">
        <v>460</v>
      </c>
      <c r="AD2" s="409" t="s">
        <v>461</v>
      </c>
      <c r="AE2" s="75">
        <v>3.27</v>
      </c>
      <c r="AF2" s="410">
        <v>6553.08</v>
      </c>
      <c r="AG2" s="410">
        <v>50786.37</v>
      </c>
      <c r="AH2" s="411">
        <v>46155</v>
      </c>
      <c r="AI2" s="412" t="s">
        <v>462</v>
      </c>
      <c r="AJ2" s="68" t="s">
        <v>454</v>
      </c>
      <c r="AK2" s="68">
        <v>2004</v>
      </c>
      <c r="AL2" s="298"/>
      <c r="AM2" s="298"/>
      <c r="AN2" s="298"/>
      <c r="AO2" s="413"/>
      <c r="AP2" s="413"/>
      <c r="AQ2" s="413"/>
    </row>
    <row r="3" s="397" customFormat="1" ht="25" customHeight="1" spans="1:43">
      <c r="A3" s="400">
        <v>46147</v>
      </c>
      <c r="B3" s="400" t="s">
        <v>337</v>
      </c>
      <c r="C3" s="68" t="s">
        <v>445</v>
      </c>
      <c r="D3" s="298" t="s">
        <v>336</v>
      </c>
      <c r="E3" s="298" t="s">
        <v>338</v>
      </c>
      <c r="F3" s="298"/>
      <c r="G3" s="298" t="s">
        <v>69</v>
      </c>
      <c r="H3" s="401" t="s">
        <v>325</v>
      </c>
      <c r="I3" s="401">
        <v>2004</v>
      </c>
      <c r="J3" s="401">
        <v>6</v>
      </c>
      <c r="K3" s="298">
        <f t="shared" si="0"/>
        <v>334</v>
      </c>
      <c r="L3" s="400">
        <v>46238</v>
      </c>
      <c r="M3" s="402">
        <v>46238</v>
      </c>
      <c r="N3" s="64" t="s">
        <v>457</v>
      </c>
      <c r="O3" s="298" t="s">
        <v>446</v>
      </c>
      <c r="P3" s="403">
        <v>46254</v>
      </c>
      <c r="Q3" s="404">
        <v>46182</v>
      </c>
      <c r="R3" s="404">
        <v>46185</v>
      </c>
      <c r="S3" s="404">
        <v>46213</v>
      </c>
      <c r="T3" s="404">
        <v>46174</v>
      </c>
      <c r="U3" s="405" t="s">
        <v>448</v>
      </c>
      <c r="V3" s="406" t="s">
        <v>458</v>
      </c>
      <c r="W3" s="407" t="s">
        <v>459</v>
      </c>
      <c r="X3" s="386" t="str">
        <f t="array" ref="X3">INDEX(系统货号!C:C,MATCH(1,(系统货号!A:A=G3)*(系统货号!B:B=V3),0))</f>
        <v>BS086D6</v>
      </c>
      <c r="Y3" s="405"/>
      <c r="Z3" s="407"/>
      <c r="AA3" s="407"/>
      <c r="AB3" s="408" t="s">
        <v>463</v>
      </c>
      <c r="AC3" s="408" t="s">
        <v>463</v>
      </c>
      <c r="AD3" s="409" t="s">
        <v>464</v>
      </c>
      <c r="AE3" s="75">
        <v>3.369</v>
      </c>
      <c r="AF3" s="410">
        <v>6751.476</v>
      </c>
      <c r="AG3" s="410">
        <v>52323.939</v>
      </c>
      <c r="AH3" s="411">
        <v>46155</v>
      </c>
      <c r="AI3" s="412" t="s">
        <v>462</v>
      </c>
      <c r="AJ3" s="68" t="s">
        <v>454</v>
      </c>
      <c r="AK3" s="68">
        <v>2004</v>
      </c>
      <c r="AL3" s="298">
        <f>AK3-I3</f>
        <v>0</v>
      </c>
      <c r="AM3" s="298"/>
      <c r="AN3" s="298"/>
      <c r="AO3" s="413"/>
      <c r="AP3" s="413"/>
      <c r="AQ3" s="413"/>
    </row>
    <row r="4" s="397" customFormat="1" ht="25" customHeight="1" spans="1:43">
      <c r="A4" s="400">
        <v>46147</v>
      </c>
      <c r="B4" s="400" t="s">
        <v>337</v>
      </c>
      <c r="C4" s="68" t="s">
        <v>445</v>
      </c>
      <c r="D4" s="298" t="s">
        <v>336</v>
      </c>
      <c r="E4" s="298" t="s">
        <v>338</v>
      </c>
      <c r="F4" s="298"/>
      <c r="G4" s="298" t="s">
        <v>19</v>
      </c>
      <c r="H4" s="298" t="s">
        <v>116</v>
      </c>
      <c r="I4" s="401">
        <v>3600</v>
      </c>
      <c r="J4" s="401">
        <v>12</v>
      </c>
      <c r="K4" s="298">
        <f t="shared" si="0"/>
        <v>300</v>
      </c>
      <c r="L4" s="400">
        <v>46238</v>
      </c>
      <c r="M4" s="400">
        <v>46238</v>
      </c>
      <c r="N4" s="64" t="s">
        <v>457</v>
      </c>
      <c r="O4" s="298" t="s">
        <v>446</v>
      </c>
      <c r="P4" s="403">
        <v>46254</v>
      </c>
      <c r="Q4" s="404">
        <v>46182</v>
      </c>
      <c r="R4" s="404">
        <v>46185</v>
      </c>
      <c r="S4" s="404">
        <v>46213</v>
      </c>
      <c r="T4" s="404">
        <v>46174</v>
      </c>
      <c r="U4" s="405" t="s">
        <v>448</v>
      </c>
      <c r="V4" s="406" t="s">
        <v>458</v>
      </c>
      <c r="W4" s="407" t="s">
        <v>450</v>
      </c>
      <c r="X4" s="386" t="str">
        <f t="array" ref="X4">INDEX(系统货号!C:C,MATCH(1,(系统货号!A:A=G4)*(系统货号!B:B=V4),0))</f>
        <v>BS068D12</v>
      </c>
      <c r="Y4" s="405"/>
      <c r="Z4" s="407"/>
      <c r="AA4" s="407"/>
      <c r="AB4" s="408" t="s">
        <v>450</v>
      </c>
      <c r="AC4" s="408" t="s">
        <v>460</v>
      </c>
      <c r="AD4" s="409" t="s">
        <v>465</v>
      </c>
      <c r="AE4" s="75">
        <v>1.469</v>
      </c>
      <c r="AF4" s="410">
        <v>5288.4</v>
      </c>
      <c r="AG4" s="410">
        <v>40985.1</v>
      </c>
      <c r="AH4" s="411">
        <v>46155</v>
      </c>
      <c r="AI4" s="412" t="s">
        <v>466</v>
      </c>
      <c r="AJ4" s="298"/>
      <c r="AK4" s="298"/>
      <c r="AL4" s="298"/>
      <c r="AM4" s="298"/>
      <c r="AN4" s="298"/>
      <c r="AO4" s="413"/>
      <c r="AP4" s="413"/>
      <c r="AQ4" s="413"/>
    </row>
    <row r="5" s="397" customFormat="1" ht="25" customHeight="1" spans="1:43">
      <c r="A5" s="400">
        <v>46147</v>
      </c>
      <c r="B5" s="400" t="s">
        <v>337</v>
      </c>
      <c r="C5" s="68" t="s">
        <v>445</v>
      </c>
      <c r="D5" s="298" t="s">
        <v>336</v>
      </c>
      <c r="E5" s="298" t="s">
        <v>338</v>
      </c>
      <c r="F5" s="298"/>
      <c r="G5" s="298" t="s">
        <v>46</v>
      </c>
      <c r="H5" s="298" t="s">
        <v>111</v>
      </c>
      <c r="I5" s="401">
        <v>3600</v>
      </c>
      <c r="J5" s="401">
        <v>6</v>
      </c>
      <c r="K5" s="298">
        <f t="shared" si="0"/>
        <v>600</v>
      </c>
      <c r="L5" s="400">
        <v>46238</v>
      </c>
      <c r="M5" s="400">
        <v>46238</v>
      </c>
      <c r="N5" s="64" t="s">
        <v>457</v>
      </c>
      <c r="O5" s="298" t="s">
        <v>446</v>
      </c>
      <c r="P5" s="403">
        <v>46254</v>
      </c>
      <c r="Q5" s="404">
        <v>46182</v>
      </c>
      <c r="R5" s="404">
        <v>46185</v>
      </c>
      <c r="S5" s="404">
        <v>46213</v>
      </c>
      <c r="T5" s="404">
        <v>46174</v>
      </c>
      <c r="U5" s="405" t="s">
        <v>448</v>
      </c>
      <c r="V5" s="406" t="s">
        <v>458</v>
      </c>
      <c r="W5" s="407" t="s">
        <v>459</v>
      </c>
      <c r="X5" s="386" t="str">
        <f t="array" ref="X5">INDEX(系统货号!C:C,MATCH(1,(系统货号!A:A=G5)*(系统货号!B:B=V5),0))</f>
        <v>BS074D6</v>
      </c>
      <c r="Y5" s="405"/>
      <c r="Z5" s="407"/>
      <c r="AA5" s="407"/>
      <c r="AB5" s="408" t="s">
        <v>460</v>
      </c>
      <c r="AC5" s="408" t="s">
        <v>460</v>
      </c>
      <c r="AD5" s="409" t="s">
        <v>467</v>
      </c>
      <c r="AE5" s="75">
        <v>2.942</v>
      </c>
      <c r="AF5" s="410">
        <v>10591.2</v>
      </c>
      <c r="AG5" s="410">
        <v>82081.8</v>
      </c>
      <c r="AH5" s="411">
        <v>46155</v>
      </c>
      <c r="AI5" s="412" t="s">
        <v>462</v>
      </c>
      <c r="AJ5" s="68" t="s">
        <v>454</v>
      </c>
      <c r="AK5" s="298">
        <f>3516+84</f>
        <v>3600</v>
      </c>
      <c r="AL5" s="298"/>
      <c r="AM5" s="298"/>
      <c r="AN5" s="298"/>
      <c r="AO5" s="413"/>
      <c r="AP5" s="413"/>
      <c r="AQ5" s="413"/>
    </row>
    <row r="6" s="397" customFormat="1" ht="25" customHeight="1" spans="1:43">
      <c r="A6" s="400">
        <v>46174</v>
      </c>
      <c r="B6" s="400" t="s">
        <v>251</v>
      </c>
      <c r="C6" s="68" t="s">
        <v>445</v>
      </c>
      <c r="D6" s="298" t="s">
        <v>365</v>
      </c>
      <c r="E6" s="298" t="s">
        <v>366</v>
      </c>
      <c r="F6" s="298"/>
      <c r="G6" s="298" t="s">
        <v>270</v>
      </c>
      <c r="H6" s="298" t="s">
        <v>271</v>
      </c>
      <c r="I6" s="401">
        <v>1440</v>
      </c>
      <c r="J6" s="401">
        <v>6</v>
      </c>
      <c r="K6" s="298">
        <f t="shared" si="0"/>
        <v>240</v>
      </c>
      <c r="L6" s="400">
        <v>46238</v>
      </c>
      <c r="M6" s="400">
        <v>46238</v>
      </c>
      <c r="N6" s="414">
        <v>46246</v>
      </c>
      <c r="O6" s="298" t="s">
        <v>446</v>
      </c>
      <c r="P6" s="415" t="s">
        <v>447</v>
      </c>
      <c r="Q6" s="404">
        <v>46213</v>
      </c>
      <c r="R6" s="404">
        <v>46214</v>
      </c>
      <c r="S6" s="404">
        <v>46219</v>
      </c>
      <c r="T6" s="407">
        <v>46155</v>
      </c>
      <c r="U6" s="416" t="s">
        <v>448</v>
      </c>
      <c r="V6" s="406" t="s">
        <v>449</v>
      </c>
      <c r="W6" s="407" t="s">
        <v>450</v>
      </c>
      <c r="X6" s="386" t="str">
        <f t="array" ref="X6">INDEX(系统货号!C:C,MATCH(1,(系统货号!A:A=G6)*(系统货号!B:B=V6),0))</f>
        <v>SP002A1-KMART</v>
      </c>
      <c r="Y6" s="405"/>
      <c r="Z6" s="407"/>
      <c r="AA6" s="407"/>
      <c r="AB6" s="298" t="s">
        <v>450</v>
      </c>
      <c r="AC6" s="408" t="s">
        <v>468</v>
      </c>
      <c r="AD6" s="409" t="s">
        <v>469</v>
      </c>
      <c r="AE6" s="75">
        <v>1.193</v>
      </c>
      <c r="AF6" s="410">
        <f t="shared" ref="AF6:AF63" si="1">I6*AE6</f>
        <v>1717.92</v>
      </c>
      <c r="AG6" s="410">
        <f t="shared" ref="AG6:AG63" si="2">AF6*7.75</f>
        <v>13313.88</v>
      </c>
      <c r="AH6" s="411">
        <v>46175</v>
      </c>
      <c r="AI6" s="412" t="s">
        <v>466</v>
      </c>
      <c r="AJ6" s="298"/>
      <c r="AK6" s="298"/>
      <c r="AL6" s="298"/>
      <c r="AM6" s="298"/>
      <c r="AN6" s="298"/>
      <c r="AO6" s="413"/>
      <c r="AP6" s="413"/>
      <c r="AQ6" s="413"/>
    </row>
    <row r="7" s="397" customFormat="1" ht="25" customHeight="1" spans="1:43">
      <c r="A7" s="400">
        <v>46174</v>
      </c>
      <c r="B7" s="400" t="s">
        <v>251</v>
      </c>
      <c r="C7" s="68" t="s">
        <v>445</v>
      </c>
      <c r="D7" s="298" t="s">
        <v>365</v>
      </c>
      <c r="E7" s="298" t="s">
        <v>366</v>
      </c>
      <c r="F7" s="298"/>
      <c r="G7" s="298" t="s">
        <v>45</v>
      </c>
      <c r="H7" s="298" t="s">
        <v>287</v>
      </c>
      <c r="I7" s="401">
        <v>1440</v>
      </c>
      <c r="J7" s="401">
        <v>6</v>
      </c>
      <c r="K7" s="298">
        <f t="shared" si="0"/>
        <v>240</v>
      </c>
      <c r="L7" s="400">
        <v>46238</v>
      </c>
      <c r="M7" s="400">
        <v>46238</v>
      </c>
      <c r="N7" s="414">
        <v>46246</v>
      </c>
      <c r="O7" s="298" t="s">
        <v>446</v>
      </c>
      <c r="P7" s="415" t="s">
        <v>447</v>
      </c>
      <c r="Q7" s="404">
        <v>46213</v>
      </c>
      <c r="R7" s="404">
        <v>46214</v>
      </c>
      <c r="S7" s="404">
        <v>46219</v>
      </c>
      <c r="T7" s="407">
        <v>46155</v>
      </c>
      <c r="U7" s="416" t="s">
        <v>448</v>
      </c>
      <c r="V7" s="406" t="s">
        <v>449</v>
      </c>
      <c r="W7" s="407" t="s">
        <v>450</v>
      </c>
      <c r="X7" s="386" t="str">
        <f t="array" ref="X7">INDEX(系统货号!C:C,MATCH(1,(系统货号!A:A=G7)*(系统货号!B:B=V7),0))</f>
        <v>SP005A1-KMART客版本</v>
      </c>
      <c r="Y7" s="405"/>
      <c r="Z7" s="407"/>
      <c r="AA7" s="407"/>
      <c r="AB7" s="298" t="s">
        <v>450</v>
      </c>
      <c r="AC7" s="408" t="s">
        <v>470</v>
      </c>
      <c r="AD7" s="409" t="s">
        <v>469</v>
      </c>
      <c r="AE7" s="75">
        <v>1.452</v>
      </c>
      <c r="AF7" s="410">
        <f t="shared" si="1"/>
        <v>2090.88</v>
      </c>
      <c r="AG7" s="410">
        <f t="shared" si="2"/>
        <v>16204.32</v>
      </c>
      <c r="AH7" s="411">
        <v>46175</v>
      </c>
      <c r="AI7" s="412" t="s">
        <v>466</v>
      </c>
      <c r="AJ7" s="298"/>
      <c r="AK7" s="298"/>
      <c r="AL7" s="298"/>
      <c r="AM7" s="298"/>
      <c r="AN7" s="298"/>
      <c r="AO7" s="413"/>
      <c r="AP7" s="413"/>
      <c r="AQ7" s="413"/>
    </row>
    <row r="8" s="397" customFormat="1" ht="25" customHeight="1" spans="1:43">
      <c r="A8" s="400">
        <v>46169</v>
      </c>
      <c r="B8" s="400" t="s">
        <v>358</v>
      </c>
      <c r="C8" s="68" t="s">
        <v>445</v>
      </c>
      <c r="D8" s="298" t="s">
        <v>357</v>
      </c>
      <c r="E8" s="298" t="s">
        <v>361</v>
      </c>
      <c r="F8" s="298"/>
      <c r="G8" s="298" t="s">
        <v>46</v>
      </c>
      <c r="H8" s="298" t="s">
        <v>362</v>
      </c>
      <c r="I8" s="401">
        <v>3000</v>
      </c>
      <c r="J8" s="401">
        <v>6</v>
      </c>
      <c r="K8" s="417">
        <f t="shared" si="0"/>
        <v>500</v>
      </c>
      <c r="L8" s="400">
        <v>46239</v>
      </c>
      <c r="M8" s="400">
        <v>46239</v>
      </c>
      <c r="N8" s="64">
        <v>46244</v>
      </c>
      <c r="O8" s="298" t="s">
        <v>446</v>
      </c>
      <c r="P8" s="418" t="s">
        <v>471</v>
      </c>
      <c r="Q8" s="404">
        <v>46183</v>
      </c>
      <c r="R8" s="404">
        <v>46183</v>
      </c>
      <c r="S8" s="404">
        <v>46183</v>
      </c>
      <c r="T8" s="407">
        <v>46197</v>
      </c>
      <c r="U8" s="416" t="s">
        <v>448</v>
      </c>
      <c r="V8" s="406" t="s">
        <v>472</v>
      </c>
      <c r="W8" s="407" t="s">
        <v>459</v>
      </c>
      <c r="X8" s="386" t="str">
        <f t="array" ref="X8">INDEX(系统货号!C:C,MATCH(1,(系统货号!A:A=G8)*(系统货号!B:B=V8),0))</f>
        <v>BS074-丹麦</v>
      </c>
      <c r="Y8" s="405"/>
      <c r="Z8" s="407"/>
      <c r="AA8" s="407"/>
      <c r="AB8" s="408" t="s">
        <v>460</v>
      </c>
      <c r="AC8" s="408" t="s">
        <v>460</v>
      </c>
      <c r="AD8" s="409" t="s">
        <v>473</v>
      </c>
      <c r="AE8" s="75">
        <v>2.993</v>
      </c>
      <c r="AF8" s="410">
        <f t="shared" si="1"/>
        <v>8979</v>
      </c>
      <c r="AG8" s="410">
        <f t="shared" si="2"/>
        <v>69587.25</v>
      </c>
      <c r="AH8" s="411">
        <v>46189</v>
      </c>
      <c r="AI8" s="412" t="s">
        <v>462</v>
      </c>
      <c r="AJ8" s="68" t="s">
        <v>454</v>
      </c>
      <c r="AK8" s="298">
        <v>3000</v>
      </c>
      <c r="AL8" s="298"/>
      <c r="AM8" s="298"/>
      <c r="AN8" s="298"/>
      <c r="AO8" s="413"/>
      <c r="AP8" s="413"/>
      <c r="AQ8" s="413"/>
    </row>
    <row r="9" s="397" customFormat="1" ht="25" customHeight="1" spans="1:43">
      <c r="A9" s="400">
        <v>46169</v>
      </c>
      <c r="B9" s="400" t="s">
        <v>358</v>
      </c>
      <c r="C9" s="68" t="s">
        <v>445</v>
      </c>
      <c r="D9" s="298" t="s">
        <v>357</v>
      </c>
      <c r="E9" s="298" t="s">
        <v>361</v>
      </c>
      <c r="F9" s="298"/>
      <c r="G9" s="298" t="s">
        <v>70</v>
      </c>
      <c r="H9" s="298" t="s">
        <v>339</v>
      </c>
      <c r="I9" s="401">
        <v>2400</v>
      </c>
      <c r="J9" s="401">
        <v>6</v>
      </c>
      <c r="K9" s="298">
        <f t="shared" si="0"/>
        <v>400</v>
      </c>
      <c r="L9" s="400">
        <v>46239</v>
      </c>
      <c r="M9" s="400">
        <v>46239</v>
      </c>
      <c r="N9" s="64">
        <v>46244</v>
      </c>
      <c r="O9" s="298" t="s">
        <v>446</v>
      </c>
      <c r="P9" s="418" t="s">
        <v>471</v>
      </c>
      <c r="Q9" s="404">
        <v>46183</v>
      </c>
      <c r="R9" s="404">
        <v>46183</v>
      </c>
      <c r="S9" s="404">
        <v>46183</v>
      </c>
      <c r="T9" s="407">
        <v>46197</v>
      </c>
      <c r="U9" s="416" t="s">
        <v>448</v>
      </c>
      <c r="V9" s="406" t="s">
        <v>458</v>
      </c>
      <c r="W9" s="407" t="s">
        <v>459</v>
      </c>
      <c r="X9" s="386" t="str">
        <f t="array" ref="X9">INDEX(系统货号!C:C,MATCH(1,(系统货号!A:A=G9)*(系统货号!B:B=V9),0))</f>
        <v>BS085D6</v>
      </c>
      <c r="Y9" s="405"/>
      <c r="Z9" s="407"/>
      <c r="AA9" s="407"/>
      <c r="AB9" s="408" t="s">
        <v>474</v>
      </c>
      <c r="AC9" s="408" t="s">
        <v>474</v>
      </c>
      <c r="AD9" s="409" t="s">
        <v>475</v>
      </c>
      <c r="AE9" s="75">
        <v>3.32</v>
      </c>
      <c r="AF9" s="410">
        <f t="shared" si="1"/>
        <v>7968</v>
      </c>
      <c r="AG9" s="410">
        <f t="shared" si="2"/>
        <v>61752</v>
      </c>
      <c r="AH9" s="411">
        <v>46170</v>
      </c>
      <c r="AI9" s="412" t="s">
        <v>462</v>
      </c>
      <c r="AJ9" s="68" t="s">
        <v>454</v>
      </c>
      <c r="AK9" s="298">
        <v>2400</v>
      </c>
      <c r="AL9" s="298"/>
      <c r="AM9" s="298"/>
      <c r="AN9" s="298"/>
      <c r="AO9" s="413"/>
      <c r="AP9" s="413"/>
      <c r="AQ9" s="413"/>
    </row>
    <row r="10" s="397" customFormat="1" ht="25" customHeight="1" spans="1:43">
      <c r="A10" s="400">
        <v>46169</v>
      </c>
      <c r="B10" s="400" t="s">
        <v>358</v>
      </c>
      <c r="C10" s="68" t="s">
        <v>445</v>
      </c>
      <c r="D10" s="298" t="s">
        <v>357</v>
      </c>
      <c r="E10" s="298" t="s">
        <v>361</v>
      </c>
      <c r="F10" s="298"/>
      <c r="G10" s="298" t="s">
        <v>69</v>
      </c>
      <c r="H10" s="401" t="s">
        <v>325</v>
      </c>
      <c r="I10" s="401">
        <v>1200</v>
      </c>
      <c r="J10" s="401">
        <v>6</v>
      </c>
      <c r="K10" s="298">
        <f t="shared" si="0"/>
        <v>200</v>
      </c>
      <c r="L10" s="400">
        <v>46239</v>
      </c>
      <c r="M10" s="400">
        <v>46239</v>
      </c>
      <c r="N10" s="64">
        <v>46244</v>
      </c>
      <c r="O10" s="298" t="s">
        <v>446</v>
      </c>
      <c r="P10" s="418" t="s">
        <v>471</v>
      </c>
      <c r="Q10" s="404">
        <v>46183</v>
      </c>
      <c r="R10" s="404">
        <v>46183</v>
      </c>
      <c r="S10" s="404">
        <v>46183</v>
      </c>
      <c r="T10" s="407">
        <v>46197</v>
      </c>
      <c r="U10" s="416" t="s">
        <v>448</v>
      </c>
      <c r="V10" s="406" t="s">
        <v>458</v>
      </c>
      <c r="W10" s="407" t="s">
        <v>459</v>
      </c>
      <c r="X10" s="386" t="str">
        <f t="array" ref="X10">INDEX(系统货号!C:C,MATCH(1,(系统货号!A:A=G10)*(系统货号!B:B=V10),0))</f>
        <v>BS086D6</v>
      </c>
      <c r="Y10" s="405"/>
      <c r="Z10" s="407"/>
      <c r="AA10" s="407"/>
      <c r="AB10" s="406" t="s">
        <v>463</v>
      </c>
      <c r="AC10" s="408" t="s">
        <v>474</v>
      </c>
      <c r="AD10" s="409" t="s">
        <v>476</v>
      </c>
      <c r="AE10" s="75">
        <v>3.419</v>
      </c>
      <c r="AF10" s="410">
        <f t="shared" si="1"/>
        <v>4102.8</v>
      </c>
      <c r="AG10" s="410">
        <f t="shared" si="2"/>
        <v>31796.7</v>
      </c>
      <c r="AH10" s="411">
        <v>46170</v>
      </c>
      <c r="AI10" s="412" t="s">
        <v>462</v>
      </c>
      <c r="AJ10" s="68" t="s">
        <v>454</v>
      </c>
      <c r="AK10" s="298">
        <v>1200</v>
      </c>
      <c r="AL10" s="298"/>
      <c r="AM10" s="298"/>
      <c r="AN10" s="298"/>
      <c r="AO10" s="413"/>
      <c r="AP10" s="413"/>
      <c r="AQ10" s="413"/>
    </row>
    <row r="11" s="397" customFormat="1" ht="25" customHeight="1" spans="1:43">
      <c r="A11" s="400">
        <v>46169</v>
      </c>
      <c r="B11" s="400" t="s">
        <v>358</v>
      </c>
      <c r="C11" s="68" t="s">
        <v>445</v>
      </c>
      <c r="D11" s="298" t="s">
        <v>357</v>
      </c>
      <c r="E11" s="298" t="s">
        <v>361</v>
      </c>
      <c r="F11" s="298"/>
      <c r="G11" s="298" t="s">
        <v>107</v>
      </c>
      <c r="H11" s="298" t="s">
        <v>108</v>
      </c>
      <c r="I11" s="401">
        <v>3000</v>
      </c>
      <c r="J11" s="401">
        <v>12</v>
      </c>
      <c r="K11" s="298">
        <f t="shared" si="0"/>
        <v>250</v>
      </c>
      <c r="L11" s="400">
        <v>46239</v>
      </c>
      <c r="M11" s="400">
        <v>46239</v>
      </c>
      <c r="N11" s="64">
        <v>46244</v>
      </c>
      <c r="O11" s="298" t="s">
        <v>446</v>
      </c>
      <c r="P11" s="418" t="s">
        <v>471</v>
      </c>
      <c r="Q11" s="404">
        <v>46183</v>
      </c>
      <c r="R11" s="404">
        <v>46183</v>
      </c>
      <c r="S11" s="404">
        <v>46183</v>
      </c>
      <c r="T11" s="407">
        <v>46197</v>
      </c>
      <c r="U11" s="416" t="s">
        <v>448</v>
      </c>
      <c r="V11" s="406" t="s">
        <v>458</v>
      </c>
      <c r="W11" s="407" t="s">
        <v>450</v>
      </c>
      <c r="X11" s="386" t="str">
        <f t="array" ref="X11">INDEX(系统货号!C:C,MATCH(1,(系统货号!A:A=G11)*(系统货号!B:B=V11),0))</f>
        <v>BS064D1</v>
      </c>
      <c r="Y11" s="405"/>
      <c r="Z11" s="407"/>
      <c r="AA11" s="407"/>
      <c r="AB11" s="408" t="s">
        <v>450</v>
      </c>
      <c r="AC11" s="406" t="s">
        <v>460</v>
      </c>
      <c r="AD11" s="409" t="s">
        <v>477</v>
      </c>
      <c r="AE11" s="75">
        <v>1.38</v>
      </c>
      <c r="AF11" s="410">
        <f t="shared" si="1"/>
        <v>4140</v>
      </c>
      <c r="AG11" s="410">
        <f t="shared" si="2"/>
        <v>32085</v>
      </c>
      <c r="AH11" s="411">
        <v>46170</v>
      </c>
      <c r="AI11" s="412" t="s">
        <v>466</v>
      </c>
      <c r="AJ11" s="298"/>
      <c r="AK11" s="298">
        <v>3000</v>
      </c>
      <c r="AL11" s="298"/>
      <c r="AM11" s="298"/>
      <c r="AN11" s="298"/>
      <c r="AO11" s="413"/>
      <c r="AP11" s="413"/>
      <c r="AQ11" s="413"/>
    </row>
    <row r="12" s="380" customFormat="1" ht="25" customHeight="1" spans="1:43">
      <c r="A12" s="114">
        <v>46126</v>
      </c>
      <c r="B12" s="114" t="s">
        <v>79</v>
      </c>
      <c r="C12" s="34" t="s">
        <v>445</v>
      </c>
      <c r="D12" s="117" t="s">
        <v>78</v>
      </c>
      <c r="E12" s="117" t="s">
        <v>294</v>
      </c>
      <c r="F12" s="117"/>
      <c r="G12" s="117" t="s">
        <v>270</v>
      </c>
      <c r="H12" s="117" t="s">
        <v>271</v>
      </c>
      <c r="I12" s="211">
        <v>35100</v>
      </c>
      <c r="J12" s="211">
        <v>6</v>
      </c>
      <c r="K12" s="117">
        <f t="shared" si="0"/>
        <v>5850</v>
      </c>
      <c r="L12" s="114">
        <v>46244</v>
      </c>
      <c r="M12" s="114">
        <v>46244</v>
      </c>
      <c r="N12" s="97">
        <v>46258</v>
      </c>
      <c r="O12" s="117"/>
      <c r="P12" s="382"/>
      <c r="Q12" s="383">
        <v>46157</v>
      </c>
      <c r="R12" s="383">
        <v>46161</v>
      </c>
      <c r="S12" s="383">
        <v>46174</v>
      </c>
      <c r="T12" s="384">
        <v>46155</v>
      </c>
      <c r="U12" s="385" t="s">
        <v>448</v>
      </c>
      <c r="V12" s="120" t="s">
        <v>449</v>
      </c>
      <c r="W12" s="384" t="s">
        <v>450</v>
      </c>
      <c r="X12" s="419" t="str">
        <f t="array" ref="X12">INDEX(系统货号!C:C,MATCH(1,(系统货号!A:A=G12)*(系统货号!B:B=V12),0))</f>
        <v>SP002A1-KMART</v>
      </c>
      <c r="Y12" s="385" t="s">
        <v>478</v>
      </c>
      <c r="Z12" s="384"/>
      <c r="AA12" s="384"/>
      <c r="AB12" s="117" t="s">
        <v>450</v>
      </c>
      <c r="AC12" s="117" t="s">
        <v>468</v>
      </c>
      <c r="AD12" s="128" t="s">
        <v>479</v>
      </c>
      <c r="AE12" s="388">
        <v>1.189</v>
      </c>
      <c r="AF12" s="389">
        <f t="shared" si="1"/>
        <v>41733.9</v>
      </c>
      <c r="AG12" s="389">
        <f t="shared" si="2"/>
        <v>323437.725</v>
      </c>
      <c r="AH12" s="390">
        <v>46137</v>
      </c>
      <c r="AI12" s="420" t="s">
        <v>466</v>
      </c>
      <c r="AJ12" s="117"/>
      <c r="AK12" s="117"/>
      <c r="AL12" s="117"/>
      <c r="AM12" s="117"/>
      <c r="AN12" s="117"/>
      <c r="AO12" s="391"/>
      <c r="AP12" s="391"/>
      <c r="AQ12" s="391"/>
    </row>
    <row r="13" s="380" customFormat="1" ht="25" customHeight="1" spans="1:43">
      <c r="A13" s="114">
        <v>46126</v>
      </c>
      <c r="B13" s="114" t="s">
        <v>84</v>
      </c>
      <c r="C13" s="34" t="s">
        <v>445</v>
      </c>
      <c r="D13" s="117" t="s">
        <v>78</v>
      </c>
      <c r="E13" s="117" t="s">
        <v>295</v>
      </c>
      <c r="F13" s="117"/>
      <c r="G13" s="117" t="s">
        <v>270</v>
      </c>
      <c r="H13" s="117" t="s">
        <v>271</v>
      </c>
      <c r="I13" s="211">
        <v>3510</v>
      </c>
      <c r="J13" s="211">
        <v>6</v>
      </c>
      <c r="K13" s="117">
        <f t="shared" si="0"/>
        <v>585</v>
      </c>
      <c r="L13" s="114">
        <v>46244</v>
      </c>
      <c r="M13" s="114">
        <v>46244</v>
      </c>
      <c r="N13" s="97">
        <v>46258</v>
      </c>
      <c r="O13" s="117"/>
      <c r="P13" s="382"/>
      <c r="Q13" s="383">
        <v>46157</v>
      </c>
      <c r="R13" s="383">
        <v>46161</v>
      </c>
      <c r="S13" s="383">
        <v>46174</v>
      </c>
      <c r="T13" s="384">
        <v>46155</v>
      </c>
      <c r="U13" s="385" t="s">
        <v>448</v>
      </c>
      <c r="V13" s="120" t="s">
        <v>449</v>
      </c>
      <c r="W13" s="384" t="s">
        <v>450</v>
      </c>
      <c r="X13" s="419" t="str">
        <f t="array" ref="X13">INDEX(系统货号!C:C,MATCH(1,(系统货号!A:A=G13)*(系统货号!B:B=V13),0))</f>
        <v>SP002A1-KMART</v>
      </c>
      <c r="Y13" s="385" t="s">
        <v>478</v>
      </c>
      <c r="Z13" s="384"/>
      <c r="AA13" s="384"/>
      <c r="AB13" s="117" t="s">
        <v>450</v>
      </c>
      <c r="AC13" s="117" t="s">
        <v>468</v>
      </c>
      <c r="AD13" s="128" t="s">
        <v>479</v>
      </c>
      <c r="AE13" s="388">
        <v>1.189</v>
      </c>
      <c r="AF13" s="389">
        <f t="shared" si="1"/>
        <v>4173.39</v>
      </c>
      <c r="AG13" s="389">
        <f t="shared" si="2"/>
        <v>32343.7725</v>
      </c>
      <c r="AH13" s="390">
        <v>46137</v>
      </c>
      <c r="AI13" s="420" t="s">
        <v>466</v>
      </c>
      <c r="AJ13" s="117"/>
      <c r="AK13" s="117"/>
      <c r="AL13" s="117"/>
      <c r="AM13" s="117"/>
      <c r="AN13" s="117"/>
      <c r="AO13" s="391"/>
      <c r="AP13" s="391"/>
      <c r="AQ13" s="391"/>
    </row>
    <row r="14" s="380" customFormat="1" ht="25" customHeight="1" spans="1:43">
      <c r="A14" s="114">
        <v>46126</v>
      </c>
      <c r="B14" s="114" t="s">
        <v>79</v>
      </c>
      <c r="C14" s="34" t="s">
        <v>445</v>
      </c>
      <c r="D14" s="117" t="s">
        <v>78</v>
      </c>
      <c r="E14" s="117" t="s">
        <v>296</v>
      </c>
      <c r="F14" s="117"/>
      <c r="G14" s="117" t="s">
        <v>44</v>
      </c>
      <c r="H14" s="117" t="s">
        <v>276</v>
      </c>
      <c r="I14" s="211">
        <v>8754</v>
      </c>
      <c r="J14" s="211">
        <v>6</v>
      </c>
      <c r="K14" s="117">
        <f t="shared" si="0"/>
        <v>1459</v>
      </c>
      <c r="L14" s="114">
        <v>46244</v>
      </c>
      <c r="M14" s="114">
        <v>46244</v>
      </c>
      <c r="N14" s="97">
        <v>46258</v>
      </c>
      <c r="O14" s="117"/>
      <c r="P14" s="382"/>
      <c r="Q14" s="383">
        <v>46157</v>
      </c>
      <c r="R14" s="383">
        <v>46161</v>
      </c>
      <c r="S14" s="383">
        <v>46174</v>
      </c>
      <c r="T14" s="384">
        <v>46155</v>
      </c>
      <c r="U14" s="385" t="s">
        <v>448</v>
      </c>
      <c r="V14" s="120" t="s">
        <v>449</v>
      </c>
      <c r="W14" s="384" t="s">
        <v>450</v>
      </c>
      <c r="X14" s="419" t="str">
        <f t="array" ref="X14">INDEX(系统货号!C:C,MATCH(1,(系统货号!A:A=G14)*(系统货号!B:B=V14),0))</f>
        <v>SP003A2-KMART</v>
      </c>
      <c r="Y14" s="385" t="s">
        <v>478</v>
      </c>
      <c r="Z14" s="384"/>
      <c r="AA14" s="384"/>
      <c r="AB14" s="117" t="s">
        <v>450</v>
      </c>
      <c r="AC14" s="117" t="s">
        <v>468</v>
      </c>
      <c r="AD14" s="128" t="s">
        <v>479</v>
      </c>
      <c r="AE14" s="388">
        <v>1.462</v>
      </c>
      <c r="AF14" s="389">
        <f t="shared" si="1"/>
        <v>12798.348</v>
      </c>
      <c r="AG14" s="389">
        <f t="shared" si="2"/>
        <v>99187.197</v>
      </c>
      <c r="AH14" s="390">
        <v>46137</v>
      </c>
      <c r="AI14" s="420" t="s">
        <v>466</v>
      </c>
      <c r="AJ14" s="117"/>
      <c r="AK14" s="117"/>
      <c r="AL14" s="117"/>
      <c r="AM14" s="117"/>
      <c r="AN14" s="117"/>
      <c r="AO14" s="391"/>
      <c r="AP14" s="391"/>
      <c r="AQ14" s="391"/>
    </row>
    <row r="15" s="380" customFormat="1" ht="25" customHeight="1" spans="1:43">
      <c r="A15" s="114">
        <v>46126</v>
      </c>
      <c r="B15" s="114" t="s">
        <v>84</v>
      </c>
      <c r="C15" s="34" t="s">
        <v>445</v>
      </c>
      <c r="D15" s="117" t="s">
        <v>78</v>
      </c>
      <c r="E15" s="117" t="s">
        <v>297</v>
      </c>
      <c r="F15" s="117"/>
      <c r="G15" s="117" t="s">
        <v>44</v>
      </c>
      <c r="H15" s="117" t="s">
        <v>276</v>
      </c>
      <c r="I15" s="211">
        <v>870</v>
      </c>
      <c r="J15" s="211">
        <v>6</v>
      </c>
      <c r="K15" s="117">
        <f t="shared" si="0"/>
        <v>145</v>
      </c>
      <c r="L15" s="114">
        <v>46244</v>
      </c>
      <c r="M15" s="114">
        <v>46244</v>
      </c>
      <c r="N15" s="97">
        <v>46258</v>
      </c>
      <c r="O15" s="117"/>
      <c r="P15" s="382"/>
      <c r="Q15" s="383">
        <v>46157</v>
      </c>
      <c r="R15" s="383">
        <v>46161</v>
      </c>
      <c r="S15" s="383">
        <v>46174</v>
      </c>
      <c r="T15" s="384">
        <v>46155</v>
      </c>
      <c r="U15" s="385" t="s">
        <v>448</v>
      </c>
      <c r="V15" s="120" t="s">
        <v>449</v>
      </c>
      <c r="W15" s="384" t="s">
        <v>450</v>
      </c>
      <c r="X15" s="419" t="str">
        <f t="array" ref="X15">INDEX(系统货号!C:C,MATCH(1,(系统货号!A:A=G15)*(系统货号!B:B=V15),0))</f>
        <v>SP003A2-KMART</v>
      </c>
      <c r="Y15" s="385" t="s">
        <v>478</v>
      </c>
      <c r="Z15" s="384"/>
      <c r="AA15" s="384"/>
      <c r="AB15" s="117" t="s">
        <v>450</v>
      </c>
      <c r="AC15" s="117" t="s">
        <v>468</v>
      </c>
      <c r="AD15" s="128" t="s">
        <v>479</v>
      </c>
      <c r="AE15" s="388">
        <v>1.462</v>
      </c>
      <c r="AF15" s="389">
        <f t="shared" si="1"/>
        <v>1271.94</v>
      </c>
      <c r="AG15" s="389">
        <f t="shared" si="2"/>
        <v>9857.535</v>
      </c>
      <c r="AH15" s="390">
        <v>46137</v>
      </c>
      <c r="AI15" s="420" t="s">
        <v>466</v>
      </c>
      <c r="AJ15" s="117"/>
      <c r="AK15" s="117"/>
      <c r="AL15" s="117"/>
      <c r="AM15" s="117"/>
      <c r="AN15" s="117"/>
      <c r="AO15" s="391"/>
      <c r="AP15" s="391"/>
      <c r="AQ15" s="391"/>
    </row>
    <row r="16" s="380" customFormat="1" ht="25" customHeight="1" spans="1:43">
      <c r="A16" s="114">
        <v>46126</v>
      </c>
      <c r="B16" s="114" t="s">
        <v>79</v>
      </c>
      <c r="C16" s="34" t="s">
        <v>445</v>
      </c>
      <c r="D16" s="117" t="s">
        <v>78</v>
      </c>
      <c r="E16" s="117" t="s">
        <v>298</v>
      </c>
      <c r="F16" s="117"/>
      <c r="G16" s="117" t="s">
        <v>281</v>
      </c>
      <c r="H16" s="117" t="s">
        <v>282</v>
      </c>
      <c r="I16" s="211">
        <v>8754</v>
      </c>
      <c r="J16" s="211">
        <v>6</v>
      </c>
      <c r="K16" s="117">
        <f t="shared" si="0"/>
        <v>1459</v>
      </c>
      <c r="L16" s="114">
        <v>46244</v>
      </c>
      <c r="M16" s="114">
        <v>46244</v>
      </c>
      <c r="N16" s="97">
        <v>46258</v>
      </c>
      <c r="O16" s="117"/>
      <c r="P16" s="382"/>
      <c r="Q16" s="383">
        <v>46157</v>
      </c>
      <c r="R16" s="383">
        <v>46161</v>
      </c>
      <c r="S16" s="383">
        <v>46174</v>
      </c>
      <c r="T16" s="384">
        <v>46155</v>
      </c>
      <c r="U16" s="385" t="s">
        <v>448</v>
      </c>
      <c r="V16" s="120" t="s">
        <v>449</v>
      </c>
      <c r="W16" s="384" t="s">
        <v>450</v>
      </c>
      <c r="X16" s="419" t="str">
        <f t="array" ref="X16">INDEX(系统货号!C:C,MATCH(1,(系统货号!A:A=G16)*(系统货号!B:B=V16),0))</f>
        <v>SP003A3-KMART</v>
      </c>
      <c r="Y16" s="385" t="s">
        <v>478</v>
      </c>
      <c r="Z16" s="384"/>
      <c r="AA16" s="384"/>
      <c r="AB16" s="117" t="s">
        <v>450</v>
      </c>
      <c r="AC16" s="117" t="s">
        <v>468</v>
      </c>
      <c r="AD16" s="128" t="s">
        <v>479</v>
      </c>
      <c r="AE16" s="388">
        <v>1.462</v>
      </c>
      <c r="AF16" s="389">
        <f t="shared" si="1"/>
        <v>12798.348</v>
      </c>
      <c r="AG16" s="389">
        <f t="shared" si="2"/>
        <v>99187.197</v>
      </c>
      <c r="AH16" s="390">
        <v>46137</v>
      </c>
      <c r="AI16" s="420" t="s">
        <v>466</v>
      </c>
      <c r="AJ16" s="117"/>
      <c r="AK16" s="117"/>
      <c r="AL16" s="117"/>
      <c r="AM16" s="117"/>
      <c r="AN16" s="117"/>
      <c r="AO16" s="391"/>
      <c r="AP16" s="391"/>
      <c r="AQ16" s="391"/>
    </row>
    <row r="17" s="380" customFormat="1" ht="25" customHeight="1" spans="1:43">
      <c r="A17" s="114">
        <v>46126</v>
      </c>
      <c r="B17" s="114" t="s">
        <v>84</v>
      </c>
      <c r="C17" s="34" t="s">
        <v>445</v>
      </c>
      <c r="D17" s="117" t="s">
        <v>78</v>
      </c>
      <c r="E17" s="117" t="s">
        <v>299</v>
      </c>
      <c r="F17" s="117"/>
      <c r="G17" s="117" t="s">
        <v>281</v>
      </c>
      <c r="H17" s="117" t="s">
        <v>282</v>
      </c>
      <c r="I17" s="211">
        <v>870</v>
      </c>
      <c r="J17" s="211">
        <v>6</v>
      </c>
      <c r="K17" s="117">
        <f t="shared" si="0"/>
        <v>145</v>
      </c>
      <c r="L17" s="114">
        <v>46244</v>
      </c>
      <c r="M17" s="114">
        <v>46244</v>
      </c>
      <c r="N17" s="97">
        <v>46258</v>
      </c>
      <c r="O17" s="117"/>
      <c r="P17" s="382"/>
      <c r="Q17" s="383">
        <v>46157</v>
      </c>
      <c r="R17" s="383">
        <v>46161</v>
      </c>
      <c r="S17" s="383">
        <v>46174</v>
      </c>
      <c r="T17" s="384">
        <v>46155</v>
      </c>
      <c r="U17" s="385" t="s">
        <v>448</v>
      </c>
      <c r="V17" s="120" t="s">
        <v>449</v>
      </c>
      <c r="W17" s="384" t="s">
        <v>450</v>
      </c>
      <c r="X17" s="419" t="str">
        <f t="array" ref="X17">INDEX(系统货号!C:C,MATCH(1,(系统货号!A:A=G17)*(系统货号!B:B=V17),0))</f>
        <v>SP003A3-KMART</v>
      </c>
      <c r="Y17" s="385" t="s">
        <v>478</v>
      </c>
      <c r="Z17" s="384"/>
      <c r="AA17" s="384"/>
      <c r="AB17" s="117" t="s">
        <v>450</v>
      </c>
      <c r="AC17" s="117" t="s">
        <v>468</v>
      </c>
      <c r="AD17" s="128" t="s">
        <v>479</v>
      </c>
      <c r="AE17" s="388">
        <v>1.462</v>
      </c>
      <c r="AF17" s="389">
        <f t="shared" si="1"/>
        <v>1271.94</v>
      </c>
      <c r="AG17" s="389">
        <f t="shared" si="2"/>
        <v>9857.535</v>
      </c>
      <c r="AH17" s="390">
        <v>46137</v>
      </c>
      <c r="AI17" s="420" t="s">
        <v>466</v>
      </c>
      <c r="AJ17" s="117"/>
      <c r="AK17" s="117"/>
      <c r="AL17" s="117"/>
      <c r="AM17" s="117"/>
      <c r="AN17" s="117"/>
      <c r="AO17" s="391"/>
      <c r="AP17" s="391"/>
      <c r="AQ17" s="391"/>
    </row>
    <row r="18" s="380" customFormat="1" ht="25" customHeight="1" spans="1:43">
      <c r="A18" s="114">
        <v>46126</v>
      </c>
      <c r="B18" s="114" t="s">
        <v>79</v>
      </c>
      <c r="C18" s="34" t="s">
        <v>445</v>
      </c>
      <c r="D18" s="380" t="s">
        <v>78</v>
      </c>
      <c r="E18" s="117" t="s">
        <v>300</v>
      </c>
      <c r="F18" s="117"/>
      <c r="G18" s="117" t="s">
        <v>45</v>
      </c>
      <c r="H18" s="117" t="s">
        <v>287</v>
      </c>
      <c r="I18" s="211">
        <v>12954</v>
      </c>
      <c r="J18" s="211">
        <v>6</v>
      </c>
      <c r="K18" s="117">
        <f t="shared" si="0"/>
        <v>2159</v>
      </c>
      <c r="L18" s="114">
        <v>46244</v>
      </c>
      <c r="M18" s="114">
        <v>46244</v>
      </c>
      <c r="N18" s="97">
        <v>46258</v>
      </c>
      <c r="O18" s="117"/>
      <c r="P18" s="382"/>
      <c r="Q18" s="383">
        <v>46157</v>
      </c>
      <c r="R18" s="383">
        <v>46161</v>
      </c>
      <c r="S18" s="383">
        <v>46174</v>
      </c>
      <c r="T18" s="384">
        <v>46155</v>
      </c>
      <c r="U18" s="385" t="s">
        <v>448</v>
      </c>
      <c r="V18" s="120" t="s">
        <v>449</v>
      </c>
      <c r="W18" s="384" t="s">
        <v>450</v>
      </c>
      <c r="X18" s="419" t="str">
        <f t="array" ref="X18">INDEX(系统货号!C:C,MATCH(1,(系统货号!A:A=G18)*(系统货号!B:B=V18),0))</f>
        <v>SP005A1-KMART客版本</v>
      </c>
      <c r="Y18" s="385"/>
      <c r="Z18" s="384"/>
      <c r="AA18" s="384"/>
      <c r="AB18" s="117" t="s">
        <v>450</v>
      </c>
      <c r="AC18" s="117" t="s">
        <v>470</v>
      </c>
      <c r="AD18" s="128" t="s">
        <v>480</v>
      </c>
      <c r="AE18" s="388">
        <v>1.452</v>
      </c>
      <c r="AF18" s="389">
        <f t="shared" si="1"/>
        <v>18809.208</v>
      </c>
      <c r="AG18" s="389">
        <f t="shared" si="2"/>
        <v>145771.362</v>
      </c>
      <c r="AH18" s="390">
        <v>46155</v>
      </c>
      <c r="AI18" s="420" t="s">
        <v>466</v>
      </c>
      <c r="AJ18" s="117"/>
      <c r="AK18" s="117"/>
      <c r="AL18" s="117"/>
      <c r="AM18" s="117"/>
      <c r="AN18" s="117"/>
      <c r="AO18" s="391"/>
      <c r="AP18" s="391"/>
      <c r="AQ18" s="391"/>
    </row>
    <row r="19" s="380" customFormat="1" ht="25" customHeight="1" spans="1:43">
      <c r="A19" s="114">
        <v>46126</v>
      </c>
      <c r="B19" s="114" t="s">
        <v>84</v>
      </c>
      <c r="C19" s="34" t="s">
        <v>445</v>
      </c>
      <c r="D19" s="117" t="s">
        <v>78</v>
      </c>
      <c r="E19" s="117" t="s">
        <v>301</v>
      </c>
      <c r="F19" s="117"/>
      <c r="G19" s="117" t="s">
        <v>45</v>
      </c>
      <c r="H19" s="117" t="s">
        <v>287</v>
      </c>
      <c r="I19" s="211">
        <v>1290</v>
      </c>
      <c r="J19" s="211">
        <v>6</v>
      </c>
      <c r="K19" s="117">
        <f t="shared" si="0"/>
        <v>215</v>
      </c>
      <c r="L19" s="114">
        <v>46244</v>
      </c>
      <c r="M19" s="114">
        <v>46244</v>
      </c>
      <c r="N19" s="97">
        <v>46258</v>
      </c>
      <c r="O19" s="117"/>
      <c r="P19" s="382"/>
      <c r="Q19" s="383">
        <v>46157</v>
      </c>
      <c r="R19" s="383">
        <v>46161</v>
      </c>
      <c r="S19" s="383">
        <v>46174</v>
      </c>
      <c r="T19" s="384">
        <v>46155</v>
      </c>
      <c r="U19" s="385" t="s">
        <v>448</v>
      </c>
      <c r="V19" s="120" t="s">
        <v>449</v>
      </c>
      <c r="W19" s="384" t="s">
        <v>450</v>
      </c>
      <c r="X19" s="419" t="str">
        <f t="array" ref="X19">INDEX(系统货号!C:C,MATCH(1,(系统货号!A:A=G19)*(系统货号!B:B=V19),0))</f>
        <v>SP005A1-KMART客版本</v>
      </c>
      <c r="Y19" s="385"/>
      <c r="Z19" s="384"/>
      <c r="AA19" s="384"/>
      <c r="AB19" s="117" t="s">
        <v>450</v>
      </c>
      <c r="AC19" s="117" t="s">
        <v>470</v>
      </c>
      <c r="AD19" s="128" t="s">
        <v>480</v>
      </c>
      <c r="AE19" s="388">
        <v>1.452</v>
      </c>
      <c r="AF19" s="389">
        <f t="shared" si="1"/>
        <v>1873.08</v>
      </c>
      <c r="AG19" s="389">
        <f t="shared" si="2"/>
        <v>14516.37</v>
      </c>
      <c r="AH19" s="390">
        <v>46155</v>
      </c>
      <c r="AI19" s="420" t="s">
        <v>466</v>
      </c>
      <c r="AJ19" s="117"/>
      <c r="AK19" s="117"/>
      <c r="AL19" s="117"/>
      <c r="AM19" s="117"/>
      <c r="AN19" s="117"/>
      <c r="AO19" s="391"/>
      <c r="AP19" s="391"/>
      <c r="AQ19" s="391"/>
    </row>
    <row r="20" s="380" customFormat="1" ht="25" customHeight="1" spans="1:43">
      <c r="A20" s="114">
        <v>46126</v>
      </c>
      <c r="B20" s="114" t="s">
        <v>79</v>
      </c>
      <c r="C20" s="34" t="s">
        <v>445</v>
      </c>
      <c r="D20" s="117" t="s">
        <v>291</v>
      </c>
      <c r="E20" s="117" t="s">
        <v>302</v>
      </c>
      <c r="F20" s="117"/>
      <c r="G20" s="117" t="s">
        <v>270</v>
      </c>
      <c r="H20" s="117" t="s">
        <v>271</v>
      </c>
      <c r="I20" s="211">
        <v>3900</v>
      </c>
      <c r="J20" s="211">
        <v>6</v>
      </c>
      <c r="K20" s="117">
        <f t="shared" si="0"/>
        <v>650</v>
      </c>
      <c r="L20" s="114">
        <v>46244</v>
      </c>
      <c r="M20" s="114">
        <v>46244</v>
      </c>
      <c r="N20" s="97">
        <v>46258</v>
      </c>
      <c r="O20" s="117"/>
      <c r="P20" s="382"/>
      <c r="Q20" s="383">
        <v>46157</v>
      </c>
      <c r="R20" s="383">
        <v>46161</v>
      </c>
      <c r="S20" s="383">
        <v>46169</v>
      </c>
      <c r="T20" s="384">
        <v>46155</v>
      </c>
      <c r="U20" s="385" t="s">
        <v>448</v>
      </c>
      <c r="V20" s="120" t="s">
        <v>449</v>
      </c>
      <c r="W20" s="384" t="s">
        <v>450</v>
      </c>
      <c r="X20" s="419" t="str">
        <f t="array" ref="X20">INDEX(系统货号!C:C,MATCH(1,(系统货号!A:A=G20)*(系统货号!B:B=V20),0))</f>
        <v>SP002A1-KMART</v>
      </c>
      <c r="Y20" s="385" t="s">
        <v>478</v>
      </c>
      <c r="Z20" s="384"/>
      <c r="AA20" s="384"/>
      <c r="AB20" s="117" t="s">
        <v>450</v>
      </c>
      <c r="AC20" s="117" t="s">
        <v>468</v>
      </c>
      <c r="AD20" s="128" t="s">
        <v>479</v>
      </c>
      <c r="AE20" s="388">
        <v>1.189</v>
      </c>
      <c r="AF20" s="389">
        <f t="shared" si="1"/>
        <v>4637.1</v>
      </c>
      <c r="AG20" s="389">
        <f t="shared" si="2"/>
        <v>35937.525</v>
      </c>
      <c r="AH20" s="390">
        <v>46137</v>
      </c>
      <c r="AI20" s="420" t="s">
        <v>466</v>
      </c>
      <c r="AJ20" s="117"/>
      <c r="AK20" s="117"/>
      <c r="AL20" s="117"/>
      <c r="AM20" s="117"/>
      <c r="AN20" s="117"/>
      <c r="AO20" s="391"/>
      <c r="AP20" s="391"/>
      <c r="AQ20" s="391"/>
    </row>
    <row r="21" s="380" customFormat="1" ht="25" customHeight="1" spans="1:43">
      <c r="A21" s="114">
        <v>46183</v>
      </c>
      <c r="B21" s="114" t="s">
        <v>79</v>
      </c>
      <c r="C21" s="34" t="s">
        <v>445</v>
      </c>
      <c r="D21" s="117" t="s">
        <v>78</v>
      </c>
      <c r="E21" s="117" t="s">
        <v>389</v>
      </c>
      <c r="F21" s="117"/>
      <c r="G21" s="117" t="s">
        <v>65</v>
      </c>
      <c r="H21" s="117" t="s">
        <v>260</v>
      </c>
      <c r="I21" s="211">
        <v>3000</v>
      </c>
      <c r="J21" s="211">
        <v>6</v>
      </c>
      <c r="K21" s="117">
        <f t="shared" si="0"/>
        <v>500</v>
      </c>
      <c r="L21" s="114">
        <v>46252</v>
      </c>
      <c r="M21" s="421">
        <v>46260</v>
      </c>
      <c r="N21" s="422" t="s">
        <v>481</v>
      </c>
      <c r="O21" s="117"/>
      <c r="P21" s="382"/>
      <c r="Q21" s="384">
        <v>46220</v>
      </c>
      <c r="R21" s="383">
        <v>46221</v>
      </c>
      <c r="S21" s="383">
        <v>46231</v>
      </c>
      <c r="T21" s="384">
        <v>46220</v>
      </c>
      <c r="U21" s="423" t="s">
        <v>448</v>
      </c>
      <c r="V21" s="120" t="s">
        <v>449</v>
      </c>
      <c r="W21" s="384" t="s">
        <v>459</v>
      </c>
      <c r="X21" s="419" t="str">
        <f t="array" ref="X21">INDEX(系统货号!C:C,MATCH(1,(系统货号!A:A=G21)*(系统货号!B:B=V21),0))</f>
        <v>BS090D6-KMART客版本</v>
      </c>
      <c r="Y21" s="424" t="s">
        <v>482</v>
      </c>
      <c r="Z21" s="384"/>
      <c r="AA21" s="384"/>
      <c r="AB21" s="425" t="s">
        <v>483</v>
      </c>
      <c r="AC21" s="426" t="s">
        <v>483</v>
      </c>
      <c r="AD21" s="427" t="s">
        <v>484</v>
      </c>
      <c r="AE21" s="388">
        <v>3.503</v>
      </c>
      <c r="AF21" s="389">
        <f t="shared" si="1"/>
        <v>10509</v>
      </c>
      <c r="AG21" s="389">
        <f t="shared" si="2"/>
        <v>81444.75</v>
      </c>
      <c r="AH21" s="390">
        <v>46203</v>
      </c>
      <c r="AI21" s="420" t="s">
        <v>462</v>
      </c>
      <c r="AJ21" s="428" t="s">
        <v>454</v>
      </c>
      <c r="AK21" s="117"/>
      <c r="AL21" s="117"/>
      <c r="AM21" s="117"/>
      <c r="AN21" s="117"/>
      <c r="AO21" s="391"/>
      <c r="AP21" s="391"/>
      <c r="AQ21" s="391"/>
    </row>
    <row r="22" s="380" customFormat="1" ht="25" customHeight="1" spans="1:43">
      <c r="A22" s="114">
        <v>46183</v>
      </c>
      <c r="B22" s="114" t="s">
        <v>84</v>
      </c>
      <c r="C22" s="34" t="s">
        <v>445</v>
      </c>
      <c r="D22" s="117" t="s">
        <v>78</v>
      </c>
      <c r="E22" s="117" t="s">
        <v>387</v>
      </c>
      <c r="F22" s="117"/>
      <c r="G22" s="117" t="s">
        <v>65</v>
      </c>
      <c r="H22" s="117" t="s">
        <v>260</v>
      </c>
      <c r="I22" s="211">
        <v>300</v>
      </c>
      <c r="J22" s="211">
        <v>6</v>
      </c>
      <c r="K22" s="117">
        <f t="shared" si="0"/>
        <v>50</v>
      </c>
      <c r="L22" s="114">
        <v>46252</v>
      </c>
      <c r="M22" s="421">
        <v>46260</v>
      </c>
      <c r="N22" s="422" t="s">
        <v>481</v>
      </c>
      <c r="O22" s="117"/>
      <c r="P22" s="382"/>
      <c r="Q22" s="384">
        <v>46220</v>
      </c>
      <c r="R22" s="383">
        <v>46221</v>
      </c>
      <c r="S22" s="383">
        <v>46231</v>
      </c>
      <c r="T22" s="384">
        <v>46220</v>
      </c>
      <c r="U22" s="423" t="s">
        <v>448</v>
      </c>
      <c r="V22" s="120" t="s">
        <v>449</v>
      </c>
      <c r="W22" s="384" t="s">
        <v>459</v>
      </c>
      <c r="X22" s="419" t="str">
        <f t="array" ref="X22">INDEX(系统货号!C:C,MATCH(1,(系统货号!A:A=G22)*(系统货号!B:B=V22),0))</f>
        <v>BS090D6-KMART客版本</v>
      </c>
      <c r="Y22" s="424" t="s">
        <v>482</v>
      </c>
      <c r="Z22" s="384"/>
      <c r="AA22" s="384"/>
      <c r="AB22" s="425" t="s">
        <v>483</v>
      </c>
      <c r="AC22" s="426" t="s">
        <v>483</v>
      </c>
      <c r="AD22" s="427" t="s">
        <v>485</v>
      </c>
      <c r="AE22" s="388">
        <v>3.503</v>
      </c>
      <c r="AF22" s="389">
        <f t="shared" si="1"/>
        <v>1050.9</v>
      </c>
      <c r="AG22" s="389">
        <f t="shared" si="2"/>
        <v>8144.475</v>
      </c>
      <c r="AH22" s="390">
        <v>46203</v>
      </c>
      <c r="AI22" s="420" t="s">
        <v>462</v>
      </c>
      <c r="AJ22" s="428" t="s">
        <v>454</v>
      </c>
      <c r="AK22" s="117"/>
      <c r="AL22" s="117"/>
      <c r="AM22" s="117"/>
      <c r="AN22" s="117"/>
      <c r="AO22" s="391"/>
      <c r="AP22" s="391"/>
      <c r="AQ22" s="391"/>
    </row>
    <row r="23" s="380" customFormat="1" ht="25" customHeight="1" spans="1:43">
      <c r="A23" s="114">
        <v>46178</v>
      </c>
      <c r="B23" s="114" t="s">
        <v>372</v>
      </c>
      <c r="C23" s="34" t="s">
        <v>445</v>
      </c>
      <c r="D23" s="117" t="s">
        <v>371</v>
      </c>
      <c r="E23" s="117" t="s">
        <v>373</v>
      </c>
      <c r="F23" s="117"/>
      <c r="G23" s="117" t="s">
        <v>70</v>
      </c>
      <c r="H23" s="117" t="s">
        <v>339</v>
      </c>
      <c r="I23" s="211">
        <v>108</v>
      </c>
      <c r="J23" s="211">
        <v>6</v>
      </c>
      <c r="K23" s="117">
        <f t="shared" si="0"/>
        <v>18</v>
      </c>
      <c r="L23" s="114">
        <v>46255</v>
      </c>
      <c r="M23" s="114">
        <v>46255</v>
      </c>
      <c r="N23" s="429" t="s">
        <v>486</v>
      </c>
      <c r="O23" s="117"/>
      <c r="P23" s="382"/>
      <c r="Q23" s="383">
        <v>46211</v>
      </c>
      <c r="R23" s="383">
        <v>46214</v>
      </c>
      <c r="S23" s="383">
        <v>46219</v>
      </c>
      <c r="T23" s="384">
        <v>46211</v>
      </c>
      <c r="U23" s="423" t="s">
        <v>448</v>
      </c>
      <c r="V23" s="120" t="s">
        <v>487</v>
      </c>
      <c r="W23" s="384" t="s">
        <v>488</v>
      </c>
      <c r="X23" s="419" t="str">
        <f t="array" ref="X23">INDEX(系统货号!C:C,MATCH(1,(系统货号!A:A=G23)*(系统货号!B:B=V23),0))</f>
        <v>BS085D6-TRU</v>
      </c>
      <c r="Y23" s="424" t="s">
        <v>482</v>
      </c>
      <c r="Z23" s="384"/>
      <c r="AA23" s="384"/>
      <c r="AB23" s="430">
        <v>100826</v>
      </c>
      <c r="AC23" s="430">
        <v>100826</v>
      </c>
      <c r="AD23" s="427" t="s">
        <v>489</v>
      </c>
      <c r="AE23" s="388">
        <v>3.443</v>
      </c>
      <c r="AF23" s="389">
        <f t="shared" si="1"/>
        <v>371.844</v>
      </c>
      <c r="AG23" s="389">
        <f t="shared" si="2"/>
        <v>2881.791</v>
      </c>
      <c r="AH23" s="390">
        <v>46212</v>
      </c>
      <c r="AI23" s="420" t="s">
        <v>462</v>
      </c>
      <c r="AJ23" s="428" t="s">
        <v>454</v>
      </c>
      <c r="AK23" s="117"/>
      <c r="AL23" s="117"/>
      <c r="AM23" s="117"/>
      <c r="AN23" s="117"/>
      <c r="AO23" s="391"/>
      <c r="AP23" s="391"/>
      <c r="AQ23" s="391"/>
    </row>
    <row r="24" s="380" customFormat="1" ht="25" customHeight="1" spans="1:43">
      <c r="A24" s="114">
        <v>46178</v>
      </c>
      <c r="B24" s="114" t="s">
        <v>372</v>
      </c>
      <c r="C24" s="34" t="s">
        <v>445</v>
      </c>
      <c r="D24" s="117" t="s">
        <v>371</v>
      </c>
      <c r="E24" s="117" t="s">
        <v>373</v>
      </c>
      <c r="F24" s="117"/>
      <c r="G24" s="117" t="s">
        <v>69</v>
      </c>
      <c r="H24" s="117" t="s">
        <v>325</v>
      </c>
      <c r="I24" s="211">
        <v>108</v>
      </c>
      <c r="J24" s="211">
        <v>6</v>
      </c>
      <c r="K24" s="117">
        <f t="shared" ref="K24:K63" si="3">I24/J24</f>
        <v>18</v>
      </c>
      <c r="L24" s="114">
        <v>46255</v>
      </c>
      <c r="M24" s="114">
        <v>46255</v>
      </c>
      <c r="N24" s="429" t="s">
        <v>486</v>
      </c>
      <c r="O24" s="117"/>
      <c r="P24" s="382"/>
      <c r="Q24" s="383">
        <v>46211</v>
      </c>
      <c r="R24" s="383">
        <v>46214</v>
      </c>
      <c r="S24" s="383">
        <v>46219</v>
      </c>
      <c r="T24" s="384">
        <v>46211</v>
      </c>
      <c r="U24" s="423" t="s">
        <v>448</v>
      </c>
      <c r="V24" s="120" t="s">
        <v>487</v>
      </c>
      <c r="W24" s="384" t="s">
        <v>488</v>
      </c>
      <c r="X24" s="419" t="str">
        <f t="array" ref="X24">INDEX(系统货号!C:C,MATCH(1,(系统货号!A:A=G24)*(系统货号!B:B=V24),0))</f>
        <v>BS086D6-TRU</v>
      </c>
      <c r="Y24" s="424" t="s">
        <v>482</v>
      </c>
      <c r="Z24" s="384"/>
      <c r="AA24" s="384"/>
      <c r="AB24" s="430">
        <v>100826</v>
      </c>
      <c r="AC24" s="430">
        <v>100826</v>
      </c>
      <c r="AD24" s="427" t="s">
        <v>489</v>
      </c>
      <c r="AE24" s="388">
        <v>3.542</v>
      </c>
      <c r="AF24" s="389">
        <f t="shared" si="1"/>
        <v>382.536</v>
      </c>
      <c r="AG24" s="389">
        <f t="shared" si="2"/>
        <v>2964.654</v>
      </c>
      <c r="AH24" s="390">
        <v>46212</v>
      </c>
      <c r="AI24" s="420" t="s">
        <v>462</v>
      </c>
      <c r="AJ24" s="428" t="s">
        <v>454</v>
      </c>
      <c r="AK24" s="117"/>
      <c r="AL24" s="117"/>
      <c r="AM24" s="117"/>
      <c r="AN24" s="117"/>
      <c r="AO24" s="391"/>
      <c r="AP24" s="391"/>
      <c r="AQ24" s="391"/>
    </row>
    <row r="25" s="380" customFormat="1" ht="25" customHeight="1" spans="1:43">
      <c r="A25" s="114">
        <v>46178</v>
      </c>
      <c r="B25" s="114" t="s">
        <v>374</v>
      </c>
      <c r="C25" s="34" t="s">
        <v>445</v>
      </c>
      <c r="D25" s="117" t="s">
        <v>371</v>
      </c>
      <c r="E25" s="117" t="s">
        <v>375</v>
      </c>
      <c r="F25" s="117"/>
      <c r="G25" s="117" t="s">
        <v>70</v>
      </c>
      <c r="H25" s="117" t="s">
        <v>339</v>
      </c>
      <c r="I25" s="211">
        <v>36</v>
      </c>
      <c r="J25" s="211">
        <v>6</v>
      </c>
      <c r="K25" s="117">
        <f t="shared" si="3"/>
        <v>6</v>
      </c>
      <c r="L25" s="114">
        <v>46255</v>
      </c>
      <c r="M25" s="114">
        <v>46255</v>
      </c>
      <c r="N25" s="429" t="s">
        <v>486</v>
      </c>
      <c r="O25" s="117"/>
      <c r="P25" s="382"/>
      <c r="Q25" s="383">
        <v>46211</v>
      </c>
      <c r="R25" s="383">
        <v>46214</v>
      </c>
      <c r="S25" s="383">
        <v>46219</v>
      </c>
      <c r="T25" s="384">
        <v>46211</v>
      </c>
      <c r="U25" s="423" t="s">
        <v>448</v>
      </c>
      <c r="V25" s="120" t="s">
        <v>487</v>
      </c>
      <c r="W25" s="384" t="s">
        <v>488</v>
      </c>
      <c r="X25" s="419" t="str">
        <f t="array" ref="X25">INDEX(系统货号!C:C,MATCH(1,(系统货号!A:A=G25)*(系统货号!B:B=V25),0))</f>
        <v>BS085D6-TRU</v>
      </c>
      <c r="Y25" s="424" t="s">
        <v>482</v>
      </c>
      <c r="Z25" s="384"/>
      <c r="AA25" s="384"/>
      <c r="AB25" s="430">
        <v>100826</v>
      </c>
      <c r="AC25" s="430">
        <v>100826</v>
      </c>
      <c r="AD25" s="427" t="s">
        <v>489</v>
      </c>
      <c r="AE25" s="388">
        <v>3.443</v>
      </c>
      <c r="AF25" s="389">
        <f t="shared" si="1"/>
        <v>123.948</v>
      </c>
      <c r="AG25" s="389">
        <f t="shared" si="2"/>
        <v>960.597</v>
      </c>
      <c r="AH25" s="390">
        <v>46212</v>
      </c>
      <c r="AI25" s="420" t="s">
        <v>462</v>
      </c>
      <c r="AJ25" s="428" t="s">
        <v>454</v>
      </c>
      <c r="AK25" s="117"/>
      <c r="AL25" s="117"/>
      <c r="AM25" s="117"/>
      <c r="AN25" s="117"/>
      <c r="AO25" s="391"/>
      <c r="AP25" s="391"/>
      <c r="AQ25" s="391"/>
    </row>
    <row r="26" s="380" customFormat="1" ht="25" customHeight="1" spans="1:43">
      <c r="A26" s="114">
        <v>46178</v>
      </c>
      <c r="B26" s="114" t="s">
        <v>374</v>
      </c>
      <c r="C26" s="34" t="s">
        <v>445</v>
      </c>
      <c r="D26" s="117" t="s">
        <v>371</v>
      </c>
      <c r="E26" s="117" t="s">
        <v>375</v>
      </c>
      <c r="F26" s="117"/>
      <c r="G26" s="117" t="s">
        <v>69</v>
      </c>
      <c r="H26" s="117" t="s">
        <v>325</v>
      </c>
      <c r="I26" s="211">
        <v>36</v>
      </c>
      <c r="J26" s="211">
        <v>6</v>
      </c>
      <c r="K26" s="117">
        <f t="shared" si="3"/>
        <v>6</v>
      </c>
      <c r="L26" s="114">
        <v>46255</v>
      </c>
      <c r="M26" s="114">
        <v>46255</v>
      </c>
      <c r="N26" s="429" t="s">
        <v>486</v>
      </c>
      <c r="O26" s="117"/>
      <c r="P26" s="382"/>
      <c r="Q26" s="383">
        <v>46211</v>
      </c>
      <c r="R26" s="383">
        <v>46214</v>
      </c>
      <c r="S26" s="383">
        <v>46219</v>
      </c>
      <c r="T26" s="384">
        <v>46211</v>
      </c>
      <c r="U26" s="423" t="s">
        <v>448</v>
      </c>
      <c r="V26" s="120" t="s">
        <v>487</v>
      </c>
      <c r="W26" s="384" t="s">
        <v>488</v>
      </c>
      <c r="X26" s="419" t="str">
        <f t="array" ref="X26">INDEX(系统货号!C:C,MATCH(1,(系统货号!A:A=G26)*(系统货号!B:B=V26),0))</f>
        <v>BS086D6-TRU</v>
      </c>
      <c r="Y26" s="424" t="s">
        <v>482</v>
      </c>
      <c r="Z26" s="384"/>
      <c r="AA26" s="384"/>
      <c r="AB26" s="430">
        <v>100826</v>
      </c>
      <c r="AC26" s="430">
        <v>100826</v>
      </c>
      <c r="AD26" s="427" t="s">
        <v>489</v>
      </c>
      <c r="AE26" s="388">
        <v>3.542</v>
      </c>
      <c r="AF26" s="389">
        <f t="shared" si="1"/>
        <v>127.512</v>
      </c>
      <c r="AG26" s="389">
        <f t="shared" si="2"/>
        <v>988.218</v>
      </c>
      <c r="AH26" s="390">
        <v>46212</v>
      </c>
      <c r="AI26" s="420" t="s">
        <v>462</v>
      </c>
      <c r="AJ26" s="428" t="s">
        <v>454</v>
      </c>
      <c r="AK26" s="117"/>
      <c r="AL26" s="117"/>
      <c r="AM26" s="117"/>
      <c r="AN26" s="117"/>
      <c r="AO26" s="391"/>
      <c r="AP26" s="391"/>
      <c r="AQ26" s="391"/>
    </row>
    <row r="27" s="380" customFormat="1" ht="25" customHeight="1" spans="1:43">
      <c r="A27" s="114">
        <v>46178</v>
      </c>
      <c r="B27" s="114" t="s">
        <v>378</v>
      </c>
      <c r="C27" s="34" t="s">
        <v>445</v>
      </c>
      <c r="D27" s="117" t="s">
        <v>371</v>
      </c>
      <c r="E27" s="117" t="s">
        <v>384</v>
      </c>
      <c r="F27" s="117"/>
      <c r="G27" s="117" t="s">
        <v>70</v>
      </c>
      <c r="H27" s="117" t="s">
        <v>339</v>
      </c>
      <c r="I27" s="211">
        <v>288</v>
      </c>
      <c r="J27" s="211">
        <v>6</v>
      </c>
      <c r="K27" s="117">
        <f t="shared" si="3"/>
        <v>48</v>
      </c>
      <c r="L27" s="114">
        <v>46255</v>
      </c>
      <c r="M27" s="114">
        <v>46255</v>
      </c>
      <c r="N27" s="429" t="s">
        <v>486</v>
      </c>
      <c r="O27" s="117"/>
      <c r="P27" s="382"/>
      <c r="Q27" s="383">
        <v>46211</v>
      </c>
      <c r="R27" s="383">
        <v>46214</v>
      </c>
      <c r="S27" s="383">
        <v>46219</v>
      </c>
      <c r="T27" s="384">
        <v>46211</v>
      </c>
      <c r="U27" s="423" t="s">
        <v>448</v>
      </c>
      <c r="V27" s="120" t="s">
        <v>487</v>
      </c>
      <c r="W27" s="384" t="s">
        <v>488</v>
      </c>
      <c r="X27" s="419" t="str">
        <f t="array" ref="X27">INDEX(系统货号!C:C,MATCH(1,(系统货号!A:A=G27)*(系统货号!B:B=V27),0))</f>
        <v>BS085D6-TRU</v>
      </c>
      <c r="Y27" s="424" t="s">
        <v>482</v>
      </c>
      <c r="Z27" s="384"/>
      <c r="AA27" s="384"/>
      <c r="AB27" s="430">
        <v>100826</v>
      </c>
      <c r="AC27" s="430">
        <v>100826</v>
      </c>
      <c r="AD27" s="427" t="s">
        <v>489</v>
      </c>
      <c r="AE27" s="388">
        <v>3.443</v>
      </c>
      <c r="AF27" s="389">
        <f t="shared" si="1"/>
        <v>991.584</v>
      </c>
      <c r="AG27" s="389">
        <f t="shared" si="2"/>
        <v>7684.776</v>
      </c>
      <c r="AH27" s="390">
        <v>46212</v>
      </c>
      <c r="AI27" s="420" t="s">
        <v>462</v>
      </c>
      <c r="AJ27" s="428" t="s">
        <v>454</v>
      </c>
      <c r="AK27" s="117"/>
      <c r="AL27" s="117"/>
      <c r="AM27" s="117"/>
      <c r="AN27" s="117"/>
      <c r="AO27" s="391"/>
      <c r="AP27" s="391"/>
      <c r="AQ27" s="391"/>
    </row>
    <row r="28" s="380" customFormat="1" ht="25" customHeight="1" spans="1:43">
      <c r="A28" s="114">
        <v>46178</v>
      </c>
      <c r="B28" s="114" t="s">
        <v>378</v>
      </c>
      <c r="C28" s="34" t="s">
        <v>445</v>
      </c>
      <c r="D28" s="117" t="s">
        <v>371</v>
      </c>
      <c r="E28" s="117" t="s">
        <v>384</v>
      </c>
      <c r="F28" s="117"/>
      <c r="G28" s="117" t="s">
        <v>69</v>
      </c>
      <c r="H28" s="117" t="s">
        <v>325</v>
      </c>
      <c r="I28" s="211">
        <v>288</v>
      </c>
      <c r="J28" s="211">
        <v>6</v>
      </c>
      <c r="K28" s="117">
        <f t="shared" si="3"/>
        <v>48</v>
      </c>
      <c r="L28" s="114">
        <v>46255</v>
      </c>
      <c r="M28" s="114">
        <v>46255</v>
      </c>
      <c r="N28" s="429" t="s">
        <v>486</v>
      </c>
      <c r="O28" s="117"/>
      <c r="P28" s="382"/>
      <c r="Q28" s="383">
        <v>46211</v>
      </c>
      <c r="R28" s="383">
        <v>46214</v>
      </c>
      <c r="S28" s="383">
        <v>46219</v>
      </c>
      <c r="T28" s="384">
        <v>46211</v>
      </c>
      <c r="U28" s="423" t="s">
        <v>448</v>
      </c>
      <c r="V28" s="120" t="s">
        <v>487</v>
      </c>
      <c r="W28" s="384" t="s">
        <v>488</v>
      </c>
      <c r="X28" s="419" t="str">
        <f t="array" ref="X28">INDEX(系统货号!C:C,MATCH(1,(系统货号!A:A=G28)*(系统货号!B:B=V28),0))</f>
        <v>BS086D6-TRU</v>
      </c>
      <c r="Y28" s="424" t="s">
        <v>482</v>
      </c>
      <c r="Z28" s="384"/>
      <c r="AA28" s="384"/>
      <c r="AB28" s="430">
        <v>100826</v>
      </c>
      <c r="AC28" s="430">
        <v>100826</v>
      </c>
      <c r="AD28" s="427" t="s">
        <v>489</v>
      </c>
      <c r="AE28" s="388">
        <v>3.542</v>
      </c>
      <c r="AF28" s="389">
        <f t="shared" si="1"/>
        <v>1020.096</v>
      </c>
      <c r="AG28" s="389">
        <f t="shared" si="2"/>
        <v>7905.744</v>
      </c>
      <c r="AH28" s="390">
        <v>46212</v>
      </c>
      <c r="AI28" s="420" t="s">
        <v>462</v>
      </c>
      <c r="AJ28" s="428" t="s">
        <v>454</v>
      </c>
      <c r="AK28" s="117"/>
      <c r="AL28" s="117"/>
      <c r="AM28" s="117"/>
      <c r="AN28" s="117"/>
      <c r="AO28" s="391"/>
      <c r="AP28" s="391"/>
      <c r="AQ28" s="391"/>
    </row>
    <row r="29" s="380" customFormat="1" ht="25" customHeight="1" spans="1:43">
      <c r="A29" s="114">
        <v>46178</v>
      </c>
      <c r="B29" s="114" t="s">
        <v>380</v>
      </c>
      <c r="C29" s="34" t="s">
        <v>445</v>
      </c>
      <c r="D29" s="117" t="s">
        <v>371</v>
      </c>
      <c r="E29" s="117" t="s">
        <v>385</v>
      </c>
      <c r="F29" s="117"/>
      <c r="G29" s="117" t="s">
        <v>70</v>
      </c>
      <c r="H29" s="117" t="s">
        <v>339</v>
      </c>
      <c r="I29" s="211">
        <v>288</v>
      </c>
      <c r="J29" s="211">
        <v>6</v>
      </c>
      <c r="K29" s="117">
        <f t="shared" si="3"/>
        <v>48</v>
      </c>
      <c r="L29" s="114">
        <v>46255</v>
      </c>
      <c r="M29" s="114">
        <v>46255</v>
      </c>
      <c r="N29" s="429" t="s">
        <v>486</v>
      </c>
      <c r="O29" s="117"/>
      <c r="P29" s="382"/>
      <c r="Q29" s="383">
        <v>46211</v>
      </c>
      <c r="R29" s="383">
        <v>46214</v>
      </c>
      <c r="S29" s="383">
        <v>46219</v>
      </c>
      <c r="T29" s="384">
        <v>46211</v>
      </c>
      <c r="U29" s="423" t="s">
        <v>448</v>
      </c>
      <c r="V29" s="120" t="s">
        <v>487</v>
      </c>
      <c r="W29" s="384" t="s">
        <v>488</v>
      </c>
      <c r="X29" s="419" t="str">
        <f t="array" ref="X29">INDEX(系统货号!C:C,MATCH(1,(系统货号!A:A=G29)*(系统货号!B:B=V29),0))</f>
        <v>BS085D6-TRU</v>
      </c>
      <c r="Y29" s="424" t="s">
        <v>482</v>
      </c>
      <c r="Z29" s="384"/>
      <c r="AA29" s="384"/>
      <c r="AB29" s="430">
        <v>100826</v>
      </c>
      <c r="AC29" s="430">
        <v>100826</v>
      </c>
      <c r="AD29" s="427" t="s">
        <v>489</v>
      </c>
      <c r="AE29" s="388">
        <v>3.443</v>
      </c>
      <c r="AF29" s="389">
        <f t="shared" si="1"/>
        <v>991.584</v>
      </c>
      <c r="AG29" s="389">
        <f t="shared" si="2"/>
        <v>7684.776</v>
      </c>
      <c r="AH29" s="390">
        <v>46212</v>
      </c>
      <c r="AI29" s="420" t="s">
        <v>462</v>
      </c>
      <c r="AJ29" s="428" t="s">
        <v>454</v>
      </c>
      <c r="AK29" s="117"/>
      <c r="AL29" s="117"/>
      <c r="AM29" s="117"/>
      <c r="AN29" s="117"/>
      <c r="AO29" s="391"/>
      <c r="AP29" s="391"/>
      <c r="AQ29" s="391"/>
    </row>
    <row r="30" s="380" customFormat="1" ht="25" customHeight="1" spans="1:43">
      <c r="A30" s="114">
        <v>46178</v>
      </c>
      <c r="B30" s="114" t="s">
        <v>380</v>
      </c>
      <c r="C30" s="34" t="s">
        <v>445</v>
      </c>
      <c r="D30" s="117" t="s">
        <v>371</v>
      </c>
      <c r="E30" s="117" t="s">
        <v>385</v>
      </c>
      <c r="F30" s="117"/>
      <c r="G30" s="117" t="s">
        <v>69</v>
      </c>
      <c r="H30" s="117" t="s">
        <v>325</v>
      </c>
      <c r="I30" s="211">
        <v>288</v>
      </c>
      <c r="J30" s="211">
        <v>6</v>
      </c>
      <c r="K30" s="117">
        <f t="shared" si="3"/>
        <v>48</v>
      </c>
      <c r="L30" s="114">
        <v>46255</v>
      </c>
      <c r="M30" s="114">
        <v>46255</v>
      </c>
      <c r="N30" s="431" t="s">
        <v>486</v>
      </c>
      <c r="O30" s="117"/>
      <c r="P30" s="382"/>
      <c r="Q30" s="383">
        <v>46211</v>
      </c>
      <c r="R30" s="383">
        <v>46214</v>
      </c>
      <c r="S30" s="383">
        <v>46219</v>
      </c>
      <c r="T30" s="384">
        <v>46211</v>
      </c>
      <c r="U30" s="423" t="s">
        <v>448</v>
      </c>
      <c r="V30" s="120" t="s">
        <v>487</v>
      </c>
      <c r="W30" s="384" t="s">
        <v>488</v>
      </c>
      <c r="X30" s="419" t="str">
        <f t="array" ref="X30">INDEX(系统货号!C:C,MATCH(1,(系统货号!A:A=G30)*(系统货号!B:B=V30),0))</f>
        <v>BS086D6-TRU</v>
      </c>
      <c r="Y30" s="424" t="s">
        <v>482</v>
      </c>
      <c r="Z30" s="384"/>
      <c r="AA30" s="384"/>
      <c r="AB30" s="430">
        <v>100826</v>
      </c>
      <c r="AC30" s="430">
        <v>100826</v>
      </c>
      <c r="AD30" s="427" t="s">
        <v>489</v>
      </c>
      <c r="AE30" s="388">
        <v>3.542</v>
      </c>
      <c r="AF30" s="389">
        <f t="shared" si="1"/>
        <v>1020.096</v>
      </c>
      <c r="AG30" s="389">
        <f t="shared" si="2"/>
        <v>7905.744</v>
      </c>
      <c r="AH30" s="390">
        <v>46212</v>
      </c>
      <c r="AI30" s="420" t="s">
        <v>462</v>
      </c>
      <c r="AJ30" s="428" t="s">
        <v>454</v>
      </c>
      <c r="AK30" s="117"/>
      <c r="AL30" s="117"/>
      <c r="AM30" s="117"/>
      <c r="AN30" s="117"/>
      <c r="AO30" s="391"/>
      <c r="AP30" s="391"/>
      <c r="AQ30" s="391"/>
    </row>
    <row r="31" s="380" customFormat="1" ht="25" customHeight="1" spans="1:43">
      <c r="A31" s="114">
        <v>46178</v>
      </c>
      <c r="B31" s="114" t="s">
        <v>382</v>
      </c>
      <c r="C31" s="34" t="s">
        <v>445</v>
      </c>
      <c r="D31" s="117" t="s">
        <v>371</v>
      </c>
      <c r="E31" s="117" t="s">
        <v>386</v>
      </c>
      <c r="F31" s="117"/>
      <c r="G31" s="117" t="s">
        <v>70</v>
      </c>
      <c r="H31" s="117" t="s">
        <v>339</v>
      </c>
      <c r="I31" s="211">
        <v>288</v>
      </c>
      <c r="J31" s="211">
        <v>6</v>
      </c>
      <c r="K31" s="117">
        <f t="shared" si="3"/>
        <v>48</v>
      </c>
      <c r="L31" s="114">
        <v>46255</v>
      </c>
      <c r="M31" s="114">
        <v>46255</v>
      </c>
      <c r="N31" s="429" t="s">
        <v>486</v>
      </c>
      <c r="O31" s="117"/>
      <c r="P31" s="382"/>
      <c r="Q31" s="383">
        <v>46211</v>
      </c>
      <c r="R31" s="383">
        <v>46214</v>
      </c>
      <c r="S31" s="383">
        <v>46219</v>
      </c>
      <c r="T31" s="384">
        <v>46211</v>
      </c>
      <c r="U31" s="423" t="s">
        <v>448</v>
      </c>
      <c r="V31" s="120" t="s">
        <v>487</v>
      </c>
      <c r="W31" s="384" t="s">
        <v>488</v>
      </c>
      <c r="X31" s="419" t="str">
        <f t="array" ref="X31">INDEX(系统货号!C:C,MATCH(1,(系统货号!A:A=G31)*(系统货号!B:B=V31),0))</f>
        <v>BS085D6-TRU</v>
      </c>
      <c r="Y31" s="424" t="s">
        <v>482</v>
      </c>
      <c r="Z31" s="384"/>
      <c r="AA31" s="384"/>
      <c r="AB31" s="430">
        <v>100826</v>
      </c>
      <c r="AC31" s="430">
        <v>100826</v>
      </c>
      <c r="AD31" s="427" t="s">
        <v>489</v>
      </c>
      <c r="AE31" s="388">
        <v>3.443</v>
      </c>
      <c r="AF31" s="389">
        <f t="shared" si="1"/>
        <v>991.584</v>
      </c>
      <c r="AG31" s="389">
        <f t="shared" si="2"/>
        <v>7684.776</v>
      </c>
      <c r="AH31" s="390">
        <v>46212</v>
      </c>
      <c r="AI31" s="420" t="s">
        <v>462</v>
      </c>
      <c r="AJ31" s="428" t="s">
        <v>454</v>
      </c>
      <c r="AK31" s="117"/>
      <c r="AL31" s="117"/>
      <c r="AM31" s="117"/>
      <c r="AN31" s="117"/>
      <c r="AO31" s="391"/>
      <c r="AP31" s="391"/>
      <c r="AQ31" s="391"/>
    </row>
    <row r="32" s="380" customFormat="1" ht="25" customHeight="1" spans="1:43">
      <c r="A32" s="114">
        <v>46178</v>
      </c>
      <c r="B32" s="114" t="s">
        <v>382</v>
      </c>
      <c r="C32" s="34" t="s">
        <v>445</v>
      </c>
      <c r="D32" s="117" t="s">
        <v>371</v>
      </c>
      <c r="E32" s="117" t="s">
        <v>386</v>
      </c>
      <c r="F32" s="117"/>
      <c r="G32" s="117" t="s">
        <v>69</v>
      </c>
      <c r="H32" s="117" t="s">
        <v>325</v>
      </c>
      <c r="I32" s="211">
        <v>288</v>
      </c>
      <c r="J32" s="211">
        <v>6</v>
      </c>
      <c r="K32" s="117">
        <f t="shared" si="3"/>
        <v>48</v>
      </c>
      <c r="L32" s="114">
        <v>46255</v>
      </c>
      <c r="M32" s="114">
        <v>46255</v>
      </c>
      <c r="N32" s="429" t="s">
        <v>486</v>
      </c>
      <c r="O32" s="117"/>
      <c r="P32" s="382"/>
      <c r="Q32" s="383">
        <v>46211</v>
      </c>
      <c r="R32" s="383">
        <v>46214</v>
      </c>
      <c r="S32" s="383">
        <v>46219</v>
      </c>
      <c r="T32" s="384">
        <v>46211</v>
      </c>
      <c r="U32" s="423" t="s">
        <v>448</v>
      </c>
      <c r="V32" s="120" t="s">
        <v>487</v>
      </c>
      <c r="W32" s="384" t="s">
        <v>488</v>
      </c>
      <c r="X32" s="419" t="str">
        <f t="array" ref="X32">INDEX(系统货号!C:C,MATCH(1,(系统货号!A:A=G32)*(系统货号!B:B=V32),0))</f>
        <v>BS086D6-TRU</v>
      </c>
      <c r="Y32" s="424" t="s">
        <v>482</v>
      </c>
      <c r="Z32" s="384"/>
      <c r="AA32" s="384"/>
      <c r="AB32" s="430">
        <v>100826</v>
      </c>
      <c r="AC32" s="430">
        <v>100826</v>
      </c>
      <c r="AD32" s="427" t="s">
        <v>489</v>
      </c>
      <c r="AE32" s="388">
        <v>3.542</v>
      </c>
      <c r="AF32" s="389">
        <f t="shared" si="1"/>
        <v>1020.096</v>
      </c>
      <c r="AG32" s="389">
        <f t="shared" si="2"/>
        <v>7905.744</v>
      </c>
      <c r="AH32" s="390">
        <v>46212</v>
      </c>
      <c r="AI32" s="420" t="s">
        <v>462</v>
      </c>
      <c r="AJ32" s="428" t="s">
        <v>454</v>
      </c>
      <c r="AK32" s="117"/>
      <c r="AL32" s="117"/>
      <c r="AM32" s="117"/>
      <c r="AN32" s="117"/>
      <c r="AO32" s="391"/>
      <c r="AP32" s="391"/>
      <c r="AQ32" s="391"/>
    </row>
    <row r="33" s="380" customFormat="1" ht="25" customHeight="1" spans="1:43">
      <c r="A33" s="114">
        <v>46178</v>
      </c>
      <c r="B33" s="114" t="s">
        <v>251</v>
      </c>
      <c r="C33" s="34" t="s">
        <v>445</v>
      </c>
      <c r="D33" s="117" t="s">
        <v>365</v>
      </c>
      <c r="E33" s="117" t="s">
        <v>367</v>
      </c>
      <c r="F33" s="117"/>
      <c r="G33" s="117" t="s">
        <v>270</v>
      </c>
      <c r="H33" s="117" t="s">
        <v>271</v>
      </c>
      <c r="I33" s="211">
        <v>1902</v>
      </c>
      <c r="J33" s="211">
        <v>6</v>
      </c>
      <c r="K33" s="117">
        <f t="shared" si="3"/>
        <v>317</v>
      </c>
      <c r="L33" s="114">
        <v>46265</v>
      </c>
      <c r="M33" s="114">
        <v>46265</v>
      </c>
      <c r="N33" s="114"/>
      <c r="O33" s="117"/>
      <c r="P33" s="382"/>
      <c r="Q33" s="383">
        <v>46213</v>
      </c>
      <c r="R33" s="383">
        <v>46214</v>
      </c>
      <c r="S33" s="383">
        <v>46219</v>
      </c>
      <c r="T33" s="384">
        <v>46155</v>
      </c>
      <c r="U33" s="423" t="s">
        <v>448</v>
      </c>
      <c r="V33" s="120" t="s">
        <v>449</v>
      </c>
      <c r="W33" s="384" t="s">
        <v>450</v>
      </c>
      <c r="X33" s="419" t="str">
        <f t="array" ref="X33">INDEX(系统货号!C:C,MATCH(1,(系统货号!A:A=G33)*(系统货号!B:B=V33),0))</f>
        <v>SP002A1-KMART</v>
      </c>
      <c r="Y33" s="385"/>
      <c r="Z33" s="384"/>
      <c r="AA33" s="384"/>
      <c r="AB33" s="117" t="s">
        <v>450</v>
      </c>
      <c r="AC33" s="432" t="s">
        <v>468</v>
      </c>
      <c r="AD33" s="427" t="s">
        <v>469</v>
      </c>
      <c r="AE33" s="388">
        <v>1.193</v>
      </c>
      <c r="AF33" s="389">
        <f t="shared" si="1"/>
        <v>2269.086</v>
      </c>
      <c r="AG33" s="389">
        <f t="shared" si="2"/>
        <v>17585.4165</v>
      </c>
      <c r="AH33" s="390">
        <v>46183</v>
      </c>
      <c r="AI33" s="420" t="s">
        <v>466</v>
      </c>
      <c r="AJ33" s="117"/>
      <c r="AK33" s="117"/>
      <c r="AL33" s="117"/>
      <c r="AM33" s="117"/>
      <c r="AN33" s="117"/>
      <c r="AO33" s="391"/>
      <c r="AP33" s="391"/>
      <c r="AQ33" s="391"/>
    </row>
    <row r="34" s="380" customFormat="1" ht="25" customHeight="1" spans="1:43">
      <c r="A34" s="114">
        <v>46126</v>
      </c>
      <c r="B34" s="114" t="s">
        <v>79</v>
      </c>
      <c r="C34" s="34" t="s">
        <v>445</v>
      </c>
      <c r="D34" s="117" t="s">
        <v>78</v>
      </c>
      <c r="E34" s="117" t="s">
        <v>303</v>
      </c>
      <c r="F34" s="117"/>
      <c r="G34" s="117" t="s">
        <v>270</v>
      </c>
      <c r="H34" s="117" t="s">
        <v>271</v>
      </c>
      <c r="I34" s="211">
        <v>35100</v>
      </c>
      <c r="J34" s="211">
        <v>6</v>
      </c>
      <c r="K34" s="117">
        <f t="shared" si="3"/>
        <v>5850</v>
      </c>
      <c r="L34" s="114">
        <v>46266</v>
      </c>
      <c r="M34" s="114">
        <v>46266</v>
      </c>
      <c r="N34" s="97"/>
      <c r="O34" s="117"/>
      <c r="P34" s="382"/>
      <c r="Q34" s="383">
        <v>46157</v>
      </c>
      <c r="R34" s="383">
        <v>46161</v>
      </c>
      <c r="S34" s="383">
        <v>46174</v>
      </c>
      <c r="T34" s="384">
        <v>46155</v>
      </c>
      <c r="U34" s="385" t="s">
        <v>448</v>
      </c>
      <c r="V34" s="120" t="s">
        <v>449</v>
      </c>
      <c r="W34" s="384" t="s">
        <v>450</v>
      </c>
      <c r="X34" s="419" t="str">
        <f t="array" ref="X34">INDEX(系统货号!C:C,MATCH(1,(系统货号!A:A=G34)*(系统货号!B:B=V34),0))</f>
        <v>SP002A1-KMART</v>
      </c>
      <c r="Y34" s="385" t="s">
        <v>478</v>
      </c>
      <c r="Z34" s="384"/>
      <c r="AA34" s="384"/>
      <c r="AB34" s="117" t="s">
        <v>450</v>
      </c>
      <c r="AC34" s="117" t="s">
        <v>468</v>
      </c>
      <c r="AD34" s="128" t="s">
        <v>479</v>
      </c>
      <c r="AE34" s="388">
        <v>1.189</v>
      </c>
      <c r="AF34" s="389">
        <f t="shared" si="1"/>
        <v>41733.9</v>
      </c>
      <c r="AG34" s="389">
        <f t="shared" si="2"/>
        <v>323437.725</v>
      </c>
      <c r="AH34" s="390">
        <v>46137</v>
      </c>
      <c r="AI34" s="420" t="s">
        <v>466</v>
      </c>
      <c r="AJ34" s="117"/>
      <c r="AK34" s="117"/>
      <c r="AL34" s="117"/>
      <c r="AM34" s="117"/>
      <c r="AN34" s="117"/>
      <c r="AO34" s="391"/>
      <c r="AP34" s="391"/>
      <c r="AQ34" s="391"/>
    </row>
    <row r="35" s="380" customFormat="1" ht="25" customHeight="1" spans="1:43">
      <c r="A35" s="114">
        <v>46126</v>
      </c>
      <c r="B35" s="114" t="s">
        <v>84</v>
      </c>
      <c r="C35" s="34" t="s">
        <v>445</v>
      </c>
      <c r="D35" s="117" t="s">
        <v>78</v>
      </c>
      <c r="E35" s="117" t="s">
        <v>304</v>
      </c>
      <c r="F35" s="117"/>
      <c r="G35" s="117" t="s">
        <v>270</v>
      </c>
      <c r="H35" s="117" t="s">
        <v>271</v>
      </c>
      <c r="I35" s="211">
        <v>3510</v>
      </c>
      <c r="J35" s="211">
        <v>6</v>
      </c>
      <c r="K35" s="117">
        <f t="shared" si="3"/>
        <v>585</v>
      </c>
      <c r="L35" s="114">
        <v>46266</v>
      </c>
      <c r="M35" s="114">
        <v>46266</v>
      </c>
      <c r="N35" s="97"/>
      <c r="O35" s="117"/>
      <c r="P35" s="382"/>
      <c r="Q35" s="383">
        <v>46157</v>
      </c>
      <c r="R35" s="383">
        <v>46161</v>
      </c>
      <c r="S35" s="383">
        <v>46174</v>
      </c>
      <c r="T35" s="384">
        <v>46155</v>
      </c>
      <c r="U35" s="385" t="s">
        <v>448</v>
      </c>
      <c r="V35" s="120" t="s">
        <v>449</v>
      </c>
      <c r="W35" s="384" t="s">
        <v>450</v>
      </c>
      <c r="X35" s="419" t="str">
        <f t="array" ref="X35">INDEX(系统货号!C:C,MATCH(1,(系统货号!A:A=G35)*(系统货号!B:B=V35),0))</f>
        <v>SP002A1-KMART</v>
      </c>
      <c r="Y35" s="385" t="s">
        <v>478</v>
      </c>
      <c r="Z35" s="384"/>
      <c r="AA35" s="384"/>
      <c r="AB35" s="117" t="s">
        <v>450</v>
      </c>
      <c r="AC35" s="117" t="s">
        <v>468</v>
      </c>
      <c r="AD35" s="128" t="s">
        <v>479</v>
      </c>
      <c r="AE35" s="388">
        <v>1.189</v>
      </c>
      <c r="AF35" s="389">
        <f t="shared" si="1"/>
        <v>4173.39</v>
      </c>
      <c r="AG35" s="389">
        <f t="shared" si="2"/>
        <v>32343.7725</v>
      </c>
      <c r="AH35" s="390">
        <v>46137</v>
      </c>
      <c r="AI35" s="420" t="s">
        <v>466</v>
      </c>
      <c r="AJ35" s="117"/>
      <c r="AK35" s="117"/>
      <c r="AL35" s="117"/>
      <c r="AM35" s="117"/>
      <c r="AN35" s="117"/>
      <c r="AO35" s="391"/>
      <c r="AP35" s="391"/>
      <c r="AQ35" s="391"/>
    </row>
    <row r="36" s="380" customFormat="1" ht="25" customHeight="1" spans="1:43">
      <c r="A36" s="114">
        <v>46126</v>
      </c>
      <c r="B36" s="114" t="s">
        <v>79</v>
      </c>
      <c r="C36" s="34" t="s">
        <v>445</v>
      </c>
      <c r="D36" s="117" t="s">
        <v>78</v>
      </c>
      <c r="E36" s="117" t="s">
        <v>305</v>
      </c>
      <c r="F36" s="117"/>
      <c r="G36" s="117" t="s">
        <v>44</v>
      </c>
      <c r="H36" s="117" t="s">
        <v>276</v>
      </c>
      <c r="I36" s="211">
        <v>7500</v>
      </c>
      <c r="J36" s="211">
        <v>6</v>
      </c>
      <c r="K36" s="117">
        <f t="shared" si="3"/>
        <v>1250</v>
      </c>
      <c r="L36" s="114">
        <v>46266</v>
      </c>
      <c r="M36" s="114">
        <v>46266</v>
      </c>
      <c r="N36" s="97"/>
      <c r="O36" s="117"/>
      <c r="P36" s="382"/>
      <c r="Q36" s="383">
        <v>46157</v>
      </c>
      <c r="R36" s="383">
        <v>46161</v>
      </c>
      <c r="S36" s="383">
        <v>46174</v>
      </c>
      <c r="T36" s="384">
        <v>46155</v>
      </c>
      <c r="U36" s="385" t="s">
        <v>448</v>
      </c>
      <c r="V36" s="120" t="s">
        <v>449</v>
      </c>
      <c r="W36" s="384" t="s">
        <v>450</v>
      </c>
      <c r="X36" s="419" t="str">
        <f t="array" ref="X36">INDEX(系统货号!C:C,MATCH(1,(系统货号!A:A=G36)*(系统货号!B:B=V36),0))</f>
        <v>SP003A2-KMART</v>
      </c>
      <c r="Y36" s="385" t="s">
        <v>478</v>
      </c>
      <c r="Z36" s="384"/>
      <c r="AA36" s="384"/>
      <c r="AB36" s="117" t="s">
        <v>450</v>
      </c>
      <c r="AC36" s="117" t="s">
        <v>468</v>
      </c>
      <c r="AD36" s="128" t="s">
        <v>479</v>
      </c>
      <c r="AE36" s="388">
        <v>1.462</v>
      </c>
      <c r="AF36" s="389">
        <f t="shared" si="1"/>
        <v>10965</v>
      </c>
      <c r="AG36" s="389">
        <f t="shared" si="2"/>
        <v>84978.75</v>
      </c>
      <c r="AH36" s="390">
        <v>46137</v>
      </c>
      <c r="AI36" s="420" t="s">
        <v>466</v>
      </c>
      <c r="AJ36" s="117"/>
      <c r="AK36" s="117"/>
      <c r="AL36" s="117"/>
      <c r="AM36" s="117"/>
      <c r="AN36" s="117"/>
      <c r="AO36" s="391"/>
      <c r="AP36" s="391"/>
      <c r="AQ36" s="391"/>
    </row>
    <row r="37" s="380" customFormat="1" ht="25" customHeight="1" spans="1:43">
      <c r="A37" s="114">
        <v>46126</v>
      </c>
      <c r="B37" s="114" t="s">
        <v>84</v>
      </c>
      <c r="C37" s="34" t="s">
        <v>445</v>
      </c>
      <c r="D37" s="117" t="s">
        <v>78</v>
      </c>
      <c r="E37" s="117" t="s">
        <v>306</v>
      </c>
      <c r="F37" s="117"/>
      <c r="G37" s="117" t="s">
        <v>44</v>
      </c>
      <c r="H37" s="117" t="s">
        <v>276</v>
      </c>
      <c r="I37" s="211">
        <v>750</v>
      </c>
      <c r="J37" s="211">
        <v>6</v>
      </c>
      <c r="K37" s="117">
        <f t="shared" si="3"/>
        <v>125</v>
      </c>
      <c r="L37" s="114">
        <v>46266</v>
      </c>
      <c r="M37" s="114">
        <v>46266</v>
      </c>
      <c r="N37" s="97"/>
      <c r="O37" s="117"/>
      <c r="P37" s="382"/>
      <c r="Q37" s="383">
        <v>46157</v>
      </c>
      <c r="R37" s="383">
        <v>46161</v>
      </c>
      <c r="S37" s="383">
        <v>46174</v>
      </c>
      <c r="T37" s="384">
        <v>46155</v>
      </c>
      <c r="U37" s="385" t="s">
        <v>448</v>
      </c>
      <c r="V37" s="120" t="s">
        <v>449</v>
      </c>
      <c r="W37" s="384" t="s">
        <v>450</v>
      </c>
      <c r="X37" s="419" t="str">
        <f t="array" ref="X37">INDEX(系统货号!C:C,MATCH(1,(系统货号!A:A=G37)*(系统货号!B:B=V37),0))</f>
        <v>SP003A2-KMART</v>
      </c>
      <c r="Y37" s="385" t="s">
        <v>478</v>
      </c>
      <c r="Z37" s="384"/>
      <c r="AA37" s="384"/>
      <c r="AB37" s="117" t="s">
        <v>450</v>
      </c>
      <c r="AC37" s="117" t="s">
        <v>468</v>
      </c>
      <c r="AD37" s="128" t="s">
        <v>479</v>
      </c>
      <c r="AE37" s="388">
        <v>1.462</v>
      </c>
      <c r="AF37" s="389">
        <f t="shared" si="1"/>
        <v>1096.5</v>
      </c>
      <c r="AG37" s="389">
        <f t="shared" si="2"/>
        <v>8497.875</v>
      </c>
      <c r="AH37" s="390">
        <v>46137</v>
      </c>
      <c r="AI37" s="420" t="s">
        <v>466</v>
      </c>
      <c r="AJ37" s="117"/>
      <c r="AK37" s="117"/>
      <c r="AL37" s="117"/>
      <c r="AM37" s="117"/>
      <c r="AN37" s="117"/>
      <c r="AO37" s="391"/>
      <c r="AP37" s="391"/>
      <c r="AQ37" s="391"/>
    </row>
    <row r="38" s="380" customFormat="1" ht="25" customHeight="1" spans="1:43">
      <c r="A38" s="114">
        <v>46126</v>
      </c>
      <c r="B38" s="114" t="s">
        <v>79</v>
      </c>
      <c r="C38" s="34" t="s">
        <v>445</v>
      </c>
      <c r="D38" s="117" t="s">
        <v>78</v>
      </c>
      <c r="E38" s="117" t="s">
        <v>307</v>
      </c>
      <c r="F38" s="117"/>
      <c r="G38" s="117" t="s">
        <v>281</v>
      </c>
      <c r="H38" s="117" t="s">
        <v>282</v>
      </c>
      <c r="I38" s="211">
        <v>7500</v>
      </c>
      <c r="J38" s="211">
        <v>6</v>
      </c>
      <c r="K38" s="117">
        <f t="shared" si="3"/>
        <v>1250</v>
      </c>
      <c r="L38" s="114">
        <v>46266</v>
      </c>
      <c r="M38" s="114">
        <v>46266</v>
      </c>
      <c r="N38" s="97"/>
      <c r="O38" s="117"/>
      <c r="P38" s="382"/>
      <c r="Q38" s="383">
        <v>46157</v>
      </c>
      <c r="R38" s="383">
        <v>46161</v>
      </c>
      <c r="S38" s="383">
        <v>46174</v>
      </c>
      <c r="T38" s="384">
        <v>46155</v>
      </c>
      <c r="U38" s="385" t="s">
        <v>448</v>
      </c>
      <c r="V38" s="120" t="s">
        <v>449</v>
      </c>
      <c r="W38" s="384" t="s">
        <v>450</v>
      </c>
      <c r="X38" s="419" t="str">
        <f t="array" ref="X38">INDEX(系统货号!C:C,MATCH(1,(系统货号!A:A=G38)*(系统货号!B:B=V38),0))</f>
        <v>SP003A3-KMART</v>
      </c>
      <c r="Y38" s="385" t="s">
        <v>478</v>
      </c>
      <c r="Z38" s="384"/>
      <c r="AA38" s="384"/>
      <c r="AB38" s="117" t="s">
        <v>450</v>
      </c>
      <c r="AC38" s="117" t="s">
        <v>468</v>
      </c>
      <c r="AD38" s="128" t="s">
        <v>479</v>
      </c>
      <c r="AE38" s="388">
        <v>1.462</v>
      </c>
      <c r="AF38" s="389">
        <f t="shared" si="1"/>
        <v>10965</v>
      </c>
      <c r="AG38" s="389">
        <f t="shared" si="2"/>
        <v>84978.75</v>
      </c>
      <c r="AH38" s="390">
        <v>46137</v>
      </c>
      <c r="AI38" s="420" t="s">
        <v>466</v>
      </c>
      <c r="AJ38" s="117"/>
      <c r="AK38" s="117"/>
      <c r="AL38" s="117"/>
      <c r="AM38" s="117"/>
      <c r="AN38" s="117"/>
      <c r="AO38" s="391"/>
      <c r="AP38" s="391"/>
      <c r="AQ38" s="391"/>
    </row>
    <row r="39" s="380" customFormat="1" ht="25" customHeight="1" spans="1:43">
      <c r="A39" s="114">
        <v>46126</v>
      </c>
      <c r="B39" s="114" t="s">
        <v>84</v>
      </c>
      <c r="C39" s="34" t="s">
        <v>445</v>
      </c>
      <c r="D39" s="117" t="s">
        <v>78</v>
      </c>
      <c r="E39" s="117" t="s">
        <v>308</v>
      </c>
      <c r="F39" s="117"/>
      <c r="G39" s="117" t="s">
        <v>281</v>
      </c>
      <c r="H39" s="117" t="s">
        <v>282</v>
      </c>
      <c r="I39" s="211">
        <v>750</v>
      </c>
      <c r="J39" s="211">
        <v>6</v>
      </c>
      <c r="K39" s="117">
        <f t="shared" si="3"/>
        <v>125</v>
      </c>
      <c r="L39" s="114">
        <v>46266</v>
      </c>
      <c r="M39" s="114">
        <v>46266</v>
      </c>
      <c r="N39" s="97"/>
      <c r="O39" s="117"/>
      <c r="P39" s="382"/>
      <c r="Q39" s="383">
        <v>46157</v>
      </c>
      <c r="R39" s="383">
        <v>46161</v>
      </c>
      <c r="S39" s="383">
        <v>46174</v>
      </c>
      <c r="T39" s="384">
        <v>46155</v>
      </c>
      <c r="U39" s="385" t="s">
        <v>448</v>
      </c>
      <c r="V39" s="120" t="s">
        <v>449</v>
      </c>
      <c r="W39" s="384" t="s">
        <v>450</v>
      </c>
      <c r="X39" s="419" t="str">
        <f t="array" ref="X39">INDEX(系统货号!C:C,MATCH(1,(系统货号!A:A=G39)*(系统货号!B:B=V39),0))</f>
        <v>SP003A3-KMART</v>
      </c>
      <c r="Y39" s="385" t="s">
        <v>478</v>
      </c>
      <c r="Z39" s="384"/>
      <c r="AA39" s="384"/>
      <c r="AB39" s="117" t="s">
        <v>450</v>
      </c>
      <c r="AC39" s="117" t="s">
        <v>468</v>
      </c>
      <c r="AD39" s="128" t="s">
        <v>479</v>
      </c>
      <c r="AE39" s="388">
        <v>1.462</v>
      </c>
      <c r="AF39" s="389">
        <f t="shared" si="1"/>
        <v>1096.5</v>
      </c>
      <c r="AG39" s="389">
        <f t="shared" si="2"/>
        <v>8497.875</v>
      </c>
      <c r="AH39" s="390">
        <v>46137</v>
      </c>
      <c r="AI39" s="420" t="s">
        <v>466</v>
      </c>
      <c r="AJ39" s="117"/>
      <c r="AK39" s="117"/>
      <c r="AL39" s="117"/>
      <c r="AM39" s="117"/>
      <c r="AN39" s="117"/>
      <c r="AO39" s="391"/>
      <c r="AP39" s="391"/>
      <c r="AQ39" s="391"/>
    </row>
    <row r="40" s="380" customFormat="1" ht="25" customHeight="1" spans="1:43">
      <c r="A40" s="114">
        <v>46126</v>
      </c>
      <c r="B40" s="114" t="s">
        <v>79</v>
      </c>
      <c r="C40" s="34" t="s">
        <v>445</v>
      </c>
      <c r="D40" s="117" t="s">
        <v>78</v>
      </c>
      <c r="E40" s="117" t="s">
        <v>309</v>
      </c>
      <c r="F40" s="117"/>
      <c r="G40" s="117" t="s">
        <v>45</v>
      </c>
      <c r="H40" s="117" t="s">
        <v>287</v>
      </c>
      <c r="I40" s="211">
        <v>11100</v>
      </c>
      <c r="J40" s="211">
        <v>6</v>
      </c>
      <c r="K40" s="117">
        <f t="shared" si="3"/>
        <v>1850</v>
      </c>
      <c r="L40" s="114">
        <v>46266</v>
      </c>
      <c r="M40" s="114">
        <v>46266</v>
      </c>
      <c r="N40" s="97"/>
      <c r="O40" s="117"/>
      <c r="P40" s="382"/>
      <c r="Q40" s="383">
        <v>46157</v>
      </c>
      <c r="R40" s="383">
        <v>46161</v>
      </c>
      <c r="S40" s="383">
        <v>46174</v>
      </c>
      <c r="T40" s="384">
        <v>46155</v>
      </c>
      <c r="U40" s="385" t="s">
        <v>448</v>
      </c>
      <c r="V40" s="120" t="s">
        <v>449</v>
      </c>
      <c r="W40" s="384" t="s">
        <v>450</v>
      </c>
      <c r="X40" s="419" t="str">
        <f t="array" ref="X40">INDEX(系统货号!C:C,MATCH(1,(系统货号!A:A=G40)*(系统货号!B:B=V40),0))</f>
        <v>SP005A1-KMART客版本</v>
      </c>
      <c r="Y40" s="385"/>
      <c r="Z40" s="384"/>
      <c r="AA40" s="384"/>
      <c r="AB40" s="117" t="s">
        <v>450</v>
      </c>
      <c r="AC40" s="117" t="s">
        <v>470</v>
      </c>
      <c r="AD40" s="128" t="s">
        <v>480</v>
      </c>
      <c r="AE40" s="388">
        <v>1.452</v>
      </c>
      <c r="AF40" s="389">
        <f t="shared" si="1"/>
        <v>16117.2</v>
      </c>
      <c r="AG40" s="389">
        <f t="shared" si="2"/>
        <v>124908.3</v>
      </c>
      <c r="AH40" s="390">
        <v>46155</v>
      </c>
      <c r="AI40" s="420" t="s">
        <v>466</v>
      </c>
      <c r="AJ40" s="117"/>
      <c r="AK40" s="117"/>
      <c r="AL40" s="117"/>
      <c r="AM40" s="117"/>
      <c r="AN40" s="117"/>
      <c r="AO40" s="391"/>
      <c r="AP40" s="391"/>
      <c r="AQ40" s="391"/>
    </row>
    <row r="41" s="380" customFormat="1" ht="25" customHeight="1" spans="1:43">
      <c r="A41" s="114">
        <v>46126</v>
      </c>
      <c r="B41" s="114" t="s">
        <v>84</v>
      </c>
      <c r="C41" s="34" t="s">
        <v>445</v>
      </c>
      <c r="D41" s="117" t="s">
        <v>78</v>
      </c>
      <c r="E41" s="117" t="s">
        <v>310</v>
      </c>
      <c r="F41" s="117"/>
      <c r="G41" s="117" t="s">
        <v>45</v>
      </c>
      <c r="H41" s="117" t="s">
        <v>287</v>
      </c>
      <c r="I41" s="211">
        <v>1110</v>
      </c>
      <c r="J41" s="211">
        <v>6</v>
      </c>
      <c r="K41" s="117">
        <f t="shared" si="3"/>
        <v>185</v>
      </c>
      <c r="L41" s="114">
        <v>46266</v>
      </c>
      <c r="M41" s="114">
        <v>46266</v>
      </c>
      <c r="N41" s="97"/>
      <c r="O41" s="117"/>
      <c r="P41" s="382"/>
      <c r="Q41" s="383">
        <v>46157</v>
      </c>
      <c r="R41" s="383">
        <v>46161</v>
      </c>
      <c r="S41" s="383">
        <v>46174</v>
      </c>
      <c r="T41" s="384">
        <v>46155</v>
      </c>
      <c r="U41" s="385" t="s">
        <v>448</v>
      </c>
      <c r="V41" s="120" t="s">
        <v>449</v>
      </c>
      <c r="W41" s="384" t="s">
        <v>450</v>
      </c>
      <c r="X41" s="419" t="str">
        <f t="array" ref="X41">INDEX(系统货号!C:C,MATCH(1,(系统货号!A:A=G41)*(系统货号!B:B=V41),0))</f>
        <v>SP005A1-KMART客版本</v>
      </c>
      <c r="Y41" s="385"/>
      <c r="Z41" s="384"/>
      <c r="AA41" s="384"/>
      <c r="AB41" s="117" t="s">
        <v>450</v>
      </c>
      <c r="AC41" s="117" t="s">
        <v>470</v>
      </c>
      <c r="AD41" s="128" t="s">
        <v>480</v>
      </c>
      <c r="AE41" s="388">
        <v>1.452</v>
      </c>
      <c r="AF41" s="389">
        <f t="shared" si="1"/>
        <v>1611.72</v>
      </c>
      <c r="AG41" s="389">
        <f t="shared" si="2"/>
        <v>12490.83</v>
      </c>
      <c r="AH41" s="390">
        <v>46155</v>
      </c>
      <c r="AI41" s="420" t="s">
        <v>466</v>
      </c>
      <c r="AJ41" s="117"/>
      <c r="AK41" s="117"/>
      <c r="AL41" s="117"/>
      <c r="AM41" s="117"/>
      <c r="AN41" s="117"/>
      <c r="AO41" s="391"/>
      <c r="AP41" s="391"/>
      <c r="AQ41" s="391"/>
    </row>
    <row r="42" s="380" customFormat="1" ht="25" customHeight="1" spans="1:43">
      <c r="A42" s="114">
        <v>46126</v>
      </c>
      <c r="B42" s="114" t="s">
        <v>79</v>
      </c>
      <c r="C42" s="34" t="s">
        <v>445</v>
      </c>
      <c r="D42" s="117" t="s">
        <v>291</v>
      </c>
      <c r="E42" s="117" t="s">
        <v>311</v>
      </c>
      <c r="F42" s="117"/>
      <c r="G42" s="117" t="s">
        <v>270</v>
      </c>
      <c r="H42" s="117" t="s">
        <v>271</v>
      </c>
      <c r="I42" s="211">
        <v>3900</v>
      </c>
      <c r="J42" s="211">
        <v>6</v>
      </c>
      <c r="K42" s="117">
        <f t="shared" si="3"/>
        <v>650</v>
      </c>
      <c r="L42" s="114">
        <v>46273</v>
      </c>
      <c r="M42" s="114">
        <v>46273</v>
      </c>
      <c r="N42" s="97"/>
      <c r="O42" s="117"/>
      <c r="P42" s="382"/>
      <c r="Q42" s="383">
        <v>46157</v>
      </c>
      <c r="R42" s="383">
        <v>46161</v>
      </c>
      <c r="S42" s="383">
        <v>46169</v>
      </c>
      <c r="T42" s="384">
        <v>46155</v>
      </c>
      <c r="U42" s="385" t="s">
        <v>448</v>
      </c>
      <c r="V42" s="120" t="s">
        <v>449</v>
      </c>
      <c r="W42" s="384" t="s">
        <v>450</v>
      </c>
      <c r="X42" s="419" t="str">
        <f t="array" ref="X42">INDEX(系统货号!C:C,MATCH(1,(系统货号!A:A=G42)*(系统货号!B:B=V42),0))</f>
        <v>SP002A1-KMART</v>
      </c>
      <c r="Y42" s="385" t="s">
        <v>478</v>
      </c>
      <c r="Z42" s="384"/>
      <c r="AA42" s="384"/>
      <c r="AB42" s="117" t="s">
        <v>450</v>
      </c>
      <c r="AC42" s="117" t="s">
        <v>468</v>
      </c>
      <c r="AD42" s="128" t="s">
        <v>479</v>
      </c>
      <c r="AE42" s="388">
        <v>1.189</v>
      </c>
      <c r="AF42" s="389">
        <f t="shared" si="1"/>
        <v>4637.1</v>
      </c>
      <c r="AG42" s="389">
        <f t="shared" si="2"/>
        <v>35937.525</v>
      </c>
      <c r="AH42" s="390">
        <v>46137</v>
      </c>
      <c r="AI42" s="420" t="s">
        <v>466</v>
      </c>
      <c r="AJ42" s="117"/>
      <c r="AK42" s="117"/>
      <c r="AL42" s="117"/>
      <c r="AM42" s="117"/>
      <c r="AN42" s="117"/>
      <c r="AO42" s="391"/>
      <c r="AP42" s="391"/>
      <c r="AQ42" s="391"/>
    </row>
    <row r="43" s="380" customFormat="1" ht="25" customHeight="1" spans="1:43">
      <c r="A43" s="114">
        <v>46126</v>
      </c>
      <c r="B43" s="114" t="s">
        <v>79</v>
      </c>
      <c r="C43" s="34" t="s">
        <v>445</v>
      </c>
      <c r="D43" s="117" t="s">
        <v>78</v>
      </c>
      <c r="E43" s="117" t="s">
        <v>312</v>
      </c>
      <c r="F43" s="117"/>
      <c r="G43" s="117" t="s">
        <v>270</v>
      </c>
      <c r="H43" s="117" t="s">
        <v>271</v>
      </c>
      <c r="I43" s="211">
        <v>11700</v>
      </c>
      <c r="J43" s="211">
        <v>6</v>
      </c>
      <c r="K43" s="117">
        <f t="shared" si="3"/>
        <v>1950</v>
      </c>
      <c r="L43" s="114">
        <v>46293</v>
      </c>
      <c r="M43" s="114">
        <v>46293</v>
      </c>
      <c r="N43" s="97"/>
      <c r="O43" s="117"/>
      <c r="P43" s="382"/>
      <c r="Q43" s="383">
        <v>46157</v>
      </c>
      <c r="R43" s="383">
        <v>46161</v>
      </c>
      <c r="S43" s="383">
        <v>46174</v>
      </c>
      <c r="T43" s="384">
        <v>46155</v>
      </c>
      <c r="U43" s="385" t="s">
        <v>448</v>
      </c>
      <c r="V43" s="120" t="s">
        <v>449</v>
      </c>
      <c r="W43" s="384" t="s">
        <v>450</v>
      </c>
      <c r="X43" s="419" t="str">
        <f t="array" ref="X43">INDEX(系统货号!C:C,MATCH(1,(系统货号!A:A=G43)*(系统货号!B:B=V43),0))</f>
        <v>SP002A1-KMART</v>
      </c>
      <c r="Y43" s="385" t="s">
        <v>478</v>
      </c>
      <c r="Z43" s="384"/>
      <c r="AA43" s="384"/>
      <c r="AB43" s="117" t="s">
        <v>450</v>
      </c>
      <c r="AC43" s="117" t="s">
        <v>468</v>
      </c>
      <c r="AD43" s="128" t="s">
        <v>479</v>
      </c>
      <c r="AE43" s="388">
        <v>1.189</v>
      </c>
      <c r="AF43" s="389">
        <f t="shared" si="1"/>
        <v>13911.3</v>
      </c>
      <c r="AG43" s="389">
        <f t="shared" si="2"/>
        <v>107812.575</v>
      </c>
      <c r="AH43" s="390">
        <v>46137</v>
      </c>
      <c r="AI43" s="420" t="s">
        <v>466</v>
      </c>
      <c r="AJ43" s="117"/>
      <c r="AK43" s="117"/>
      <c r="AL43" s="117"/>
      <c r="AM43" s="117"/>
      <c r="AN43" s="117"/>
      <c r="AO43" s="391"/>
      <c r="AP43" s="391"/>
      <c r="AQ43" s="391"/>
    </row>
    <row r="44" s="380" customFormat="1" ht="25" customHeight="1" spans="1:43">
      <c r="A44" s="114">
        <v>46126</v>
      </c>
      <c r="B44" s="114" t="s">
        <v>84</v>
      </c>
      <c r="C44" s="34" t="s">
        <v>445</v>
      </c>
      <c r="D44" s="117" t="s">
        <v>78</v>
      </c>
      <c r="E44" s="117" t="s">
        <v>313</v>
      </c>
      <c r="F44" s="117"/>
      <c r="G44" s="117" t="s">
        <v>270</v>
      </c>
      <c r="H44" s="117" t="s">
        <v>271</v>
      </c>
      <c r="I44" s="211">
        <v>1170</v>
      </c>
      <c r="J44" s="211">
        <v>6</v>
      </c>
      <c r="K44" s="117">
        <f t="shared" si="3"/>
        <v>195</v>
      </c>
      <c r="L44" s="114">
        <v>46293</v>
      </c>
      <c r="M44" s="114">
        <v>46293</v>
      </c>
      <c r="N44" s="97"/>
      <c r="O44" s="117"/>
      <c r="P44" s="382"/>
      <c r="Q44" s="383">
        <v>46157</v>
      </c>
      <c r="R44" s="383">
        <v>46161</v>
      </c>
      <c r="S44" s="383">
        <v>46174</v>
      </c>
      <c r="T44" s="384">
        <v>46155</v>
      </c>
      <c r="U44" s="385" t="s">
        <v>448</v>
      </c>
      <c r="V44" s="120" t="s">
        <v>449</v>
      </c>
      <c r="W44" s="384" t="s">
        <v>450</v>
      </c>
      <c r="X44" s="419" t="str">
        <f t="array" ref="X44">INDEX(系统货号!C:C,MATCH(1,(系统货号!A:A=G44)*(系统货号!B:B=V44),0))</f>
        <v>SP002A1-KMART</v>
      </c>
      <c r="Y44" s="385" t="s">
        <v>478</v>
      </c>
      <c r="Z44" s="384"/>
      <c r="AA44" s="384"/>
      <c r="AB44" s="117" t="s">
        <v>450</v>
      </c>
      <c r="AC44" s="117" t="s">
        <v>468</v>
      </c>
      <c r="AD44" s="128" t="s">
        <v>479</v>
      </c>
      <c r="AE44" s="388">
        <v>1.189</v>
      </c>
      <c r="AF44" s="389">
        <f t="shared" si="1"/>
        <v>1391.13</v>
      </c>
      <c r="AG44" s="389">
        <f t="shared" si="2"/>
        <v>10781.2575</v>
      </c>
      <c r="AH44" s="390">
        <v>46137</v>
      </c>
      <c r="AI44" s="420" t="s">
        <v>466</v>
      </c>
      <c r="AJ44" s="117"/>
      <c r="AK44" s="117"/>
      <c r="AL44" s="117"/>
      <c r="AM44" s="117"/>
      <c r="AN44" s="117"/>
      <c r="AO44" s="391"/>
      <c r="AP44" s="391"/>
      <c r="AQ44" s="391"/>
    </row>
    <row r="45" s="380" customFormat="1" ht="25" customHeight="1" spans="1:43">
      <c r="A45" s="114">
        <v>46126</v>
      </c>
      <c r="B45" s="114" t="s">
        <v>79</v>
      </c>
      <c r="C45" s="34" t="s">
        <v>445</v>
      </c>
      <c r="D45" s="117" t="s">
        <v>291</v>
      </c>
      <c r="E45" s="117" t="s">
        <v>314</v>
      </c>
      <c r="F45" s="117"/>
      <c r="G45" s="117" t="s">
        <v>270</v>
      </c>
      <c r="H45" s="117" t="s">
        <v>271</v>
      </c>
      <c r="I45" s="211">
        <v>1302</v>
      </c>
      <c r="J45" s="211">
        <v>6</v>
      </c>
      <c r="K45" s="117">
        <f t="shared" si="3"/>
        <v>217</v>
      </c>
      <c r="L45" s="114">
        <v>46293</v>
      </c>
      <c r="M45" s="114">
        <v>46293</v>
      </c>
      <c r="N45" s="114"/>
      <c r="O45" s="117"/>
      <c r="P45" s="382"/>
      <c r="Q45" s="383">
        <v>46157</v>
      </c>
      <c r="R45" s="383">
        <v>46161</v>
      </c>
      <c r="S45" s="383">
        <v>46169</v>
      </c>
      <c r="T45" s="384">
        <v>46155</v>
      </c>
      <c r="U45" s="385" t="s">
        <v>448</v>
      </c>
      <c r="V45" s="120" t="s">
        <v>449</v>
      </c>
      <c r="W45" s="384" t="s">
        <v>450</v>
      </c>
      <c r="X45" s="419" t="str">
        <f t="array" ref="X45">INDEX(系统货号!C:C,MATCH(1,(系统货号!A:A=G45)*(系统货号!B:B=V45),0))</f>
        <v>SP002A1-KMART</v>
      </c>
      <c r="Y45" s="385" t="s">
        <v>478</v>
      </c>
      <c r="Z45" s="384"/>
      <c r="AA45" s="384"/>
      <c r="AB45" s="117" t="s">
        <v>450</v>
      </c>
      <c r="AC45" s="117" t="s">
        <v>468</v>
      </c>
      <c r="AD45" s="128" t="s">
        <v>479</v>
      </c>
      <c r="AE45" s="388">
        <v>1.189</v>
      </c>
      <c r="AF45" s="389">
        <f t="shared" si="1"/>
        <v>1548.078</v>
      </c>
      <c r="AG45" s="389">
        <f t="shared" si="2"/>
        <v>11997.6045</v>
      </c>
      <c r="AH45" s="390">
        <v>46137</v>
      </c>
      <c r="AI45" s="420" t="s">
        <v>466</v>
      </c>
      <c r="AJ45" s="117"/>
      <c r="AK45" s="117"/>
      <c r="AL45" s="117"/>
      <c r="AM45" s="117"/>
      <c r="AN45" s="117"/>
      <c r="AO45" s="391"/>
      <c r="AP45" s="391"/>
      <c r="AQ45" s="391"/>
    </row>
    <row r="46" s="380" customFormat="1" ht="25" customHeight="1" spans="1:43">
      <c r="A46" s="114">
        <v>46178</v>
      </c>
      <c r="B46" s="114" t="s">
        <v>372</v>
      </c>
      <c r="C46" s="34" t="s">
        <v>445</v>
      </c>
      <c r="D46" s="117" t="s">
        <v>371</v>
      </c>
      <c r="E46" s="117" t="s">
        <v>376</v>
      </c>
      <c r="F46" s="117"/>
      <c r="G46" s="117" t="s">
        <v>70</v>
      </c>
      <c r="H46" s="117" t="s">
        <v>339</v>
      </c>
      <c r="I46" s="211">
        <v>72</v>
      </c>
      <c r="J46" s="211">
        <v>6</v>
      </c>
      <c r="K46" s="117">
        <f t="shared" si="3"/>
        <v>12</v>
      </c>
      <c r="L46" s="114">
        <v>46311</v>
      </c>
      <c r="M46" s="114">
        <v>46311</v>
      </c>
      <c r="N46" s="429" t="s">
        <v>486</v>
      </c>
      <c r="O46" s="117"/>
      <c r="P46" s="382"/>
      <c r="Q46" s="383">
        <v>46211</v>
      </c>
      <c r="R46" s="383">
        <v>46214</v>
      </c>
      <c r="S46" s="383">
        <v>46219</v>
      </c>
      <c r="T46" s="384">
        <v>46211</v>
      </c>
      <c r="U46" s="423" t="s">
        <v>448</v>
      </c>
      <c r="V46" s="120" t="s">
        <v>487</v>
      </c>
      <c r="W46" s="384" t="s">
        <v>488</v>
      </c>
      <c r="X46" s="419" t="str">
        <f t="array" ref="X46">INDEX(系统货号!C:C,MATCH(1,(系统货号!A:A=G46)*(系统货号!B:B=V46),0))</f>
        <v>BS085D6-TRU</v>
      </c>
      <c r="Y46" s="385"/>
      <c r="Z46" s="384"/>
      <c r="AA46" s="384"/>
      <c r="AB46" s="430">
        <v>100826</v>
      </c>
      <c r="AC46" s="430">
        <v>100826</v>
      </c>
      <c r="AD46" s="427" t="s">
        <v>489</v>
      </c>
      <c r="AE46" s="388">
        <v>3.443</v>
      </c>
      <c r="AF46" s="389">
        <f t="shared" si="1"/>
        <v>247.896</v>
      </c>
      <c r="AG46" s="389">
        <f t="shared" si="2"/>
        <v>1921.194</v>
      </c>
      <c r="AH46" s="390">
        <v>46212</v>
      </c>
      <c r="AI46" s="420" t="s">
        <v>462</v>
      </c>
      <c r="AJ46" s="428" t="s">
        <v>454</v>
      </c>
      <c r="AK46" s="117"/>
      <c r="AL46" s="117"/>
      <c r="AM46" s="117"/>
      <c r="AN46" s="117"/>
      <c r="AO46" s="391"/>
      <c r="AP46" s="391"/>
      <c r="AQ46" s="391"/>
    </row>
    <row r="47" s="380" customFormat="1" ht="25" customHeight="1" spans="1:43">
      <c r="A47" s="114">
        <v>46178</v>
      </c>
      <c r="B47" s="114" t="s">
        <v>372</v>
      </c>
      <c r="C47" s="34" t="s">
        <v>445</v>
      </c>
      <c r="D47" s="117" t="s">
        <v>371</v>
      </c>
      <c r="E47" s="117" t="s">
        <v>376</v>
      </c>
      <c r="F47" s="117"/>
      <c r="G47" s="117" t="s">
        <v>69</v>
      </c>
      <c r="H47" s="117" t="s">
        <v>325</v>
      </c>
      <c r="I47" s="211">
        <v>72</v>
      </c>
      <c r="J47" s="211">
        <v>6</v>
      </c>
      <c r="K47" s="117">
        <f t="shared" si="3"/>
        <v>12</v>
      </c>
      <c r="L47" s="114">
        <v>46311</v>
      </c>
      <c r="M47" s="114">
        <v>46311</v>
      </c>
      <c r="N47" s="429" t="s">
        <v>486</v>
      </c>
      <c r="O47" s="117"/>
      <c r="P47" s="382"/>
      <c r="Q47" s="383">
        <v>46211</v>
      </c>
      <c r="R47" s="383">
        <v>46214</v>
      </c>
      <c r="S47" s="383">
        <v>46219</v>
      </c>
      <c r="T47" s="384">
        <v>46211</v>
      </c>
      <c r="U47" s="423" t="s">
        <v>448</v>
      </c>
      <c r="V47" s="120" t="s">
        <v>487</v>
      </c>
      <c r="W47" s="384" t="s">
        <v>488</v>
      </c>
      <c r="X47" s="419" t="str">
        <f t="array" ref="X47">INDEX(系统货号!C:C,MATCH(1,(系统货号!A:A=G47)*(系统货号!B:B=V47),0))</f>
        <v>BS086D6-TRU</v>
      </c>
      <c r="Y47" s="385"/>
      <c r="Z47" s="384"/>
      <c r="AA47" s="384"/>
      <c r="AB47" s="430">
        <v>100826</v>
      </c>
      <c r="AC47" s="430">
        <v>100826</v>
      </c>
      <c r="AD47" s="427" t="s">
        <v>489</v>
      </c>
      <c r="AE47" s="388">
        <v>3.542</v>
      </c>
      <c r="AF47" s="389">
        <f t="shared" si="1"/>
        <v>255.024</v>
      </c>
      <c r="AG47" s="389">
        <f t="shared" si="2"/>
        <v>1976.436</v>
      </c>
      <c r="AH47" s="390">
        <v>46212</v>
      </c>
      <c r="AI47" s="420" t="s">
        <v>462</v>
      </c>
      <c r="AJ47" s="428" t="s">
        <v>454</v>
      </c>
      <c r="AK47" s="117"/>
      <c r="AL47" s="117"/>
      <c r="AM47" s="117"/>
      <c r="AN47" s="117"/>
      <c r="AO47" s="391"/>
      <c r="AP47" s="391"/>
      <c r="AQ47" s="391"/>
    </row>
    <row r="48" s="380" customFormat="1" ht="25" customHeight="1" spans="1:43">
      <c r="A48" s="114">
        <v>46178</v>
      </c>
      <c r="B48" s="114" t="s">
        <v>374</v>
      </c>
      <c r="C48" s="34" t="s">
        <v>445</v>
      </c>
      <c r="D48" s="117" t="s">
        <v>371</v>
      </c>
      <c r="E48" s="117" t="s">
        <v>377</v>
      </c>
      <c r="F48" s="117"/>
      <c r="G48" s="117" t="s">
        <v>70</v>
      </c>
      <c r="H48" s="117" t="s">
        <v>339</v>
      </c>
      <c r="I48" s="211">
        <v>24</v>
      </c>
      <c r="J48" s="211">
        <v>6</v>
      </c>
      <c r="K48" s="117">
        <f t="shared" si="3"/>
        <v>4</v>
      </c>
      <c r="L48" s="114">
        <v>46311</v>
      </c>
      <c r="M48" s="114">
        <v>46311</v>
      </c>
      <c r="N48" s="429" t="s">
        <v>486</v>
      </c>
      <c r="O48" s="117"/>
      <c r="P48" s="382"/>
      <c r="Q48" s="383">
        <v>46211</v>
      </c>
      <c r="R48" s="383">
        <v>46214</v>
      </c>
      <c r="S48" s="383">
        <v>46219</v>
      </c>
      <c r="T48" s="384">
        <v>46211</v>
      </c>
      <c r="U48" s="423" t="s">
        <v>448</v>
      </c>
      <c r="V48" s="120" t="s">
        <v>487</v>
      </c>
      <c r="W48" s="384" t="s">
        <v>488</v>
      </c>
      <c r="X48" s="419" t="str">
        <f t="array" ref="X48">INDEX(系统货号!C:C,MATCH(1,(系统货号!A:A=G48)*(系统货号!B:B=V48),0))</f>
        <v>BS085D6-TRU</v>
      </c>
      <c r="Y48" s="385"/>
      <c r="Z48" s="384"/>
      <c r="AA48" s="384"/>
      <c r="AB48" s="430">
        <v>100826</v>
      </c>
      <c r="AC48" s="430">
        <v>100826</v>
      </c>
      <c r="AD48" s="427" t="s">
        <v>489</v>
      </c>
      <c r="AE48" s="388">
        <v>3.443</v>
      </c>
      <c r="AF48" s="389">
        <f t="shared" si="1"/>
        <v>82.632</v>
      </c>
      <c r="AG48" s="389">
        <f t="shared" si="2"/>
        <v>640.398</v>
      </c>
      <c r="AH48" s="390">
        <v>46212</v>
      </c>
      <c r="AI48" s="420" t="s">
        <v>462</v>
      </c>
      <c r="AJ48" s="428" t="s">
        <v>454</v>
      </c>
      <c r="AK48" s="117"/>
      <c r="AL48" s="117"/>
      <c r="AM48" s="117"/>
      <c r="AN48" s="117"/>
      <c r="AO48" s="391"/>
      <c r="AP48" s="391"/>
      <c r="AQ48" s="391"/>
    </row>
    <row r="49" s="380" customFormat="1" ht="25" customHeight="1" spans="1:43">
      <c r="A49" s="114">
        <v>46178</v>
      </c>
      <c r="B49" s="114" t="s">
        <v>374</v>
      </c>
      <c r="C49" s="34" t="s">
        <v>445</v>
      </c>
      <c r="D49" s="117" t="s">
        <v>371</v>
      </c>
      <c r="E49" s="117" t="s">
        <v>377</v>
      </c>
      <c r="F49" s="117"/>
      <c r="G49" s="117" t="s">
        <v>69</v>
      </c>
      <c r="H49" s="117" t="s">
        <v>325</v>
      </c>
      <c r="I49" s="211">
        <v>24</v>
      </c>
      <c r="J49" s="211">
        <v>6</v>
      </c>
      <c r="K49" s="117">
        <f t="shared" si="3"/>
        <v>4</v>
      </c>
      <c r="L49" s="114">
        <v>46311</v>
      </c>
      <c r="M49" s="114">
        <v>46311</v>
      </c>
      <c r="N49" s="429" t="s">
        <v>486</v>
      </c>
      <c r="O49" s="117"/>
      <c r="P49" s="382"/>
      <c r="Q49" s="383">
        <v>46211</v>
      </c>
      <c r="R49" s="383">
        <v>46214</v>
      </c>
      <c r="S49" s="383">
        <v>46219</v>
      </c>
      <c r="T49" s="384">
        <v>46211</v>
      </c>
      <c r="U49" s="423" t="s">
        <v>448</v>
      </c>
      <c r="V49" s="120" t="s">
        <v>487</v>
      </c>
      <c r="W49" s="384" t="s">
        <v>488</v>
      </c>
      <c r="X49" s="419" t="str">
        <f t="array" ref="X49">INDEX(系统货号!C:C,MATCH(1,(系统货号!A:A=G49)*(系统货号!B:B=V49),0))</f>
        <v>BS086D6-TRU</v>
      </c>
      <c r="Y49" s="385"/>
      <c r="Z49" s="384"/>
      <c r="AA49" s="384"/>
      <c r="AB49" s="430">
        <v>100826</v>
      </c>
      <c r="AC49" s="430">
        <v>100826</v>
      </c>
      <c r="AD49" s="427" t="s">
        <v>489</v>
      </c>
      <c r="AE49" s="388">
        <v>3.542</v>
      </c>
      <c r="AF49" s="389">
        <f t="shared" si="1"/>
        <v>85.008</v>
      </c>
      <c r="AG49" s="389">
        <f t="shared" si="2"/>
        <v>658.812</v>
      </c>
      <c r="AH49" s="390">
        <v>46212</v>
      </c>
      <c r="AI49" s="420" t="s">
        <v>462</v>
      </c>
      <c r="AJ49" s="428" t="s">
        <v>454</v>
      </c>
      <c r="AK49" s="117"/>
      <c r="AL49" s="117"/>
      <c r="AM49" s="117"/>
      <c r="AN49" s="117"/>
      <c r="AO49" s="391"/>
      <c r="AP49" s="391"/>
      <c r="AQ49" s="391"/>
    </row>
    <row r="50" s="380" customFormat="1" ht="25" customHeight="1" spans="1:43">
      <c r="A50" s="114">
        <v>46178</v>
      </c>
      <c r="B50" s="114" t="s">
        <v>378</v>
      </c>
      <c r="C50" s="34" t="s">
        <v>445</v>
      </c>
      <c r="D50" s="117" t="s">
        <v>371</v>
      </c>
      <c r="E50" s="117" t="s">
        <v>379</v>
      </c>
      <c r="F50" s="117"/>
      <c r="G50" s="117" t="s">
        <v>70</v>
      </c>
      <c r="H50" s="117" t="s">
        <v>339</v>
      </c>
      <c r="I50" s="211">
        <v>192</v>
      </c>
      <c r="J50" s="211">
        <v>6</v>
      </c>
      <c r="K50" s="117">
        <f t="shared" si="3"/>
        <v>32</v>
      </c>
      <c r="L50" s="114">
        <v>46311</v>
      </c>
      <c r="M50" s="114">
        <v>46311</v>
      </c>
      <c r="N50" s="429" t="s">
        <v>486</v>
      </c>
      <c r="O50" s="117"/>
      <c r="P50" s="382"/>
      <c r="Q50" s="383">
        <v>46211</v>
      </c>
      <c r="R50" s="383">
        <v>46214</v>
      </c>
      <c r="S50" s="383">
        <v>46219</v>
      </c>
      <c r="T50" s="384">
        <v>46211</v>
      </c>
      <c r="U50" s="423" t="s">
        <v>448</v>
      </c>
      <c r="V50" s="120" t="s">
        <v>487</v>
      </c>
      <c r="W50" s="384" t="s">
        <v>488</v>
      </c>
      <c r="X50" s="419" t="str">
        <f t="array" ref="X50">INDEX(系统货号!C:C,MATCH(1,(系统货号!A:A=G50)*(系统货号!B:B=V50),0))</f>
        <v>BS085D6-TRU</v>
      </c>
      <c r="Y50" s="385"/>
      <c r="Z50" s="384"/>
      <c r="AA50" s="384"/>
      <c r="AB50" s="430">
        <v>100826</v>
      </c>
      <c r="AC50" s="430">
        <v>100826</v>
      </c>
      <c r="AD50" s="427" t="s">
        <v>489</v>
      </c>
      <c r="AE50" s="388">
        <v>3.443</v>
      </c>
      <c r="AF50" s="389">
        <f t="shared" si="1"/>
        <v>661.056</v>
      </c>
      <c r="AG50" s="389">
        <f t="shared" si="2"/>
        <v>5123.184</v>
      </c>
      <c r="AH50" s="390">
        <v>46212</v>
      </c>
      <c r="AI50" s="420" t="s">
        <v>462</v>
      </c>
      <c r="AJ50" s="428" t="s">
        <v>454</v>
      </c>
      <c r="AK50" s="117"/>
      <c r="AL50" s="117"/>
      <c r="AM50" s="117"/>
      <c r="AN50" s="117"/>
      <c r="AO50" s="391"/>
      <c r="AP50" s="391"/>
      <c r="AQ50" s="391"/>
    </row>
    <row r="51" s="380" customFormat="1" ht="25" customHeight="1" spans="1:43">
      <c r="A51" s="114">
        <v>46178</v>
      </c>
      <c r="B51" s="114" t="s">
        <v>378</v>
      </c>
      <c r="C51" s="34" t="s">
        <v>445</v>
      </c>
      <c r="D51" s="117" t="s">
        <v>371</v>
      </c>
      <c r="E51" s="117" t="s">
        <v>379</v>
      </c>
      <c r="F51" s="117"/>
      <c r="G51" s="117" t="s">
        <v>69</v>
      </c>
      <c r="H51" s="117" t="s">
        <v>325</v>
      </c>
      <c r="I51" s="211">
        <v>192</v>
      </c>
      <c r="J51" s="211">
        <v>6</v>
      </c>
      <c r="K51" s="117">
        <f t="shared" si="3"/>
        <v>32</v>
      </c>
      <c r="L51" s="114">
        <v>46311</v>
      </c>
      <c r="M51" s="114">
        <v>46311</v>
      </c>
      <c r="N51" s="429" t="s">
        <v>486</v>
      </c>
      <c r="O51" s="117"/>
      <c r="P51" s="382"/>
      <c r="Q51" s="383">
        <v>46211</v>
      </c>
      <c r="R51" s="383">
        <v>46214</v>
      </c>
      <c r="S51" s="383">
        <v>46219</v>
      </c>
      <c r="T51" s="384">
        <v>46211</v>
      </c>
      <c r="U51" s="423" t="s">
        <v>448</v>
      </c>
      <c r="V51" s="120" t="s">
        <v>487</v>
      </c>
      <c r="W51" s="384" t="s">
        <v>488</v>
      </c>
      <c r="X51" s="419" t="str">
        <f t="array" ref="X51">INDEX(系统货号!C:C,MATCH(1,(系统货号!A:A=G51)*(系统货号!B:B=V51),0))</f>
        <v>BS086D6-TRU</v>
      </c>
      <c r="Y51" s="385"/>
      <c r="Z51" s="384"/>
      <c r="AA51" s="384"/>
      <c r="AB51" s="430">
        <v>100826</v>
      </c>
      <c r="AC51" s="430">
        <v>100826</v>
      </c>
      <c r="AD51" s="427" t="s">
        <v>489</v>
      </c>
      <c r="AE51" s="388">
        <v>3.542</v>
      </c>
      <c r="AF51" s="389">
        <f t="shared" si="1"/>
        <v>680.064</v>
      </c>
      <c r="AG51" s="389">
        <f t="shared" si="2"/>
        <v>5270.496</v>
      </c>
      <c r="AH51" s="390">
        <v>46212</v>
      </c>
      <c r="AI51" s="420" t="s">
        <v>462</v>
      </c>
      <c r="AJ51" s="428" t="s">
        <v>454</v>
      </c>
      <c r="AK51" s="117"/>
      <c r="AL51" s="117"/>
      <c r="AM51" s="117"/>
      <c r="AN51" s="117"/>
      <c r="AO51" s="391"/>
      <c r="AP51" s="391"/>
      <c r="AQ51" s="391"/>
    </row>
    <row r="52" s="380" customFormat="1" ht="25" customHeight="1" spans="1:43">
      <c r="A52" s="114">
        <v>46178</v>
      </c>
      <c r="B52" s="114" t="s">
        <v>380</v>
      </c>
      <c r="C52" s="34" t="s">
        <v>445</v>
      </c>
      <c r="D52" s="117" t="s">
        <v>371</v>
      </c>
      <c r="E52" s="117" t="s">
        <v>381</v>
      </c>
      <c r="F52" s="117"/>
      <c r="G52" s="117" t="s">
        <v>70</v>
      </c>
      <c r="H52" s="117" t="s">
        <v>339</v>
      </c>
      <c r="I52" s="211">
        <v>192</v>
      </c>
      <c r="J52" s="211">
        <v>6</v>
      </c>
      <c r="K52" s="117">
        <f t="shared" si="3"/>
        <v>32</v>
      </c>
      <c r="L52" s="114">
        <v>46311</v>
      </c>
      <c r="M52" s="114">
        <v>46311</v>
      </c>
      <c r="N52" s="429" t="s">
        <v>486</v>
      </c>
      <c r="O52" s="117"/>
      <c r="P52" s="382"/>
      <c r="Q52" s="383">
        <v>46211</v>
      </c>
      <c r="R52" s="383">
        <v>46214</v>
      </c>
      <c r="S52" s="383">
        <v>46219</v>
      </c>
      <c r="T52" s="384">
        <v>46211</v>
      </c>
      <c r="U52" s="423" t="s">
        <v>448</v>
      </c>
      <c r="V52" s="120" t="s">
        <v>487</v>
      </c>
      <c r="W52" s="384" t="s">
        <v>488</v>
      </c>
      <c r="X52" s="419" t="str">
        <f t="array" ref="X52">INDEX(系统货号!C:C,MATCH(1,(系统货号!A:A=G52)*(系统货号!B:B=V52),0))</f>
        <v>BS085D6-TRU</v>
      </c>
      <c r="Y52" s="385"/>
      <c r="Z52" s="384"/>
      <c r="AA52" s="384"/>
      <c r="AB52" s="430">
        <v>100826</v>
      </c>
      <c r="AC52" s="430">
        <v>100826</v>
      </c>
      <c r="AD52" s="427" t="s">
        <v>489</v>
      </c>
      <c r="AE52" s="388">
        <v>3.443</v>
      </c>
      <c r="AF52" s="389">
        <f t="shared" si="1"/>
        <v>661.056</v>
      </c>
      <c r="AG52" s="389">
        <f t="shared" si="2"/>
        <v>5123.184</v>
      </c>
      <c r="AH52" s="390">
        <v>46212</v>
      </c>
      <c r="AI52" s="420" t="s">
        <v>462</v>
      </c>
      <c r="AJ52" s="428" t="s">
        <v>454</v>
      </c>
      <c r="AK52" s="117"/>
      <c r="AL52" s="117"/>
      <c r="AM52" s="117"/>
      <c r="AN52" s="117"/>
      <c r="AO52" s="391"/>
      <c r="AP52" s="391"/>
      <c r="AQ52" s="391"/>
    </row>
    <row r="53" s="380" customFormat="1" ht="25" customHeight="1" spans="1:43">
      <c r="A53" s="114">
        <v>46178</v>
      </c>
      <c r="B53" s="114" t="s">
        <v>380</v>
      </c>
      <c r="C53" s="34" t="s">
        <v>445</v>
      </c>
      <c r="D53" s="117" t="s">
        <v>371</v>
      </c>
      <c r="E53" s="117" t="s">
        <v>381</v>
      </c>
      <c r="F53" s="117"/>
      <c r="G53" s="117" t="s">
        <v>69</v>
      </c>
      <c r="H53" s="117" t="s">
        <v>325</v>
      </c>
      <c r="I53" s="211">
        <v>192</v>
      </c>
      <c r="J53" s="211">
        <v>6</v>
      </c>
      <c r="K53" s="117">
        <f t="shared" si="3"/>
        <v>32</v>
      </c>
      <c r="L53" s="114">
        <v>46311</v>
      </c>
      <c r="M53" s="114">
        <v>46311</v>
      </c>
      <c r="N53" s="429" t="s">
        <v>486</v>
      </c>
      <c r="O53" s="117"/>
      <c r="P53" s="382"/>
      <c r="Q53" s="383">
        <v>46211</v>
      </c>
      <c r="R53" s="383">
        <v>46214</v>
      </c>
      <c r="S53" s="383">
        <v>46219</v>
      </c>
      <c r="T53" s="384">
        <v>46211</v>
      </c>
      <c r="U53" s="423" t="s">
        <v>448</v>
      </c>
      <c r="V53" s="120" t="s">
        <v>487</v>
      </c>
      <c r="W53" s="384" t="s">
        <v>488</v>
      </c>
      <c r="X53" s="419" t="str">
        <f t="array" ref="X53">INDEX(系统货号!C:C,MATCH(1,(系统货号!A:A=G53)*(系统货号!B:B=V53),0))</f>
        <v>BS086D6-TRU</v>
      </c>
      <c r="Y53" s="385"/>
      <c r="Z53" s="384"/>
      <c r="AA53" s="384"/>
      <c r="AB53" s="430">
        <v>100826</v>
      </c>
      <c r="AC53" s="430">
        <v>100826</v>
      </c>
      <c r="AD53" s="427" t="s">
        <v>489</v>
      </c>
      <c r="AE53" s="388">
        <v>3.542</v>
      </c>
      <c r="AF53" s="389">
        <f t="shared" si="1"/>
        <v>680.064</v>
      </c>
      <c r="AG53" s="389">
        <f t="shared" si="2"/>
        <v>5270.496</v>
      </c>
      <c r="AH53" s="390">
        <v>46212</v>
      </c>
      <c r="AI53" s="420" t="s">
        <v>462</v>
      </c>
      <c r="AJ53" s="428" t="s">
        <v>454</v>
      </c>
      <c r="AK53" s="117"/>
      <c r="AL53" s="117"/>
      <c r="AM53" s="117"/>
      <c r="AN53" s="117"/>
      <c r="AO53" s="391"/>
      <c r="AP53" s="391"/>
      <c r="AQ53" s="391"/>
    </row>
    <row r="54" s="380" customFormat="1" ht="25" customHeight="1" spans="1:43">
      <c r="A54" s="114">
        <v>46178</v>
      </c>
      <c r="B54" s="114" t="s">
        <v>382</v>
      </c>
      <c r="C54" s="34" t="s">
        <v>445</v>
      </c>
      <c r="D54" s="117" t="s">
        <v>371</v>
      </c>
      <c r="E54" s="117" t="s">
        <v>383</v>
      </c>
      <c r="F54" s="117"/>
      <c r="G54" s="117" t="s">
        <v>70</v>
      </c>
      <c r="H54" s="117" t="s">
        <v>339</v>
      </c>
      <c r="I54" s="211">
        <v>192</v>
      </c>
      <c r="J54" s="211">
        <v>6</v>
      </c>
      <c r="K54" s="117">
        <f t="shared" si="3"/>
        <v>32</v>
      </c>
      <c r="L54" s="114">
        <v>46311</v>
      </c>
      <c r="M54" s="114">
        <v>46311</v>
      </c>
      <c r="N54" s="429" t="s">
        <v>486</v>
      </c>
      <c r="O54" s="117"/>
      <c r="P54" s="382"/>
      <c r="Q54" s="383">
        <v>46211</v>
      </c>
      <c r="R54" s="383">
        <v>46214</v>
      </c>
      <c r="S54" s="383">
        <v>46219</v>
      </c>
      <c r="T54" s="384">
        <v>46211</v>
      </c>
      <c r="U54" s="423" t="s">
        <v>448</v>
      </c>
      <c r="V54" s="120" t="s">
        <v>487</v>
      </c>
      <c r="W54" s="384" t="s">
        <v>488</v>
      </c>
      <c r="X54" s="419" t="str">
        <f t="array" ref="X54">INDEX(系统货号!C:C,MATCH(1,(系统货号!A:A=G54)*(系统货号!B:B=V54),0))</f>
        <v>BS085D6-TRU</v>
      </c>
      <c r="Y54" s="385"/>
      <c r="Z54" s="384"/>
      <c r="AA54" s="384"/>
      <c r="AB54" s="430">
        <v>100826</v>
      </c>
      <c r="AC54" s="430">
        <v>100826</v>
      </c>
      <c r="AD54" s="427" t="s">
        <v>489</v>
      </c>
      <c r="AE54" s="388">
        <v>3.443</v>
      </c>
      <c r="AF54" s="389">
        <f t="shared" si="1"/>
        <v>661.056</v>
      </c>
      <c r="AG54" s="389">
        <f t="shared" si="2"/>
        <v>5123.184</v>
      </c>
      <c r="AH54" s="390">
        <v>46212</v>
      </c>
      <c r="AI54" s="420" t="s">
        <v>462</v>
      </c>
      <c r="AJ54" s="428" t="s">
        <v>454</v>
      </c>
      <c r="AK54" s="117"/>
      <c r="AL54" s="117"/>
      <c r="AM54" s="117"/>
      <c r="AN54" s="117"/>
      <c r="AO54" s="391"/>
      <c r="AP54" s="391"/>
      <c r="AQ54" s="391"/>
    </row>
    <row r="55" s="380" customFormat="1" ht="25" customHeight="1" spans="1:43">
      <c r="A55" s="114">
        <v>46178</v>
      </c>
      <c r="B55" s="114" t="s">
        <v>382</v>
      </c>
      <c r="C55" s="34" t="s">
        <v>445</v>
      </c>
      <c r="D55" s="117" t="s">
        <v>371</v>
      </c>
      <c r="E55" s="117" t="s">
        <v>383</v>
      </c>
      <c r="F55" s="117"/>
      <c r="G55" s="117" t="s">
        <v>69</v>
      </c>
      <c r="H55" s="117" t="s">
        <v>325</v>
      </c>
      <c r="I55" s="211">
        <v>192</v>
      </c>
      <c r="J55" s="211">
        <v>6</v>
      </c>
      <c r="K55" s="117">
        <f t="shared" si="3"/>
        <v>32</v>
      </c>
      <c r="L55" s="114">
        <v>46311</v>
      </c>
      <c r="M55" s="114">
        <v>46311</v>
      </c>
      <c r="N55" s="429" t="s">
        <v>486</v>
      </c>
      <c r="O55" s="117"/>
      <c r="P55" s="382"/>
      <c r="Q55" s="383">
        <v>46211</v>
      </c>
      <c r="R55" s="383">
        <v>46214</v>
      </c>
      <c r="S55" s="383">
        <v>46219</v>
      </c>
      <c r="T55" s="384">
        <v>46211</v>
      </c>
      <c r="U55" s="423" t="s">
        <v>448</v>
      </c>
      <c r="V55" s="120" t="s">
        <v>487</v>
      </c>
      <c r="W55" s="384" t="s">
        <v>488</v>
      </c>
      <c r="X55" s="419" t="str">
        <f t="array" ref="X55">INDEX(系统货号!C:C,MATCH(1,(系统货号!A:A=G55)*(系统货号!B:B=V55),0))</f>
        <v>BS086D6-TRU</v>
      </c>
      <c r="Y55" s="385"/>
      <c r="Z55" s="384"/>
      <c r="AA55" s="384"/>
      <c r="AB55" s="430">
        <v>100826</v>
      </c>
      <c r="AC55" s="430">
        <v>100826</v>
      </c>
      <c r="AD55" s="427" t="s">
        <v>489</v>
      </c>
      <c r="AE55" s="388">
        <v>3.542</v>
      </c>
      <c r="AF55" s="389">
        <f t="shared" si="1"/>
        <v>680.064</v>
      </c>
      <c r="AG55" s="389">
        <f t="shared" si="2"/>
        <v>5270.496</v>
      </c>
      <c r="AH55" s="390">
        <v>46212</v>
      </c>
      <c r="AI55" s="420" t="s">
        <v>462</v>
      </c>
      <c r="AJ55" s="428" t="s">
        <v>454</v>
      </c>
      <c r="AK55" s="117"/>
      <c r="AL55" s="117"/>
      <c r="AM55" s="117"/>
      <c r="AN55" s="117"/>
      <c r="AO55" s="391"/>
      <c r="AP55" s="391"/>
      <c r="AQ55" s="391"/>
    </row>
    <row r="56" s="380" customFormat="1" ht="25" customHeight="1" spans="1:43">
      <c r="A56" s="114">
        <v>46197</v>
      </c>
      <c r="B56" s="429" t="s">
        <v>391</v>
      </c>
      <c r="C56" s="34" t="s">
        <v>445</v>
      </c>
      <c r="D56" s="428" t="s">
        <v>390</v>
      </c>
      <c r="E56" s="428" t="s">
        <v>392</v>
      </c>
      <c r="F56" s="117"/>
      <c r="G56" s="428" t="s">
        <v>70</v>
      </c>
      <c r="H56" s="117" t="s">
        <v>339</v>
      </c>
      <c r="I56" s="211">
        <v>402</v>
      </c>
      <c r="J56" s="211">
        <v>6</v>
      </c>
      <c r="K56" s="117">
        <f t="shared" si="3"/>
        <v>67</v>
      </c>
      <c r="L56" s="114">
        <v>46259</v>
      </c>
      <c r="M56" s="114">
        <v>46259</v>
      </c>
      <c r="N56" s="429" t="s">
        <v>486</v>
      </c>
      <c r="O56" s="117"/>
      <c r="P56" s="382"/>
      <c r="Q56" s="383">
        <v>46211</v>
      </c>
      <c r="R56" s="383">
        <v>46216</v>
      </c>
      <c r="S56" s="383">
        <v>46219</v>
      </c>
      <c r="T56" s="384">
        <v>46211</v>
      </c>
      <c r="U56" s="423" t="s">
        <v>448</v>
      </c>
      <c r="V56" s="120" t="s">
        <v>487</v>
      </c>
      <c r="W56" s="384" t="s">
        <v>488</v>
      </c>
      <c r="X56" s="419" t="str">
        <f t="array" ref="X56">INDEX(系统货号!C:C,MATCH(1,(系统货号!A:A=G56)*(系统货号!B:B=V56),0))</f>
        <v>BS085D6-TRU</v>
      </c>
      <c r="Y56" s="385"/>
      <c r="Z56" s="384"/>
      <c r="AA56" s="384"/>
      <c r="AB56" s="430">
        <v>100826</v>
      </c>
      <c r="AC56" s="430">
        <v>100826</v>
      </c>
      <c r="AD56" s="427" t="s">
        <v>490</v>
      </c>
      <c r="AE56" s="388">
        <v>3.443</v>
      </c>
      <c r="AF56" s="389">
        <f t="shared" si="1"/>
        <v>1384.086</v>
      </c>
      <c r="AG56" s="389">
        <f t="shared" si="2"/>
        <v>10726.6665</v>
      </c>
      <c r="AH56" s="390">
        <v>46212</v>
      </c>
      <c r="AI56" s="420" t="s">
        <v>462</v>
      </c>
      <c r="AJ56" s="428" t="s">
        <v>454</v>
      </c>
      <c r="AK56" s="117"/>
      <c r="AL56" s="117"/>
      <c r="AM56" s="117"/>
      <c r="AN56" s="117"/>
      <c r="AO56" s="391"/>
      <c r="AP56" s="391"/>
      <c r="AQ56" s="391"/>
    </row>
    <row r="57" s="380" customFormat="1" ht="25" customHeight="1" spans="1:43">
      <c r="A57" s="114">
        <v>46197</v>
      </c>
      <c r="B57" s="429" t="s">
        <v>391</v>
      </c>
      <c r="C57" s="34" t="s">
        <v>445</v>
      </c>
      <c r="D57" s="428" t="s">
        <v>390</v>
      </c>
      <c r="E57" s="428" t="s">
        <v>393</v>
      </c>
      <c r="F57" s="117"/>
      <c r="G57" s="428" t="s">
        <v>70</v>
      </c>
      <c r="H57" s="117" t="s">
        <v>339</v>
      </c>
      <c r="I57" s="211">
        <v>558</v>
      </c>
      <c r="J57" s="211">
        <v>6</v>
      </c>
      <c r="K57" s="117">
        <f t="shared" si="3"/>
        <v>93</v>
      </c>
      <c r="L57" s="114">
        <v>46259</v>
      </c>
      <c r="M57" s="114">
        <v>46259</v>
      </c>
      <c r="N57" s="429" t="s">
        <v>486</v>
      </c>
      <c r="O57" s="117"/>
      <c r="P57" s="382"/>
      <c r="Q57" s="383">
        <v>46211</v>
      </c>
      <c r="R57" s="383">
        <v>46216</v>
      </c>
      <c r="S57" s="383">
        <v>46219</v>
      </c>
      <c r="T57" s="384">
        <v>46211</v>
      </c>
      <c r="U57" s="423" t="s">
        <v>448</v>
      </c>
      <c r="V57" s="120" t="s">
        <v>487</v>
      </c>
      <c r="W57" s="384" t="s">
        <v>488</v>
      </c>
      <c r="X57" s="419" t="str">
        <f t="array" ref="X57">INDEX(系统货号!C:C,MATCH(1,(系统货号!A:A=G57)*(系统货号!B:B=V57),0))</f>
        <v>BS085D6-TRU</v>
      </c>
      <c r="Y57" s="385"/>
      <c r="Z57" s="384"/>
      <c r="AA57" s="384"/>
      <c r="AB57" s="430">
        <v>100826</v>
      </c>
      <c r="AC57" s="430">
        <v>100826</v>
      </c>
      <c r="AD57" s="427" t="s">
        <v>490</v>
      </c>
      <c r="AE57" s="388">
        <v>3.443</v>
      </c>
      <c r="AF57" s="389">
        <f t="shared" si="1"/>
        <v>1921.194</v>
      </c>
      <c r="AG57" s="389">
        <f t="shared" si="2"/>
        <v>14889.2535</v>
      </c>
      <c r="AH57" s="390">
        <v>46212</v>
      </c>
      <c r="AI57" s="420" t="s">
        <v>462</v>
      </c>
      <c r="AJ57" s="428" t="s">
        <v>454</v>
      </c>
      <c r="AK57" s="117"/>
      <c r="AL57" s="117"/>
      <c r="AM57" s="117"/>
      <c r="AN57" s="117"/>
      <c r="AO57" s="391"/>
      <c r="AP57" s="391"/>
      <c r="AQ57" s="391"/>
    </row>
    <row r="58" s="380" customFormat="1" ht="25" customHeight="1" spans="1:43">
      <c r="A58" s="114">
        <v>46197</v>
      </c>
      <c r="B58" s="429" t="s">
        <v>79</v>
      </c>
      <c r="C58" s="34" t="s">
        <v>445</v>
      </c>
      <c r="D58" s="428" t="s">
        <v>78</v>
      </c>
      <c r="E58" s="428" t="s">
        <v>394</v>
      </c>
      <c r="F58" s="117"/>
      <c r="G58" s="428" t="s">
        <v>65</v>
      </c>
      <c r="H58" s="117" t="s">
        <v>260</v>
      </c>
      <c r="I58" s="211">
        <v>3000</v>
      </c>
      <c r="J58" s="211">
        <v>6</v>
      </c>
      <c r="K58" s="117">
        <f t="shared" si="3"/>
        <v>500</v>
      </c>
      <c r="L58" s="114">
        <v>46273</v>
      </c>
      <c r="M58" s="114">
        <v>46273</v>
      </c>
      <c r="N58" s="114"/>
      <c r="O58" s="117"/>
      <c r="P58" s="382"/>
      <c r="Q58" s="384">
        <v>46220</v>
      </c>
      <c r="R58" s="383">
        <v>46221</v>
      </c>
      <c r="S58" s="383">
        <v>46231</v>
      </c>
      <c r="T58" s="384">
        <v>46220</v>
      </c>
      <c r="U58" s="423" t="s">
        <v>448</v>
      </c>
      <c r="V58" s="120" t="s">
        <v>449</v>
      </c>
      <c r="W58" s="384" t="s">
        <v>459</v>
      </c>
      <c r="X58" s="419" t="str">
        <f t="array" ref="X58">INDEX(系统货号!C:C,MATCH(1,(系统货号!A:A=G58)*(系统货号!B:B=V58),0))</f>
        <v>BS090D6-KMART客版本</v>
      </c>
      <c r="Y58" s="385"/>
      <c r="Z58" s="384"/>
      <c r="AA58" s="384"/>
      <c r="AB58" s="425" t="s">
        <v>483</v>
      </c>
      <c r="AC58" s="425" t="s">
        <v>483</v>
      </c>
      <c r="AD58" s="427" t="s">
        <v>485</v>
      </c>
      <c r="AE58" s="388">
        <v>3.503</v>
      </c>
      <c r="AF58" s="389">
        <f t="shared" si="1"/>
        <v>10509</v>
      </c>
      <c r="AG58" s="389">
        <f t="shared" si="2"/>
        <v>81444.75</v>
      </c>
      <c r="AH58" s="390">
        <v>46203</v>
      </c>
      <c r="AI58" s="420" t="s">
        <v>462</v>
      </c>
      <c r="AJ58" s="428" t="s">
        <v>454</v>
      </c>
      <c r="AK58" s="117"/>
      <c r="AL58" s="117"/>
      <c r="AM58" s="117"/>
      <c r="AN58" s="117"/>
      <c r="AO58" s="391"/>
      <c r="AP58" s="391"/>
      <c r="AQ58" s="391"/>
    </row>
    <row r="59" s="380" customFormat="1" ht="25" customHeight="1" spans="1:43">
      <c r="A59" s="114">
        <v>46197</v>
      </c>
      <c r="B59" s="429" t="s">
        <v>84</v>
      </c>
      <c r="C59" s="34" t="s">
        <v>445</v>
      </c>
      <c r="D59" s="428" t="s">
        <v>78</v>
      </c>
      <c r="E59" s="428" t="s">
        <v>395</v>
      </c>
      <c r="F59" s="117"/>
      <c r="G59" s="428" t="s">
        <v>65</v>
      </c>
      <c r="H59" s="117" t="s">
        <v>260</v>
      </c>
      <c r="I59" s="211">
        <v>396</v>
      </c>
      <c r="J59" s="211">
        <v>6</v>
      </c>
      <c r="K59" s="117">
        <f t="shared" si="3"/>
        <v>66</v>
      </c>
      <c r="L59" s="114">
        <v>46273</v>
      </c>
      <c r="M59" s="114">
        <v>46273</v>
      </c>
      <c r="N59" s="114"/>
      <c r="O59" s="117"/>
      <c r="P59" s="382"/>
      <c r="Q59" s="384">
        <v>46220</v>
      </c>
      <c r="R59" s="383">
        <v>46221</v>
      </c>
      <c r="S59" s="383">
        <v>46231</v>
      </c>
      <c r="T59" s="384">
        <v>46220</v>
      </c>
      <c r="U59" s="423" t="s">
        <v>448</v>
      </c>
      <c r="V59" s="120" t="s">
        <v>449</v>
      </c>
      <c r="W59" s="384" t="s">
        <v>459</v>
      </c>
      <c r="X59" s="419" t="str">
        <f t="array" ref="X59">INDEX(系统货号!C:C,MATCH(1,(系统货号!A:A=G59)*(系统货号!B:B=V59),0))</f>
        <v>BS090D6-KMART客版本</v>
      </c>
      <c r="Y59" s="385"/>
      <c r="Z59" s="384"/>
      <c r="AA59" s="384"/>
      <c r="AB59" s="425" t="s">
        <v>483</v>
      </c>
      <c r="AC59" s="425" t="s">
        <v>483</v>
      </c>
      <c r="AD59" s="427" t="s">
        <v>485</v>
      </c>
      <c r="AE59" s="388">
        <v>3.503</v>
      </c>
      <c r="AF59" s="389">
        <f t="shared" si="1"/>
        <v>1387.188</v>
      </c>
      <c r="AG59" s="389">
        <f t="shared" si="2"/>
        <v>10750.707</v>
      </c>
      <c r="AH59" s="390">
        <v>46203</v>
      </c>
      <c r="AI59" s="420" t="s">
        <v>462</v>
      </c>
      <c r="AJ59" s="428" t="s">
        <v>454</v>
      </c>
      <c r="AK59" s="117"/>
      <c r="AL59" s="117"/>
      <c r="AM59" s="117"/>
      <c r="AN59" s="117"/>
      <c r="AO59" s="391"/>
      <c r="AP59" s="391"/>
      <c r="AQ59" s="391"/>
    </row>
    <row r="60" s="380" customFormat="1" ht="25" customHeight="1" spans="1:43">
      <c r="A60" s="114">
        <v>46210</v>
      </c>
      <c r="B60" s="429" t="s">
        <v>150</v>
      </c>
      <c r="C60" s="428" t="s">
        <v>445</v>
      </c>
      <c r="D60" s="428" t="s">
        <v>396</v>
      </c>
      <c r="E60" s="428" t="s">
        <v>397</v>
      </c>
      <c r="F60" s="428"/>
      <c r="G60" s="428" t="s">
        <v>68</v>
      </c>
      <c r="H60" s="428" t="s">
        <v>398</v>
      </c>
      <c r="I60" s="211">
        <v>9130</v>
      </c>
      <c r="J60" s="211">
        <v>110</v>
      </c>
      <c r="K60" s="117">
        <f t="shared" si="3"/>
        <v>83</v>
      </c>
      <c r="L60" s="114">
        <v>46275</v>
      </c>
      <c r="M60" s="114">
        <v>46275</v>
      </c>
      <c r="N60" s="433" t="s">
        <v>491</v>
      </c>
      <c r="O60" s="428" t="s">
        <v>492</v>
      </c>
      <c r="P60" s="382"/>
      <c r="Q60" s="383">
        <v>46247</v>
      </c>
      <c r="R60" s="383">
        <v>46248</v>
      </c>
      <c r="S60" s="383" t="s">
        <v>493</v>
      </c>
      <c r="T60" s="384">
        <v>46233</v>
      </c>
      <c r="U60" s="423" t="s">
        <v>448</v>
      </c>
      <c r="V60" s="434" t="s">
        <v>494</v>
      </c>
      <c r="W60" s="384" t="s">
        <v>488</v>
      </c>
      <c r="X60" s="419" t="str">
        <f t="array" ref="X60">INDEX(系统货号!C:C,MATCH(1,(系统货号!A:A=G60)*(系统货号!B:B=V60),0))</f>
        <v>CZ018E1-加拿大</v>
      </c>
      <c r="Y60" s="385"/>
      <c r="Z60" s="384"/>
      <c r="AA60" s="384"/>
      <c r="AB60" s="105" t="s">
        <v>495</v>
      </c>
      <c r="AC60" s="105" t="s">
        <v>495</v>
      </c>
      <c r="AD60" s="427" t="s">
        <v>496</v>
      </c>
      <c r="AE60" s="388">
        <v>4.626</v>
      </c>
      <c r="AF60" s="389">
        <f t="shared" si="1"/>
        <v>42235.38</v>
      </c>
      <c r="AG60" s="389">
        <f t="shared" si="2"/>
        <v>327324.195</v>
      </c>
      <c r="AH60" s="390">
        <v>46219</v>
      </c>
      <c r="AI60" s="420" t="s">
        <v>462</v>
      </c>
      <c r="AJ60" s="428" t="s">
        <v>454</v>
      </c>
      <c r="AK60" s="117"/>
      <c r="AL60" s="117"/>
      <c r="AM60" s="117"/>
      <c r="AN60" s="117"/>
      <c r="AO60" s="391"/>
      <c r="AP60" s="391"/>
      <c r="AQ60" s="391"/>
    </row>
    <row r="61" s="380" customFormat="1" ht="25" customHeight="1" spans="1:43">
      <c r="A61" s="114">
        <v>46231</v>
      </c>
      <c r="B61" s="429" t="s">
        <v>241</v>
      </c>
      <c r="C61" s="428" t="s">
        <v>445</v>
      </c>
      <c r="D61" s="428" t="s">
        <v>240</v>
      </c>
      <c r="E61" s="428" t="s">
        <v>399</v>
      </c>
      <c r="F61" s="428"/>
      <c r="G61" s="428" t="s">
        <v>64</v>
      </c>
      <c r="H61" s="117" t="s">
        <v>259</v>
      </c>
      <c r="I61" s="211">
        <v>4116</v>
      </c>
      <c r="J61" s="211">
        <v>6</v>
      </c>
      <c r="K61" s="117">
        <f t="shared" si="3"/>
        <v>686</v>
      </c>
      <c r="L61" s="114">
        <v>46303</v>
      </c>
      <c r="M61" s="114">
        <v>46303</v>
      </c>
      <c r="N61" s="429" t="s">
        <v>457</v>
      </c>
      <c r="O61" s="117"/>
      <c r="P61" s="382"/>
      <c r="Q61" s="383">
        <v>46237</v>
      </c>
      <c r="R61" s="383">
        <v>46239</v>
      </c>
      <c r="S61" s="383">
        <v>46240</v>
      </c>
      <c r="T61" s="384" t="s">
        <v>497</v>
      </c>
      <c r="U61" s="423" t="s">
        <v>448</v>
      </c>
      <c r="V61" s="120" t="s">
        <v>458</v>
      </c>
      <c r="W61" s="384" t="s">
        <v>459</v>
      </c>
      <c r="X61" s="419" t="str">
        <f t="array" ref="X61">INDEX(系统货号!C:C,MATCH(1,(系统货号!A:A=G61)*(系统货号!B:B=V61),0))</f>
        <v>CZ017D6</v>
      </c>
      <c r="Y61" s="385"/>
      <c r="Z61" s="384"/>
      <c r="AA61" s="384"/>
      <c r="AB61" s="434" t="s">
        <v>498</v>
      </c>
      <c r="AC61" s="435" t="s">
        <v>498</v>
      </c>
      <c r="AD61" s="436" t="s">
        <v>499</v>
      </c>
      <c r="AE61" s="388">
        <v>4.075</v>
      </c>
      <c r="AF61" s="389">
        <f t="shared" si="1"/>
        <v>16772.7</v>
      </c>
      <c r="AG61" s="389">
        <f t="shared" si="2"/>
        <v>129988.425</v>
      </c>
      <c r="AH61" s="390">
        <v>46232</v>
      </c>
      <c r="AI61" s="390"/>
      <c r="AJ61" s="117"/>
      <c r="AK61" s="117"/>
      <c r="AL61" s="117"/>
      <c r="AM61" s="117"/>
      <c r="AN61" s="117"/>
      <c r="AO61" s="391"/>
      <c r="AP61" s="391"/>
      <c r="AQ61" s="391"/>
    </row>
    <row r="62" s="380" customFormat="1" ht="25" customHeight="1" spans="1:43">
      <c r="A62" s="114">
        <v>46231</v>
      </c>
      <c r="B62" s="429" t="s">
        <v>241</v>
      </c>
      <c r="C62" s="428" t="s">
        <v>445</v>
      </c>
      <c r="D62" s="428" t="s">
        <v>240</v>
      </c>
      <c r="E62" s="428" t="s">
        <v>399</v>
      </c>
      <c r="F62" s="428"/>
      <c r="G62" s="428" t="s">
        <v>60</v>
      </c>
      <c r="H62" s="428" t="s">
        <v>253</v>
      </c>
      <c r="I62" s="211">
        <v>4116</v>
      </c>
      <c r="J62" s="211">
        <v>6</v>
      </c>
      <c r="K62" s="117">
        <f t="shared" si="3"/>
        <v>686</v>
      </c>
      <c r="L62" s="114">
        <v>46303</v>
      </c>
      <c r="M62" s="114">
        <v>46303</v>
      </c>
      <c r="N62" s="429" t="s">
        <v>457</v>
      </c>
      <c r="O62" s="117"/>
      <c r="P62" s="382"/>
      <c r="Q62" s="383">
        <v>46237</v>
      </c>
      <c r="R62" s="383">
        <v>46239</v>
      </c>
      <c r="S62" s="383">
        <v>46240</v>
      </c>
      <c r="T62" s="384" t="s">
        <v>497</v>
      </c>
      <c r="U62" s="423" t="s">
        <v>448</v>
      </c>
      <c r="V62" s="120" t="s">
        <v>458</v>
      </c>
      <c r="W62" s="384" t="s">
        <v>459</v>
      </c>
      <c r="X62" s="419" t="str">
        <f t="array" ref="X62">INDEX(系统货号!C:C,MATCH(1,(系统货号!A:A=G62)*(系统货号!B:B=V62),0))</f>
        <v>CZ022D6</v>
      </c>
      <c r="Y62" s="385"/>
      <c r="Z62" s="384"/>
      <c r="AA62" s="384"/>
      <c r="AB62" s="434" t="s">
        <v>498</v>
      </c>
      <c r="AC62" s="435" t="s">
        <v>498</v>
      </c>
      <c r="AD62" s="436" t="s">
        <v>499</v>
      </c>
      <c r="AE62" s="388">
        <v>3.989</v>
      </c>
      <c r="AF62" s="389">
        <f t="shared" si="1"/>
        <v>16418.724</v>
      </c>
      <c r="AG62" s="389">
        <f t="shared" si="2"/>
        <v>127245.111</v>
      </c>
      <c r="AH62" s="390">
        <v>46232</v>
      </c>
      <c r="AI62" s="390"/>
      <c r="AJ62" s="117"/>
      <c r="AK62" s="117"/>
      <c r="AL62" s="117"/>
      <c r="AM62" s="117"/>
      <c r="AN62" s="117"/>
      <c r="AO62" s="391"/>
      <c r="AP62" s="391"/>
      <c r="AQ62" s="391"/>
    </row>
    <row r="63" s="398" customFormat="1" ht="25" customHeight="1" spans="1:43">
      <c r="A63" s="421">
        <v>46248</v>
      </c>
      <c r="B63" s="437" t="s">
        <v>105</v>
      </c>
      <c r="C63" s="438" t="s">
        <v>445</v>
      </c>
      <c r="D63" s="438" t="s">
        <v>400</v>
      </c>
      <c r="E63" s="438" t="s">
        <v>401</v>
      </c>
      <c r="F63" s="439"/>
      <c r="G63" s="438" t="s">
        <v>69</v>
      </c>
      <c r="H63" s="439" t="s">
        <v>325</v>
      </c>
      <c r="I63" s="440">
        <v>3576</v>
      </c>
      <c r="J63" s="440">
        <v>6</v>
      </c>
      <c r="K63" s="439">
        <f t="shared" si="3"/>
        <v>596</v>
      </c>
      <c r="L63" s="421">
        <v>46304</v>
      </c>
      <c r="M63" s="421">
        <v>46304</v>
      </c>
      <c r="N63" s="421"/>
      <c r="O63" s="439"/>
      <c r="P63" s="441"/>
      <c r="Q63" s="442" t="s">
        <v>497</v>
      </c>
      <c r="R63" s="442" t="s">
        <v>497</v>
      </c>
      <c r="S63" s="442" t="s">
        <v>493</v>
      </c>
      <c r="T63" s="443">
        <v>46170</v>
      </c>
      <c r="U63" s="423" t="s">
        <v>448</v>
      </c>
      <c r="V63" s="444" t="s">
        <v>500</v>
      </c>
      <c r="W63" s="443" t="s">
        <v>488</v>
      </c>
      <c r="X63" s="419" t="str">
        <f t="array" ref="X63">INDEX(系统货号!C:C,MATCH(1,(系统货号!A:A=G63)*(系统货号!B:B=V63),0))</f>
        <v>BS086D6-SMYTHS</v>
      </c>
      <c r="Y63" s="445" t="s">
        <v>501</v>
      </c>
      <c r="Z63" s="443"/>
      <c r="AA63" s="443"/>
      <c r="AB63" s="446" t="s">
        <v>502</v>
      </c>
      <c r="AC63" s="446" t="s">
        <v>502</v>
      </c>
      <c r="AD63" s="436" t="s">
        <v>503</v>
      </c>
      <c r="AE63" s="447">
        <v>3.542</v>
      </c>
      <c r="AF63" s="448">
        <f t="shared" si="1"/>
        <v>12666.192</v>
      </c>
      <c r="AG63" s="448">
        <f t="shared" si="2"/>
        <v>98162.988</v>
      </c>
      <c r="AH63" s="449">
        <v>46248</v>
      </c>
      <c r="AI63" s="449"/>
      <c r="AJ63" s="439"/>
      <c r="AK63" s="439"/>
      <c r="AL63" s="439"/>
      <c r="AM63" s="439"/>
      <c r="AN63" s="439"/>
      <c r="AO63" s="450"/>
      <c r="AP63" s="450"/>
      <c r="AQ63" s="450"/>
    </row>
    <row r="64" s="380" customFormat="1" ht="25" customHeight="1" spans="1:43">
      <c r="A64" s="114"/>
      <c r="B64" s="429"/>
      <c r="C64" s="34"/>
      <c r="D64" s="428"/>
      <c r="E64" s="428"/>
      <c r="F64" s="117"/>
      <c r="G64" s="428"/>
      <c r="H64" s="117"/>
      <c r="I64" s="211"/>
      <c r="J64" s="211"/>
      <c r="K64" s="117"/>
      <c r="L64" s="114"/>
      <c r="M64" s="114"/>
      <c r="N64" s="114"/>
      <c r="O64" s="117"/>
      <c r="P64" s="382"/>
      <c r="Q64" s="383"/>
      <c r="R64" s="383"/>
      <c r="S64" s="383"/>
      <c r="T64" s="384"/>
      <c r="U64" s="385"/>
      <c r="V64" s="120"/>
      <c r="W64" s="384"/>
      <c r="X64" s="419"/>
      <c r="Y64" s="385"/>
      <c r="Z64" s="384"/>
      <c r="AA64" s="384"/>
      <c r="AB64" s="108"/>
      <c r="AC64" s="108"/>
      <c r="AD64" s="427"/>
      <c r="AE64" s="388"/>
      <c r="AF64" s="389"/>
      <c r="AG64" s="389"/>
      <c r="AH64" s="390"/>
      <c r="AI64" s="390"/>
      <c r="AJ64" s="117"/>
      <c r="AK64" s="117"/>
      <c r="AL64" s="117"/>
      <c r="AM64" s="117"/>
      <c r="AN64" s="117"/>
      <c r="AO64" s="391"/>
      <c r="AP64" s="391"/>
      <c r="AQ64" s="391"/>
    </row>
    <row r="65" s="380" customFormat="1" ht="25" customHeight="1" spans="1:43">
      <c r="A65" s="114"/>
      <c r="B65" s="429"/>
      <c r="C65" s="34"/>
      <c r="D65" s="428"/>
      <c r="E65" s="428"/>
      <c r="F65" s="117"/>
      <c r="G65" s="428"/>
      <c r="H65" s="117"/>
      <c r="I65" s="211"/>
      <c r="J65" s="211"/>
      <c r="K65" s="117"/>
      <c r="L65" s="114"/>
      <c r="M65" s="114"/>
      <c r="N65" s="114"/>
      <c r="O65" s="117"/>
      <c r="P65" s="382"/>
      <c r="Q65" s="383"/>
      <c r="R65" s="383"/>
      <c r="S65" s="383"/>
      <c r="T65" s="384"/>
      <c r="U65" s="385"/>
      <c r="V65" s="120"/>
      <c r="W65" s="384"/>
      <c r="X65" s="419"/>
      <c r="Y65" s="385"/>
      <c r="Z65" s="384"/>
      <c r="AA65" s="384"/>
      <c r="AB65" s="108"/>
      <c r="AC65" s="108"/>
      <c r="AD65" s="427"/>
      <c r="AE65" s="388"/>
      <c r="AF65" s="389"/>
      <c r="AG65" s="389"/>
      <c r="AH65" s="390"/>
      <c r="AI65" s="390"/>
      <c r="AJ65" s="117"/>
      <c r="AK65" s="117"/>
      <c r="AL65" s="117"/>
      <c r="AM65" s="117"/>
      <c r="AN65" s="117"/>
      <c r="AO65" s="391"/>
      <c r="AP65" s="391"/>
      <c r="AQ65" s="391"/>
    </row>
    <row r="66" s="380" customFormat="1" ht="25" customHeight="1" spans="1:43">
      <c r="A66" s="114"/>
      <c r="B66" s="429"/>
      <c r="C66" s="34"/>
      <c r="D66" s="428"/>
      <c r="E66" s="428"/>
      <c r="F66" s="117"/>
      <c r="G66" s="428"/>
      <c r="H66" s="117"/>
      <c r="I66" s="211"/>
      <c r="J66" s="211"/>
      <c r="K66" s="117"/>
      <c r="L66" s="114"/>
      <c r="M66" s="114"/>
      <c r="N66" s="114"/>
      <c r="O66" s="117"/>
      <c r="P66" s="382"/>
      <c r="Q66" s="383"/>
      <c r="R66" s="383"/>
      <c r="S66" s="383"/>
      <c r="T66" s="384"/>
      <c r="U66" s="385"/>
      <c r="V66" s="120"/>
      <c r="W66" s="384"/>
      <c r="X66" s="419"/>
      <c r="Y66" s="385"/>
      <c r="Z66" s="384"/>
      <c r="AA66" s="384"/>
      <c r="AB66" s="108"/>
      <c r="AC66" s="108"/>
      <c r="AD66" s="427"/>
      <c r="AE66" s="388"/>
      <c r="AF66" s="389"/>
      <c r="AG66" s="389"/>
      <c r="AH66" s="390"/>
      <c r="AI66" s="390"/>
      <c r="AJ66" s="117"/>
      <c r="AK66" s="117"/>
      <c r="AL66" s="117"/>
      <c r="AM66" s="117"/>
      <c r="AN66" s="117"/>
      <c r="AO66" s="391"/>
      <c r="AP66" s="391"/>
      <c r="AQ66" s="391"/>
    </row>
    <row r="67" s="380" customFormat="1" ht="25" customHeight="1" spans="1:43">
      <c r="A67" s="114"/>
      <c r="B67" s="429"/>
      <c r="C67" s="34"/>
      <c r="D67" s="428"/>
      <c r="E67" s="428"/>
      <c r="F67" s="117"/>
      <c r="G67" s="428"/>
      <c r="H67" s="117"/>
      <c r="I67" s="211"/>
      <c r="J67" s="211"/>
      <c r="K67" s="117"/>
      <c r="L67" s="114"/>
      <c r="M67" s="114"/>
      <c r="N67" s="114"/>
      <c r="O67" s="117"/>
      <c r="P67" s="382"/>
      <c r="Q67" s="383"/>
      <c r="R67" s="383"/>
      <c r="S67" s="383"/>
      <c r="T67" s="384"/>
      <c r="U67" s="385"/>
      <c r="V67" s="120"/>
      <c r="W67" s="384"/>
      <c r="X67" s="419"/>
      <c r="Y67" s="385"/>
      <c r="Z67" s="384"/>
      <c r="AA67" s="384"/>
      <c r="AB67" s="108"/>
      <c r="AC67" s="108"/>
      <c r="AD67" s="427"/>
      <c r="AE67" s="388"/>
      <c r="AF67" s="389"/>
      <c r="AG67" s="389"/>
      <c r="AH67" s="390"/>
      <c r="AI67" s="390"/>
      <c r="AJ67" s="117"/>
      <c r="AK67" s="117"/>
      <c r="AL67" s="117"/>
      <c r="AM67" s="117"/>
      <c r="AN67" s="117"/>
      <c r="AO67" s="391"/>
      <c r="AP67" s="391"/>
      <c r="AQ67" s="391"/>
    </row>
    <row r="68" s="380" customFormat="1" ht="25" customHeight="1" spans="1:43">
      <c r="A68" s="114"/>
      <c r="B68" s="429"/>
      <c r="C68" s="34"/>
      <c r="D68" s="428"/>
      <c r="E68" s="428"/>
      <c r="F68" s="117"/>
      <c r="G68" s="428"/>
      <c r="H68" s="117"/>
      <c r="I68" s="211"/>
      <c r="J68" s="211"/>
      <c r="K68" s="117"/>
      <c r="L68" s="114"/>
      <c r="M68" s="114"/>
      <c r="N68" s="114"/>
      <c r="O68" s="117"/>
      <c r="P68" s="382"/>
      <c r="Q68" s="383"/>
      <c r="R68" s="383"/>
      <c r="S68" s="383"/>
      <c r="T68" s="384"/>
      <c r="U68" s="385"/>
      <c r="V68" s="120"/>
      <c r="W68" s="384"/>
      <c r="X68" s="419"/>
      <c r="Y68" s="385"/>
      <c r="Z68" s="384"/>
      <c r="AA68" s="384"/>
      <c r="AB68" s="108"/>
      <c r="AC68" s="108"/>
      <c r="AD68" s="427"/>
      <c r="AE68" s="388"/>
      <c r="AF68" s="389"/>
      <c r="AG68" s="389"/>
      <c r="AH68" s="390"/>
      <c r="AI68" s="390"/>
      <c r="AJ68" s="117"/>
      <c r="AK68" s="117"/>
      <c r="AL68" s="117"/>
      <c r="AM68" s="117"/>
      <c r="AN68" s="117"/>
      <c r="AO68" s="391"/>
      <c r="AP68" s="391"/>
      <c r="AQ68" s="391"/>
    </row>
    <row r="69" s="380" customFormat="1" ht="25" customHeight="1" spans="1:43">
      <c r="A69" s="114"/>
      <c r="B69" s="114"/>
      <c r="C69" s="34"/>
      <c r="D69" s="117"/>
      <c r="E69" s="117"/>
      <c r="F69" s="117"/>
      <c r="G69" s="117"/>
      <c r="H69" s="117"/>
      <c r="I69" s="211"/>
      <c r="J69" s="211"/>
      <c r="K69" s="117"/>
      <c r="L69" s="114"/>
      <c r="M69" s="114"/>
      <c r="N69" s="114"/>
      <c r="O69" s="117"/>
      <c r="P69" s="382"/>
      <c r="Q69" s="383"/>
      <c r="R69" s="383"/>
      <c r="S69" s="383"/>
      <c r="T69" s="384"/>
      <c r="U69" s="385"/>
      <c r="V69" s="120"/>
      <c r="W69" s="384"/>
      <c r="X69" s="419"/>
      <c r="Y69" s="385"/>
      <c r="Z69" s="384"/>
      <c r="AA69" s="384"/>
      <c r="AB69" s="117"/>
      <c r="AC69" s="432"/>
      <c r="AD69" s="128"/>
      <c r="AE69" s="388"/>
      <c r="AF69" s="389"/>
      <c r="AG69" s="389"/>
      <c r="AH69" s="390"/>
      <c r="AI69" s="390"/>
      <c r="AJ69" s="117"/>
      <c r="AK69" s="117"/>
      <c r="AL69" s="117"/>
      <c r="AM69" s="117"/>
      <c r="AN69" s="117"/>
      <c r="AO69" s="391"/>
      <c r="AP69" s="391"/>
      <c r="AQ69" s="391"/>
    </row>
    <row r="70" s="52" customFormat="1" ht="25" customHeight="1" spans="1:43">
      <c r="A70" s="30"/>
      <c r="B70" s="34"/>
      <c r="C70" s="34"/>
      <c r="D70" s="34"/>
      <c r="E70" s="34"/>
      <c r="F70" s="34"/>
      <c r="G70" s="34"/>
      <c r="H70" s="34"/>
      <c r="I70" s="392">
        <f>SUM(I2:I69)</f>
        <v>218938</v>
      </c>
      <c r="J70" s="392"/>
      <c r="K70" s="117"/>
      <c r="L70" s="30"/>
      <c r="M70" s="30"/>
      <c r="N70" s="34"/>
      <c r="O70" s="120"/>
      <c r="P70" s="393"/>
      <c r="Q70" s="393"/>
      <c r="R70" s="393"/>
      <c r="S70" s="393"/>
      <c r="T70" s="393"/>
      <c r="U70" s="393"/>
      <c r="V70" s="34"/>
      <c r="W70" s="34"/>
      <c r="X70" s="419"/>
      <c r="Y70" s="393"/>
      <c r="Z70" s="34"/>
      <c r="AA70" s="34"/>
      <c r="AB70" s="34"/>
      <c r="AC70" s="34"/>
      <c r="AD70" s="394"/>
      <c r="AE70" s="395">
        <f>SUM(AE2:AE69)</f>
        <v>161.185</v>
      </c>
      <c r="AF70" s="395">
        <f>SUM(AF2:AF69)</f>
        <v>395655.078</v>
      </c>
      <c r="AG70" s="395">
        <f>SUM(AG2:AG69)</f>
        <v>3066326.8545</v>
      </c>
      <c r="AH70" s="34"/>
      <c r="AI70" s="34"/>
      <c r="AJ70" s="34"/>
      <c r="AK70" s="34"/>
      <c r="AL70" s="34"/>
      <c r="AM70" s="34"/>
      <c r="AN70" s="34"/>
      <c r="AO70" s="396"/>
      <c r="AP70" s="396"/>
      <c r="AQ70" s="396"/>
    </row>
    <row r="71" s="52" customFormat="1" ht="25" customHeight="1" spans="1:43">
      <c r="A71" s="59"/>
      <c r="I71" s="200"/>
      <c r="J71" s="200"/>
      <c r="L71" s="59"/>
      <c r="M71" s="59"/>
      <c r="O71" s="132"/>
      <c r="P71" s="216"/>
      <c r="Q71" s="216"/>
      <c r="R71" s="216"/>
      <c r="S71" s="216"/>
      <c r="T71" s="216"/>
      <c r="U71" s="216"/>
      <c r="X71" s="451"/>
      <c r="Y71" s="216"/>
      <c r="AD71" s="201"/>
      <c r="AF71" s="18"/>
    </row>
    <row r="72" s="52" customFormat="1" ht="25" customHeight="1" spans="1:43">
      <c r="A72" s="59"/>
      <c r="I72" s="200"/>
      <c r="J72" s="200"/>
      <c r="L72" s="59"/>
      <c r="M72" s="59"/>
      <c r="O72" s="132"/>
      <c r="P72" s="216"/>
      <c r="Q72" s="216"/>
      <c r="R72" s="216"/>
      <c r="S72" s="216"/>
      <c r="T72" s="216"/>
      <c r="U72" s="216"/>
      <c r="X72" s="451"/>
      <c r="Y72" s="216"/>
      <c r="AD72" s="201"/>
      <c r="AF72" s="18"/>
    </row>
    <row r="73" s="52" customFormat="1" ht="25" customHeight="1" spans="1:43">
      <c r="A73" s="59"/>
      <c r="I73" s="200"/>
      <c r="J73" s="200"/>
      <c r="L73" s="59"/>
      <c r="M73" s="59"/>
      <c r="O73" s="132"/>
      <c r="P73" s="216"/>
      <c r="Q73" s="216"/>
      <c r="R73" s="216"/>
      <c r="S73" s="216"/>
      <c r="T73" s="216"/>
      <c r="U73" s="216"/>
      <c r="X73" s="217"/>
      <c r="Y73" s="216"/>
      <c r="AD73" s="201"/>
      <c r="AF73" s="18"/>
    </row>
    <row r="74" s="52" customFormat="1" ht="25" customHeight="1" spans="1:43">
      <c r="A74" s="59"/>
      <c r="I74" s="200"/>
      <c r="J74" s="200"/>
      <c r="L74" s="59"/>
      <c r="M74" s="59"/>
      <c r="O74" s="132"/>
      <c r="P74" s="216"/>
      <c r="Q74" s="216"/>
      <c r="R74" s="216"/>
      <c r="S74" s="216"/>
      <c r="T74" s="216"/>
      <c r="U74" s="216"/>
      <c r="X74" s="217"/>
      <c r="Y74" s="216"/>
      <c r="AD74" s="201"/>
      <c r="AF74" s="18"/>
    </row>
    <row r="75" s="52" customFormat="1" ht="25" customHeight="1" spans="1:43">
      <c r="A75" s="59"/>
      <c r="I75" s="200"/>
      <c r="J75" s="200"/>
      <c r="L75" s="59"/>
      <c r="M75" s="59"/>
      <c r="O75" s="132"/>
      <c r="P75" s="216"/>
      <c r="Q75" s="216"/>
      <c r="R75" s="216"/>
      <c r="S75" s="216"/>
      <c r="T75" s="216"/>
      <c r="U75" s="216"/>
      <c r="X75" s="217"/>
      <c r="Y75" s="216"/>
      <c r="AD75" s="201"/>
      <c r="AF75" s="18"/>
    </row>
    <row r="76" s="52" customFormat="1" ht="25" customHeight="1" spans="1:43">
      <c r="A76" s="59"/>
      <c r="I76" s="200"/>
      <c r="J76" s="200"/>
      <c r="L76" s="59"/>
      <c r="M76" s="59"/>
      <c r="O76" s="132"/>
      <c r="P76" s="216"/>
      <c r="Q76" s="216"/>
      <c r="R76" s="216"/>
      <c r="S76" s="216"/>
      <c r="T76" s="216"/>
      <c r="U76" s="216"/>
      <c r="X76" s="217"/>
      <c r="Y76" s="216"/>
      <c r="AD76" s="201"/>
      <c r="AF76" s="18"/>
    </row>
    <row r="77" s="52" customFormat="1" ht="25" customHeight="1" spans="1:43">
      <c r="A77" s="59"/>
      <c r="I77" s="200"/>
      <c r="J77" s="200"/>
      <c r="L77" s="59"/>
      <c r="M77" s="59"/>
      <c r="O77" s="132"/>
      <c r="P77" s="216"/>
      <c r="Q77" s="216"/>
      <c r="R77" s="216"/>
      <c r="S77" s="216"/>
      <c r="T77" s="216"/>
      <c r="U77" s="216"/>
      <c r="X77" s="217"/>
      <c r="Y77" s="216"/>
      <c r="AD77" s="201"/>
      <c r="AF77" s="18"/>
    </row>
    <row r="78" s="52" customFormat="1" ht="25" customHeight="1" spans="1:43">
      <c r="A78" s="59"/>
      <c r="I78" s="200"/>
      <c r="J78" s="200"/>
      <c r="L78" s="59"/>
      <c r="M78" s="59"/>
      <c r="O78" s="132"/>
      <c r="P78" s="216"/>
      <c r="Q78" s="216"/>
      <c r="R78" s="216"/>
      <c r="S78" s="216"/>
      <c r="T78" s="216"/>
      <c r="U78" s="216"/>
      <c r="X78" s="217"/>
      <c r="Y78" s="216"/>
      <c r="AD78" s="201"/>
      <c r="AF78" s="18"/>
    </row>
    <row r="79" s="52" customFormat="1" ht="25" customHeight="1" spans="1:43">
      <c r="A79" s="59"/>
      <c r="I79" s="200"/>
      <c r="J79" s="200"/>
      <c r="L79" s="59"/>
      <c r="M79" s="59"/>
      <c r="O79" s="132"/>
      <c r="P79" s="216"/>
      <c r="Q79" s="216"/>
      <c r="R79" s="216"/>
      <c r="S79" s="216"/>
      <c r="T79" s="216"/>
      <c r="U79" s="216"/>
      <c r="X79" s="217"/>
      <c r="Y79" s="216"/>
      <c r="AD79" s="201"/>
      <c r="AF79" s="18"/>
    </row>
    <row r="80" s="52" customFormat="1" ht="25" customHeight="1" spans="1:43">
      <c r="A80" s="59"/>
      <c r="I80" s="200"/>
      <c r="J80" s="200"/>
      <c r="L80" s="59"/>
      <c r="M80" s="59"/>
      <c r="O80" s="132"/>
      <c r="P80" s="216"/>
      <c r="Q80" s="216"/>
      <c r="R80" s="216"/>
      <c r="S80" s="216"/>
      <c r="T80" s="216"/>
      <c r="U80" s="216"/>
      <c r="X80" s="217"/>
      <c r="Y80" s="216"/>
      <c r="AD80" s="201"/>
      <c r="AF80" s="18"/>
    </row>
    <row r="81" s="52" customFormat="1" ht="25" customHeight="1" spans="1:43">
      <c r="A81" s="59"/>
      <c r="I81" s="200"/>
      <c r="J81" s="200"/>
      <c r="L81" s="59"/>
      <c r="M81" s="59"/>
      <c r="O81" s="132"/>
      <c r="P81" s="216"/>
      <c r="Q81" s="216"/>
      <c r="R81" s="216"/>
      <c r="S81" s="216"/>
      <c r="T81" s="216"/>
      <c r="U81" s="216"/>
      <c r="X81" s="217"/>
      <c r="Y81" s="216"/>
      <c r="AD81" s="201"/>
      <c r="AF81" s="18"/>
    </row>
    <row r="82" s="52" customFormat="1" ht="25" customHeight="1" spans="1:43">
      <c r="A82" s="59"/>
      <c r="I82" s="200"/>
      <c r="J82" s="200"/>
      <c r="L82" s="59"/>
      <c r="M82" s="59"/>
      <c r="O82" s="132"/>
      <c r="P82" s="216"/>
      <c r="Q82" s="216"/>
      <c r="R82" s="216"/>
      <c r="S82" s="216"/>
      <c r="T82" s="216"/>
      <c r="U82" s="216"/>
      <c r="X82" s="217"/>
      <c r="Y82" s="216"/>
      <c r="AD82" s="201"/>
      <c r="AF82" s="18"/>
    </row>
    <row r="83" s="52" customFormat="1" ht="25" customHeight="1" spans="1:43">
      <c r="A83" s="59"/>
      <c r="I83" s="200"/>
      <c r="J83" s="200"/>
      <c r="L83" s="59"/>
      <c r="M83" s="59"/>
      <c r="O83" s="132"/>
      <c r="P83" s="216"/>
      <c r="Q83" s="216"/>
      <c r="R83" s="216"/>
      <c r="S83" s="216"/>
      <c r="T83" s="216"/>
      <c r="U83" s="216"/>
      <c r="X83" s="217"/>
      <c r="Y83" s="216"/>
      <c r="AD83" s="201"/>
      <c r="AF83" s="18"/>
    </row>
    <row r="84" s="52" customFormat="1" ht="25" customHeight="1" spans="1:43">
      <c r="A84" s="59"/>
      <c r="I84" s="200"/>
      <c r="J84" s="200"/>
      <c r="L84" s="59"/>
      <c r="M84" s="59"/>
      <c r="O84" s="132"/>
      <c r="P84" s="216"/>
      <c r="Q84" s="216"/>
      <c r="R84" s="216"/>
      <c r="S84" s="216"/>
      <c r="T84" s="216"/>
      <c r="U84" s="216"/>
      <c r="X84" s="217"/>
      <c r="Y84" s="216"/>
      <c r="AD84" s="201"/>
      <c r="AF84" s="18"/>
    </row>
    <row r="85" s="52" customFormat="1" ht="25" customHeight="1" spans="1:43">
      <c r="A85" s="59"/>
      <c r="I85" s="200"/>
      <c r="J85" s="200"/>
      <c r="L85" s="59"/>
      <c r="M85" s="59"/>
      <c r="O85" s="132"/>
      <c r="P85" s="216"/>
      <c r="Q85" s="216"/>
      <c r="R85" s="216"/>
      <c r="S85" s="216"/>
      <c r="T85" s="216"/>
      <c r="U85" s="216"/>
      <c r="X85" s="217"/>
      <c r="Y85" s="216"/>
      <c r="AD85" s="201"/>
      <c r="AF85" s="18"/>
    </row>
    <row r="86" s="52" customFormat="1" ht="25" customHeight="1" spans="1:43">
      <c r="A86" s="59"/>
      <c r="I86" s="200"/>
      <c r="J86" s="200"/>
      <c r="L86" s="59"/>
      <c r="M86" s="59"/>
      <c r="O86" s="132"/>
      <c r="P86" s="216"/>
      <c r="Q86" s="216"/>
      <c r="R86" s="216"/>
      <c r="S86" s="216"/>
      <c r="T86" s="216"/>
      <c r="U86" s="216"/>
      <c r="X86" s="217"/>
      <c r="Y86" s="216"/>
      <c r="AD86" s="201"/>
      <c r="AF86" s="18"/>
    </row>
    <row r="87" s="52" customFormat="1" ht="25" customHeight="1" spans="1:43">
      <c r="A87" s="59"/>
      <c r="I87" s="200"/>
      <c r="J87" s="200"/>
      <c r="L87" s="59"/>
      <c r="M87" s="59"/>
      <c r="O87" s="132"/>
      <c r="P87" s="216"/>
      <c r="Q87" s="216"/>
      <c r="R87" s="216"/>
      <c r="S87" s="216"/>
      <c r="T87" s="216"/>
      <c r="U87" s="216"/>
      <c r="X87" s="217"/>
      <c r="Y87" s="216"/>
      <c r="AD87" s="201"/>
      <c r="AF87" s="18"/>
    </row>
    <row r="88" s="52" customFormat="1" ht="25" customHeight="1" spans="1:43">
      <c r="A88" s="59"/>
      <c r="I88" s="200"/>
      <c r="J88" s="200"/>
      <c r="L88" s="59"/>
      <c r="M88" s="59"/>
      <c r="O88" s="132"/>
      <c r="P88" s="216"/>
      <c r="Q88" s="216"/>
      <c r="R88" s="216"/>
      <c r="S88" s="216"/>
      <c r="T88" s="216"/>
      <c r="U88" s="216"/>
      <c r="X88" s="217"/>
      <c r="Y88" s="216"/>
      <c r="AD88" s="201"/>
      <c r="AF88" s="18"/>
      <c r="AQ88" s="3"/>
    </row>
    <row r="89" s="52" customFormat="1" ht="25" customHeight="1" spans="1:43">
      <c r="A89" s="59"/>
      <c r="I89" s="200"/>
      <c r="J89" s="200"/>
      <c r="L89" s="59"/>
      <c r="M89" s="59"/>
      <c r="O89" s="132"/>
      <c r="P89" s="216"/>
      <c r="Q89" s="216"/>
      <c r="R89" s="216"/>
      <c r="S89" s="216"/>
      <c r="T89" s="216"/>
      <c r="U89" s="216"/>
      <c r="X89" s="217"/>
      <c r="Y89" s="216"/>
      <c r="AD89" s="201"/>
      <c r="AF89" s="18"/>
      <c r="AQ89" s="3"/>
    </row>
    <row r="90" ht="25" customHeight="1"/>
    <row r="91" ht="25" customHeight="1"/>
    <row r="92" ht="25" customHeight="1"/>
    <row r="93" ht="25" customHeight="1"/>
    <row r="94" ht="25" customHeight="1"/>
    <row r="95" ht="25" customHeight="1"/>
    <row r="96" ht="25" customHeight="1"/>
    <row r="97" ht="25" customHeight="1"/>
    <row r="98" ht="25" customHeight="1"/>
    <row r="99" ht="25" customHeight="1"/>
    <row r="100" ht="25" customHeight="1"/>
    <row r="101" ht="25" customHeight="1"/>
    <row r="102" ht="25" customHeight="1"/>
    <row r="103" ht="25" customHeight="1"/>
    <row r="104" ht="25" customHeight="1"/>
    <row r="105" ht="25" customHeight="1"/>
    <row r="106" ht="25" customHeight="1"/>
    <row r="107" ht="25" customHeight="1"/>
    <row r="108" ht="25" customHeight="1"/>
    <row r="109" ht="25" customHeight="1"/>
    <row r="110" ht="25" customHeight="1"/>
    <row r="111" ht="25" customHeight="1"/>
    <row r="112" ht="25" customHeight="1"/>
    <row r="113" ht="25" customHeight="1"/>
    <row r="114" ht="25" customHeight="1"/>
    <row r="115" ht="25" customHeight="1"/>
    <row r="116" ht="25" customHeight="1"/>
    <row r="117" ht="25" customHeight="1"/>
    <row r="118" ht="25" customHeight="1"/>
    <row r="119" ht="25" customHeight="1"/>
    <row r="120" ht="25" customHeight="1"/>
    <row r="121" ht="25" customHeight="1"/>
    <row r="122" ht="25" customHeight="1"/>
    <row r="123" ht="25" customHeight="1"/>
    <row r="124" ht="25" customHeight="1"/>
    <row r="125" ht="25" customHeight="1"/>
    <row r="126" ht="25" customHeight="1"/>
    <row r="127" ht="25" customHeight="1"/>
    <row r="128" ht="25" customHeight="1"/>
    <row r="129" ht="25" customHeight="1"/>
    <row r="130" ht="25" customHeight="1"/>
    <row r="131" ht="25" customHeight="1"/>
    <row r="132" ht="25" customHeight="1"/>
    <row r="133" ht="25" customHeight="1"/>
    <row r="134" ht="25" customHeight="1"/>
    <row r="135" ht="25" customHeight="1"/>
    <row r="136" ht="25" customHeight="1"/>
    <row r="137" ht="25" customHeight="1"/>
    <row r="138" ht="25" customHeight="1"/>
    <row r="139" ht="25" customHeight="1"/>
    <row r="140" ht="25" customHeight="1"/>
    <row r="141" ht="25" customHeight="1"/>
    <row r="142" ht="25" customHeight="1"/>
    <row r="143" ht="25" customHeight="1"/>
    <row r="144" ht="25" customHeight="1"/>
    <row r="145" ht="25" customHeight="1"/>
    <row r="146" ht="25" customHeight="1"/>
    <row r="147" ht="25" customHeight="1"/>
    <row r="148" ht="25" customHeight="1"/>
    <row r="149" ht="25" customHeight="1"/>
    <row r="150" ht="25" customHeight="1"/>
    <row r="151" ht="25" customHeight="1"/>
    <row r="152" ht="25" customHeight="1"/>
    <row r="153" ht="25" customHeight="1"/>
    <row r="154" ht="25" customHeight="1"/>
    <row r="155" ht="25" customHeight="1"/>
    <row r="156" ht="25" customHeight="1"/>
    <row r="157" ht="25" customHeight="1"/>
    <row r="158" ht="25" customHeight="1"/>
    <row r="159" ht="25" customHeight="1"/>
    <row r="160" ht="25" customHeight="1"/>
    <row r="161" ht="25" customHeight="1"/>
    <row r="162" ht="25" customHeight="1"/>
    <row r="163" ht="25" customHeight="1"/>
    <row r="164" ht="25" customHeight="1"/>
    <row r="165" ht="25" customHeight="1"/>
    <row r="166" ht="25" customHeight="1"/>
    <row r="167" ht="25" customHeight="1"/>
    <row r="168" ht="25" customHeight="1"/>
    <row r="169" ht="25" customHeight="1"/>
    <row r="170" ht="25" customHeight="1"/>
    <row r="171" ht="25" customHeight="1"/>
    <row r="172" ht="25" customHeight="1"/>
    <row r="173" ht="25" customHeight="1"/>
    <row r="174" ht="25" customHeight="1"/>
    <row r="175" ht="25" customHeight="1"/>
    <row r="176" ht="25" customHeight="1"/>
    <row r="177" ht="25" customHeight="1"/>
    <row r="178" ht="25" customHeight="1"/>
    <row r="179" ht="25" customHeight="1"/>
    <row r="180" ht="25" customHeight="1"/>
    <row r="181" ht="25" customHeight="1"/>
    <row r="182" ht="25" customHeight="1"/>
    <row r="183" ht="25" customHeight="1"/>
    <row r="184" ht="25" customHeight="1"/>
    <row r="185" ht="25" customHeight="1"/>
    <row r="186" ht="25" customHeight="1"/>
    <row r="187" ht="25" customHeight="1"/>
    <row r="188" ht="25" customHeight="1"/>
    <row r="189" ht="25" customHeight="1"/>
    <row r="190" ht="25" customHeight="1"/>
    <row r="191" ht="25" customHeight="1"/>
    <row r="192" ht="25" customHeight="1"/>
    <row r="193" ht="25" customHeight="1"/>
    <row r="194" ht="25" customHeight="1"/>
    <row r="195" ht="25" customHeight="1"/>
    <row r="196" ht="25" customHeight="1"/>
    <row r="197" ht="25" customHeight="1"/>
    <row r="198" ht="25" customHeight="1"/>
    <row r="199" ht="25" customHeight="1"/>
    <row r="200" ht="25" customHeight="1"/>
    <row r="201" ht="25" customHeight="1"/>
    <row r="202" ht="25" customHeight="1"/>
    <row r="203" ht="25" customHeight="1"/>
    <row r="204" ht="25" customHeight="1"/>
    <row r="205" ht="25" customHeight="1"/>
    <row r="206" ht="25" customHeight="1"/>
    <row r="207" ht="25" customHeight="1"/>
    <row r="208" ht="25" customHeight="1"/>
    <row r="209" ht="25" customHeight="1"/>
    <row r="210" ht="25" customHeight="1"/>
    <row r="211" ht="25" customHeight="1"/>
    <row r="212" ht="25" customHeight="1"/>
    <row r="213" ht="25" customHeight="1"/>
    <row r="214" ht="25" customHeight="1"/>
    <row r="215" ht="25" customHeight="1"/>
    <row r="216" ht="25" customHeight="1"/>
    <row r="217" ht="25" customHeight="1"/>
    <row r="218" ht="25" customHeight="1"/>
    <row r="219" ht="25" customHeight="1"/>
    <row r="220" ht="25" customHeight="1"/>
    <row r="221" ht="25" customHeight="1"/>
    <row r="222" ht="25" customHeight="1"/>
    <row r="223" ht="25" customHeight="1"/>
    <row r="224" ht="25" customHeight="1"/>
    <row r="225" ht="25" customHeight="1"/>
    <row r="226" ht="25" customHeight="1"/>
    <row r="227" ht="25" customHeight="1"/>
    <row r="228" ht="25" customHeight="1"/>
    <row r="229" ht="25" customHeight="1"/>
    <row r="230" ht="25" customHeight="1"/>
    <row r="231" ht="25" customHeight="1"/>
    <row r="232" ht="25" customHeight="1"/>
    <row r="233" ht="25" customHeight="1"/>
    <row r="234" ht="25" customHeight="1"/>
    <row r="235" ht="25" customHeight="1"/>
    <row r="236" ht="25" customHeight="1"/>
    <row r="237" ht="25" customHeight="1"/>
    <row r="238" ht="25" customHeight="1"/>
    <row r="239" ht="25" customHeight="1"/>
    <row r="240" ht="25" customHeight="1"/>
    <row r="241" ht="25" customHeight="1"/>
    <row r="242" ht="25" customHeight="1"/>
    <row r="243" ht="25" customHeight="1"/>
    <row r="244" ht="25" customHeight="1"/>
    <row r="245" ht="25" customHeight="1"/>
    <row r="246" ht="25" customHeight="1"/>
    <row r="247" ht="25" customHeight="1"/>
    <row r="248" ht="25" customHeight="1"/>
    <row r="249" ht="25" customHeight="1"/>
    <row r="250" ht="25" customHeight="1"/>
    <row r="251" ht="25" customHeight="1"/>
    <row r="252" ht="25" customHeight="1"/>
    <row r="253" ht="25" customHeight="1"/>
    <row r="254" ht="25" customHeight="1"/>
    <row r="255" ht="25" customHeight="1"/>
    <row r="256" ht="25" customHeight="1"/>
    <row r="257" ht="25" customHeight="1"/>
    <row r="258" ht="25" customHeight="1"/>
    <row r="259" ht="25" customHeight="1"/>
    <row r="260" ht="25" customHeight="1"/>
    <row r="261" ht="25" customHeight="1"/>
    <row r="262" ht="25" customHeight="1"/>
    <row r="263" ht="25" customHeight="1"/>
    <row r="264" ht="25" customHeight="1"/>
    <row r="265" ht="25" customHeight="1"/>
    <row r="266" ht="25" customHeight="1"/>
    <row r="267" ht="25" customHeight="1"/>
    <row r="268" ht="25" customHeight="1"/>
    <row r="269" ht="25" customHeight="1"/>
    <row r="270" ht="25" customHeight="1"/>
    <row r="271" ht="25" customHeight="1"/>
    <row r="272" ht="25" customHeight="1"/>
    <row r="273" ht="25" customHeight="1"/>
    <row r="274" ht="25" customHeight="1"/>
    <row r="275" ht="25" customHeight="1"/>
    <row r="276" ht="25" customHeight="1"/>
    <row r="277" ht="25" customHeight="1"/>
    <row r="278" ht="25" customHeight="1"/>
    <row r="279" ht="25" customHeight="1"/>
    <row r="280" ht="25" customHeight="1"/>
    <row r="281" ht="25" customHeight="1"/>
    <row r="282" ht="25" customHeight="1"/>
    <row r="283" ht="25" customHeight="1"/>
    <row r="284" ht="25" customHeight="1"/>
    <row r="285" ht="25" customHeight="1"/>
    <row r="286" ht="25" customHeight="1"/>
    <row r="287" ht="25" customHeight="1"/>
    <row r="288" ht="25" customHeight="1"/>
    <row r="289" ht="25" customHeight="1"/>
    <row r="290" ht="25" customHeight="1"/>
    <row r="291" ht="25" customHeight="1"/>
    <row r="292" ht="25" customHeight="1"/>
    <row r="293" ht="25" customHeight="1"/>
    <row r="294" ht="25" customHeight="1"/>
    <row r="295" ht="25" customHeight="1"/>
    <row r="296" ht="25" customHeight="1"/>
    <row r="297" ht="25" customHeight="1"/>
    <row r="298" ht="25" customHeight="1"/>
    <row r="299" ht="25" customHeight="1"/>
    <row r="300" ht="25" customHeight="1"/>
    <row r="301" ht="25" customHeight="1"/>
    <row r="302" ht="25" customHeight="1"/>
    <row r="303" ht="25" customHeight="1"/>
    <row r="304" ht="25" customHeight="1"/>
    <row r="305" ht="25" customHeight="1"/>
    <row r="306" ht="25" customHeight="1"/>
    <row r="307" ht="25" customHeight="1"/>
    <row r="308" ht="25" customHeight="1"/>
    <row r="309" ht="25" customHeight="1"/>
    <row r="310" ht="25" customHeight="1"/>
    <row r="311" ht="25" customHeight="1"/>
    <row r="312" ht="25" customHeight="1"/>
    <row r="313" ht="25" customHeight="1"/>
    <row r="314" ht="25" customHeight="1"/>
    <row r="315" ht="25" customHeight="1"/>
    <row r="316" ht="25" customHeight="1"/>
    <row r="317" ht="25" customHeight="1"/>
    <row r="318" ht="25" customHeight="1"/>
    <row r="319" ht="25" customHeight="1"/>
    <row r="320" ht="25" customHeight="1"/>
    <row r="321" ht="25" customHeight="1"/>
    <row r="322" ht="25" customHeight="1"/>
    <row r="323" ht="25" customHeight="1"/>
    <row r="324" ht="25" customHeight="1"/>
    <row r="325" ht="25" customHeight="1"/>
    <row r="326" ht="25" customHeight="1"/>
    <row r="327" ht="25" customHeight="1"/>
    <row r="328" ht="25" customHeight="1"/>
    <row r="329" ht="25" customHeight="1"/>
    <row r="330" ht="25" customHeight="1"/>
    <row r="331" ht="25" customHeight="1"/>
    <row r="332" ht="25" customHeight="1"/>
    <row r="333" ht="25" customHeight="1"/>
    <row r="334" ht="25" customHeight="1"/>
    <row r="335" ht="25" customHeight="1"/>
    <row r="336" ht="25" customHeight="1"/>
    <row r="337" ht="25" customHeight="1"/>
    <row r="338" ht="25" customHeight="1"/>
    <row r="339" ht="25" customHeight="1"/>
    <row r="340" ht="25" customHeight="1"/>
    <row r="341" ht="25" customHeight="1"/>
    <row r="342" ht="25" customHeight="1"/>
    <row r="343" ht="25" customHeight="1"/>
    <row r="344" ht="25" customHeight="1"/>
    <row r="345" ht="25" customHeight="1"/>
    <row r="346" ht="25" customHeight="1"/>
    <row r="347" ht="25" customHeight="1"/>
    <row r="348" ht="25" customHeight="1"/>
    <row r="349" ht="25" customHeight="1"/>
    <row r="350" ht="25" customHeight="1"/>
    <row r="351" ht="25" customHeight="1"/>
    <row r="352" ht="25" customHeight="1"/>
    <row r="353" ht="25" customHeight="1"/>
    <row r="354" ht="25" customHeight="1"/>
    <row r="355" ht="25" customHeight="1"/>
    <row r="356" ht="25" customHeight="1"/>
    <row r="357" ht="25" customHeight="1"/>
  </sheetData>
  <sheetProtection formatCells="0" formatColumns="0" formatRows="0" insertRows="0" insertColumns="0" insertHyperlinks="0" deleteColumns="0" deleteRows="0" sort="0" autoFilter="0" pivotTables="0"/>
  <autoFilter xmlns:etc="http://www.wps.cn/officeDocument/2017/etCustomData" ref="A1:AQ89" etc:filterBottomFollowUsedRange="1">
    <extLst/>
  </autoFilter>
  <conditionalFormatting sqref="R17">
    <cfRule type="containsText" dxfId="0" priority="12" operator="between" text="未提供">
      <formula>NOT(ISERROR(SEARCH("未提供",R17)))</formula>
    </cfRule>
  </conditionalFormatting>
  <conditionalFormatting sqref="R72:R89">
    <cfRule type="containsText" dxfId="0" priority="143" operator="between" text="/">
      <formula>NOT(ISERROR(SEARCH("/",R72)))</formula>
    </cfRule>
  </conditionalFormatting>
  <conditionalFormatting sqref="S6:S16">
    <cfRule type="containsText" dxfId="0" priority="8" operator="between" text="未确认">
      <formula>NOT(ISERROR(SEARCH("未确认",S6)))</formula>
    </cfRule>
    <cfRule type="containsText" dxfId="0" priority="9" operator="between" text="/">
      <formula>NOT(ISERROR(SEARCH("/",S6)))</formula>
    </cfRule>
    <cfRule type="containsText" dxfId="0" priority="10" operator="between" text="未确认//">
      <formula>NOT(ISERROR(SEARCH("未确认//",S6)))</formula>
    </cfRule>
    <cfRule type="containsText" dxfId="0" priority="11" operator="between" text="未确认/">
      <formula>NOT(ISERROR(SEARCH("未确认/",S6)))</formula>
    </cfRule>
  </conditionalFormatting>
  <conditionalFormatting sqref="S72:S89">
    <cfRule type="containsText" dxfId="0" priority="139" operator="between" text="未确认">
      <formula>NOT(ISERROR(SEARCH("未确认",S72)))</formula>
    </cfRule>
    <cfRule type="containsText" dxfId="0" priority="140" operator="between" text="/">
      <formula>NOT(ISERROR(SEARCH("/",S72)))</formula>
    </cfRule>
    <cfRule type="containsText" dxfId="0" priority="141" operator="between" text="未确认//">
      <formula>NOT(ISERROR(SEARCH("未确认//",S72)))</formula>
    </cfRule>
    <cfRule type="containsText" dxfId="0" priority="142" operator="between" text="未确认/">
      <formula>NOT(ISERROR(SEARCH("未确认/",S72)))</formula>
    </cfRule>
  </conditionalFormatting>
  <conditionalFormatting sqref="T13:T16">
    <cfRule type="containsText" dxfId="0" priority="4" operator="between" text="未确认">
      <formula>NOT(ISERROR(SEARCH("未确认",T13)))</formula>
    </cfRule>
    <cfRule type="containsText" dxfId="0" priority="5" operator="between" text="/">
      <formula>NOT(ISERROR(SEARCH("/",T13)))</formula>
    </cfRule>
    <cfRule type="containsText" dxfId="0" priority="6" operator="between" text="未确认//">
      <formula>NOT(ISERROR(SEARCH("未确认//",T13)))</formula>
    </cfRule>
    <cfRule type="containsText" dxfId="0" priority="7" operator="between" text="未确认/">
      <formula>NOT(ISERROR(SEARCH("未确认/",T13)))</formula>
    </cfRule>
  </conditionalFormatting>
  <conditionalFormatting sqref="U2:U69">
    <cfRule type="containsText" dxfId="0" priority="44" operator="between" text="欠">
      <formula>NOT(ISERROR(SEARCH("欠",U2)))</formula>
    </cfRule>
    <cfRule type="containsText" dxfId="0" priority="45" operator="between" text="否">
      <formula>NOT(ISERROR(SEARCH("否",U2)))</formula>
    </cfRule>
  </conditionalFormatting>
  <conditionalFormatting sqref="U70:U65553">
    <cfRule type="containsText" dxfId="0" priority="131" operator="between" text="欠">
      <formula>NOT(ISERROR(SEARCH("欠",U70)))</formula>
    </cfRule>
    <cfRule type="containsText" dxfId="0" priority="132" operator="between" text="否">
      <formula>NOT(ISERROR(SEARCH("否",U70)))</formula>
    </cfRule>
  </conditionalFormatting>
  <conditionalFormatting sqref="Q1 T1 Q70:Q71 T70:T71 Q90:Q65553 T90:T65553">
    <cfRule type="containsText" dxfId="0" priority="156" operator="between" text="未提供">
      <formula>NOT(ISERROR(SEARCH("未提供",Q1)))</formula>
    </cfRule>
  </conditionalFormatting>
  <conditionalFormatting sqref="R1 R70:R71 R90:R65553">
    <cfRule type="containsText" dxfId="0" priority="155" operator="between" text="/">
      <formula>NOT(ISERROR(SEARCH("/",R1)))</formula>
    </cfRule>
  </conditionalFormatting>
  <conditionalFormatting sqref="S1 S70:S71 S90:S65553">
    <cfRule type="containsText" dxfId="0" priority="151" operator="between" text="未确认">
      <formula>NOT(ISERROR(SEARCH("未确认",S1)))</formula>
    </cfRule>
    <cfRule type="containsText" dxfId="0" priority="152" operator="between" text="/">
      <formula>NOT(ISERROR(SEARCH("/",S1)))</formula>
    </cfRule>
    <cfRule type="containsText" dxfId="0" priority="153" operator="between" text="未确认//">
      <formula>NOT(ISERROR(SEARCH("未确认//",S1)))</formula>
    </cfRule>
    <cfRule type="containsText" dxfId="0" priority="154" operator="between" text="未确认/">
      <formula>NOT(ISERROR(SEARCH("未确认/",S1)))</formula>
    </cfRule>
  </conditionalFormatting>
  <conditionalFormatting sqref="Q2:Q6 T2:T6 Q7 T7 Q8:Q9 T8:T9 Q10:Q13 T10:T13">
    <cfRule type="containsText" dxfId="0" priority="51" operator="between" text="未提供">
      <formula>NOT(ISERROR(SEARCH("未提供",Q2)))</formula>
    </cfRule>
  </conditionalFormatting>
  <conditionalFormatting sqref="Q2:Q8 T2:T8 Q9:Q11 T9:T11 Q12 T12 Q13:Q22 T17:T22 Q23 T23 Q24 T24 Q25 T25 Q26 T26 Q27 T27 Q28 T28 Q29 T29 Q30 T30 Q31 T31 Q32 T32 Q33 T33 Q34:Q46 T34:T46 Q47 T47 Q48 T48 Q49 T49 Q50 T50 Q51 T51 Q52 T52 Q53 T53 Q54 T54 Q55 T55 Q56 T56 Q57 T57 Q58 T58 Q59 T59 Q60 T60 Q61 T61 Q62 T62">
    <cfRule type="containsText" dxfId="0" priority="43" operator="between" text="未提供">
      <formula>NOT(ISERROR(SEARCH("未提供",Q2)))</formula>
    </cfRule>
  </conditionalFormatting>
  <conditionalFormatting sqref="R2:R16 R18:R69">
    <cfRule type="containsText" dxfId="0" priority="38" operator="between" text="未提供">
      <formula>NOT(ISERROR(SEARCH("未提供",R2)))</formula>
    </cfRule>
  </conditionalFormatting>
  <conditionalFormatting sqref="S2:S5 S17:S69">
    <cfRule type="containsText" dxfId="0" priority="39" operator="between" text="未确认">
      <formula>NOT(ISERROR(SEARCH("未确认",S2)))</formula>
    </cfRule>
    <cfRule type="containsText" dxfId="0" priority="40" operator="between" text="/">
      <formula>NOT(ISERROR(SEARCH("/",S2)))</formula>
    </cfRule>
    <cfRule type="containsText" dxfId="0" priority="41" operator="between" text="未确认//">
      <formula>NOT(ISERROR(SEARCH("未确认//",S2)))</formula>
    </cfRule>
    <cfRule type="containsText" dxfId="0" priority="42" operator="between" text="未确认/">
      <formula>NOT(ISERROR(SEARCH("未确认/",S2)))</formula>
    </cfRule>
  </conditionalFormatting>
  <conditionalFormatting sqref="Q72:Q89 T72:T89">
    <cfRule type="containsText" dxfId="0" priority="144" operator="between" text="未提供">
      <formula>NOT(ISERROR(SEARCH("未提供",Q72)))</formula>
    </cfRule>
  </conditionalFormatting>
  <pageMargins left="0.998611111111111" right="0.998611111111111" top="0.511805555555556" bottom="0.511805555555556" header="0.5" footer="0.5"/>
  <pageSetup paperSize="9" scale="85" orientation="landscape"/>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294"/>
  <sheetViews>
    <sheetView zoomScale="80" zoomScaleNormal="80" workbookViewId="0">
      <pane xSplit="14" ySplit="1" topLeftCell="O2" activePane="bottomRight" state="frozen"/>
      <selection/>
      <selection pane="topRight"/>
      <selection pane="bottomLeft"/>
      <selection pane="bottomRight" activeCell="O4" sqref="O4"/>
    </sheetView>
  </sheetViews>
  <sheetFormatPr defaultColWidth="10" defaultRowHeight="14.25"/>
  <cols>
    <col min="1" max="1" width="15" style="59" customWidth="1"/>
    <col min="2" max="3" width="10" style="52"/>
    <col min="4" max="4" width="21.225" style="52" customWidth="1"/>
    <col min="5" max="6" width="14.4416666666667" style="52" customWidth="1"/>
    <col min="7" max="7" width="10" style="52"/>
    <col min="8" max="8" width="19.3083333333333" style="52" customWidth="1"/>
    <col min="9" max="9" width="8.44166666666667" style="200" customWidth="1"/>
    <col min="10" max="10" width="6.66666666666667" style="200" customWidth="1"/>
    <col min="11" max="11" width="6.55833333333333" style="52" customWidth="1"/>
    <col min="12" max="12" width="14.3333333333333" style="59" customWidth="1"/>
    <col min="13" max="13" width="14.225" style="59" customWidth="1"/>
    <col min="14" max="14" width="12.5583333333333" style="52" customWidth="1"/>
    <col min="15" max="15" width="16.225" style="52" customWidth="1"/>
    <col min="16" max="16" width="12.0166666666667" style="216" customWidth="1"/>
    <col min="17" max="21" width="10" style="216" customWidth="1"/>
    <col min="22" max="23" width="11.8916666666667" style="52" customWidth="1"/>
    <col min="24" max="24" width="11.8916666666667" style="217" customWidth="1"/>
    <col min="25" max="25" width="26.4" style="216" customWidth="1"/>
    <col min="26" max="27" width="10" style="52" customWidth="1"/>
    <col min="28" max="29" width="12" style="52" customWidth="1"/>
    <col min="30" max="30" width="75.8083333333333" style="201" customWidth="1"/>
    <col min="31" max="31" width="10" style="52" customWidth="1"/>
    <col min="32" max="32" width="14" style="18" customWidth="1"/>
    <col min="33" max="33" width="14.225" style="52" customWidth="1"/>
    <col min="34" max="34" width="13.775" style="52" customWidth="1"/>
    <col min="35" max="35" width="12.575" style="52" customWidth="1"/>
    <col min="36" max="37" width="10" style="52"/>
    <col min="38" max="38" width="8.89166666666667" style="52" customWidth="1"/>
    <col min="39" max="40" width="10" style="52"/>
    <col min="41" max="41" width="10" style="52" customWidth="1"/>
    <col min="42" max="43" width="10" style="3" customWidth="1"/>
    <col min="44" max="44" width="11.2666666666667" style="52" customWidth="1"/>
    <col min="45" max="16384" width="10" style="52"/>
  </cols>
  <sheetData>
    <row r="1" s="198" customFormat="1" ht="25" customHeight="1" spans="1:43">
      <c r="A1" s="202" t="s">
        <v>0</v>
      </c>
      <c r="B1" s="96" t="s">
        <v>3</v>
      </c>
      <c r="C1" s="96" t="s">
        <v>418</v>
      </c>
      <c r="D1" s="96" t="s">
        <v>2</v>
      </c>
      <c r="E1" s="96" t="s">
        <v>419</v>
      </c>
      <c r="F1" s="96" t="s">
        <v>455</v>
      </c>
      <c r="G1" s="96" t="s">
        <v>5</v>
      </c>
      <c r="H1" s="96" t="s">
        <v>6</v>
      </c>
      <c r="I1" s="203" t="s">
        <v>7</v>
      </c>
      <c r="J1" s="203" t="s">
        <v>8</v>
      </c>
      <c r="K1" s="96" t="s">
        <v>9</v>
      </c>
      <c r="L1" s="202" t="s">
        <v>1</v>
      </c>
      <c r="M1" s="202" t="s">
        <v>420</v>
      </c>
      <c r="N1" s="96" t="s">
        <v>421</v>
      </c>
      <c r="O1" s="96" t="s">
        <v>422</v>
      </c>
      <c r="P1" s="219" t="s">
        <v>423</v>
      </c>
      <c r="Q1" s="219" t="s">
        <v>424</v>
      </c>
      <c r="R1" s="219" t="s">
        <v>425</v>
      </c>
      <c r="S1" s="219" t="s">
        <v>426</v>
      </c>
      <c r="T1" s="219" t="s">
        <v>427</v>
      </c>
      <c r="U1" s="219" t="s">
        <v>428</v>
      </c>
      <c r="V1" s="96" t="s">
        <v>429</v>
      </c>
      <c r="W1" s="96" t="s">
        <v>430</v>
      </c>
      <c r="X1" s="381" t="s">
        <v>431</v>
      </c>
      <c r="Y1" s="219" t="s">
        <v>432</v>
      </c>
      <c r="Z1" s="96" t="s">
        <v>433</v>
      </c>
      <c r="AA1" s="96" t="s">
        <v>434</v>
      </c>
      <c r="AB1" s="96" t="s">
        <v>435</v>
      </c>
      <c r="AC1" s="96" t="s">
        <v>436</v>
      </c>
      <c r="AD1" s="204" t="s">
        <v>437</v>
      </c>
      <c r="AE1" s="96" t="s">
        <v>73</v>
      </c>
      <c r="AF1" s="96" t="s">
        <v>74</v>
      </c>
      <c r="AG1" s="96" t="s">
        <v>75</v>
      </c>
      <c r="AH1" s="96" t="s">
        <v>438</v>
      </c>
      <c r="AI1" s="95" t="s">
        <v>439</v>
      </c>
      <c r="AJ1" s="95" t="s">
        <v>440</v>
      </c>
      <c r="AK1" s="95" t="s">
        <v>441</v>
      </c>
      <c r="AL1" s="95" t="s">
        <v>442</v>
      </c>
      <c r="AM1" s="95" t="s">
        <v>443</v>
      </c>
      <c r="AN1" s="134" t="s">
        <v>444</v>
      </c>
      <c r="AO1" s="134"/>
      <c r="AP1" s="134"/>
      <c r="AQ1" s="134"/>
    </row>
    <row r="2" s="380" customFormat="1" ht="25" customHeight="1" spans="1:43">
      <c r="A2" s="114"/>
      <c r="B2" s="117"/>
      <c r="C2" s="34"/>
      <c r="D2" s="117"/>
      <c r="E2" s="117"/>
      <c r="F2" s="117"/>
      <c r="G2" s="117"/>
      <c r="H2" s="117"/>
      <c r="I2" s="211"/>
      <c r="J2" s="211"/>
      <c r="K2" s="117"/>
      <c r="L2" s="114"/>
      <c r="M2" s="114"/>
      <c r="N2" s="114"/>
      <c r="O2" s="117"/>
      <c r="P2" s="382"/>
      <c r="Q2" s="383"/>
      <c r="R2" s="383"/>
      <c r="S2" s="383"/>
      <c r="T2" s="384"/>
      <c r="U2" s="385"/>
      <c r="V2" s="126"/>
      <c r="W2" s="126"/>
      <c r="X2" s="386">
        <f t="array" ref="X2">INDEX(系统货号!C:C,MATCH(1,(系统货号!A:A=G2)*(系统货号!B:B=V2),0))</f>
        <v>0</v>
      </c>
      <c r="Y2" s="385"/>
      <c r="Z2" s="384"/>
      <c r="AA2" s="384"/>
      <c r="AB2" s="387"/>
      <c r="AC2" s="387"/>
      <c r="AD2" s="128"/>
      <c r="AE2" s="388"/>
      <c r="AF2" s="389"/>
      <c r="AG2" s="389"/>
      <c r="AH2" s="390"/>
      <c r="AI2" s="117"/>
      <c r="AJ2" s="117"/>
      <c r="AK2" s="117"/>
      <c r="AL2" s="117"/>
      <c r="AM2" s="117"/>
      <c r="AN2" s="391"/>
      <c r="AO2" s="391"/>
      <c r="AP2" s="391"/>
      <c r="AQ2" s="391"/>
    </row>
    <row r="3" s="380" customFormat="1" ht="25" customHeight="1" spans="1:43">
      <c r="A3" s="114"/>
      <c r="B3" s="117"/>
      <c r="C3" s="34"/>
      <c r="D3" s="117"/>
      <c r="E3" s="117"/>
      <c r="F3" s="117"/>
      <c r="G3" s="117"/>
      <c r="H3" s="117"/>
      <c r="I3" s="211"/>
      <c r="J3" s="211"/>
      <c r="K3" s="117"/>
      <c r="L3" s="114"/>
      <c r="M3" s="114"/>
      <c r="N3" s="114"/>
      <c r="O3" s="117"/>
      <c r="P3" s="382"/>
      <c r="Q3" s="383"/>
      <c r="R3" s="383"/>
      <c r="S3" s="383"/>
      <c r="T3" s="384"/>
      <c r="U3" s="385"/>
      <c r="V3" s="126"/>
      <c r="W3" s="126"/>
      <c r="X3" s="386">
        <f t="array" ref="X3">INDEX(系统货号!C:C,MATCH(1,(系统货号!A:A=G3)*(系统货号!B:B=V3),0))</f>
        <v>0</v>
      </c>
      <c r="Y3" s="385"/>
      <c r="Z3" s="384"/>
      <c r="AA3" s="384"/>
      <c r="AB3" s="387"/>
      <c r="AC3" s="387"/>
      <c r="AD3" s="128"/>
      <c r="AE3" s="388"/>
      <c r="AF3" s="389"/>
      <c r="AG3" s="389"/>
      <c r="AH3" s="390"/>
      <c r="AI3" s="117"/>
      <c r="AJ3" s="117"/>
      <c r="AK3" s="117"/>
      <c r="AL3" s="117"/>
      <c r="AM3" s="117"/>
      <c r="AN3" s="391"/>
      <c r="AO3" s="391"/>
      <c r="AP3" s="391"/>
      <c r="AQ3" s="391"/>
    </row>
    <row r="4" s="380" customFormat="1" ht="25" customHeight="1" spans="1:43">
      <c r="A4" s="114"/>
      <c r="B4" s="117"/>
      <c r="C4" s="34"/>
      <c r="D4" s="117"/>
      <c r="E4" s="117"/>
      <c r="F4" s="117"/>
      <c r="G4" s="117"/>
      <c r="H4" s="117"/>
      <c r="I4" s="211"/>
      <c r="J4" s="211"/>
      <c r="K4" s="117"/>
      <c r="L4" s="114"/>
      <c r="M4" s="114"/>
      <c r="N4" s="114"/>
      <c r="O4" s="117"/>
      <c r="P4" s="382"/>
      <c r="Q4" s="383"/>
      <c r="R4" s="383"/>
      <c r="S4" s="383"/>
      <c r="T4" s="384"/>
      <c r="U4" s="385"/>
      <c r="V4" s="126"/>
      <c r="W4" s="126"/>
      <c r="X4" s="386">
        <f t="array" ref="X4">INDEX(系统货号!C:C,MATCH(1,(系统货号!A:A=G4)*(系统货号!B:B=V4),0))</f>
        <v>0</v>
      </c>
      <c r="Y4" s="385"/>
      <c r="Z4" s="384"/>
      <c r="AA4" s="384"/>
      <c r="AB4" s="387"/>
      <c r="AC4" s="387"/>
      <c r="AD4" s="128"/>
      <c r="AE4" s="388"/>
      <c r="AF4" s="389"/>
      <c r="AG4" s="389"/>
      <c r="AH4" s="390"/>
      <c r="AI4" s="117"/>
      <c r="AJ4" s="117"/>
      <c r="AK4" s="117"/>
      <c r="AL4" s="117"/>
      <c r="AM4" s="117"/>
      <c r="AN4" s="391"/>
      <c r="AO4" s="391"/>
      <c r="AP4" s="391"/>
      <c r="AQ4" s="391"/>
    </row>
    <row r="5" s="380" customFormat="1" ht="25" customHeight="1" spans="1:43">
      <c r="A5" s="114"/>
      <c r="B5" s="117"/>
      <c r="C5" s="34"/>
      <c r="D5" s="117"/>
      <c r="E5" s="117"/>
      <c r="F5" s="117"/>
      <c r="G5" s="117"/>
      <c r="H5" s="117"/>
      <c r="I5" s="211"/>
      <c r="J5" s="211"/>
      <c r="K5" s="117"/>
      <c r="L5" s="114"/>
      <c r="M5" s="114"/>
      <c r="N5" s="114"/>
      <c r="O5" s="117"/>
      <c r="P5" s="382"/>
      <c r="Q5" s="383"/>
      <c r="R5" s="383"/>
      <c r="S5" s="383"/>
      <c r="T5" s="384"/>
      <c r="U5" s="385"/>
      <c r="V5" s="126"/>
      <c r="W5" s="126"/>
      <c r="X5" s="386">
        <f t="array" ref="X5">INDEX(系统货号!C:C,MATCH(1,(系统货号!A:A=G5)*(系统货号!B:B=V5),0))</f>
        <v>0</v>
      </c>
      <c r="Y5" s="385"/>
      <c r="Z5" s="384"/>
      <c r="AA5" s="384"/>
      <c r="AB5" s="387"/>
      <c r="AC5" s="387"/>
      <c r="AD5" s="128"/>
      <c r="AE5" s="388"/>
      <c r="AF5" s="389"/>
      <c r="AG5" s="389"/>
      <c r="AH5" s="390"/>
      <c r="AI5" s="117"/>
      <c r="AJ5" s="117"/>
      <c r="AK5" s="117"/>
      <c r="AL5" s="117"/>
      <c r="AM5" s="117"/>
      <c r="AN5" s="391"/>
      <c r="AO5" s="391"/>
      <c r="AP5" s="391"/>
      <c r="AQ5" s="391"/>
    </row>
    <row r="6" s="380" customFormat="1" ht="25" customHeight="1" spans="1:43">
      <c r="A6" s="114"/>
      <c r="B6" s="117"/>
      <c r="C6" s="34"/>
      <c r="D6" s="117"/>
      <c r="E6" s="117"/>
      <c r="F6" s="117"/>
      <c r="G6" s="117"/>
      <c r="H6" s="117"/>
      <c r="I6" s="211"/>
      <c r="J6" s="211"/>
      <c r="K6" s="117"/>
      <c r="L6" s="114"/>
      <c r="M6" s="114"/>
      <c r="N6" s="114"/>
      <c r="O6" s="117"/>
      <c r="P6" s="382"/>
      <c r="Q6" s="383"/>
      <c r="R6" s="383"/>
      <c r="S6" s="383"/>
      <c r="T6" s="384"/>
      <c r="U6" s="385"/>
      <c r="V6" s="126"/>
      <c r="W6" s="126"/>
      <c r="X6" s="386">
        <f t="array" ref="X6">INDEX(系统货号!C:C,MATCH(1,(系统货号!A:A=G6)*(系统货号!B:B=V6),0))</f>
        <v>0</v>
      </c>
      <c r="Y6" s="385"/>
      <c r="Z6" s="384"/>
      <c r="AA6" s="384"/>
      <c r="AB6" s="387"/>
      <c r="AC6" s="387"/>
      <c r="AD6" s="128"/>
      <c r="AE6" s="388"/>
      <c r="AF6" s="389"/>
      <c r="AG6" s="389"/>
      <c r="AH6" s="390"/>
      <c r="AI6" s="117"/>
      <c r="AJ6" s="117"/>
      <c r="AK6" s="117"/>
      <c r="AL6" s="117"/>
      <c r="AM6" s="117"/>
      <c r="AN6" s="391"/>
      <c r="AO6" s="391"/>
      <c r="AP6" s="391"/>
      <c r="AQ6" s="391"/>
    </row>
    <row r="7" s="52" customFormat="1" ht="25" customHeight="1" spans="1:43">
      <c r="A7" s="30"/>
      <c r="B7" s="34"/>
      <c r="C7" s="34"/>
      <c r="D7" s="34"/>
      <c r="E7" s="34"/>
      <c r="F7" s="34"/>
      <c r="G7" s="34"/>
      <c r="H7" s="34"/>
      <c r="I7" s="392">
        <f>SUM(I2:I6)</f>
        <v>0</v>
      </c>
      <c r="J7" s="392"/>
      <c r="K7" s="34"/>
      <c r="L7" s="30"/>
      <c r="M7" s="30"/>
      <c r="N7" s="34"/>
      <c r="O7" s="120"/>
      <c r="P7" s="393"/>
      <c r="Q7" s="393"/>
      <c r="R7" s="393"/>
      <c r="S7" s="393"/>
      <c r="T7" s="393"/>
      <c r="U7" s="393"/>
      <c r="V7" s="34"/>
      <c r="W7" s="34"/>
      <c r="X7" s="386">
        <f t="array" ref="X7">INDEX(系统货号!C:C,MATCH(1,(系统货号!A:A=G7)*(系统货号!B:B=V7),0))</f>
        <v>0</v>
      </c>
      <c r="Y7" s="393"/>
      <c r="Z7" s="34"/>
      <c r="AA7" s="34"/>
      <c r="AB7" s="34"/>
      <c r="AC7" s="34"/>
      <c r="AD7" s="394"/>
      <c r="AE7" s="395">
        <f>SUM(AE2:AE6)</f>
        <v>0</v>
      </c>
      <c r="AF7" s="395">
        <f>SUM(AF2:AF6)</f>
        <v>0</v>
      </c>
      <c r="AG7" s="395">
        <f>SUM(AG2:AG6)</f>
        <v>0</v>
      </c>
      <c r="AH7" s="34"/>
      <c r="AI7" s="34"/>
      <c r="AJ7" s="34"/>
      <c r="AK7" s="34"/>
      <c r="AL7" s="34"/>
      <c r="AM7" s="34"/>
      <c r="AN7" s="396"/>
      <c r="AO7" s="396"/>
      <c r="AP7" s="396"/>
      <c r="AQ7" s="396"/>
    </row>
    <row r="8" s="52" customFormat="1" ht="25" customHeight="1" spans="1:43">
      <c r="A8" s="59"/>
      <c r="I8" s="200"/>
      <c r="J8" s="200"/>
      <c r="L8" s="59"/>
      <c r="M8" s="59"/>
      <c r="O8" s="132"/>
      <c r="P8" s="216"/>
      <c r="Q8" s="216"/>
      <c r="R8" s="216"/>
      <c r="S8" s="216"/>
      <c r="T8" s="216"/>
      <c r="U8" s="216"/>
      <c r="X8" s="217"/>
      <c r="Y8" s="216"/>
      <c r="AD8" s="201"/>
      <c r="AF8" s="18"/>
    </row>
    <row r="9" s="52" customFormat="1" spans="1:43">
      <c r="A9" s="59"/>
      <c r="I9" s="200"/>
      <c r="J9" s="200"/>
      <c r="L9" s="59"/>
      <c r="M9" s="59"/>
      <c r="P9" s="216"/>
      <c r="Q9" s="216"/>
      <c r="R9" s="216"/>
      <c r="S9" s="216"/>
      <c r="T9" s="216"/>
      <c r="U9" s="216"/>
      <c r="X9" s="217"/>
      <c r="Y9" s="216"/>
      <c r="AD9" s="201"/>
      <c r="AF9" s="18"/>
      <c r="AP9" s="3"/>
      <c r="AQ9" s="3"/>
    </row>
    <row r="10" s="52" customFormat="1" ht="25" customHeight="1" spans="1:43">
      <c r="A10" s="59"/>
      <c r="I10" s="200"/>
      <c r="J10" s="200"/>
      <c r="L10" s="59"/>
      <c r="M10" s="59"/>
      <c r="O10" s="132"/>
      <c r="P10" s="216"/>
      <c r="Q10" s="216"/>
      <c r="R10" s="216"/>
      <c r="S10" s="216"/>
      <c r="T10" s="216"/>
      <c r="U10" s="216"/>
      <c r="X10" s="217"/>
      <c r="Y10" s="216"/>
      <c r="AD10" s="201"/>
      <c r="AF10" s="18"/>
    </row>
    <row r="11" s="52" customFormat="1" ht="25" customHeight="1" spans="1:43">
      <c r="A11" s="59"/>
      <c r="I11" s="200"/>
      <c r="J11" s="200"/>
      <c r="L11" s="59"/>
      <c r="M11" s="59"/>
      <c r="O11" s="132"/>
      <c r="P11" s="216"/>
      <c r="Q11" s="216"/>
      <c r="R11" s="216"/>
      <c r="S11" s="216"/>
      <c r="T11" s="216"/>
      <c r="U11" s="216"/>
      <c r="X11" s="217"/>
      <c r="Y11" s="216"/>
      <c r="AD11" s="201"/>
      <c r="AF11" s="18"/>
    </row>
    <row r="12" s="52" customFormat="1" ht="25" customHeight="1" spans="1:43">
      <c r="A12" s="59"/>
      <c r="I12" s="200"/>
      <c r="J12" s="200"/>
      <c r="L12" s="59"/>
      <c r="M12" s="59"/>
      <c r="O12" s="132"/>
      <c r="P12" s="216"/>
      <c r="Q12" s="216"/>
      <c r="R12" s="216"/>
      <c r="S12" s="216"/>
      <c r="T12" s="216"/>
      <c r="U12" s="216"/>
      <c r="X12" s="217"/>
      <c r="Y12" s="216"/>
      <c r="AD12" s="201"/>
      <c r="AF12" s="18"/>
    </row>
    <row r="13" s="52" customFormat="1" ht="25" customHeight="1" spans="1:43">
      <c r="A13" s="59"/>
      <c r="I13" s="200"/>
      <c r="J13" s="200"/>
      <c r="L13" s="59"/>
      <c r="M13" s="59"/>
      <c r="O13" s="132"/>
      <c r="P13" s="216"/>
      <c r="Q13" s="216"/>
      <c r="R13" s="216"/>
      <c r="S13" s="216"/>
      <c r="T13" s="216"/>
      <c r="U13" s="216"/>
      <c r="X13" s="217"/>
      <c r="Y13" s="216"/>
      <c r="AD13" s="201"/>
      <c r="AF13" s="18"/>
    </row>
    <row r="14" s="52" customFormat="1" ht="25" customHeight="1" spans="1:43">
      <c r="A14" s="59"/>
      <c r="I14" s="200"/>
      <c r="J14" s="200"/>
      <c r="L14" s="59"/>
      <c r="M14" s="59"/>
      <c r="P14" s="216"/>
      <c r="Q14" s="216"/>
      <c r="R14" s="216"/>
      <c r="S14" s="216"/>
      <c r="T14" s="216"/>
      <c r="U14" s="216"/>
      <c r="X14" s="217"/>
      <c r="Y14" s="216"/>
      <c r="AD14" s="201"/>
      <c r="AF14" s="18"/>
    </row>
    <row r="15" s="52" customFormat="1" ht="25" customHeight="1" spans="1:43">
      <c r="A15" s="59"/>
      <c r="I15" s="200"/>
      <c r="J15" s="200"/>
      <c r="L15" s="59"/>
      <c r="M15" s="59"/>
      <c r="P15" s="216"/>
      <c r="Q15" s="216"/>
      <c r="R15" s="216"/>
      <c r="S15" s="216"/>
      <c r="T15" s="216"/>
      <c r="U15" s="216"/>
      <c r="X15" s="217"/>
      <c r="Y15" s="216"/>
      <c r="AD15" s="201"/>
      <c r="AF15" s="18"/>
    </row>
    <row r="16" s="52" customFormat="1" ht="25" customHeight="1" spans="1:43">
      <c r="A16" s="59"/>
      <c r="I16" s="200"/>
      <c r="J16" s="200"/>
      <c r="L16" s="59"/>
      <c r="M16" s="59"/>
      <c r="P16" s="216"/>
      <c r="Q16" s="216"/>
      <c r="R16" s="216"/>
      <c r="S16" s="216"/>
      <c r="T16" s="216"/>
      <c r="U16" s="216"/>
      <c r="X16" s="217"/>
      <c r="Y16" s="216"/>
      <c r="AD16" s="201"/>
      <c r="AF16" s="18"/>
    </row>
    <row r="17" s="52" customFormat="1" ht="25" customHeight="1" spans="1:43">
      <c r="A17" s="59"/>
      <c r="I17" s="200"/>
      <c r="J17" s="200"/>
      <c r="L17" s="59"/>
      <c r="M17" s="59"/>
      <c r="P17" s="216"/>
      <c r="Q17" s="216"/>
      <c r="R17" s="216"/>
      <c r="S17" s="216"/>
      <c r="T17" s="216"/>
      <c r="U17" s="216"/>
      <c r="X17" s="217"/>
      <c r="Y17" s="216"/>
      <c r="AD17" s="201"/>
      <c r="AF17" s="18"/>
    </row>
    <row r="18" s="52" customFormat="1" ht="25" customHeight="1" spans="1:43">
      <c r="A18" s="59"/>
      <c r="I18" s="200"/>
      <c r="J18" s="200"/>
      <c r="L18" s="59"/>
      <c r="M18" s="59"/>
      <c r="P18" s="216"/>
      <c r="Q18" s="216"/>
      <c r="R18" s="216"/>
      <c r="S18" s="216"/>
      <c r="T18" s="216"/>
      <c r="U18" s="216"/>
      <c r="X18" s="217"/>
      <c r="Y18" s="216"/>
      <c r="AD18" s="201"/>
      <c r="AF18" s="18"/>
    </row>
    <row r="19" s="52" customFormat="1" ht="25" customHeight="1" spans="1:43">
      <c r="A19" s="59"/>
      <c r="I19" s="200"/>
      <c r="J19" s="200"/>
      <c r="L19" s="59"/>
      <c r="M19" s="59"/>
      <c r="P19" s="216"/>
      <c r="Q19" s="216"/>
      <c r="R19" s="216"/>
      <c r="S19" s="216"/>
      <c r="T19" s="216"/>
      <c r="U19" s="216"/>
      <c r="X19" s="217"/>
      <c r="Y19" s="216"/>
      <c r="AD19" s="201"/>
      <c r="AF19" s="18"/>
    </row>
    <row r="20" s="52" customFormat="1" ht="25" customHeight="1" spans="1:43">
      <c r="A20" s="59"/>
      <c r="I20" s="200"/>
      <c r="J20" s="200"/>
      <c r="L20" s="59"/>
      <c r="M20" s="59"/>
      <c r="P20" s="216"/>
      <c r="Q20" s="216"/>
      <c r="R20" s="216"/>
      <c r="S20" s="216"/>
      <c r="T20" s="216"/>
      <c r="U20" s="216"/>
      <c r="X20" s="217"/>
      <c r="Y20" s="216"/>
      <c r="AD20" s="201"/>
      <c r="AF20" s="18"/>
    </row>
    <row r="21" s="52" customFormat="1" ht="25" customHeight="1" spans="1:43">
      <c r="A21" s="59"/>
      <c r="I21" s="200"/>
      <c r="J21" s="200"/>
      <c r="L21" s="59"/>
      <c r="M21" s="59"/>
      <c r="P21" s="216"/>
      <c r="Q21" s="216"/>
      <c r="R21" s="216"/>
      <c r="S21" s="216"/>
      <c r="T21" s="216"/>
      <c r="U21" s="216"/>
      <c r="X21" s="217"/>
      <c r="Y21" s="216"/>
      <c r="AD21" s="201"/>
      <c r="AF21" s="18"/>
    </row>
    <row r="22" s="52" customFormat="1" ht="25" customHeight="1" spans="1:43">
      <c r="A22" s="59"/>
      <c r="I22" s="200"/>
      <c r="J22" s="200"/>
      <c r="L22" s="59"/>
      <c r="M22" s="59"/>
      <c r="P22" s="216"/>
      <c r="Q22" s="216"/>
      <c r="R22" s="216"/>
      <c r="S22" s="216"/>
      <c r="T22" s="216"/>
      <c r="U22" s="216"/>
      <c r="X22" s="217"/>
      <c r="Y22" s="216"/>
      <c r="AD22" s="201"/>
      <c r="AF22" s="18"/>
    </row>
    <row r="23" s="52" customFormat="1" ht="25" customHeight="1" spans="1:43">
      <c r="A23" s="59"/>
      <c r="I23" s="200"/>
      <c r="J23" s="200"/>
      <c r="L23" s="59"/>
      <c r="M23" s="59"/>
      <c r="P23" s="216"/>
      <c r="Q23" s="216"/>
      <c r="R23" s="216"/>
      <c r="S23" s="216"/>
      <c r="T23" s="216"/>
      <c r="U23" s="216"/>
      <c r="X23" s="217"/>
      <c r="Y23" s="216"/>
      <c r="AD23" s="201"/>
      <c r="AF23" s="18"/>
    </row>
    <row r="24" s="52" customFormat="1" ht="25" customHeight="1" spans="1:43">
      <c r="A24" s="59"/>
      <c r="I24" s="200"/>
      <c r="J24" s="200"/>
      <c r="L24" s="59"/>
      <c r="M24" s="59"/>
      <c r="P24" s="216"/>
      <c r="Q24" s="216"/>
      <c r="R24" s="216"/>
      <c r="S24" s="216"/>
      <c r="T24" s="216"/>
      <c r="U24" s="216"/>
      <c r="X24" s="217"/>
      <c r="Y24" s="216"/>
      <c r="AD24" s="201"/>
      <c r="AF24" s="18"/>
    </row>
    <row r="25" ht="25" customHeight="1"/>
    <row r="26" s="52" customFormat="1" ht="25" customHeight="1" spans="1:43">
      <c r="A26" s="59"/>
      <c r="I26" s="200"/>
      <c r="J26" s="200"/>
      <c r="L26" s="59"/>
      <c r="M26" s="59"/>
      <c r="P26" s="216"/>
      <c r="Q26" s="216"/>
      <c r="R26" s="216"/>
      <c r="S26" s="216"/>
      <c r="T26" s="216"/>
      <c r="U26" s="216"/>
      <c r="X26" s="217"/>
      <c r="Y26" s="216"/>
      <c r="AD26" s="201"/>
      <c r="AF26" s="18"/>
      <c r="AP26" s="3"/>
      <c r="AQ26" s="3"/>
    </row>
    <row r="27" s="52" customFormat="1" ht="25" customHeight="1" spans="1:43">
      <c r="A27" s="59"/>
      <c r="I27" s="200"/>
      <c r="J27" s="200"/>
      <c r="L27" s="59"/>
      <c r="M27" s="59"/>
      <c r="P27" s="216"/>
      <c r="Q27" s="216"/>
      <c r="R27" s="216"/>
      <c r="S27" s="216"/>
      <c r="T27" s="216"/>
      <c r="U27" s="216"/>
      <c r="X27" s="217"/>
      <c r="Y27" s="216"/>
      <c r="AD27" s="201"/>
      <c r="AF27" s="18"/>
      <c r="AP27" s="3"/>
      <c r="AQ27" s="3"/>
    </row>
    <row r="28" s="52" customFormat="1" ht="25" customHeight="1" spans="1:43">
      <c r="A28" s="59"/>
      <c r="I28" s="200"/>
      <c r="J28" s="200"/>
      <c r="L28" s="59"/>
      <c r="M28" s="59"/>
      <c r="P28" s="216"/>
      <c r="Q28" s="216"/>
      <c r="R28" s="216"/>
      <c r="S28" s="216"/>
      <c r="T28" s="216"/>
      <c r="U28" s="216"/>
      <c r="X28" s="217"/>
      <c r="Y28" s="216"/>
      <c r="AD28" s="201"/>
      <c r="AF28" s="18"/>
      <c r="AP28" s="3"/>
      <c r="AQ28" s="3"/>
    </row>
    <row r="29" s="52" customFormat="1" ht="25" customHeight="1" spans="1:43">
      <c r="A29" s="59"/>
      <c r="I29" s="200"/>
      <c r="J29" s="200"/>
      <c r="L29" s="59"/>
      <c r="M29" s="59"/>
      <c r="P29" s="216"/>
      <c r="Q29" s="216"/>
      <c r="R29" s="216"/>
      <c r="S29" s="216"/>
      <c r="T29" s="216"/>
      <c r="U29" s="216"/>
      <c r="X29" s="217"/>
      <c r="Y29" s="216"/>
      <c r="AD29" s="201"/>
      <c r="AF29" s="18"/>
      <c r="AP29" s="3"/>
      <c r="AQ29" s="3"/>
    </row>
    <row r="30" s="52" customFormat="1" ht="25" customHeight="1" spans="1:43">
      <c r="A30" s="59"/>
      <c r="I30" s="200"/>
      <c r="J30" s="200"/>
      <c r="L30" s="59"/>
      <c r="M30" s="59"/>
      <c r="P30" s="216"/>
      <c r="Q30" s="216"/>
      <c r="R30" s="216"/>
      <c r="S30" s="216"/>
      <c r="T30" s="216"/>
      <c r="U30" s="216"/>
      <c r="X30" s="217"/>
      <c r="Y30" s="216"/>
      <c r="AD30" s="201"/>
      <c r="AF30" s="18"/>
      <c r="AP30" s="3"/>
      <c r="AQ30" s="3"/>
    </row>
    <row r="31" s="52" customFormat="1" ht="25" customHeight="1" spans="1:43">
      <c r="A31" s="59"/>
      <c r="I31" s="200"/>
      <c r="J31" s="200"/>
      <c r="L31" s="59"/>
      <c r="M31" s="59"/>
      <c r="P31" s="216"/>
      <c r="Q31" s="216"/>
      <c r="R31" s="216"/>
      <c r="S31" s="216"/>
      <c r="T31" s="216"/>
      <c r="U31" s="216"/>
      <c r="X31" s="217"/>
      <c r="Y31" s="216"/>
      <c r="AD31" s="201"/>
      <c r="AF31" s="18"/>
      <c r="AP31" s="3"/>
      <c r="AQ31" s="3"/>
    </row>
    <row r="32" s="52" customFormat="1" ht="25" customHeight="1" spans="1:43">
      <c r="A32" s="59"/>
      <c r="I32" s="200"/>
      <c r="J32" s="200"/>
      <c r="L32" s="59"/>
      <c r="M32" s="59"/>
      <c r="P32" s="216"/>
      <c r="Q32" s="216"/>
      <c r="R32" s="216"/>
      <c r="S32" s="216"/>
      <c r="T32" s="216"/>
      <c r="U32" s="216"/>
      <c r="X32" s="217"/>
      <c r="Y32" s="216"/>
      <c r="AD32" s="201"/>
      <c r="AF32" s="18"/>
      <c r="AP32" s="3"/>
      <c r="AQ32" s="3"/>
    </row>
    <row r="33" s="52" customFormat="1" ht="25" customHeight="1" spans="1:43">
      <c r="A33" s="59"/>
      <c r="I33" s="200"/>
      <c r="J33" s="200"/>
      <c r="L33" s="59"/>
      <c r="M33" s="59"/>
      <c r="P33" s="216"/>
      <c r="Q33" s="216"/>
      <c r="R33" s="216"/>
      <c r="S33" s="216"/>
      <c r="T33" s="216"/>
      <c r="U33" s="216"/>
      <c r="X33" s="217"/>
      <c r="Y33" s="216"/>
      <c r="AD33" s="201"/>
      <c r="AF33" s="18"/>
      <c r="AP33" s="3"/>
      <c r="AQ33" s="3"/>
    </row>
    <row r="34" s="52" customFormat="1" ht="25" customHeight="1" spans="1:43">
      <c r="A34" s="59"/>
      <c r="I34" s="200"/>
      <c r="J34" s="200"/>
      <c r="L34" s="59"/>
      <c r="M34" s="59"/>
      <c r="P34" s="216"/>
      <c r="Q34" s="216"/>
      <c r="R34" s="216"/>
      <c r="S34" s="216"/>
      <c r="T34" s="216"/>
      <c r="U34" s="216"/>
      <c r="X34" s="217"/>
      <c r="Y34" s="216"/>
      <c r="AD34" s="201"/>
      <c r="AF34" s="18"/>
      <c r="AP34" s="3"/>
      <c r="AQ34" s="3"/>
    </row>
    <row r="35" s="52" customFormat="1" ht="25" customHeight="1" spans="1:43">
      <c r="A35" s="59"/>
      <c r="I35" s="200"/>
      <c r="J35" s="200"/>
      <c r="L35" s="59"/>
      <c r="M35" s="59"/>
      <c r="P35" s="216"/>
      <c r="Q35" s="216"/>
      <c r="R35" s="216"/>
      <c r="S35" s="216"/>
      <c r="T35" s="216"/>
      <c r="U35" s="216"/>
      <c r="X35" s="217"/>
      <c r="Y35" s="216"/>
      <c r="AD35" s="201"/>
      <c r="AF35" s="18"/>
      <c r="AP35" s="3"/>
      <c r="AQ35" s="3"/>
    </row>
    <row r="36" s="52" customFormat="1" ht="25" customHeight="1" spans="1:43">
      <c r="A36" s="59"/>
      <c r="I36" s="200"/>
      <c r="J36" s="200"/>
      <c r="L36" s="59"/>
      <c r="M36" s="59"/>
      <c r="P36" s="216"/>
      <c r="Q36" s="216"/>
      <c r="R36" s="216"/>
      <c r="S36" s="216"/>
      <c r="T36" s="216"/>
      <c r="U36" s="216"/>
      <c r="X36" s="217"/>
      <c r="Y36" s="216"/>
      <c r="AD36" s="201"/>
      <c r="AF36" s="18"/>
      <c r="AP36" s="3"/>
      <c r="AQ36" s="3"/>
    </row>
    <row r="37" s="52" customFormat="1" ht="25" customHeight="1" spans="1:43">
      <c r="A37" s="59"/>
      <c r="I37" s="200"/>
      <c r="J37" s="200"/>
      <c r="L37" s="59"/>
      <c r="M37" s="59"/>
      <c r="P37" s="216"/>
      <c r="Q37" s="216"/>
      <c r="R37" s="216"/>
      <c r="S37" s="216"/>
      <c r="T37" s="216"/>
      <c r="U37" s="216"/>
      <c r="X37" s="217"/>
      <c r="Y37" s="216"/>
      <c r="AD37" s="201"/>
      <c r="AF37" s="18"/>
      <c r="AP37" s="3"/>
      <c r="AQ37" s="3"/>
    </row>
    <row r="38" s="52" customFormat="1" ht="25" customHeight="1" spans="1:43">
      <c r="A38" s="59"/>
      <c r="I38" s="200"/>
      <c r="J38" s="200"/>
      <c r="L38" s="59"/>
      <c r="M38" s="59"/>
      <c r="P38" s="216"/>
      <c r="Q38" s="216"/>
      <c r="R38" s="216"/>
      <c r="S38" s="216"/>
      <c r="T38" s="216"/>
      <c r="U38" s="216"/>
      <c r="X38" s="217"/>
      <c r="Y38" s="216"/>
      <c r="AD38" s="201"/>
      <c r="AF38" s="18"/>
      <c r="AP38" s="3"/>
      <c r="AQ38" s="3"/>
    </row>
    <row r="39" s="52" customFormat="1" ht="25" customHeight="1" spans="1:43">
      <c r="A39" s="59"/>
      <c r="I39" s="200"/>
      <c r="J39" s="200"/>
      <c r="L39" s="59"/>
      <c r="M39" s="59"/>
      <c r="P39" s="216"/>
      <c r="Q39" s="216"/>
      <c r="R39" s="216"/>
      <c r="S39" s="216"/>
      <c r="T39" s="216"/>
      <c r="U39" s="216"/>
      <c r="X39" s="217"/>
      <c r="Y39" s="216"/>
      <c r="AD39" s="201"/>
      <c r="AF39" s="18"/>
      <c r="AP39" s="3"/>
      <c r="AQ39" s="3"/>
    </row>
    <row r="40" s="52" customFormat="1" ht="25" customHeight="1" spans="1:43">
      <c r="A40" s="59"/>
      <c r="I40" s="200"/>
      <c r="J40" s="200"/>
      <c r="L40" s="59"/>
      <c r="M40" s="59"/>
      <c r="P40" s="216"/>
      <c r="Q40" s="216"/>
      <c r="R40" s="216"/>
      <c r="S40" s="216"/>
      <c r="T40" s="216"/>
      <c r="U40" s="216"/>
      <c r="X40" s="217"/>
      <c r="Y40" s="216"/>
      <c r="AD40" s="201"/>
      <c r="AF40" s="18"/>
      <c r="AP40" s="3"/>
      <c r="AQ40" s="3"/>
    </row>
    <row r="41" ht="25" customHeight="1"/>
    <row r="42" ht="25" customHeight="1"/>
    <row r="43" ht="25" customHeight="1"/>
    <row r="44" ht="25" customHeight="1"/>
    <row r="45" ht="25" customHeight="1"/>
    <row r="46" ht="25" customHeight="1"/>
    <row r="47" ht="25" customHeight="1"/>
    <row r="48" ht="25" customHeight="1"/>
    <row r="49" ht="25" customHeight="1"/>
    <row r="50" ht="25" customHeight="1"/>
    <row r="51" ht="25" customHeight="1"/>
    <row r="52" ht="25" customHeight="1"/>
    <row r="53" ht="25" customHeight="1"/>
    <row r="54" ht="25" customHeight="1"/>
    <row r="55" ht="25" customHeight="1"/>
    <row r="56" ht="25" customHeight="1"/>
    <row r="57" ht="25" customHeight="1"/>
    <row r="58" ht="25" customHeight="1"/>
    <row r="59" ht="25" customHeight="1"/>
    <row r="60" ht="25" customHeight="1"/>
    <row r="61" ht="25" customHeight="1"/>
    <row r="62" ht="25" customHeight="1"/>
    <row r="63" ht="25" customHeight="1"/>
    <row r="64" ht="25" customHeight="1"/>
    <row r="65" ht="25" customHeight="1"/>
    <row r="66" ht="25" customHeight="1"/>
    <row r="67" ht="25" customHeight="1"/>
    <row r="68" ht="25" customHeight="1"/>
    <row r="69" ht="25" customHeight="1"/>
    <row r="70" ht="25" customHeight="1"/>
    <row r="71" ht="25" customHeight="1"/>
    <row r="72" ht="25" customHeight="1"/>
    <row r="73" ht="25" customHeight="1"/>
    <row r="74" ht="25" customHeight="1"/>
    <row r="75" ht="25" customHeight="1"/>
    <row r="76" ht="25" customHeight="1"/>
    <row r="77" ht="25" customHeight="1"/>
    <row r="78" ht="25" customHeight="1"/>
    <row r="79" ht="25" customHeight="1"/>
    <row r="80" ht="25" customHeight="1"/>
    <row r="81" ht="25" customHeight="1"/>
    <row r="82" ht="25" customHeight="1"/>
    <row r="83" ht="25" customHeight="1"/>
    <row r="84" ht="25" customHeight="1"/>
    <row r="85" ht="25" customHeight="1"/>
    <row r="86" ht="25" customHeight="1"/>
    <row r="87" ht="25" customHeight="1"/>
    <row r="88" ht="25" customHeight="1"/>
    <row r="89" ht="25" customHeight="1"/>
    <row r="90" ht="25" customHeight="1"/>
    <row r="91" ht="25" customHeight="1"/>
    <row r="92" ht="25" customHeight="1"/>
    <row r="93" ht="25" customHeight="1"/>
    <row r="94" ht="25" customHeight="1"/>
    <row r="95" ht="25" customHeight="1"/>
    <row r="96" ht="25" customHeight="1"/>
    <row r="97" ht="25" customHeight="1"/>
    <row r="98" ht="25" customHeight="1"/>
    <row r="99" ht="25" customHeight="1"/>
    <row r="100" ht="25" customHeight="1"/>
    <row r="101" ht="25" customHeight="1"/>
    <row r="102" ht="25" customHeight="1"/>
    <row r="103" ht="25" customHeight="1"/>
    <row r="104" ht="25" customHeight="1"/>
    <row r="105" ht="25" customHeight="1"/>
    <row r="106" ht="25" customHeight="1"/>
    <row r="107" ht="25" customHeight="1"/>
    <row r="108" ht="25" customHeight="1"/>
    <row r="109" ht="25" customHeight="1"/>
    <row r="110" ht="25" customHeight="1"/>
    <row r="111" ht="25" customHeight="1"/>
    <row r="112" ht="25" customHeight="1"/>
    <row r="113" ht="25" customHeight="1"/>
    <row r="114" ht="25" customHeight="1"/>
    <row r="115" ht="25" customHeight="1"/>
    <row r="116" ht="25" customHeight="1"/>
    <row r="117" ht="25" customHeight="1"/>
    <row r="118" ht="25" customHeight="1"/>
    <row r="119" ht="25" customHeight="1"/>
    <row r="120" ht="25" customHeight="1"/>
    <row r="121" ht="25" customHeight="1"/>
    <row r="122" ht="25" customHeight="1"/>
    <row r="123" ht="25" customHeight="1"/>
    <row r="124" ht="25" customHeight="1"/>
    <row r="125" ht="25" customHeight="1"/>
    <row r="126" ht="25" customHeight="1"/>
    <row r="127" ht="25" customHeight="1"/>
    <row r="128" ht="25" customHeight="1"/>
    <row r="129" ht="25" customHeight="1"/>
    <row r="130" ht="25" customHeight="1"/>
    <row r="131" ht="25" customHeight="1"/>
    <row r="132" ht="25" customHeight="1"/>
    <row r="133" ht="25" customHeight="1"/>
    <row r="134" ht="25" customHeight="1"/>
    <row r="135" ht="25" customHeight="1"/>
    <row r="136" ht="25" customHeight="1"/>
    <row r="137" ht="25" customHeight="1"/>
    <row r="138" ht="25" customHeight="1"/>
    <row r="139" ht="25" customHeight="1"/>
    <row r="140" ht="25" customHeight="1"/>
    <row r="141" ht="25" customHeight="1"/>
    <row r="142" ht="25" customHeight="1"/>
    <row r="143" ht="25" customHeight="1"/>
    <row r="144" ht="25" customHeight="1"/>
    <row r="145" ht="25" customHeight="1"/>
    <row r="146" ht="25" customHeight="1"/>
    <row r="147" ht="25" customHeight="1"/>
    <row r="148" ht="25" customHeight="1"/>
    <row r="149" ht="25" customHeight="1"/>
    <row r="150" ht="25" customHeight="1"/>
    <row r="151" ht="25" customHeight="1"/>
    <row r="152" ht="25" customHeight="1"/>
    <row r="153" ht="25" customHeight="1"/>
    <row r="154" ht="25" customHeight="1"/>
    <row r="155" ht="25" customHeight="1"/>
    <row r="156" ht="25" customHeight="1"/>
    <row r="157" ht="25" customHeight="1"/>
    <row r="158" ht="25" customHeight="1"/>
    <row r="159" ht="25" customHeight="1"/>
    <row r="160" ht="25" customHeight="1"/>
    <row r="161" ht="25" customHeight="1"/>
    <row r="162" ht="25" customHeight="1"/>
    <row r="163" ht="25" customHeight="1"/>
    <row r="164" ht="25" customHeight="1"/>
    <row r="165" ht="25" customHeight="1"/>
    <row r="166" ht="25" customHeight="1"/>
    <row r="167" ht="25" customHeight="1"/>
    <row r="168" ht="25" customHeight="1"/>
    <row r="169" ht="25" customHeight="1"/>
    <row r="170" ht="25" customHeight="1"/>
    <row r="171" ht="25" customHeight="1"/>
    <row r="172" ht="25" customHeight="1"/>
    <row r="173" ht="25" customHeight="1"/>
    <row r="174" ht="25" customHeight="1"/>
    <row r="175" ht="25" customHeight="1"/>
    <row r="176" ht="25" customHeight="1"/>
    <row r="177" ht="25" customHeight="1"/>
    <row r="178" ht="25" customHeight="1"/>
    <row r="179" ht="25" customHeight="1"/>
    <row r="180" ht="25" customHeight="1"/>
    <row r="181" ht="25" customHeight="1"/>
    <row r="182" ht="25" customHeight="1"/>
    <row r="183" ht="25" customHeight="1"/>
    <row r="184" ht="25" customHeight="1"/>
    <row r="185" ht="25" customHeight="1"/>
    <row r="186" ht="25" customHeight="1"/>
    <row r="187" ht="25" customHeight="1"/>
    <row r="188" ht="25" customHeight="1"/>
    <row r="189" ht="25" customHeight="1"/>
    <row r="190" ht="25" customHeight="1"/>
    <row r="191" ht="25" customHeight="1"/>
    <row r="192" ht="25" customHeight="1"/>
    <row r="193" ht="25" customHeight="1"/>
    <row r="194" ht="25" customHeight="1"/>
    <row r="195" ht="25" customHeight="1"/>
    <row r="196" ht="25" customHeight="1"/>
    <row r="197" ht="25" customHeight="1"/>
    <row r="198" ht="25" customHeight="1"/>
    <row r="199" ht="25" customHeight="1"/>
    <row r="200" ht="25" customHeight="1"/>
    <row r="201" ht="25" customHeight="1"/>
    <row r="202" ht="25" customHeight="1"/>
    <row r="203" ht="25" customHeight="1"/>
    <row r="204" ht="25" customHeight="1"/>
    <row r="205" ht="25" customHeight="1"/>
    <row r="206" ht="25" customHeight="1"/>
    <row r="207" ht="25" customHeight="1"/>
    <row r="208" ht="25" customHeight="1"/>
    <row r="209" ht="25" customHeight="1"/>
    <row r="210" ht="25" customHeight="1"/>
    <row r="211" ht="25" customHeight="1"/>
    <row r="212" ht="25" customHeight="1"/>
    <row r="213" ht="25" customHeight="1"/>
    <row r="214" ht="25" customHeight="1"/>
    <row r="215" ht="25" customHeight="1"/>
    <row r="216" ht="25" customHeight="1"/>
    <row r="217" ht="25" customHeight="1"/>
    <row r="218" ht="25" customHeight="1"/>
    <row r="219" ht="25" customHeight="1"/>
    <row r="220" ht="25" customHeight="1"/>
    <row r="221" ht="25" customHeight="1"/>
    <row r="222" ht="25" customHeight="1"/>
    <row r="223" ht="25" customHeight="1"/>
    <row r="224" ht="25" customHeight="1"/>
    <row r="225" ht="25" customHeight="1"/>
    <row r="226" ht="25" customHeight="1"/>
    <row r="227" ht="25" customHeight="1"/>
    <row r="228" ht="25" customHeight="1"/>
    <row r="229" ht="25" customHeight="1"/>
    <row r="230" ht="25" customHeight="1"/>
    <row r="231" ht="25" customHeight="1"/>
    <row r="232" ht="25" customHeight="1"/>
    <row r="233" ht="25" customHeight="1"/>
    <row r="234" ht="25" customHeight="1"/>
    <row r="235" ht="25" customHeight="1"/>
    <row r="236" ht="25" customHeight="1"/>
    <row r="237" ht="25" customHeight="1"/>
    <row r="238" ht="25" customHeight="1"/>
    <row r="239" ht="25" customHeight="1"/>
    <row r="240" ht="25" customHeight="1"/>
    <row r="241" ht="25" customHeight="1"/>
    <row r="242" ht="25" customHeight="1"/>
    <row r="243" ht="25" customHeight="1"/>
    <row r="244" ht="25" customHeight="1"/>
    <row r="245" ht="25" customHeight="1"/>
    <row r="246" ht="25" customHeight="1"/>
    <row r="247" ht="25" customHeight="1"/>
    <row r="248" ht="25" customHeight="1"/>
    <row r="249" ht="25" customHeight="1"/>
    <row r="250" ht="25" customHeight="1"/>
    <row r="251" ht="25" customHeight="1"/>
    <row r="252" ht="25" customHeight="1"/>
    <row r="253" ht="25" customHeight="1"/>
    <row r="254" ht="25" customHeight="1"/>
    <row r="255" ht="25" customHeight="1"/>
    <row r="256" ht="25" customHeight="1"/>
    <row r="257" ht="25" customHeight="1"/>
    <row r="258" ht="25" customHeight="1"/>
    <row r="259" ht="25" customHeight="1"/>
    <row r="260" ht="25" customHeight="1"/>
    <row r="261" ht="25" customHeight="1"/>
    <row r="262" ht="25" customHeight="1"/>
    <row r="263" ht="25" customHeight="1"/>
    <row r="264" ht="25" customHeight="1"/>
    <row r="265" ht="25" customHeight="1"/>
    <row r="266" ht="25" customHeight="1"/>
    <row r="267" ht="25" customHeight="1"/>
    <row r="268" ht="25" customHeight="1"/>
    <row r="269" ht="25" customHeight="1"/>
    <row r="270" ht="25" customHeight="1"/>
    <row r="271" ht="25" customHeight="1"/>
    <row r="272" ht="25" customHeight="1"/>
    <row r="273" ht="25" customHeight="1"/>
    <row r="274" ht="25" customHeight="1"/>
    <row r="275" ht="25" customHeight="1"/>
    <row r="276" ht="25" customHeight="1"/>
    <row r="277" ht="25" customHeight="1"/>
    <row r="278" ht="25" customHeight="1"/>
    <row r="279" ht="25" customHeight="1"/>
    <row r="280" ht="25" customHeight="1"/>
    <row r="281" ht="25" customHeight="1"/>
    <row r="282" ht="25" customHeight="1"/>
    <row r="283" ht="25" customHeight="1"/>
    <row r="284" ht="25" customHeight="1"/>
    <row r="285" ht="25" customHeight="1"/>
    <row r="286" ht="25" customHeight="1"/>
    <row r="287" ht="25" customHeight="1"/>
    <row r="288" ht="25" customHeight="1"/>
    <row r="289" ht="25" customHeight="1"/>
    <row r="290" ht="25" customHeight="1"/>
    <row r="291" ht="25" customHeight="1"/>
    <row r="292" ht="25" customHeight="1"/>
    <row r="293" ht="25" customHeight="1"/>
    <row r="294" ht="25" customHeight="1"/>
  </sheetData>
  <sheetProtection formatCells="0" formatColumns="0" formatRows="0" insertRows="0" insertColumns="0" insertHyperlinks="0" deleteColumns="0" deleteRows="0" sort="0" autoFilter="0" pivotTables="0"/>
  <autoFilter xmlns:etc="http://www.wps.cn/officeDocument/2017/etCustomData" ref="A1:AQ40" etc:filterBottomFollowUsedRange="1">
    <extLst/>
  </autoFilter>
  <conditionalFormatting sqref="R2:R6">
    <cfRule type="containsText" dxfId="0" priority="16" operator="between" text="/">
      <formula>NOT(ISERROR(SEARCH("/",R2)))</formula>
    </cfRule>
  </conditionalFormatting>
  <conditionalFormatting sqref="S2:S6">
    <cfRule type="containsText" dxfId="0" priority="12" operator="between" text="未确认">
      <formula>NOT(ISERROR(SEARCH("未确认",S2)))</formula>
    </cfRule>
    <cfRule type="containsText" dxfId="0" priority="13" operator="between" text="/">
      <formula>NOT(ISERROR(SEARCH("/",S2)))</formula>
    </cfRule>
    <cfRule type="containsText" dxfId="0" priority="14" operator="between" text="未确认//">
      <formula>NOT(ISERROR(SEARCH("未确认//",S2)))</formula>
    </cfRule>
    <cfRule type="containsText" dxfId="0" priority="15" operator="between" text="未确认/">
      <formula>NOT(ISERROR(SEARCH("未确认/",S2)))</formula>
    </cfRule>
  </conditionalFormatting>
  <conditionalFormatting sqref="Q1 T1 Q7:Q65523 T7:T65523">
    <cfRule type="containsText" dxfId="0" priority="23" operator="between" text="未提供">
      <formula>NOT(ISERROR(SEARCH("未提供",Q1)))</formula>
    </cfRule>
  </conditionalFormatting>
  <conditionalFormatting sqref="R1 R7:R65523">
    <cfRule type="containsText" dxfId="0" priority="22" operator="between" text="/">
      <formula>NOT(ISERROR(SEARCH("/",R1)))</formula>
    </cfRule>
  </conditionalFormatting>
  <conditionalFormatting sqref="S1 S7:S65523">
    <cfRule type="containsText" dxfId="0" priority="18" operator="between" text="未确认">
      <formula>NOT(ISERROR(SEARCH("未确认",S1)))</formula>
    </cfRule>
    <cfRule type="containsText" dxfId="0" priority="19" operator="between" text="/">
      <formula>NOT(ISERROR(SEARCH("/",S1)))</formula>
    </cfRule>
    <cfRule type="containsText" dxfId="0" priority="20" operator="between" text="未确认//">
      <formula>NOT(ISERROR(SEARCH("未确认//",S1)))</formula>
    </cfRule>
    <cfRule type="containsText" dxfId="0" priority="21" operator="between" text="未确认/">
      <formula>NOT(ISERROR(SEARCH("未确认/",S1)))</formula>
    </cfRule>
  </conditionalFormatting>
  <conditionalFormatting sqref="Q2:Q6 T2:T6">
    <cfRule type="containsText" dxfId="0" priority="17" operator="between" text="未提供">
      <formula>NOT(ISERROR(SEARCH("未提供",Q2)))</formula>
    </cfRule>
  </conditionalFormatting>
  <pageMargins left="0.998611111111111" right="0.998611111111111" top="0.511805555555556" bottom="0.511805555555556" header="0.5" footer="0.5"/>
  <pageSetup paperSize="9" scale="85"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472"/>
  <sheetViews>
    <sheetView workbookViewId="0">
      <pane xSplit="9" ySplit="1" topLeftCell="AO112" activePane="bottomRight" state="frozen"/>
      <selection/>
      <selection pane="topRight"/>
      <selection pane="bottomLeft"/>
      <selection pane="bottomRight" activeCell="G88" sqref="G88"/>
    </sheetView>
  </sheetViews>
  <sheetFormatPr defaultColWidth="10" defaultRowHeight="12"/>
  <cols>
    <col min="1" max="1" width="15" style="59" customWidth="1"/>
    <col min="2" max="3" width="10" style="52"/>
    <col min="4" max="4" width="21.225" style="52" customWidth="1"/>
    <col min="5" max="6" width="14.4416666666667" style="52" customWidth="1"/>
    <col min="7" max="7" width="10" style="52"/>
    <col min="8" max="8" width="20.2583333333333" style="52" customWidth="1"/>
    <col min="9" max="9" width="8.44166666666667" style="200" customWidth="1"/>
    <col min="10" max="10" width="6.66666666666667" style="200" customWidth="1"/>
    <col min="11" max="11" width="6.55833333333333" style="52" customWidth="1"/>
    <col min="12" max="12" width="14.3333333333333" style="59" customWidth="1"/>
    <col min="13" max="13" width="14.225" style="59" customWidth="1"/>
    <col min="14" max="15" width="12.5583333333333" style="52" customWidth="1"/>
    <col min="16" max="16" width="12.0166666666667" style="216" customWidth="1"/>
    <col min="17" max="22" width="10" style="216" customWidth="1"/>
    <col min="23" max="24" width="11.8916666666667" style="52" customWidth="1"/>
    <col min="25" max="25" width="11.8916666666667" style="217" customWidth="1"/>
    <col min="26" max="27" width="10" style="52" customWidth="1"/>
    <col min="28" max="29" width="12" style="52" customWidth="1"/>
    <col min="30" max="30" width="75.8083333333333" style="201" customWidth="1"/>
    <col min="31" max="31" width="10" style="52"/>
    <col min="32" max="32" width="14" style="18" customWidth="1"/>
    <col min="33" max="33" width="14.225" style="52"/>
    <col min="34" max="34" width="13.775" style="52" customWidth="1"/>
    <col min="35" max="35" width="12.575" style="52" customWidth="1"/>
    <col min="36" max="37" width="10" style="52" customWidth="1"/>
    <col min="38" max="38" width="8.89166666666667" style="52" customWidth="1"/>
    <col min="39" max="40" width="10" style="52" customWidth="1"/>
    <col min="41" max="41" width="11.2666666666667" style="218" customWidth="1"/>
    <col min="42" max="43" width="10.3333333333333" style="52"/>
    <col min="44" max="16384" width="10" style="52"/>
  </cols>
  <sheetData>
    <row r="1" s="198" customFormat="1" ht="25" customHeight="1" spans="1:43">
      <c r="A1" s="202" t="s">
        <v>0</v>
      </c>
      <c r="B1" s="96" t="s">
        <v>3</v>
      </c>
      <c r="C1" s="96" t="s">
        <v>418</v>
      </c>
      <c r="D1" s="96" t="s">
        <v>2</v>
      </c>
      <c r="E1" s="96" t="s">
        <v>419</v>
      </c>
      <c r="F1" s="96" t="s">
        <v>455</v>
      </c>
      <c r="G1" s="96" t="s">
        <v>5</v>
      </c>
      <c r="H1" s="96" t="s">
        <v>6</v>
      </c>
      <c r="I1" s="203" t="s">
        <v>7</v>
      </c>
      <c r="J1" s="203" t="s">
        <v>8</v>
      </c>
      <c r="K1" s="96" t="s">
        <v>9</v>
      </c>
      <c r="L1" s="202" t="s">
        <v>1</v>
      </c>
      <c r="M1" s="202" t="s">
        <v>420</v>
      </c>
      <c r="N1" s="96" t="s">
        <v>421</v>
      </c>
      <c r="O1" s="96" t="s">
        <v>422</v>
      </c>
      <c r="P1" s="219" t="s">
        <v>423</v>
      </c>
      <c r="Q1" s="219" t="s">
        <v>424</v>
      </c>
      <c r="R1" s="219" t="s">
        <v>425</v>
      </c>
      <c r="S1" s="219" t="s">
        <v>426</v>
      </c>
      <c r="T1" s="219" t="s">
        <v>427</v>
      </c>
      <c r="U1" s="219" t="s">
        <v>504</v>
      </c>
      <c r="V1" s="219" t="s">
        <v>428</v>
      </c>
      <c r="W1" s="96" t="s">
        <v>429</v>
      </c>
      <c r="X1" s="96" t="s">
        <v>430</v>
      </c>
      <c r="Y1" s="220" t="s">
        <v>431</v>
      </c>
      <c r="Z1" s="96" t="s">
        <v>433</v>
      </c>
      <c r="AA1" s="96" t="s">
        <v>434</v>
      </c>
      <c r="AB1" s="96" t="s">
        <v>435</v>
      </c>
      <c r="AC1" s="96" t="s">
        <v>436</v>
      </c>
      <c r="AD1" s="204" t="s">
        <v>437</v>
      </c>
      <c r="AE1" s="96" t="s">
        <v>73</v>
      </c>
      <c r="AF1" s="96" t="s">
        <v>74</v>
      </c>
      <c r="AG1" s="96" t="s">
        <v>75</v>
      </c>
      <c r="AH1" s="96" t="s">
        <v>438</v>
      </c>
      <c r="AI1" s="95" t="s">
        <v>439</v>
      </c>
      <c r="AJ1" s="95" t="s">
        <v>440</v>
      </c>
      <c r="AK1" s="95" t="s">
        <v>441</v>
      </c>
      <c r="AL1" s="95" t="s">
        <v>442</v>
      </c>
      <c r="AM1" s="95" t="s">
        <v>443</v>
      </c>
      <c r="AN1" s="221" t="s">
        <v>444</v>
      </c>
      <c r="AO1" s="222" t="s">
        <v>505</v>
      </c>
      <c r="AP1" s="96" t="s">
        <v>506</v>
      </c>
      <c r="AQ1" s="134" t="s">
        <v>507</v>
      </c>
    </row>
    <row r="2" s="212" customFormat="1" ht="25" customHeight="1" spans="1:43">
      <c r="A2" s="223">
        <v>45954</v>
      </c>
      <c r="B2" s="224" t="s">
        <v>88</v>
      </c>
      <c r="C2" s="225" t="s">
        <v>445</v>
      </c>
      <c r="D2" s="224" t="s">
        <v>87</v>
      </c>
      <c r="E2" s="224" t="s">
        <v>89</v>
      </c>
      <c r="F2" s="224">
        <v>950881599</v>
      </c>
      <c r="G2" s="224" t="s">
        <v>90</v>
      </c>
      <c r="H2" s="224" t="s">
        <v>91</v>
      </c>
      <c r="I2" s="226">
        <v>7656</v>
      </c>
      <c r="J2" s="226">
        <v>6</v>
      </c>
      <c r="K2" s="224">
        <f t="shared" ref="K2:K35" si="0">I2/J2</f>
        <v>1276</v>
      </c>
      <c r="L2" s="223">
        <v>46008</v>
      </c>
      <c r="M2" s="223">
        <v>46008</v>
      </c>
      <c r="N2" s="223"/>
      <c r="O2" s="224"/>
      <c r="P2" s="227">
        <v>46027</v>
      </c>
      <c r="Q2" s="228"/>
      <c r="R2" s="228"/>
      <c r="S2" s="228"/>
      <c r="T2" s="229"/>
      <c r="U2" s="230"/>
      <c r="V2" s="231" t="s">
        <v>508</v>
      </c>
      <c r="W2" s="231" t="s">
        <v>509</v>
      </c>
      <c r="X2" s="232" t="str">
        <f t="array" ref="X2">INDEX(系统货号!C:C,MATCH(1,(系统货号!A:A=G2)*(系统货号!B:B=V2),0))</f>
        <v>CZ021D1-WM客版（印尼）</v>
      </c>
      <c r="Y2" s="230"/>
      <c r="Z2" s="229"/>
      <c r="AA2" s="229"/>
      <c r="AB2" s="233" t="s">
        <v>510</v>
      </c>
      <c r="AC2" s="233" t="s">
        <v>510</v>
      </c>
      <c r="AD2" s="234" t="s">
        <v>511</v>
      </c>
      <c r="AE2" s="235">
        <v>3.77</v>
      </c>
      <c r="AF2" s="236">
        <f t="shared" ref="AF2:AF35" si="1">I2*AE2</f>
        <v>28863.12</v>
      </c>
      <c r="AG2" s="236">
        <f t="shared" ref="AG2:AG35" si="2">AF2*7.75</f>
        <v>223689.18</v>
      </c>
      <c r="AH2" s="237"/>
      <c r="AI2" s="224"/>
      <c r="AJ2" s="224"/>
      <c r="AK2" s="224"/>
      <c r="AL2" s="224"/>
      <c r="AM2" s="224"/>
      <c r="AN2" s="238"/>
      <c r="AO2" s="238" t="s">
        <v>92</v>
      </c>
      <c r="AP2" s="239">
        <v>46027</v>
      </c>
      <c r="AQ2" s="239">
        <v>46027</v>
      </c>
    </row>
    <row r="3" s="212" customFormat="1" ht="25" customHeight="1" spans="1:43">
      <c r="A3" s="223">
        <v>45954</v>
      </c>
      <c r="B3" s="224" t="s">
        <v>88</v>
      </c>
      <c r="C3" s="225" t="s">
        <v>445</v>
      </c>
      <c r="D3" s="224" t="s">
        <v>87</v>
      </c>
      <c r="E3" s="224" t="s">
        <v>89</v>
      </c>
      <c r="F3" s="224">
        <v>950881599</v>
      </c>
      <c r="G3" s="224" t="s">
        <v>94</v>
      </c>
      <c r="H3" s="224" t="s">
        <v>95</v>
      </c>
      <c r="I3" s="226">
        <v>3828</v>
      </c>
      <c r="J3" s="226">
        <v>6</v>
      </c>
      <c r="K3" s="224">
        <f t="shared" si="0"/>
        <v>638</v>
      </c>
      <c r="L3" s="223">
        <v>46008</v>
      </c>
      <c r="M3" s="223">
        <v>46008</v>
      </c>
      <c r="N3" s="223"/>
      <c r="O3" s="224"/>
      <c r="P3" s="227">
        <v>46027</v>
      </c>
      <c r="Q3" s="228"/>
      <c r="R3" s="228"/>
      <c r="S3" s="228"/>
      <c r="T3" s="229"/>
      <c r="U3" s="230"/>
      <c r="V3" s="231" t="s">
        <v>508</v>
      </c>
      <c r="W3" s="231" t="s">
        <v>509</v>
      </c>
      <c r="X3" s="232" t="str">
        <f t="array" ref="X3">INDEX(系统货号!C:C,MATCH(1,(系统货号!A:A=G3)*(系统货号!B:B=V3),0))</f>
        <v>CZ021D2-WM客版（印尼）</v>
      </c>
      <c r="Y3" s="230"/>
      <c r="Z3" s="229"/>
      <c r="AA3" s="229"/>
      <c r="AB3" s="233" t="s">
        <v>510</v>
      </c>
      <c r="AC3" s="233" t="s">
        <v>510</v>
      </c>
      <c r="AD3" s="234" t="s">
        <v>511</v>
      </c>
      <c r="AE3" s="235">
        <v>3.77</v>
      </c>
      <c r="AF3" s="236">
        <f t="shared" si="1"/>
        <v>14431.56</v>
      </c>
      <c r="AG3" s="236">
        <f t="shared" si="2"/>
        <v>111844.59</v>
      </c>
      <c r="AH3" s="237"/>
      <c r="AI3" s="224"/>
      <c r="AJ3" s="224"/>
      <c r="AK3" s="224"/>
      <c r="AL3" s="224"/>
      <c r="AM3" s="224"/>
      <c r="AN3" s="238"/>
      <c r="AO3" s="238" t="s">
        <v>92</v>
      </c>
      <c r="AP3" s="239">
        <v>46027</v>
      </c>
      <c r="AQ3" s="239">
        <v>46027</v>
      </c>
    </row>
    <row r="4" s="212" customFormat="1" ht="25" customHeight="1" spans="1:43">
      <c r="A4" s="223">
        <v>45954</v>
      </c>
      <c r="B4" s="224" t="s">
        <v>88</v>
      </c>
      <c r="C4" s="225" t="s">
        <v>445</v>
      </c>
      <c r="D4" s="224" t="s">
        <v>87</v>
      </c>
      <c r="E4" s="224" t="s">
        <v>89</v>
      </c>
      <c r="F4" s="224">
        <v>950881599</v>
      </c>
      <c r="G4" s="224" t="s">
        <v>96</v>
      </c>
      <c r="H4" s="224" t="s">
        <v>97</v>
      </c>
      <c r="I4" s="226">
        <v>1914</v>
      </c>
      <c r="J4" s="226">
        <v>6</v>
      </c>
      <c r="K4" s="224">
        <f t="shared" si="0"/>
        <v>319</v>
      </c>
      <c r="L4" s="223">
        <v>46008</v>
      </c>
      <c r="M4" s="223">
        <v>46008</v>
      </c>
      <c r="N4" s="223"/>
      <c r="O4" s="224"/>
      <c r="P4" s="227">
        <v>46027</v>
      </c>
      <c r="Q4" s="228"/>
      <c r="R4" s="228"/>
      <c r="S4" s="228"/>
      <c r="T4" s="229"/>
      <c r="U4" s="230"/>
      <c r="V4" s="231" t="s">
        <v>508</v>
      </c>
      <c r="W4" s="231" t="s">
        <v>509</v>
      </c>
      <c r="X4" s="232" t="str">
        <f t="array" ref="X4">INDEX(系统货号!C:C,MATCH(1,(系统货号!A:A=G4)*(系统货号!B:B=V4),0))</f>
        <v>CZ021D3-WM客版（印尼）</v>
      </c>
      <c r="Y4" s="230"/>
      <c r="Z4" s="229"/>
      <c r="AA4" s="229"/>
      <c r="AB4" s="233" t="s">
        <v>510</v>
      </c>
      <c r="AC4" s="233" t="s">
        <v>510</v>
      </c>
      <c r="AD4" s="234" t="s">
        <v>511</v>
      </c>
      <c r="AE4" s="235">
        <v>3.77</v>
      </c>
      <c r="AF4" s="236">
        <f t="shared" si="1"/>
        <v>7215.78</v>
      </c>
      <c r="AG4" s="236">
        <f t="shared" si="2"/>
        <v>55922.295</v>
      </c>
      <c r="AH4" s="237"/>
      <c r="AI4" s="224"/>
      <c r="AJ4" s="224"/>
      <c r="AK4" s="224"/>
      <c r="AL4" s="224"/>
      <c r="AM4" s="224"/>
      <c r="AN4" s="238"/>
      <c r="AO4" s="238" t="s">
        <v>92</v>
      </c>
      <c r="AP4" s="239">
        <v>46027</v>
      </c>
      <c r="AQ4" s="239">
        <v>46027</v>
      </c>
    </row>
    <row r="5" s="212" customFormat="1" ht="25" customHeight="1" spans="1:43">
      <c r="A5" s="223">
        <v>45954</v>
      </c>
      <c r="B5" s="224" t="s">
        <v>88</v>
      </c>
      <c r="C5" s="225" t="s">
        <v>445</v>
      </c>
      <c r="D5" s="224" t="s">
        <v>87</v>
      </c>
      <c r="E5" s="224" t="s">
        <v>89</v>
      </c>
      <c r="F5" s="224">
        <v>950881599</v>
      </c>
      <c r="G5" s="224" t="s">
        <v>98</v>
      </c>
      <c r="H5" s="224" t="s">
        <v>99</v>
      </c>
      <c r="I5" s="226">
        <v>1914</v>
      </c>
      <c r="J5" s="226">
        <v>6</v>
      </c>
      <c r="K5" s="224">
        <f t="shared" si="0"/>
        <v>319</v>
      </c>
      <c r="L5" s="223">
        <v>46008</v>
      </c>
      <c r="M5" s="223">
        <v>46008</v>
      </c>
      <c r="N5" s="223"/>
      <c r="O5" s="224"/>
      <c r="P5" s="227">
        <v>46027</v>
      </c>
      <c r="Q5" s="228"/>
      <c r="R5" s="228"/>
      <c r="S5" s="228"/>
      <c r="T5" s="229"/>
      <c r="U5" s="230"/>
      <c r="V5" s="231" t="s">
        <v>508</v>
      </c>
      <c r="W5" s="231" t="s">
        <v>509</v>
      </c>
      <c r="X5" s="232" t="str">
        <f t="array" ref="X5">INDEX(系统货号!C:C,MATCH(1,(系统货号!A:A=G5)*(系统货号!B:B=V5),0))</f>
        <v>CZ021D4-WM客版（印尼）</v>
      </c>
      <c r="Y5" s="230"/>
      <c r="Z5" s="229"/>
      <c r="AA5" s="229"/>
      <c r="AB5" s="233" t="s">
        <v>510</v>
      </c>
      <c r="AC5" s="233" t="s">
        <v>510</v>
      </c>
      <c r="AD5" s="234" t="s">
        <v>511</v>
      </c>
      <c r="AE5" s="235">
        <v>3.77</v>
      </c>
      <c r="AF5" s="236">
        <f t="shared" si="1"/>
        <v>7215.78</v>
      </c>
      <c r="AG5" s="236">
        <f t="shared" si="2"/>
        <v>55922.295</v>
      </c>
      <c r="AH5" s="237"/>
      <c r="AI5" s="224"/>
      <c r="AJ5" s="224"/>
      <c r="AK5" s="224"/>
      <c r="AL5" s="224"/>
      <c r="AM5" s="224"/>
      <c r="AN5" s="238"/>
      <c r="AO5" s="238" t="s">
        <v>92</v>
      </c>
      <c r="AP5" s="239">
        <v>46027</v>
      </c>
      <c r="AQ5" s="239">
        <v>46027</v>
      </c>
    </row>
    <row r="6" s="212" customFormat="1" ht="25" customHeight="1" spans="1:43">
      <c r="A6" s="223">
        <v>45960</v>
      </c>
      <c r="B6" s="224" t="s">
        <v>358</v>
      </c>
      <c r="C6" s="225" t="s">
        <v>445</v>
      </c>
      <c r="D6" s="224" t="s">
        <v>104</v>
      </c>
      <c r="E6" s="224" t="s">
        <v>106</v>
      </c>
      <c r="F6" s="224"/>
      <c r="G6" s="224" t="s">
        <v>107</v>
      </c>
      <c r="H6" s="224" t="s">
        <v>108</v>
      </c>
      <c r="I6" s="226">
        <v>7008</v>
      </c>
      <c r="J6" s="226">
        <v>12</v>
      </c>
      <c r="K6" s="224">
        <f t="shared" si="0"/>
        <v>584</v>
      </c>
      <c r="L6" s="223">
        <v>46014</v>
      </c>
      <c r="M6" s="223">
        <v>46014</v>
      </c>
      <c r="N6" s="223" t="s">
        <v>512</v>
      </c>
      <c r="O6" s="224"/>
      <c r="P6" s="227">
        <v>46027</v>
      </c>
      <c r="Q6" s="228">
        <v>45980</v>
      </c>
      <c r="R6" s="228">
        <v>45982</v>
      </c>
      <c r="S6" s="228">
        <v>45982</v>
      </c>
      <c r="T6" s="229" t="s">
        <v>513</v>
      </c>
      <c r="U6" s="230" t="s">
        <v>448</v>
      </c>
      <c r="V6" s="240" t="s">
        <v>458</v>
      </c>
      <c r="W6" s="229" t="s">
        <v>450</v>
      </c>
      <c r="X6" s="232" t="str">
        <f t="array" ref="X6">INDEX(系统货号!C:C,MATCH(1,(系统货号!A:A=G6)*(系统货号!B:B=V6),0))</f>
        <v>BS064D1</v>
      </c>
      <c r="Y6" s="230" t="s">
        <v>514</v>
      </c>
      <c r="Z6" s="229"/>
      <c r="AA6" s="229"/>
      <c r="AB6" s="224" t="s">
        <v>450</v>
      </c>
      <c r="AC6" s="224" t="s">
        <v>515</v>
      </c>
      <c r="AD6" s="234" t="s">
        <v>516</v>
      </c>
      <c r="AE6" s="235">
        <v>1.38</v>
      </c>
      <c r="AF6" s="236">
        <f t="shared" si="1"/>
        <v>9671.04</v>
      </c>
      <c r="AG6" s="236">
        <f t="shared" si="2"/>
        <v>74950.56</v>
      </c>
      <c r="AH6" s="237">
        <v>45968</v>
      </c>
      <c r="AI6" s="224"/>
      <c r="AJ6" s="224"/>
      <c r="AK6" s="224"/>
      <c r="AL6" s="224"/>
      <c r="AM6" s="224"/>
      <c r="AN6" s="238"/>
      <c r="AO6" s="238" t="s">
        <v>109</v>
      </c>
      <c r="AP6" s="239">
        <v>46028</v>
      </c>
      <c r="AQ6" s="239">
        <v>46027</v>
      </c>
    </row>
    <row r="7" s="212" customFormat="1" ht="25" customHeight="1" spans="1:43">
      <c r="A7" s="223">
        <v>45960</v>
      </c>
      <c r="B7" s="224" t="s">
        <v>358</v>
      </c>
      <c r="C7" s="225" t="s">
        <v>445</v>
      </c>
      <c r="D7" s="224" t="s">
        <v>104</v>
      </c>
      <c r="E7" s="224" t="s">
        <v>106</v>
      </c>
      <c r="F7" s="224"/>
      <c r="G7" s="224" t="s">
        <v>27</v>
      </c>
      <c r="H7" s="224" t="s">
        <v>110</v>
      </c>
      <c r="I7" s="226">
        <v>2004</v>
      </c>
      <c r="J7" s="226">
        <v>6</v>
      </c>
      <c r="K7" s="224">
        <f t="shared" si="0"/>
        <v>334</v>
      </c>
      <c r="L7" s="223">
        <v>46014</v>
      </c>
      <c r="M7" s="223">
        <v>46014</v>
      </c>
      <c r="N7" s="223" t="s">
        <v>512</v>
      </c>
      <c r="O7" s="224"/>
      <c r="P7" s="227">
        <v>46027</v>
      </c>
      <c r="Q7" s="228">
        <v>45980</v>
      </c>
      <c r="R7" s="228">
        <v>45982</v>
      </c>
      <c r="S7" s="228">
        <v>45982</v>
      </c>
      <c r="T7" s="229" t="s">
        <v>517</v>
      </c>
      <c r="U7" s="230" t="s">
        <v>448</v>
      </c>
      <c r="V7" s="240" t="s">
        <v>458</v>
      </c>
      <c r="W7" s="229" t="s">
        <v>459</v>
      </c>
      <c r="X7" s="232" t="str">
        <f t="array" ref="X7">INDEX(系统货号!C:C,MATCH(1,(系统货号!A:A=G7)*(系统货号!B:B=V7),0))</f>
        <v>BS065D6</v>
      </c>
      <c r="Y7" s="230" t="s">
        <v>514</v>
      </c>
      <c r="Z7" s="229"/>
      <c r="AA7" s="229"/>
      <c r="AB7" s="224" t="s">
        <v>515</v>
      </c>
      <c r="AC7" s="224" t="s">
        <v>515</v>
      </c>
      <c r="AD7" s="234" t="s">
        <v>518</v>
      </c>
      <c r="AE7" s="235">
        <v>2.969</v>
      </c>
      <c r="AF7" s="236">
        <f t="shared" si="1"/>
        <v>5949.876</v>
      </c>
      <c r="AG7" s="236">
        <f t="shared" si="2"/>
        <v>46111.539</v>
      </c>
      <c r="AH7" s="237">
        <v>45968</v>
      </c>
      <c r="AI7" s="224" t="s">
        <v>454</v>
      </c>
      <c r="AJ7" s="224">
        <f>1578+408+18</f>
        <v>2004</v>
      </c>
      <c r="AK7" s="224">
        <f t="shared" ref="AK7:AK9" si="3">AJ7-I7</f>
        <v>0</v>
      </c>
      <c r="AL7" s="224" t="s">
        <v>519</v>
      </c>
      <c r="AM7" s="224"/>
      <c r="AN7" s="238"/>
      <c r="AO7" s="238" t="s">
        <v>109</v>
      </c>
      <c r="AP7" s="239">
        <v>46028</v>
      </c>
      <c r="AQ7" s="239">
        <v>46027</v>
      </c>
    </row>
    <row r="8" s="212" customFormat="1" ht="25" customHeight="1" spans="1:43">
      <c r="A8" s="223">
        <v>45960</v>
      </c>
      <c r="B8" s="224" t="s">
        <v>358</v>
      </c>
      <c r="C8" s="225" t="s">
        <v>445</v>
      </c>
      <c r="D8" s="224" t="s">
        <v>104</v>
      </c>
      <c r="E8" s="224" t="s">
        <v>106</v>
      </c>
      <c r="F8" s="224"/>
      <c r="G8" s="224" t="s">
        <v>46</v>
      </c>
      <c r="H8" s="224" t="s">
        <v>111</v>
      </c>
      <c r="I8" s="226">
        <v>3198</v>
      </c>
      <c r="J8" s="226">
        <v>6</v>
      </c>
      <c r="K8" s="224">
        <f t="shared" si="0"/>
        <v>533</v>
      </c>
      <c r="L8" s="223">
        <v>46014</v>
      </c>
      <c r="M8" s="223">
        <v>46014</v>
      </c>
      <c r="N8" s="223" t="s">
        <v>512</v>
      </c>
      <c r="O8" s="224"/>
      <c r="P8" s="227">
        <v>46027</v>
      </c>
      <c r="Q8" s="228">
        <v>45980</v>
      </c>
      <c r="R8" s="228">
        <v>45982</v>
      </c>
      <c r="S8" s="228">
        <v>45982</v>
      </c>
      <c r="T8" s="229">
        <v>45980</v>
      </c>
      <c r="U8" s="230" t="s">
        <v>448</v>
      </c>
      <c r="V8" s="240" t="s">
        <v>458</v>
      </c>
      <c r="W8" s="229" t="s">
        <v>450</v>
      </c>
      <c r="X8" s="232" t="str">
        <f t="array" ref="X8">INDEX(系统货号!C:C,MATCH(1,(系统货号!A:A=G8)*(系统货号!B:B=V8),0))</f>
        <v>BS074D6</v>
      </c>
      <c r="Y8" s="230" t="s">
        <v>520</v>
      </c>
      <c r="Z8" s="229"/>
      <c r="AA8" s="229"/>
      <c r="AB8" s="224" t="s">
        <v>450</v>
      </c>
      <c r="AC8" s="224" t="s">
        <v>515</v>
      </c>
      <c r="AD8" s="234" t="s">
        <v>521</v>
      </c>
      <c r="AE8" s="235">
        <v>2.993</v>
      </c>
      <c r="AF8" s="236">
        <f t="shared" si="1"/>
        <v>9571.614</v>
      </c>
      <c r="AG8" s="236">
        <f t="shared" si="2"/>
        <v>74180.0085</v>
      </c>
      <c r="AH8" s="237">
        <v>45968</v>
      </c>
      <c r="AI8" s="224" t="s">
        <v>454</v>
      </c>
      <c r="AJ8" s="224">
        <f>3036+162</f>
        <v>3198</v>
      </c>
      <c r="AK8" s="224">
        <f t="shared" si="3"/>
        <v>0</v>
      </c>
      <c r="AL8" s="224" t="s">
        <v>519</v>
      </c>
      <c r="AM8" s="224"/>
      <c r="AN8" s="238"/>
      <c r="AO8" s="238" t="s">
        <v>109</v>
      </c>
      <c r="AP8" s="239">
        <v>46028</v>
      </c>
      <c r="AQ8" s="239">
        <v>46027</v>
      </c>
    </row>
    <row r="9" s="212" customFormat="1" ht="25" customHeight="1" spans="1:43">
      <c r="A9" s="223">
        <v>45960</v>
      </c>
      <c r="B9" s="224" t="s">
        <v>358</v>
      </c>
      <c r="C9" s="225" t="s">
        <v>445</v>
      </c>
      <c r="D9" s="224" t="s">
        <v>104</v>
      </c>
      <c r="E9" s="224" t="s">
        <v>106</v>
      </c>
      <c r="F9" s="224"/>
      <c r="G9" s="224" t="s">
        <v>14</v>
      </c>
      <c r="H9" s="224" t="s">
        <v>112</v>
      </c>
      <c r="I9" s="226">
        <v>2400</v>
      </c>
      <c r="J9" s="226">
        <v>6</v>
      </c>
      <c r="K9" s="224">
        <f t="shared" si="0"/>
        <v>400</v>
      </c>
      <c r="L9" s="223">
        <v>46014</v>
      </c>
      <c r="M9" s="223">
        <v>46014</v>
      </c>
      <c r="N9" s="223" t="s">
        <v>512</v>
      </c>
      <c r="O9" s="224"/>
      <c r="P9" s="227">
        <v>46027</v>
      </c>
      <c r="Q9" s="228">
        <v>45980</v>
      </c>
      <c r="R9" s="228">
        <v>45982</v>
      </c>
      <c r="S9" s="228">
        <v>45982</v>
      </c>
      <c r="T9" s="229" t="s">
        <v>517</v>
      </c>
      <c r="U9" s="230" t="s">
        <v>448</v>
      </c>
      <c r="V9" s="240" t="s">
        <v>458</v>
      </c>
      <c r="W9" s="229" t="s">
        <v>459</v>
      </c>
      <c r="X9" s="232" t="str">
        <f t="array" ref="X9">INDEX(系统货号!C:C,MATCH(1,(系统货号!A:A=G9)*(系统货号!B:B=V9),0))</f>
        <v>BS067D1</v>
      </c>
      <c r="Y9" s="230" t="s">
        <v>514</v>
      </c>
      <c r="Z9" s="229"/>
      <c r="AA9" s="229"/>
      <c r="AB9" s="224" t="s">
        <v>515</v>
      </c>
      <c r="AC9" s="224" t="s">
        <v>515</v>
      </c>
      <c r="AD9" s="234" t="s">
        <v>518</v>
      </c>
      <c r="AE9" s="235">
        <v>2.971</v>
      </c>
      <c r="AF9" s="236">
        <f t="shared" si="1"/>
        <v>7130.4</v>
      </c>
      <c r="AG9" s="236">
        <f t="shared" si="2"/>
        <v>55260.6</v>
      </c>
      <c r="AH9" s="237">
        <v>45968</v>
      </c>
      <c r="AI9" s="224" t="s">
        <v>454</v>
      </c>
      <c r="AJ9" s="224">
        <f>2244+132+24</f>
        <v>2400</v>
      </c>
      <c r="AK9" s="224">
        <f t="shared" si="3"/>
        <v>0</v>
      </c>
      <c r="AL9" s="224" t="s">
        <v>519</v>
      </c>
      <c r="AM9" s="224"/>
      <c r="AN9" s="238"/>
      <c r="AO9" s="238" t="s">
        <v>109</v>
      </c>
      <c r="AP9" s="239">
        <v>46028</v>
      </c>
      <c r="AQ9" s="239">
        <v>46027</v>
      </c>
    </row>
    <row r="10" s="212" customFormat="1" ht="25" customHeight="1" spans="1:43">
      <c r="A10" s="223">
        <v>45966</v>
      </c>
      <c r="B10" s="224" t="s">
        <v>114</v>
      </c>
      <c r="C10" s="225" t="s">
        <v>445</v>
      </c>
      <c r="D10" s="224" t="s">
        <v>522</v>
      </c>
      <c r="E10" s="224" t="s">
        <v>115</v>
      </c>
      <c r="F10" s="224"/>
      <c r="G10" s="224" t="s">
        <v>19</v>
      </c>
      <c r="H10" s="224" t="s">
        <v>116</v>
      </c>
      <c r="I10" s="226">
        <v>14004</v>
      </c>
      <c r="J10" s="226">
        <v>12</v>
      </c>
      <c r="K10" s="224">
        <f t="shared" si="0"/>
        <v>1167</v>
      </c>
      <c r="L10" s="223">
        <v>46021</v>
      </c>
      <c r="M10" s="223">
        <v>46021</v>
      </c>
      <c r="N10" s="223"/>
      <c r="O10" s="224"/>
      <c r="P10" s="227" t="s">
        <v>523</v>
      </c>
      <c r="Q10" s="228">
        <v>45982</v>
      </c>
      <c r="R10" s="228">
        <v>45994</v>
      </c>
      <c r="S10" s="228">
        <v>45994</v>
      </c>
      <c r="T10" s="229">
        <v>45982</v>
      </c>
      <c r="U10" s="230" t="s">
        <v>448</v>
      </c>
      <c r="V10" s="240" t="s">
        <v>524</v>
      </c>
      <c r="W10" s="229" t="s">
        <v>450</v>
      </c>
      <c r="X10" s="232" t="str">
        <f t="array" ref="X10">INDEX(系统货号!C:C,MATCH(1,(系统货号!A:A=G10)*(系统货号!B:B=V10),0))</f>
        <v>BS068D12-葡萄牙客版</v>
      </c>
      <c r="Y10" s="230" t="s">
        <v>520</v>
      </c>
      <c r="Z10" s="229"/>
      <c r="AA10" s="229"/>
      <c r="AB10" s="224" t="s">
        <v>450</v>
      </c>
      <c r="AC10" s="224" t="s">
        <v>525</v>
      </c>
      <c r="AD10" s="234" t="s">
        <v>526</v>
      </c>
      <c r="AE10" s="235">
        <v>1.469</v>
      </c>
      <c r="AF10" s="236">
        <f t="shared" si="1"/>
        <v>20571.876</v>
      </c>
      <c r="AG10" s="236">
        <f t="shared" si="2"/>
        <v>159432.039</v>
      </c>
      <c r="AH10" s="237">
        <v>45974</v>
      </c>
      <c r="AI10" s="224"/>
      <c r="AJ10" s="224"/>
      <c r="AK10" s="224"/>
      <c r="AL10" s="224"/>
      <c r="AM10" s="224"/>
      <c r="AN10" s="238"/>
      <c r="AO10" s="238" t="s">
        <v>117</v>
      </c>
      <c r="AP10" s="239">
        <v>46028</v>
      </c>
      <c r="AQ10" s="239">
        <v>46027</v>
      </c>
    </row>
    <row r="11" s="212" customFormat="1" ht="25" customHeight="1" spans="1:43">
      <c r="A11" s="223">
        <v>45966</v>
      </c>
      <c r="B11" s="224" t="s">
        <v>114</v>
      </c>
      <c r="C11" s="225" t="s">
        <v>445</v>
      </c>
      <c r="D11" s="224" t="s">
        <v>522</v>
      </c>
      <c r="E11" s="224" t="s">
        <v>115</v>
      </c>
      <c r="F11" s="224"/>
      <c r="G11" s="224" t="s">
        <v>46</v>
      </c>
      <c r="H11" s="224" t="s">
        <v>111</v>
      </c>
      <c r="I11" s="226">
        <v>6000</v>
      </c>
      <c r="J11" s="226">
        <v>6</v>
      </c>
      <c r="K11" s="224">
        <f t="shared" si="0"/>
        <v>1000</v>
      </c>
      <c r="L11" s="223">
        <v>46021</v>
      </c>
      <c r="M11" s="223">
        <v>46021</v>
      </c>
      <c r="N11" s="223"/>
      <c r="O11" s="224"/>
      <c r="P11" s="227" t="s">
        <v>523</v>
      </c>
      <c r="Q11" s="228">
        <v>45982</v>
      </c>
      <c r="R11" s="228">
        <v>45994</v>
      </c>
      <c r="S11" s="228">
        <v>45994</v>
      </c>
      <c r="T11" s="229">
        <v>45982</v>
      </c>
      <c r="U11" s="230" t="s">
        <v>448</v>
      </c>
      <c r="V11" s="240" t="s">
        <v>524</v>
      </c>
      <c r="W11" s="229" t="s">
        <v>450</v>
      </c>
      <c r="X11" s="232" t="str">
        <f t="array" ref="X11">INDEX(系统货号!C:C,MATCH(1,(系统货号!A:A=G11)*(系统货号!B:B=V11),0))</f>
        <v>BS074D6-葡萄牙客版</v>
      </c>
      <c r="Y11" s="230" t="s">
        <v>520</v>
      </c>
      <c r="Z11" s="229"/>
      <c r="AA11" s="229"/>
      <c r="AB11" s="224" t="s">
        <v>450</v>
      </c>
      <c r="AC11" s="224" t="s">
        <v>525</v>
      </c>
      <c r="AD11" s="234" t="s">
        <v>527</v>
      </c>
      <c r="AE11" s="235">
        <v>2.942</v>
      </c>
      <c r="AF11" s="236">
        <f t="shared" si="1"/>
        <v>17652</v>
      </c>
      <c r="AG11" s="236">
        <f t="shared" si="2"/>
        <v>136803</v>
      </c>
      <c r="AH11" s="237">
        <v>45971</v>
      </c>
      <c r="AI11" s="224" t="s">
        <v>454</v>
      </c>
      <c r="AJ11" s="224"/>
      <c r="AK11" s="224"/>
      <c r="AL11" s="224"/>
      <c r="AM11" s="224"/>
      <c r="AN11" s="238"/>
      <c r="AO11" s="238" t="s">
        <v>117</v>
      </c>
      <c r="AP11" s="239">
        <v>46028</v>
      </c>
      <c r="AQ11" s="239">
        <v>46027</v>
      </c>
    </row>
    <row r="12" s="212" customFormat="1" ht="25" customHeight="1" spans="1:43">
      <c r="A12" s="223">
        <v>45966</v>
      </c>
      <c r="B12" s="224" t="s">
        <v>114</v>
      </c>
      <c r="C12" s="225" t="s">
        <v>445</v>
      </c>
      <c r="D12" s="224" t="s">
        <v>522</v>
      </c>
      <c r="E12" s="224" t="s">
        <v>115</v>
      </c>
      <c r="F12" s="224"/>
      <c r="G12" s="224" t="s">
        <v>118</v>
      </c>
      <c r="H12" s="224" t="s">
        <v>119</v>
      </c>
      <c r="I12" s="226">
        <v>4002</v>
      </c>
      <c r="J12" s="226">
        <v>6</v>
      </c>
      <c r="K12" s="224">
        <f t="shared" si="0"/>
        <v>667</v>
      </c>
      <c r="L12" s="223">
        <v>46021</v>
      </c>
      <c r="M12" s="223">
        <v>46021</v>
      </c>
      <c r="N12" s="223"/>
      <c r="O12" s="224"/>
      <c r="P12" s="227" t="s">
        <v>523</v>
      </c>
      <c r="Q12" s="228">
        <v>45982</v>
      </c>
      <c r="R12" s="228">
        <v>45994</v>
      </c>
      <c r="S12" s="228">
        <v>45994</v>
      </c>
      <c r="T12" s="229">
        <v>45982</v>
      </c>
      <c r="U12" s="230" t="s">
        <v>448</v>
      </c>
      <c r="V12" s="240" t="s">
        <v>524</v>
      </c>
      <c r="W12" s="229" t="s">
        <v>488</v>
      </c>
      <c r="X12" s="232" t="str">
        <f t="array" ref="X12">INDEX(系统货号!C:C,MATCH(1,(系统货号!A:A=G12)*(系统货号!B:B=V12),0))</f>
        <v>CZ006D6-葡萄牙客版</v>
      </c>
      <c r="Y12" s="230" t="s">
        <v>520</v>
      </c>
      <c r="Z12" s="229"/>
      <c r="AA12" s="229"/>
      <c r="AB12" s="224" t="s">
        <v>525</v>
      </c>
      <c r="AC12" s="224" t="s">
        <v>525</v>
      </c>
      <c r="AD12" s="234" t="s">
        <v>528</v>
      </c>
      <c r="AE12" s="235">
        <v>3.855</v>
      </c>
      <c r="AF12" s="236">
        <f t="shared" si="1"/>
        <v>15427.71</v>
      </c>
      <c r="AG12" s="236">
        <f t="shared" si="2"/>
        <v>119564.7525</v>
      </c>
      <c r="AH12" s="237">
        <v>45971</v>
      </c>
      <c r="AI12" s="224" t="s">
        <v>454</v>
      </c>
      <c r="AJ12" s="224">
        <v>4002</v>
      </c>
      <c r="AK12" s="224">
        <f>AJ12-I12</f>
        <v>0</v>
      </c>
      <c r="AL12" s="224"/>
      <c r="AM12" s="224"/>
      <c r="AN12" s="238"/>
      <c r="AO12" s="238" t="s">
        <v>117</v>
      </c>
      <c r="AP12" s="239">
        <v>46028</v>
      </c>
      <c r="AQ12" s="239">
        <v>46027</v>
      </c>
    </row>
    <row r="13" s="212" customFormat="1" ht="25" customHeight="1" spans="1:43">
      <c r="A13" s="223">
        <v>45954</v>
      </c>
      <c r="B13" s="224" t="s">
        <v>88</v>
      </c>
      <c r="C13" s="225" t="s">
        <v>445</v>
      </c>
      <c r="D13" s="224" t="s">
        <v>87</v>
      </c>
      <c r="E13" s="224" t="s">
        <v>100</v>
      </c>
      <c r="F13" s="224">
        <v>950881614</v>
      </c>
      <c r="G13" s="224" t="s">
        <v>90</v>
      </c>
      <c r="H13" s="224" t="s">
        <v>91</v>
      </c>
      <c r="I13" s="226">
        <v>7968</v>
      </c>
      <c r="J13" s="226">
        <v>6</v>
      </c>
      <c r="K13" s="224">
        <f t="shared" si="0"/>
        <v>1328</v>
      </c>
      <c r="L13" s="223">
        <v>46008</v>
      </c>
      <c r="M13" s="223">
        <v>46008</v>
      </c>
      <c r="N13" s="223"/>
      <c r="O13" s="224"/>
      <c r="P13" s="227">
        <v>46034</v>
      </c>
      <c r="Q13" s="228"/>
      <c r="R13" s="228"/>
      <c r="S13" s="228"/>
      <c r="T13" s="229"/>
      <c r="U13" s="230"/>
      <c r="V13" s="240" t="s">
        <v>508</v>
      </c>
      <c r="W13" s="229" t="s">
        <v>509</v>
      </c>
      <c r="X13" s="232" t="str">
        <f t="array" ref="X13">INDEX(系统货号!C:C,MATCH(1,(系统货号!A:A=G13)*(系统货号!B:B=V13),0))</f>
        <v>CZ021D1-WM客版（印尼）</v>
      </c>
      <c r="Y13" s="230"/>
      <c r="Z13" s="229"/>
      <c r="AA13" s="229"/>
      <c r="AB13" s="224" t="s">
        <v>510</v>
      </c>
      <c r="AC13" s="224" t="s">
        <v>510</v>
      </c>
      <c r="AD13" s="234" t="s">
        <v>511</v>
      </c>
      <c r="AE13" s="235">
        <v>3.77</v>
      </c>
      <c r="AF13" s="236">
        <f t="shared" si="1"/>
        <v>30039.36</v>
      </c>
      <c r="AG13" s="236">
        <f t="shared" si="2"/>
        <v>232805.04</v>
      </c>
      <c r="AH13" s="237"/>
      <c r="AI13" s="224"/>
      <c r="AJ13" s="224"/>
      <c r="AK13" s="224"/>
      <c r="AL13" s="224"/>
      <c r="AM13" s="224"/>
      <c r="AN13" s="238"/>
      <c r="AO13" s="238" t="s">
        <v>101</v>
      </c>
      <c r="AP13" s="239">
        <v>46034</v>
      </c>
      <c r="AQ13" s="239">
        <v>46031</v>
      </c>
    </row>
    <row r="14" s="212" customFormat="1" ht="25" customHeight="1" spans="1:43">
      <c r="A14" s="223">
        <v>45954</v>
      </c>
      <c r="B14" s="224" t="s">
        <v>88</v>
      </c>
      <c r="C14" s="225" t="s">
        <v>445</v>
      </c>
      <c r="D14" s="224" t="s">
        <v>87</v>
      </c>
      <c r="E14" s="224" t="s">
        <v>100</v>
      </c>
      <c r="F14" s="224">
        <v>950881614</v>
      </c>
      <c r="G14" s="224" t="s">
        <v>94</v>
      </c>
      <c r="H14" s="224" t="s">
        <v>95</v>
      </c>
      <c r="I14" s="226">
        <v>3984</v>
      </c>
      <c r="J14" s="226">
        <v>6</v>
      </c>
      <c r="K14" s="224">
        <f t="shared" si="0"/>
        <v>664</v>
      </c>
      <c r="L14" s="223">
        <v>46008</v>
      </c>
      <c r="M14" s="223">
        <v>46008</v>
      </c>
      <c r="N14" s="223"/>
      <c r="O14" s="224"/>
      <c r="P14" s="227">
        <v>46034</v>
      </c>
      <c r="Q14" s="228"/>
      <c r="R14" s="228"/>
      <c r="S14" s="228"/>
      <c r="T14" s="229"/>
      <c r="U14" s="230"/>
      <c r="V14" s="240" t="s">
        <v>508</v>
      </c>
      <c r="W14" s="229" t="s">
        <v>509</v>
      </c>
      <c r="X14" s="232" t="str">
        <f t="array" ref="X14">INDEX(系统货号!C:C,MATCH(1,(系统货号!A:A=G14)*(系统货号!B:B=V14),0))</f>
        <v>CZ021D2-WM客版（印尼）</v>
      </c>
      <c r="Y14" s="230"/>
      <c r="Z14" s="229"/>
      <c r="AA14" s="229"/>
      <c r="AB14" s="224" t="s">
        <v>510</v>
      </c>
      <c r="AC14" s="224" t="s">
        <v>510</v>
      </c>
      <c r="AD14" s="234" t="s">
        <v>511</v>
      </c>
      <c r="AE14" s="235">
        <v>3.77</v>
      </c>
      <c r="AF14" s="236">
        <f t="shared" si="1"/>
        <v>15019.68</v>
      </c>
      <c r="AG14" s="236">
        <f t="shared" si="2"/>
        <v>116402.52</v>
      </c>
      <c r="AH14" s="237"/>
      <c r="AI14" s="224"/>
      <c r="AJ14" s="224"/>
      <c r="AK14" s="224"/>
      <c r="AL14" s="224"/>
      <c r="AM14" s="224"/>
      <c r="AN14" s="238"/>
      <c r="AO14" s="238" t="s">
        <v>101</v>
      </c>
      <c r="AP14" s="239">
        <v>46034</v>
      </c>
      <c r="AQ14" s="239">
        <v>46031</v>
      </c>
    </row>
    <row r="15" s="212" customFormat="1" ht="25" customHeight="1" spans="1:43">
      <c r="A15" s="223">
        <v>45954</v>
      </c>
      <c r="B15" s="224" t="s">
        <v>88</v>
      </c>
      <c r="C15" s="225" t="s">
        <v>445</v>
      </c>
      <c r="D15" s="224" t="s">
        <v>87</v>
      </c>
      <c r="E15" s="224" t="s">
        <v>100</v>
      </c>
      <c r="F15" s="224">
        <v>950881614</v>
      </c>
      <c r="G15" s="224" t="s">
        <v>96</v>
      </c>
      <c r="H15" s="224" t="s">
        <v>97</v>
      </c>
      <c r="I15" s="226">
        <v>1992</v>
      </c>
      <c r="J15" s="226">
        <v>6</v>
      </c>
      <c r="K15" s="224">
        <f t="shared" si="0"/>
        <v>332</v>
      </c>
      <c r="L15" s="223">
        <v>46008</v>
      </c>
      <c r="M15" s="223">
        <v>46008</v>
      </c>
      <c r="N15" s="223"/>
      <c r="O15" s="224"/>
      <c r="P15" s="227">
        <v>46034</v>
      </c>
      <c r="Q15" s="228"/>
      <c r="R15" s="228"/>
      <c r="S15" s="228"/>
      <c r="T15" s="229"/>
      <c r="U15" s="230"/>
      <c r="V15" s="240" t="s">
        <v>508</v>
      </c>
      <c r="W15" s="229" t="s">
        <v>509</v>
      </c>
      <c r="X15" s="232" t="str">
        <f t="array" ref="X15">INDEX(系统货号!C:C,MATCH(1,(系统货号!A:A=G15)*(系统货号!B:B=V15),0))</f>
        <v>CZ021D3-WM客版（印尼）</v>
      </c>
      <c r="Y15" s="230"/>
      <c r="Z15" s="229"/>
      <c r="AA15" s="229"/>
      <c r="AB15" s="224" t="s">
        <v>510</v>
      </c>
      <c r="AC15" s="224" t="s">
        <v>510</v>
      </c>
      <c r="AD15" s="234" t="s">
        <v>511</v>
      </c>
      <c r="AE15" s="235">
        <v>3.77</v>
      </c>
      <c r="AF15" s="236">
        <f t="shared" si="1"/>
        <v>7509.84</v>
      </c>
      <c r="AG15" s="236">
        <f t="shared" si="2"/>
        <v>58201.26</v>
      </c>
      <c r="AH15" s="237"/>
      <c r="AI15" s="224"/>
      <c r="AJ15" s="224"/>
      <c r="AK15" s="224"/>
      <c r="AL15" s="224"/>
      <c r="AM15" s="224"/>
      <c r="AN15" s="238"/>
      <c r="AO15" s="238" t="s">
        <v>101</v>
      </c>
      <c r="AP15" s="239">
        <v>46034</v>
      </c>
      <c r="AQ15" s="239">
        <v>46031</v>
      </c>
    </row>
    <row r="16" s="212" customFormat="1" ht="25" customHeight="1" spans="1:43">
      <c r="A16" s="223">
        <v>45954</v>
      </c>
      <c r="B16" s="224" t="s">
        <v>88</v>
      </c>
      <c r="C16" s="225" t="s">
        <v>445</v>
      </c>
      <c r="D16" s="224" t="s">
        <v>87</v>
      </c>
      <c r="E16" s="224" t="s">
        <v>100</v>
      </c>
      <c r="F16" s="224">
        <v>950881614</v>
      </c>
      <c r="G16" s="224" t="s">
        <v>98</v>
      </c>
      <c r="H16" s="224" t="s">
        <v>99</v>
      </c>
      <c r="I16" s="226">
        <v>1992</v>
      </c>
      <c r="J16" s="226">
        <v>6</v>
      </c>
      <c r="K16" s="224">
        <f t="shared" si="0"/>
        <v>332</v>
      </c>
      <c r="L16" s="223">
        <v>46008</v>
      </c>
      <c r="M16" s="223">
        <v>46008</v>
      </c>
      <c r="N16" s="223"/>
      <c r="O16" s="224"/>
      <c r="P16" s="227">
        <v>46034</v>
      </c>
      <c r="Q16" s="228"/>
      <c r="R16" s="228"/>
      <c r="S16" s="228"/>
      <c r="T16" s="229"/>
      <c r="U16" s="230"/>
      <c r="V16" s="240" t="s">
        <v>508</v>
      </c>
      <c r="W16" s="229" t="s">
        <v>509</v>
      </c>
      <c r="X16" s="232" t="str">
        <f t="array" ref="X16">INDEX(系统货号!C:C,MATCH(1,(系统货号!A:A=G16)*(系统货号!B:B=V16),0))</f>
        <v>CZ021D4-WM客版（印尼）</v>
      </c>
      <c r="Y16" s="230"/>
      <c r="Z16" s="229"/>
      <c r="AA16" s="229"/>
      <c r="AB16" s="224" t="s">
        <v>510</v>
      </c>
      <c r="AC16" s="224" t="s">
        <v>510</v>
      </c>
      <c r="AD16" s="234" t="s">
        <v>511</v>
      </c>
      <c r="AE16" s="235">
        <v>3.77</v>
      </c>
      <c r="AF16" s="236">
        <f t="shared" si="1"/>
        <v>7509.84</v>
      </c>
      <c r="AG16" s="236">
        <f t="shared" si="2"/>
        <v>58201.26</v>
      </c>
      <c r="AH16" s="237"/>
      <c r="AI16" s="224"/>
      <c r="AJ16" s="224"/>
      <c r="AK16" s="224"/>
      <c r="AL16" s="224"/>
      <c r="AM16" s="224"/>
      <c r="AN16" s="238"/>
      <c r="AO16" s="238" t="s">
        <v>101</v>
      </c>
      <c r="AP16" s="239">
        <v>46034</v>
      </c>
      <c r="AQ16" s="239">
        <v>46031</v>
      </c>
    </row>
    <row r="17" s="212" customFormat="1" ht="25" customHeight="1" spans="1:43">
      <c r="A17" s="223">
        <v>45954</v>
      </c>
      <c r="B17" s="224" t="s">
        <v>88</v>
      </c>
      <c r="C17" s="225" t="s">
        <v>445</v>
      </c>
      <c r="D17" s="224" t="s">
        <v>87</v>
      </c>
      <c r="E17" s="224" t="s">
        <v>102</v>
      </c>
      <c r="F17" s="224">
        <v>950881612</v>
      </c>
      <c r="G17" s="224" t="s">
        <v>90</v>
      </c>
      <c r="H17" s="224" t="s">
        <v>91</v>
      </c>
      <c r="I17" s="226">
        <v>5736</v>
      </c>
      <c r="J17" s="226">
        <v>6</v>
      </c>
      <c r="K17" s="224">
        <f t="shared" si="0"/>
        <v>956</v>
      </c>
      <c r="L17" s="223">
        <v>46008</v>
      </c>
      <c r="M17" s="223">
        <v>46008</v>
      </c>
      <c r="N17" s="223"/>
      <c r="O17" s="224"/>
      <c r="P17" s="227">
        <v>46035</v>
      </c>
      <c r="Q17" s="228"/>
      <c r="R17" s="228"/>
      <c r="S17" s="228"/>
      <c r="T17" s="229"/>
      <c r="U17" s="230"/>
      <c r="V17" s="240" t="s">
        <v>508</v>
      </c>
      <c r="W17" s="229" t="s">
        <v>509</v>
      </c>
      <c r="X17" s="232" t="str">
        <f t="array" ref="X17">INDEX(系统货号!C:C,MATCH(1,(系统货号!A:A=G17)*(系统货号!B:B=V17),0))</f>
        <v>CZ021D1-WM客版（印尼）</v>
      </c>
      <c r="Y17" s="230"/>
      <c r="Z17" s="229"/>
      <c r="AA17" s="229"/>
      <c r="AB17" s="224" t="s">
        <v>510</v>
      </c>
      <c r="AC17" s="224" t="s">
        <v>510</v>
      </c>
      <c r="AD17" s="234" t="s">
        <v>511</v>
      </c>
      <c r="AE17" s="235">
        <v>3.77</v>
      </c>
      <c r="AF17" s="236">
        <f t="shared" si="1"/>
        <v>21624.72</v>
      </c>
      <c r="AG17" s="236">
        <f t="shared" si="2"/>
        <v>167591.58</v>
      </c>
      <c r="AH17" s="237"/>
      <c r="AI17" s="224"/>
      <c r="AJ17" s="224"/>
      <c r="AK17" s="224"/>
      <c r="AL17" s="224"/>
      <c r="AM17" s="224"/>
      <c r="AN17" s="238"/>
      <c r="AO17" s="238" t="s">
        <v>103</v>
      </c>
      <c r="AP17" s="239">
        <v>46034</v>
      </c>
      <c r="AQ17" s="239">
        <v>46034</v>
      </c>
    </row>
    <row r="18" s="212" customFormat="1" ht="25" customHeight="1" spans="1:43">
      <c r="A18" s="223">
        <v>45954</v>
      </c>
      <c r="B18" s="224" t="s">
        <v>88</v>
      </c>
      <c r="C18" s="225" t="s">
        <v>445</v>
      </c>
      <c r="D18" s="224" t="s">
        <v>87</v>
      </c>
      <c r="E18" s="224" t="s">
        <v>102</v>
      </c>
      <c r="F18" s="224">
        <v>950881612</v>
      </c>
      <c r="G18" s="224" t="s">
        <v>94</v>
      </c>
      <c r="H18" s="224" t="s">
        <v>95</v>
      </c>
      <c r="I18" s="226">
        <v>2868</v>
      </c>
      <c r="J18" s="226">
        <v>6</v>
      </c>
      <c r="K18" s="224">
        <f t="shared" si="0"/>
        <v>478</v>
      </c>
      <c r="L18" s="223">
        <v>46008</v>
      </c>
      <c r="M18" s="223">
        <v>46008</v>
      </c>
      <c r="N18" s="223"/>
      <c r="O18" s="224"/>
      <c r="P18" s="227">
        <v>46035</v>
      </c>
      <c r="Q18" s="228"/>
      <c r="R18" s="228"/>
      <c r="S18" s="228"/>
      <c r="T18" s="229"/>
      <c r="U18" s="230"/>
      <c r="V18" s="240" t="s">
        <v>508</v>
      </c>
      <c r="W18" s="229" t="s">
        <v>509</v>
      </c>
      <c r="X18" s="232" t="str">
        <f t="array" ref="X18">INDEX(系统货号!C:C,MATCH(1,(系统货号!A:A=G18)*(系统货号!B:B=V18),0))</f>
        <v>CZ021D2-WM客版（印尼）</v>
      </c>
      <c r="Y18" s="230"/>
      <c r="Z18" s="229"/>
      <c r="AA18" s="229"/>
      <c r="AB18" s="224" t="s">
        <v>510</v>
      </c>
      <c r="AC18" s="224" t="s">
        <v>510</v>
      </c>
      <c r="AD18" s="234" t="s">
        <v>511</v>
      </c>
      <c r="AE18" s="235">
        <v>3.77</v>
      </c>
      <c r="AF18" s="236">
        <f t="shared" si="1"/>
        <v>10812.36</v>
      </c>
      <c r="AG18" s="236">
        <f t="shared" si="2"/>
        <v>83795.79</v>
      </c>
      <c r="AH18" s="237"/>
      <c r="AI18" s="224"/>
      <c r="AJ18" s="224"/>
      <c r="AK18" s="224"/>
      <c r="AL18" s="224"/>
      <c r="AM18" s="224"/>
      <c r="AN18" s="238"/>
      <c r="AO18" s="238" t="s">
        <v>103</v>
      </c>
      <c r="AP18" s="239">
        <v>46034</v>
      </c>
      <c r="AQ18" s="239">
        <v>46034</v>
      </c>
    </row>
    <row r="19" s="212" customFormat="1" ht="25" customHeight="1" spans="1:43">
      <c r="A19" s="223">
        <v>45954</v>
      </c>
      <c r="B19" s="224" t="s">
        <v>88</v>
      </c>
      <c r="C19" s="225" t="s">
        <v>445</v>
      </c>
      <c r="D19" s="224" t="s">
        <v>87</v>
      </c>
      <c r="E19" s="224" t="s">
        <v>102</v>
      </c>
      <c r="F19" s="224">
        <v>950881612</v>
      </c>
      <c r="G19" s="224" t="s">
        <v>96</v>
      </c>
      <c r="H19" s="224" t="s">
        <v>97</v>
      </c>
      <c r="I19" s="226">
        <v>1434</v>
      </c>
      <c r="J19" s="226">
        <v>6</v>
      </c>
      <c r="K19" s="224">
        <f t="shared" si="0"/>
        <v>239</v>
      </c>
      <c r="L19" s="223">
        <v>46008</v>
      </c>
      <c r="M19" s="223">
        <v>46008</v>
      </c>
      <c r="N19" s="223"/>
      <c r="O19" s="224"/>
      <c r="P19" s="227">
        <v>46035</v>
      </c>
      <c r="Q19" s="228"/>
      <c r="R19" s="228"/>
      <c r="S19" s="228"/>
      <c r="T19" s="229"/>
      <c r="U19" s="230"/>
      <c r="V19" s="240" t="s">
        <v>508</v>
      </c>
      <c r="W19" s="229" t="s">
        <v>509</v>
      </c>
      <c r="X19" s="232" t="str">
        <f t="array" ref="X19">INDEX(系统货号!C:C,MATCH(1,(系统货号!A:A=G19)*(系统货号!B:B=V19),0))</f>
        <v>CZ021D3-WM客版（印尼）</v>
      </c>
      <c r="Y19" s="230"/>
      <c r="Z19" s="229"/>
      <c r="AA19" s="229"/>
      <c r="AB19" s="224" t="s">
        <v>510</v>
      </c>
      <c r="AC19" s="224" t="s">
        <v>510</v>
      </c>
      <c r="AD19" s="234" t="s">
        <v>511</v>
      </c>
      <c r="AE19" s="235">
        <v>3.77</v>
      </c>
      <c r="AF19" s="236">
        <f t="shared" si="1"/>
        <v>5406.18</v>
      </c>
      <c r="AG19" s="236">
        <f t="shared" si="2"/>
        <v>41897.895</v>
      </c>
      <c r="AH19" s="237"/>
      <c r="AI19" s="224"/>
      <c r="AJ19" s="224"/>
      <c r="AK19" s="224"/>
      <c r="AL19" s="224"/>
      <c r="AM19" s="224"/>
      <c r="AN19" s="238"/>
      <c r="AO19" s="238" t="s">
        <v>103</v>
      </c>
      <c r="AP19" s="239">
        <v>46034</v>
      </c>
      <c r="AQ19" s="239">
        <v>46034</v>
      </c>
    </row>
    <row r="20" s="212" customFormat="1" ht="25" customHeight="1" spans="1:43">
      <c r="A20" s="223">
        <v>45954</v>
      </c>
      <c r="B20" s="224" t="s">
        <v>88</v>
      </c>
      <c r="C20" s="225" t="s">
        <v>445</v>
      </c>
      <c r="D20" s="224" t="s">
        <v>87</v>
      </c>
      <c r="E20" s="224" t="s">
        <v>102</v>
      </c>
      <c r="F20" s="224">
        <v>950881612</v>
      </c>
      <c r="G20" s="224" t="s">
        <v>98</v>
      </c>
      <c r="H20" s="224" t="s">
        <v>99</v>
      </c>
      <c r="I20" s="226">
        <v>1434</v>
      </c>
      <c r="J20" s="226">
        <v>6</v>
      </c>
      <c r="K20" s="224">
        <f t="shared" si="0"/>
        <v>239</v>
      </c>
      <c r="L20" s="223">
        <v>46008</v>
      </c>
      <c r="M20" s="223">
        <v>46008</v>
      </c>
      <c r="N20" s="223"/>
      <c r="O20" s="224"/>
      <c r="P20" s="227">
        <v>46035</v>
      </c>
      <c r="Q20" s="228"/>
      <c r="R20" s="228"/>
      <c r="S20" s="228"/>
      <c r="T20" s="229"/>
      <c r="U20" s="230"/>
      <c r="V20" s="240" t="s">
        <v>508</v>
      </c>
      <c r="W20" s="229" t="s">
        <v>509</v>
      </c>
      <c r="X20" s="232" t="str">
        <f t="array" ref="X20">INDEX(系统货号!C:C,MATCH(1,(系统货号!A:A=G20)*(系统货号!B:B=V20),0))</f>
        <v>CZ021D4-WM客版（印尼）</v>
      </c>
      <c r="Y20" s="230"/>
      <c r="Z20" s="229"/>
      <c r="AA20" s="229"/>
      <c r="AB20" s="224" t="s">
        <v>510</v>
      </c>
      <c r="AC20" s="224" t="s">
        <v>510</v>
      </c>
      <c r="AD20" s="234" t="s">
        <v>511</v>
      </c>
      <c r="AE20" s="235">
        <v>3.77</v>
      </c>
      <c r="AF20" s="236">
        <f t="shared" si="1"/>
        <v>5406.18</v>
      </c>
      <c r="AG20" s="236">
        <f t="shared" si="2"/>
        <v>41897.895</v>
      </c>
      <c r="AH20" s="237"/>
      <c r="AI20" s="224"/>
      <c r="AJ20" s="224"/>
      <c r="AK20" s="224"/>
      <c r="AL20" s="224"/>
      <c r="AM20" s="224"/>
      <c r="AN20" s="238"/>
      <c r="AO20" s="238" t="s">
        <v>103</v>
      </c>
      <c r="AP20" s="239">
        <v>46034</v>
      </c>
      <c r="AQ20" s="239">
        <v>46034</v>
      </c>
    </row>
    <row r="21" s="212" customFormat="1" ht="25" customHeight="1" spans="1:43">
      <c r="A21" s="223">
        <v>46015</v>
      </c>
      <c r="B21" s="224" t="s">
        <v>79</v>
      </c>
      <c r="C21" s="225" t="s">
        <v>445</v>
      </c>
      <c r="D21" s="224" t="s">
        <v>78</v>
      </c>
      <c r="E21" s="224" t="s">
        <v>191</v>
      </c>
      <c r="F21" s="224"/>
      <c r="G21" s="224" t="s">
        <v>49</v>
      </c>
      <c r="H21" s="224" t="s">
        <v>144</v>
      </c>
      <c r="I21" s="226">
        <v>712</v>
      </c>
      <c r="J21" s="226">
        <v>4</v>
      </c>
      <c r="K21" s="224">
        <f t="shared" si="0"/>
        <v>178</v>
      </c>
      <c r="L21" s="223">
        <v>46045</v>
      </c>
      <c r="M21" s="223">
        <v>46045</v>
      </c>
      <c r="N21" s="223">
        <v>46048</v>
      </c>
      <c r="O21" s="224"/>
      <c r="P21" s="227" t="s">
        <v>529</v>
      </c>
      <c r="Q21" s="229">
        <v>46015</v>
      </c>
      <c r="R21" s="229">
        <v>46016</v>
      </c>
      <c r="S21" s="229">
        <v>46017</v>
      </c>
      <c r="T21" s="229">
        <v>46015</v>
      </c>
      <c r="U21" s="230" t="s">
        <v>448</v>
      </c>
      <c r="V21" s="229" t="s">
        <v>449</v>
      </c>
      <c r="W21" s="229" t="s">
        <v>450</v>
      </c>
      <c r="X21" s="232" t="str">
        <f t="array" ref="X21">INDEX(系统货号!C:C,MATCH(1,(系统货号!A:A=G21)*(系统货号!B:B=V21),0))</f>
        <v>PF001A1-KMART</v>
      </c>
      <c r="Y21" s="230" t="s">
        <v>451</v>
      </c>
      <c r="Z21" s="229"/>
      <c r="AA21" s="229"/>
      <c r="AB21" s="224" t="s">
        <v>450</v>
      </c>
      <c r="AC21" s="241" t="s">
        <v>530</v>
      </c>
      <c r="AD21" s="234" t="s">
        <v>531</v>
      </c>
      <c r="AE21" s="235">
        <v>10.262</v>
      </c>
      <c r="AF21" s="236">
        <f t="shared" si="1"/>
        <v>7306.544</v>
      </c>
      <c r="AG21" s="236">
        <f t="shared" si="2"/>
        <v>56625.716</v>
      </c>
      <c r="AH21" s="237">
        <v>46020</v>
      </c>
      <c r="AI21" s="224" t="s">
        <v>454</v>
      </c>
      <c r="AJ21" s="224">
        <f>648+64</f>
        <v>712</v>
      </c>
      <c r="AK21" s="224">
        <f>AJ21-I21</f>
        <v>0</v>
      </c>
      <c r="AL21" s="224"/>
      <c r="AM21" s="224"/>
      <c r="AN21" s="238"/>
      <c r="AO21" s="238" t="s">
        <v>192</v>
      </c>
      <c r="AP21" s="239">
        <v>46052</v>
      </c>
      <c r="AQ21" s="239">
        <v>46050</v>
      </c>
    </row>
    <row r="22" s="212" customFormat="1" ht="25" customHeight="1" spans="1:43">
      <c r="A22" s="223">
        <v>46015</v>
      </c>
      <c r="B22" s="224" t="s">
        <v>84</v>
      </c>
      <c r="C22" s="225" t="s">
        <v>445</v>
      </c>
      <c r="D22" s="224" t="s">
        <v>78</v>
      </c>
      <c r="E22" s="224" t="s">
        <v>193</v>
      </c>
      <c r="F22" s="224"/>
      <c r="G22" s="224" t="s">
        <v>49</v>
      </c>
      <c r="H22" s="224" t="s">
        <v>144</v>
      </c>
      <c r="I22" s="226">
        <v>80</v>
      </c>
      <c r="J22" s="226">
        <v>4</v>
      </c>
      <c r="K22" s="224">
        <f t="shared" si="0"/>
        <v>20</v>
      </c>
      <c r="L22" s="223">
        <v>46045</v>
      </c>
      <c r="M22" s="223">
        <v>46045</v>
      </c>
      <c r="N22" s="223">
        <v>46048</v>
      </c>
      <c r="O22" s="224"/>
      <c r="P22" s="227" t="s">
        <v>529</v>
      </c>
      <c r="Q22" s="229">
        <v>46015</v>
      </c>
      <c r="R22" s="229">
        <v>46016</v>
      </c>
      <c r="S22" s="229">
        <v>46017</v>
      </c>
      <c r="T22" s="229">
        <v>46015</v>
      </c>
      <c r="U22" s="230" t="s">
        <v>448</v>
      </c>
      <c r="V22" s="229" t="s">
        <v>449</v>
      </c>
      <c r="W22" s="229" t="s">
        <v>450</v>
      </c>
      <c r="X22" s="232" t="str">
        <f t="array" ref="X22">INDEX(系统货号!C:C,MATCH(1,(系统货号!A:A=G22)*(系统货号!B:B=V22),0))</f>
        <v>PF001A1-KMART</v>
      </c>
      <c r="Y22" s="230" t="s">
        <v>451</v>
      </c>
      <c r="Z22" s="229"/>
      <c r="AA22" s="229"/>
      <c r="AB22" s="224" t="s">
        <v>450</v>
      </c>
      <c r="AC22" s="241" t="s">
        <v>530</v>
      </c>
      <c r="AD22" s="234" t="s">
        <v>531</v>
      </c>
      <c r="AE22" s="235">
        <v>10.262</v>
      </c>
      <c r="AF22" s="236">
        <f t="shared" si="1"/>
        <v>820.96</v>
      </c>
      <c r="AG22" s="236">
        <f t="shared" si="2"/>
        <v>6362.44</v>
      </c>
      <c r="AH22" s="237">
        <v>46020</v>
      </c>
      <c r="AI22" s="224" t="s">
        <v>454</v>
      </c>
      <c r="AJ22" s="224">
        <v>80</v>
      </c>
      <c r="AK22" s="224">
        <f>AJ22-I22</f>
        <v>0</v>
      </c>
      <c r="AL22" s="224"/>
      <c r="AM22" s="224"/>
      <c r="AN22" s="238"/>
      <c r="AO22" s="238" t="s">
        <v>194</v>
      </c>
      <c r="AP22" s="239">
        <v>46052</v>
      </c>
      <c r="AQ22" s="239">
        <v>46050</v>
      </c>
    </row>
    <row r="23" s="212" customFormat="1" ht="25" customHeight="1" spans="1:43">
      <c r="A23" s="223">
        <v>45968</v>
      </c>
      <c r="B23" s="224" t="s">
        <v>79</v>
      </c>
      <c r="C23" s="225" t="s">
        <v>445</v>
      </c>
      <c r="D23" s="224" t="s">
        <v>78</v>
      </c>
      <c r="E23" s="224" t="s">
        <v>120</v>
      </c>
      <c r="F23" s="224"/>
      <c r="G23" s="224" t="s">
        <v>12</v>
      </c>
      <c r="H23" s="224" t="s">
        <v>121</v>
      </c>
      <c r="I23" s="226">
        <v>1686</v>
      </c>
      <c r="J23" s="226">
        <v>6</v>
      </c>
      <c r="K23" s="224">
        <f t="shared" si="0"/>
        <v>281</v>
      </c>
      <c r="L23" s="223">
        <v>46044</v>
      </c>
      <c r="M23" s="223">
        <v>46044</v>
      </c>
      <c r="N23" s="223">
        <v>46048</v>
      </c>
      <c r="O23" s="224"/>
      <c r="P23" s="227"/>
      <c r="Q23" s="228">
        <v>46010</v>
      </c>
      <c r="R23" s="228">
        <v>46010</v>
      </c>
      <c r="S23" s="228">
        <v>46017</v>
      </c>
      <c r="T23" s="229">
        <v>46010</v>
      </c>
      <c r="U23" s="230" t="s">
        <v>448</v>
      </c>
      <c r="V23" s="240" t="s">
        <v>532</v>
      </c>
      <c r="W23" s="229" t="s">
        <v>450</v>
      </c>
      <c r="X23" s="232" t="str">
        <f t="array" ref="X23">INDEX(系统货号!C:C,MATCH(1,(系统货号!A:A=G23)*(系统货号!B:B=V23),0))</f>
        <v>MZ002D6-标准KMART版</v>
      </c>
      <c r="Y23" s="230" t="s">
        <v>533</v>
      </c>
      <c r="Z23" s="229"/>
      <c r="AA23" s="229"/>
      <c r="AB23" s="224" t="s">
        <v>534</v>
      </c>
      <c r="AC23" s="224" t="s">
        <v>534</v>
      </c>
      <c r="AD23" s="234" t="s">
        <v>535</v>
      </c>
      <c r="AE23" s="235">
        <v>3.958</v>
      </c>
      <c r="AF23" s="236">
        <f t="shared" si="1"/>
        <v>6673.188</v>
      </c>
      <c r="AG23" s="236">
        <f t="shared" si="2"/>
        <v>51717.207</v>
      </c>
      <c r="AH23" s="237">
        <v>45968</v>
      </c>
      <c r="AI23" s="224"/>
      <c r="AJ23" s="224"/>
      <c r="AK23" s="224"/>
      <c r="AL23" s="224"/>
      <c r="AM23" s="224"/>
      <c r="AN23" s="238"/>
      <c r="AO23" s="238" t="s">
        <v>122</v>
      </c>
      <c r="AP23" s="242">
        <v>46058</v>
      </c>
      <c r="AQ23" s="242">
        <v>46057</v>
      </c>
    </row>
    <row r="24" s="212" customFormat="1" ht="25" customHeight="1" spans="1:43">
      <c r="A24" s="223">
        <v>45968</v>
      </c>
      <c r="B24" s="224" t="s">
        <v>84</v>
      </c>
      <c r="C24" s="225" t="s">
        <v>445</v>
      </c>
      <c r="D24" s="224" t="s">
        <v>78</v>
      </c>
      <c r="E24" s="224" t="s">
        <v>123</v>
      </c>
      <c r="F24" s="224"/>
      <c r="G24" s="224" t="s">
        <v>12</v>
      </c>
      <c r="H24" s="224" t="s">
        <v>121</v>
      </c>
      <c r="I24" s="226">
        <v>114</v>
      </c>
      <c r="J24" s="226">
        <v>6</v>
      </c>
      <c r="K24" s="224">
        <f t="shared" si="0"/>
        <v>19</v>
      </c>
      <c r="L24" s="223">
        <v>46044</v>
      </c>
      <c r="M24" s="223">
        <v>46044</v>
      </c>
      <c r="N24" s="223">
        <v>46048</v>
      </c>
      <c r="O24" s="224"/>
      <c r="P24" s="227"/>
      <c r="Q24" s="228">
        <v>46010</v>
      </c>
      <c r="R24" s="228">
        <v>46010</v>
      </c>
      <c r="S24" s="228">
        <v>46017</v>
      </c>
      <c r="T24" s="229">
        <v>46010</v>
      </c>
      <c r="U24" s="230" t="s">
        <v>448</v>
      </c>
      <c r="V24" s="240" t="s">
        <v>532</v>
      </c>
      <c r="W24" s="229" t="s">
        <v>450</v>
      </c>
      <c r="X24" s="232" t="str">
        <f t="array" ref="X24">INDEX(系统货号!C:C,MATCH(1,(系统货号!A:A=G24)*(系统货号!B:B=V24),0))</f>
        <v>MZ002D6-标准KMART版</v>
      </c>
      <c r="Y24" s="230" t="s">
        <v>533</v>
      </c>
      <c r="Z24" s="229"/>
      <c r="AA24" s="229"/>
      <c r="AB24" s="224" t="s">
        <v>534</v>
      </c>
      <c r="AC24" s="224" t="s">
        <v>534</v>
      </c>
      <c r="AD24" s="234" t="s">
        <v>535</v>
      </c>
      <c r="AE24" s="235">
        <v>3.958</v>
      </c>
      <c r="AF24" s="236">
        <f t="shared" si="1"/>
        <v>451.212</v>
      </c>
      <c r="AG24" s="236">
        <f t="shared" si="2"/>
        <v>3496.893</v>
      </c>
      <c r="AH24" s="237">
        <v>45968</v>
      </c>
      <c r="AI24" s="224"/>
      <c r="AJ24" s="224"/>
      <c r="AK24" s="224"/>
      <c r="AL24" s="224"/>
      <c r="AM24" s="224"/>
      <c r="AN24" s="238"/>
      <c r="AO24" s="238" t="s">
        <v>124</v>
      </c>
      <c r="AP24" s="243">
        <v>46058</v>
      </c>
      <c r="AQ24" s="243">
        <v>46057</v>
      </c>
    </row>
    <row r="25" s="212" customFormat="1" ht="25" customHeight="1" spans="1:43">
      <c r="A25" s="223">
        <v>46008</v>
      </c>
      <c r="B25" s="224" t="s">
        <v>155</v>
      </c>
      <c r="C25" s="225" t="s">
        <v>445</v>
      </c>
      <c r="D25" s="224" t="s">
        <v>167</v>
      </c>
      <c r="E25" s="224" t="s">
        <v>168</v>
      </c>
      <c r="F25" s="224"/>
      <c r="G25" s="224" t="s">
        <v>165</v>
      </c>
      <c r="H25" s="224" t="s">
        <v>166</v>
      </c>
      <c r="I25" s="226">
        <v>3948</v>
      </c>
      <c r="J25" s="226">
        <v>6</v>
      </c>
      <c r="K25" s="224">
        <f t="shared" si="0"/>
        <v>658</v>
      </c>
      <c r="L25" s="223">
        <v>46045</v>
      </c>
      <c r="M25" s="223">
        <v>46045</v>
      </c>
      <c r="N25" s="223"/>
      <c r="O25" s="224" t="s">
        <v>446</v>
      </c>
      <c r="P25" s="227">
        <v>46058</v>
      </c>
      <c r="Q25" s="228">
        <v>46008</v>
      </c>
      <c r="R25" s="228">
        <v>46009</v>
      </c>
      <c r="S25" s="228">
        <v>46010</v>
      </c>
      <c r="T25" s="229">
        <v>46386</v>
      </c>
      <c r="U25" s="230" t="s">
        <v>448</v>
      </c>
      <c r="V25" s="240" t="s">
        <v>536</v>
      </c>
      <c r="W25" s="229" t="s">
        <v>450</v>
      </c>
      <c r="X25" s="232" t="str">
        <f t="array" ref="X25">INDEX(系统货号!C:C,MATCH(1,(系统货号!A:A=G25)*(系统货号!B:B=V25),0))</f>
        <v>ZC006A1-克罗地亚客版</v>
      </c>
      <c r="Y25" s="230" t="s">
        <v>520</v>
      </c>
      <c r="Z25" s="229"/>
      <c r="AA25" s="229"/>
      <c r="AB25" s="224" t="s">
        <v>450</v>
      </c>
      <c r="AC25" s="224" t="s">
        <v>537</v>
      </c>
      <c r="AD25" s="234" t="s">
        <v>538</v>
      </c>
      <c r="AE25" s="235">
        <v>1.15</v>
      </c>
      <c r="AF25" s="236">
        <f t="shared" si="1"/>
        <v>4540.2</v>
      </c>
      <c r="AG25" s="236">
        <f t="shared" si="2"/>
        <v>35186.55</v>
      </c>
      <c r="AH25" s="237">
        <v>46008</v>
      </c>
      <c r="AI25" s="224"/>
      <c r="AJ25" s="224"/>
      <c r="AK25" s="224"/>
      <c r="AL25" s="224"/>
      <c r="AM25" s="224"/>
      <c r="AN25" s="238"/>
      <c r="AO25" s="238" t="s">
        <v>169</v>
      </c>
      <c r="AP25" s="243">
        <v>46058</v>
      </c>
      <c r="AQ25" s="243">
        <v>46057</v>
      </c>
    </row>
    <row r="26" s="212" customFormat="1" ht="25" customHeight="1" spans="1:43">
      <c r="A26" s="223">
        <v>45994</v>
      </c>
      <c r="B26" s="224" t="s">
        <v>150</v>
      </c>
      <c r="C26" s="225" t="s">
        <v>445</v>
      </c>
      <c r="D26" s="224" t="s">
        <v>149</v>
      </c>
      <c r="E26" s="224" t="s">
        <v>151</v>
      </c>
      <c r="F26" s="224"/>
      <c r="G26" s="224" t="s">
        <v>67</v>
      </c>
      <c r="H26" s="224" t="s">
        <v>152</v>
      </c>
      <c r="I26" s="226">
        <v>5004</v>
      </c>
      <c r="J26" s="226">
        <v>6</v>
      </c>
      <c r="K26" s="224">
        <f t="shared" si="0"/>
        <v>834</v>
      </c>
      <c r="L26" s="223">
        <v>46052</v>
      </c>
      <c r="M26" s="223">
        <v>46052</v>
      </c>
      <c r="N26" s="223" t="s">
        <v>539</v>
      </c>
      <c r="O26" s="224" t="s">
        <v>446</v>
      </c>
      <c r="P26" s="227">
        <v>46059</v>
      </c>
      <c r="Q26" s="228">
        <v>46008</v>
      </c>
      <c r="R26" s="228">
        <v>46009</v>
      </c>
      <c r="S26" s="228">
        <v>46010</v>
      </c>
      <c r="T26" s="229">
        <v>46008</v>
      </c>
      <c r="U26" s="230" t="s">
        <v>448</v>
      </c>
      <c r="V26" s="240" t="s">
        <v>540</v>
      </c>
      <c r="W26" s="229" t="s">
        <v>488</v>
      </c>
      <c r="X26" s="232" t="str">
        <f t="array" ref="X26">INDEX(系统货号!C:C,MATCH(1,(系统货号!A:A=G26)*(系统货号!B:B=V26),0))</f>
        <v>CZ018D6-加拿大客版</v>
      </c>
      <c r="Y26" s="230" t="s">
        <v>520</v>
      </c>
      <c r="Z26" s="229"/>
      <c r="AA26" s="229"/>
      <c r="AB26" s="224" t="s">
        <v>541</v>
      </c>
      <c r="AC26" s="224" t="s">
        <v>541</v>
      </c>
      <c r="AD26" s="234" t="s">
        <v>542</v>
      </c>
      <c r="AE26" s="235">
        <v>3.905</v>
      </c>
      <c r="AF26" s="236">
        <f t="shared" si="1"/>
        <v>19540.62</v>
      </c>
      <c r="AG26" s="236">
        <f t="shared" si="2"/>
        <v>151439.805</v>
      </c>
      <c r="AH26" s="237">
        <v>46000</v>
      </c>
      <c r="AI26" s="224" t="s">
        <v>454</v>
      </c>
      <c r="AJ26" s="224">
        <f>2280+2706</f>
        <v>4986</v>
      </c>
      <c r="AK26" s="224">
        <f>AJ26-I26</f>
        <v>-18</v>
      </c>
      <c r="AL26" s="224"/>
      <c r="AM26" s="224"/>
      <c r="AN26" s="238"/>
      <c r="AO26" s="238" t="s">
        <v>153</v>
      </c>
      <c r="AP26" s="244">
        <v>46059</v>
      </c>
      <c r="AQ26" s="244">
        <v>46057</v>
      </c>
    </row>
    <row r="27" s="212" customFormat="1" ht="25" customHeight="1" spans="1:43">
      <c r="A27" s="223">
        <v>45974</v>
      </c>
      <c r="B27" s="224" t="s">
        <v>126</v>
      </c>
      <c r="C27" s="225" t="s">
        <v>445</v>
      </c>
      <c r="D27" s="224" t="s">
        <v>125</v>
      </c>
      <c r="E27" s="224" t="s">
        <v>127</v>
      </c>
      <c r="F27" s="224"/>
      <c r="G27" s="224" t="s">
        <v>10</v>
      </c>
      <c r="H27" s="224" t="s">
        <v>128</v>
      </c>
      <c r="I27" s="226">
        <v>4110</v>
      </c>
      <c r="J27" s="226">
        <v>6</v>
      </c>
      <c r="K27" s="224">
        <f t="shared" si="0"/>
        <v>685</v>
      </c>
      <c r="L27" s="223">
        <v>46053</v>
      </c>
      <c r="M27" s="223">
        <v>46053</v>
      </c>
      <c r="N27" s="223"/>
      <c r="O27" s="224"/>
      <c r="P27" s="227">
        <v>46059</v>
      </c>
      <c r="Q27" s="228">
        <v>46008</v>
      </c>
      <c r="R27" s="228">
        <v>46010</v>
      </c>
      <c r="S27" s="228">
        <v>46387</v>
      </c>
      <c r="T27" s="229">
        <v>46001</v>
      </c>
      <c r="U27" s="230" t="s">
        <v>448</v>
      </c>
      <c r="V27" s="240" t="s">
        <v>543</v>
      </c>
      <c r="W27" s="229" t="s">
        <v>459</v>
      </c>
      <c r="X27" s="232" t="str">
        <f t="array" ref="X27">INDEX(系统货号!C:C,MATCH(1,(系统货号!A:A=G27)*(系统货号!B:B=V27),0))</f>
        <v>BS082D6-以色列客版</v>
      </c>
      <c r="Y27" s="230" t="s">
        <v>520</v>
      </c>
      <c r="Z27" s="229"/>
      <c r="AA27" s="229"/>
      <c r="AB27" s="224" t="s">
        <v>544</v>
      </c>
      <c r="AC27" s="224" t="s">
        <v>544</v>
      </c>
      <c r="AD27" s="234" t="s">
        <v>545</v>
      </c>
      <c r="AE27" s="235">
        <v>3.283</v>
      </c>
      <c r="AF27" s="236">
        <f t="shared" si="1"/>
        <v>13493.13</v>
      </c>
      <c r="AG27" s="236">
        <f t="shared" si="2"/>
        <v>104571.7575</v>
      </c>
      <c r="AH27" s="237">
        <v>45979</v>
      </c>
      <c r="AI27" s="224" t="s">
        <v>454</v>
      </c>
      <c r="AJ27" s="224">
        <f>3594+516</f>
        <v>4110</v>
      </c>
      <c r="AK27" s="224">
        <f>AJ27-I27</f>
        <v>0</v>
      </c>
      <c r="AL27" s="224" t="s">
        <v>519</v>
      </c>
      <c r="AM27" s="224"/>
      <c r="AN27" s="238"/>
      <c r="AO27" s="238" t="s">
        <v>129</v>
      </c>
      <c r="AP27" s="239">
        <v>46059</v>
      </c>
      <c r="AQ27" s="239">
        <v>46059</v>
      </c>
    </row>
    <row r="28" s="212" customFormat="1" ht="25" customHeight="1" spans="1:43">
      <c r="A28" s="223">
        <v>45974</v>
      </c>
      <c r="B28" s="224" t="s">
        <v>126</v>
      </c>
      <c r="C28" s="225" t="s">
        <v>445</v>
      </c>
      <c r="D28" s="224" t="s">
        <v>125</v>
      </c>
      <c r="E28" s="224" t="s">
        <v>127</v>
      </c>
      <c r="F28" s="224"/>
      <c r="G28" s="224" t="s">
        <v>27</v>
      </c>
      <c r="H28" s="224" t="s">
        <v>110</v>
      </c>
      <c r="I28" s="226">
        <v>4110</v>
      </c>
      <c r="J28" s="226">
        <v>6</v>
      </c>
      <c r="K28" s="224">
        <f t="shared" si="0"/>
        <v>685</v>
      </c>
      <c r="L28" s="223">
        <v>46053</v>
      </c>
      <c r="M28" s="223">
        <v>46053</v>
      </c>
      <c r="N28" s="223"/>
      <c r="O28" s="224"/>
      <c r="P28" s="227">
        <v>46059</v>
      </c>
      <c r="Q28" s="228">
        <v>46008</v>
      </c>
      <c r="R28" s="228">
        <v>46010</v>
      </c>
      <c r="S28" s="228">
        <v>46387</v>
      </c>
      <c r="T28" s="229">
        <v>46001</v>
      </c>
      <c r="U28" s="230" t="s">
        <v>448</v>
      </c>
      <c r="V28" s="240" t="s">
        <v>543</v>
      </c>
      <c r="W28" s="229" t="s">
        <v>459</v>
      </c>
      <c r="X28" s="232" t="str">
        <f t="array" ref="X28">INDEX(系统货号!C:C,MATCH(1,(系统货号!A:A=G28)*(系统货号!B:B=V28),0))</f>
        <v>BS065D6-以色列客版</v>
      </c>
      <c r="Y28" s="230" t="s">
        <v>520</v>
      </c>
      <c r="Z28" s="229"/>
      <c r="AA28" s="229"/>
      <c r="AB28" s="224" t="s">
        <v>544</v>
      </c>
      <c r="AC28" s="224" t="s">
        <v>544</v>
      </c>
      <c r="AD28" s="234" t="s">
        <v>545</v>
      </c>
      <c r="AE28" s="235">
        <v>2.969</v>
      </c>
      <c r="AF28" s="236">
        <f t="shared" si="1"/>
        <v>12202.59</v>
      </c>
      <c r="AG28" s="236">
        <f t="shared" si="2"/>
        <v>94570.0725</v>
      </c>
      <c r="AH28" s="237">
        <v>45979</v>
      </c>
      <c r="AI28" s="224" t="s">
        <v>454</v>
      </c>
      <c r="AJ28" s="224">
        <f>4092+18</f>
        <v>4110</v>
      </c>
      <c r="AK28" s="224">
        <f>AJ28-I28</f>
        <v>0</v>
      </c>
      <c r="AL28" s="224" t="s">
        <v>519</v>
      </c>
      <c r="AM28" s="224"/>
      <c r="AN28" s="238"/>
      <c r="AO28" s="238" t="s">
        <v>129</v>
      </c>
      <c r="AP28" s="239">
        <v>46059</v>
      </c>
      <c r="AQ28" s="239">
        <v>46059</v>
      </c>
    </row>
    <row r="29" s="212" customFormat="1" ht="25" customHeight="1" spans="1:43">
      <c r="A29" s="223">
        <v>45983</v>
      </c>
      <c r="B29" s="224" t="s">
        <v>131</v>
      </c>
      <c r="C29" s="225" t="s">
        <v>445</v>
      </c>
      <c r="D29" s="224" t="s">
        <v>130</v>
      </c>
      <c r="E29" s="224" t="s">
        <v>132</v>
      </c>
      <c r="F29" s="224"/>
      <c r="G29" s="224" t="s">
        <v>133</v>
      </c>
      <c r="H29" s="224" t="s">
        <v>546</v>
      </c>
      <c r="I29" s="226">
        <v>120</v>
      </c>
      <c r="J29" s="226">
        <v>1</v>
      </c>
      <c r="K29" s="224">
        <f t="shared" si="0"/>
        <v>120</v>
      </c>
      <c r="L29" s="223">
        <v>46053</v>
      </c>
      <c r="M29" s="223">
        <v>46053</v>
      </c>
      <c r="N29" s="223" t="s">
        <v>547</v>
      </c>
      <c r="O29" s="224"/>
      <c r="P29" s="227">
        <v>46062</v>
      </c>
      <c r="Q29" s="228">
        <v>46008</v>
      </c>
      <c r="R29" s="228">
        <v>46013</v>
      </c>
      <c r="S29" s="228">
        <v>46386</v>
      </c>
      <c r="T29" s="229">
        <v>45988</v>
      </c>
      <c r="U29" s="230" t="s">
        <v>448</v>
      </c>
      <c r="V29" s="240" t="s">
        <v>548</v>
      </c>
      <c r="W29" s="229" t="s">
        <v>488</v>
      </c>
      <c r="X29" s="232" t="str">
        <f t="array" ref="X29">INDEX(系统货号!C:C,MATCH(1,(系统货号!A:A=G29)*(系统货号!B:B=V29),0))</f>
        <v>CZ031E1</v>
      </c>
      <c r="Y29" s="230" t="s">
        <v>520</v>
      </c>
      <c r="Z29" s="229"/>
      <c r="AA29" s="229"/>
      <c r="AB29" s="224">
        <v>250975</v>
      </c>
      <c r="AC29" s="224">
        <v>250975</v>
      </c>
      <c r="AD29" s="234" t="s">
        <v>549</v>
      </c>
      <c r="AE29" s="235">
        <v>1389.696</v>
      </c>
      <c r="AF29" s="236">
        <f t="shared" si="1"/>
        <v>166763.52</v>
      </c>
      <c r="AG29" s="236">
        <f t="shared" si="2"/>
        <v>1292417.28</v>
      </c>
      <c r="AH29" s="237">
        <v>45988</v>
      </c>
      <c r="AI29" s="224" t="s">
        <v>454</v>
      </c>
      <c r="AJ29" s="224">
        <f>7776+11136+360+4632</f>
        <v>23904</v>
      </c>
      <c r="AK29" s="224">
        <f>AJ29-I29*336</f>
        <v>-16416</v>
      </c>
      <c r="AL29" s="224" t="s">
        <v>519</v>
      </c>
      <c r="AM29" s="224"/>
      <c r="AN29" s="238"/>
      <c r="AO29" s="238" t="s">
        <v>134</v>
      </c>
      <c r="AP29" s="239">
        <v>46077</v>
      </c>
      <c r="AQ29" s="239">
        <v>46062</v>
      </c>
    </row>
    <row r="30" s="212" customFormat="1" ht="25" customHeight="1" spans="1:43">
      <c r="A30" s="223">
        <v>46006</v>
      </c>
      <c r="B30" s="224" t="s">
        <v>155</v>
      </c>
      <c r="C30" s="225" t="s">
        <v>445</v>
      </c>
      <c r="D30" s="224" t="s">
        <v>154</v>
      </c>
      <c r="E30" s="224" t="s">
        <v>156</v>
      </c>
      <c r="F30" s="224"/>
      <c r="G30" s="224" t="s">
        <v>107</v>
      </c>
      <c r="H30" s="224" t="s">
        <v>108</v>
      </c>
      <c r="I30" s="226">
        <v>4752</v>
      </c>
      <c r="J30" s="226">
        <v>12</v>
      </c>
      <c r="K30" s="224">
        <f t="shared" si="0"/>
        <v>396</v>
      </c>
      <c r="L30" s="223">
        <v>46056</v>
      </c>
      <c r="M30" s="223">
        <v>46056</v>
      </c>
      <c r="N30" s="223"/>
      <c r="O30" s="224"/>
      <c r="P30" s="227">
        <v>46062</v>
      </c>
      <c r="Q30" s="228">
        <v>46008</v>
      </c>
      <c r="R30" s="228">
        <v>46009</v>
      </c>
      <c r="S30" s="228">
        <v>46010</v>
      </c>
      <c r="T30" s="229">
        <v>46013</v>
      </c>
      <c r="U30" s="230" t="s">
        <v>448</v>
      </c>
      <c r="V30" s="240" t="s">
        <v>536</v>
      </c>
      <c r="W30" s="229" t="s">
        <v>450</v>
      </c>
      <c r="X30" s="232" t="str">
        <f t="array" ref="X30">INDEX(系统货号!C:C,MATCH(1,(系统货号!A:A=G30)*(系统货号!B:B=V30),0))</f>
        <v>BS064D1-克罗地亚客版</v>
      </c>
      <c r="Y30" s="230" t="s">
        <v>550</v>
      </c>
      <c r="Z30" s="229"/>
      <c r="AA30" s="229"/>
      <c r="AB30" s="224" t="s">
        <v>450</v>
      </c>
      <c r="AC30" s="224" t="s">
        <v>551</v>
      </c>
      <c r="AD30" s="234" t="s">
        <v>552</v>
      </c>
      <c r="AE30" s="235">
        <v>1.38</v>
      </c>
      <c r="AF30" s="236">
        <f t="shared" si="1"/>
        <v>6557.76</v>
      </c>
      <c r="AG30" s="236">
        <f t="shared" si="2"/>
        <v>50822.64</v>
      </c>
      <c r="AH30" s="237">
        <v>46007</v>
      </c>
      <c r="AI30" s="224"/>
      <c r="AJ30" s="224"/>
      <c r="AK30" s="224"/>
      <c r="AL30" s="224"/>
      <c r="AM30" s="224"/>
      <c r="AN30" s="238"/>
      <c r="AO30" s="238" t="s">
        <v>157</v>
      </c>
      <c r="AP30" s="239">
        <v>46077</v>
      </c>
      <c r="AQ30" s="239">
        <v>46063</v>
      </c>
    </row>
    <row r="31" s="212" customFormat="1" ht="25" customHeight="1" spans="1:43">
      <c r="A31" s="223">
        <v>46006</v>
      </c>
      <c r="B31" s="224" t="s">
        <v>155</v>
      </c>
      <c r="C31" s="225" t="s">
        <v>445</v>
      </c>
      <c r="D31" s="224" t="s">
        <v>154</v>
      </c>
      <c r="E31" s="224" t="s">
        <v>156</v>
      </c>
      <c r="F31" s="224"/>
      <c r="G31" s="224" t="s">
        <v>14</v>
      </c>
      <c r="H31" s="224" t="s">
        <v>112</v>
      </c>
      <c r="I31" s="226">
        <v>1020</v>
      </c>
      <c r="J31" s="226">
        <v>6</v>
      </c>
      <c r="K31" s="224">
        <f t="shared" si="0"/>
        <v>170</v>
      </c>
      <c r="L31" s="223">
        <v>46056</v>
      </c>
      <c r="M31" s="223">
        <v>46056</v>
      </c>
      <c r="N31" s="223"/>
      <c r="O31" s="224"/>
      <c r="P31" s="227">
        <v>46062</v>
      </c>
      <c r="Q31" s="228">
        <v>46008</v>
      </c>
      <c r="R31" s="228">
        <v>46009</v>
      </c>
      <c r="S31" s="228">
        <v>46010</v>
      </c>
      <c r="T31" s="229">
        <v>46013</v>
      </c>
      <c r="U31" s="230" t="s">
        <v>448</v>
      </c>
      <c r="V31" s="240" t="s">
        <v>536</v>
      </c>
      <c r="W31" s="229" t="s">
        <v>488</v>
      </c>
      <c r="X31" s="232" t="str">
        <f t="array" ref="X31">INDEX(系统货号!C:C,MATCH(1,(系统货号!A:A=G31)*(系统货号!B:B=V31),0))</f>
        <v>BS067D1-克罗地亚客版</v>
      </c>
      <c r="Y31" s="230" t="s">
        <v>553</v>
      </c>
      <c r="Z31" s="229"/>
      <c r="AA31" s="229"/>
      <c r="AB31" s="224" t="s">
        <v>551</v>
      </c>
      <c r="AC31" s="224" t="s">
        <v>551</v>
      </c>
      <c r="AD31" s="234" t="s">
        <v>554</v>
      </c>
      <c r="AE31" s="235">
        <v>2.971</v>
      </c>
      <c r="AF31" s="236">
        <f t="shared" si="1"/>
        <v>3030.42</v>
      </c>
      <c r="AG31" s="236">
        <f t="shared" si="2"/>
        <v>23485.755</v>
      </c>
      <c r="AH31" s="237">
        <v>46007</v>
      </c>
      <c r="AI31" s="224" t="s">
        <v>454</v>
      </c>
      <c r="AJ31" s="224">
        <v>1020</v>
      </c>
      <c r="AK31" s="224">
        <f>AJ31-I31</f>
        <v>0</v>
      </c>
      <c r="AL31" s="224"/>
      <c r="AM31" s="224"/>
      <c r="AN31" s="238"/>
      <c r="AO31" s="238" t="s">
        <v>157</v>
      </c>
      <c r="AP31" s="239">
        <v>46077</v>
      </c>
      <c r="AQ31" s="239">
        <v>46063</v>
      </c>
    </row>
    <row r="32" s="212" customFormat="1" ht="25" customHeight="1" spans="1:43">
      <c r="A32" s="223">
        <v>46006</v>
      </c>
      <c r="B32" s="224" t="s">
        <v>155</v>
      </c>
      <c r="C32" s="225" t="s">
        <v>445</v>
      </c>
      <c r="D32" s="224" t="s">
        <v>154</v>
      </c>
      <c r="E32" s="224" t="s">
        <v>156</v>
      </c>
      <c r="F32" s="224"/>
      <c r="G32" s="224" t="s">
        <v>27</v>
      </c>
      <c r="H32" s="224" t="s">
        <v>110</v>
      </c>
      <c r="I32" s="226">
        <v>6360</v>
      </c>
      <c r="J32" s="226">
        <v>6</v>
      </c>
      <c r="K32" s="224">
        <f t="shared" si="0"/>
        <v>1060</v>
      </c>
      <c r="L32" s="223">
        <v>46056</v>
      </c>
      <c r="M32" s="223">
        <v>46056</v>
      </c>
      <c r="N32" s="223"/>
      <c r="O32" s="224"/>
      <c r="P32" s="227">
        <v>46062</v>
      </c>
      <c r="Q32" s="228">
        <v>46008</v>
      </c>
      <c r="R32" s="228">
        <v>46009</v>
      </c>
      <c r="S32" s="228">
        <v>46010</v>
      </c>
      <c r="T32" s="229">
        <v>46013</v>
      </c>
      <c r="U32" s="230" t="s">
        <v>448</v>
      </c>
      <c r="V32" s="240" t="s">
        <v>536</v>
      </c>
      <c r="W32" s="229" t="s">
        <v>488</v>
      </c>
      <c r="X32" s="232" t="str">
        <f t="array" ref="X32">INDEX(系统货号!C:C,MATCH(1,(系统货号!A:A=G32)*(系统货号!B:B=V32),0))</f>
        <v>BS065D6-克罗地亚客版</v>
      </c>
      <c r="Y32" s="230" t="s">
        <v>555</v>
      </c>
      <c r="Z32" s="229"/>
      <c r="AA32" s="229"/>
      <c r="AB32" s="224" t="s">
        <v>551</v>
      </c>
      <c r="AC32" s="224" t="s">
        <v>551</v>
      </c>
      <c r="AD32" s="234" t="s">
        <v>554</v>
      </c>
      <c r="AE32" s="235">
        <v>2.969</v>
      </c>
      <c r="AF32" s="236">
        <f t="shared" si="1"/>
        <v>18882.84</v>
      </c>
      <c r="AG32" s="236">
        <f t="shared" si="2"/>
        <v>146342.01</v>
      </c>
      <c r="AH32" s="237">
        <v>46007</v>
      </c>
      <c r="AI32" s="224" t="s">
        <v>454</v>
      </c>
      <c r="AJ32" s="224">
        <f>5910+450</f>
        <v>6360</v>
      </c>
      <c r="AK32" s="224">
        <f>AJ32-I32</f>
        <v>0</v>
      </c>
      <c r="AL32" s="224"/>
      <c r="AM32" s="224"/>
      <c r="AN32" s="238"/>
      <c r="AO32" s="238" t="s">
        <v>157</v>
      </c>
      <c r="AP32" s="239">
        <v>46077</v>
      </c>
      <c r="AQ32" s="239">
        <v>46063</v>
      </c>
    </row>
    <row r="33" s="212" customFormat="1" ht="25" customHeight="1" spans="1:43">
      <c r="A33" s="223">
        <v>45988</v>
      </c>
      <c r="B33" s="224" t="s">
        <v>84</v>
      </c>
      <c r="C33" s="225" t="s">
        <v>445</v>
      </c>
      <c r="D33" s="224" t="s">
        <v>78</v>
      </c>
      <c r="E33" s="224" t="s">
        <v>135</v>
      </c>
      <c r="F33" s="224"/>
      <c r="G33" s="224" t="s">
        <v>136</v>
      </c>
      <c r="H33" s="224" t="s">
        <v>137</v>
      </c>
      <c r="I33" s="226">
        <v>498</v>
      </c>
      <c r="J33" s="226">
        <v>6</v>
      </c>
      <c r="K33" s="224">
        <v>83</v>
      </c>
      <c r="L33" s="223">
        <v>46059</v>
      </c>
      <c r="M33" s="223">
        <v>46059</v>
      </c>
      <c r="N33" s="223">
        <v>46059</v>
      </c>
      <c r="O33" s="224"/>
      <c r="P33" s="227" t="s">
        <v>556</v>
      </c>
      <c r="Q33" s="228">
        <v>46010</v>
      </c>
      <c r="R33" s="228">
        <v>46010</v>
      </c>
      <c r="S33" s="228">
        <v>46013</v>
      </c>
      <c r="T33" s="229">
        <v>46010</v>
      </c>
      <c r="U33" s="230" t="s">
        <v>448</v>
      </c>
      <c r="V33" s="240" t="s">
        <v>532</v>
      </c>
      <c r="W33" s="229" t="s">
        <v>450</v>
      </c>
      <c r="X33" s="232" t="s">
        <v>557</v>
      </c>
      <c r="Y33" s="230" t="s">
        <v>533</v>
      </c>
      <c r="Z33" s="229"/>
      <c r="AA33" s="229"/>
      <c r="AB33" s="224" t="s">
        <v>450</v>
      </c>
      <c r="AC33" s="241" t="s">
        <v>558</v>
      </c>
      <c r="AD33" s="234" t="s">
        <v>559</v>
      </c>
      <c r="AE33" s="235">
        <v>3.924</v>
      </c>
      <c r="AF33" s="236">
        <v>1954.152</v>
      </c>
      <c r="AG33" s="236">
        <v>15144.678</v>
      </c>
      <c r="AH33" s="237">
        <v>45994</v>
      </c>
      <c r="AI33" s="224"/>
      <c r="AJ33" s="224"/>
      <c r="AK33" s="224"/>
      <c r="AL33" s="224"/>
      <c r="AM33" s="224"/>
      <c r="AN33" s="238"/>
      <c r="AO33" s="238" t="s">
        <v>138</v>
      </c>
      <c r="AP33" s="239">
        <v>46090</v>
      </c>
      <c r="AQ33" s="239">
        <v>46087</v>
      </c>
    </row>
    <row r="34" s="212" customFormat="1" ht="25" customHeight="1" spans="1:43">
      <c r="A34" s="223">
        <v>45993</v>
      </c>
      <c r="B34" s="224" t="s">
        <v>84</v>
      </c>
      <c r="C34" s="225" t="s">
        <v>445</v>
      </c>
      <c r="D34" s="224" t="s">
        <v>78</v>
      </c>
      <c r="E34" s="224" t="s">
        <v>147</v>
      </c>
      <c r="F34" s="224"/>
      <c r="G34" s="224" t="s">
        <v>49</v>
      </c>
      <c r="H34" s="224" t="s">
        <v>144</v>
      </c>
      <c r="I34" s="226">
        <v>68</v>
      </c>
      <c r="J34" s="226">
        <v>4</v>
      </c>
      <c r="K34" s="224">
        <f>I34/J34</f>
        <v>17</v>
      </c>
      <c r="L34" s="223">
        <v>46059</v>
      </c>
      <c r="M34" s="223">
        <v>46059</v>
      </c>
      <c r="N34" s="223" t="s">
        <v>560</v>
      </c>
      <c r="O34" s="224"/>
      <c r="P34" s="227"/>
      <c r="Q34" s="228">
        <v>46010</v>
      </c>
      <c r="R34" s="228">
        <v>46011</v>
      </c>
      <c r="S34" s="228">
        <v>46013</v>
      </c>
      <c r="T34" s="228">
        <v>46010</v>
      </c>
      <c r="U34" s="230" t="s">
        <v>448</v>
      </c>
      <c r="V34" s="229" t="s">
        <v>449</v>
      </c>
      <c r="W34" s="229" t="s">
        <v>450</v>
      </c>
      <c r="X34" s="232" t="str">
        <f t="array" ref="X34">INDEX(系统货号!C:C,MATCH(1,(系统货号!A:A=G34)*(系统货号!B:B=V34),0))</f>
        <v>PF001A1-KMART</v>
      </c>
      <c r="Y34" s="230" t="s">
        <v>451</v>
      </c>
      <c r="Z34" s="229"/>
      <c r="AA34" s="229"/>
      <c r="AB34" s="224" t="s">
        <v>450</v>
      </c>
      <c r="AC34" s="241" t="s">
        <v>452</v>
      </c>
      <c r="AD34" s="234" t="s">
        <v>453</v>
      </c>
      <c r="AE34" s="235">
        <v>10.262</v>
      </c>
      <c r="AF34" s="236">
        <f>I34*AE34</f>
        <v>697.816</v>
      </c>
      <c r="AG34" s="236">
        <f>AF34*7.75</f>
        <v>5408.074</v>
      </c>
      <c r="AH34" s="237">
        <v>45994</v>
      </c>
      <c r="AI34" s="224" t="s">
        <v>454</v>
      </c>
      <c r="AJ34" s="224" t="s">
        <v>561</v>
      </c>
      <c r="AK34" s="224"/>
      <c r="AL34" s="224"/>
      <c r="AM34" s="224"/>
      <c r="AN34" s="238"/>
      <c r="AO34" s="238" t="s">
        <v>148</v>
      </c>
      <c r="AP34" s="239">
        <v>46090</v>
      </c>
      <c r="AQ34" s="239">
        <v>46087</v>
      </c>
    </row>
    <row r="35" s="212" customFormat="1" ht="25" customHeight="1" spans="1:43">
      <c r="A35" s="223">
        <v>45993</v>
      </c>
      <c r="B35" s="224" t="s">
        <v>84</v>
      </c>
      <c r="C35" s="225" t="s">
        <v>445</v>
      </c>
      <c r="D35" s="224" t="s">
        <v>78</v>
      </c>
      <c r="E35" s="224" t="s">
        <v>147</v>
      </c>
      <c r="F35" s="224"/>
      <c r="G35" s="224" t="s">
        <v>136</v>
      </c>
      <c r="H35" s="224" t="s">
        <v>137</v>
      </c>
      <c r="I35" s="226">
        <v>36</v>
      </c>
      <c r="J35" s="226">
        <v>6</v>
      </c>
      <c r="K35" s="224">
        <v>6</v>
      </c>
      <c r="L35" s="223">
        <v>46059</v>
      </c>
      <c r="M35" s="223">
        <v>46059</v>
      </c>
      <c r="N35" s="223">
        <v>46059</v>
      </c>
      <c r="O35" s="224"/>
      <c r="P35" s="227"/>
      <c r="Q35" s="228">
        <v>46010</v>
      </c>
      <c r="R35" s="228">
        <v>46011</v>
      </c>
      <c r="S35" s="228">
        <v>46013</v>
      </c>
      <c r="T35" s="229">
        <v>46010</v>
      </c>
      <c r="U35" s="230" t="s">
        <v>448</v>
      </c>
      <c r="V35" s="240" t="s">
        <v>532</v>
      </c>
      <c r="W35" s="229" t="s">
        <v>450</v>
      </c>
      <c r="X35" s="232" t="s">
        <v>557</v>
      </c>
      <c r="Y35" s="230" t="s">
        <v>533</v>
      </c>
      <c r="Z35" s="229"/>
      <c r="AA35" s="229"/>
      <c r="AB35" s="224" t="s">
        <v>450</v>
      </c>
      <c r="AC35" s="241" t="s">
        <v>558</v>
      </c>
      <c r="AD35" s="234" t="s">
        <v>559</v>
      </c>
      <c r="AE35" s="235">
        <v>3.924</v>
      </c>
      <c r="AF35" s="236">
        <v>141.264</v>
      </c>
      <c r="AG35" s="236">
        <v>1094.796</v>
      </c>
      <c r="AH35" s="237">
        <v>45994</v>
      </c>
      <c r="AI35" s="224"/>
      <c r="AJ35" s="224"/>
      <c r="AK35" s="224"/>
      <c r="AL35" s="224"/>
      <c r="AM35" s="224"/>
      <c r="AN35" s="238"/>
      <c r="AO35" s="238" t="s">
        <v>148</v>
      </c>
      <c r="AP35" s="239">
        <v>46090</v>
      </c>
      <c r="AQ35" s="239">
        <v>46087</v>
      </c>
    </row>
    <row r="36" s="212" customFormat="1" ht="25" customHeight="1" spans="1:43">
      <c r="A36" s="223">
        <v>46008</v>
      </c>
      <c r="B36" s="224" t="s">
        <v>84</v>
      </c>
      <c r="C36" s="225" t="s">
        <v>445</v>
      </c>
      <c r="D36" s="224" t="s">
        <v>78</v>
      </c>
      <c r="E36" s="224" t="s">
        <v>172</v>
      </c>
      <c r="F36" s="224"/>
      <c r="G36" s="224" t="s">
        <v>27</v>
      </c>
      <c r="H36" s="224" t="s">
        <v>110</v>
      </c>
      <c r="I36" s="226">
        <v>276</v>
      </c>
      <c r="J36" s="226">
        <v>6</v>
      </c>
      <c r="K36" s="224">
        <v>46</v>
      </c>
      <c r="L36" s="223">
        <v>46059</v>
      </c>
      <c r="M36" s="223">
        <v>46059</v>
      </c>
      <c r="N36" s="223" t="s">
        <v>562</v>
      </c>
      <c r="O36" s="224"/>
      <c r="P36" s="227"/>
      <c r="Q36" s="228">
        <v>46008</v>
      </c>
      <c r="R36" s="228">
        <v>46011</v>
      </c>
      <c r="S36" s="228">
        <v>46013</v>
      </c>
      <c r="T36" s="229">
        <v>46010</v>
      </c>
      <c r="U36" s="230" t="s">
        <v>448</v>
      </c>
      <c r="V36" s="240" t="s">
        <v>449</v>
      </c>
      <c r="W36" s="229" t="s">
        <v>459</v>
      </c>
      <c r="X36" s="232" t="s">
        <v>563</v>
      </c>
      <c r="Y36" s="230" t="s">
        <v>451</v>
      </c>
      <c r="Z36" s="229"/>
      <c r="AA36" s="229"/>
      <c r="AB36" s="241" t="s">
        <v>558</v>
      </c>
      <c r="AC36" s="241" t="s">
        <v>558</v>
      </c>
      <c r="AD36" s="234" t="s">
        <v>564</v>
      </c>
      <c r="AE36" s="235">
        <v>3.088</v>
      </c>
      <c r="AF36" s="236">
        <v>852.288</v>
      </c>
      <c r="AG36" s="236">
        <v>6605.232</v>
      </c>
      <c r="AH36" s="237">
        <v>46008</v>
      </c>
      <c r="AI36" s="224" t="s">
        <v>454</v>
      </c>
      <c r="AJ36" s="224">
        <v>276</v>
      </c>
      <c r="AK36" s="224">
        <v>0</v>
      </c>
      <c r="AL36" s="224"/>
      <c r="AM36" s="224"/>
      <c r="AN36" s="238"/>
      <c r="AO36" s="238" t="s">
        <v>173</v>
      </c>
      <c r="AP36" s="239">
        <v>46090</v>
      </c>
      <c r="AQ36" s="239">
        <v>46087</v>
      </c>
    </row>
    <row r="37" s="212" customFormat="1" ht="25" customHeight="1" spans="1:43">
      <c r="A37" s="223">
        <v>45993</v>
      </c>
      <c r="B37" s="224" t="s">
        <v>79</v>
      </c>
      <c r="C37" s="225" t="s">
        <v>445</v>
      </c>
      <c r="D37" s="224" t="s">
        <v>78</v>
      </c>
      <c r="E37" s="224" t="s">
        <v>143</v>
      </c>
      <c r="F37" s="224"/>
      <c r="G37" s="224" t="s">
        <v>49</v>
      </c>
      <c r="H37" s="224" t="s">
        <v>144</v>
      </c>
      <c r="I37" s="226">
        <v>800</v>
      </c>
      <c r="J37" s="226">
        <v>4</v>
      </c>
      <c r="K37" s="224">
        <f>I37/J37</f>
        <v>200</v>
      </c>
      <c r="L37" s="223">
        <v>46059</v>
      </c>
      <c r="M37" s="223">
        <v>46059</v>
      </c>
      <c r="N37" s="223" t="s">
        <v>560</v>
      </c>
      <c r="O37" s="224"/>
      <c r="P37" s="227"/>
      <c r="Q37" s="228">
        <v>46010</v>
      </c>
      <c r="R37" s="228">
        <v>46011</v>
      </c>
      <c r="S37" s="228">
        <v>46013</v>
      </c>
      <c r="T37" s="228">
        <v>46010</v>
      </c>
      <c r="U37" s="230" t="s">
        <v>448</v>
      </c>
      <c r="V37" s="229" t="s">
        <v>449</v>
      </c>
      <c r="W37" s="229" t="s">
        <v>450</v>
      </c>
      <c r="X37" s="232" t="str">
        <f t="array" ref="X37">INDEX(系统货号!C:C,MATCH(1,(系统货号!A:A=G37)*(系统货号!B:B=V37),0))</f>
        <v>PF001A1-KMART</v>
      </c>
      <c r="Y37" s="230" t="s">
        <v>451</v>
      </c>
      <c r="Z37" s="229"/>
      <c r="AA37" s="229"/>
      <c r="AB37" s="224" t="s">
        <v>450</v>
      </c>
      <c r="AC37" s="241" t="s">
        <v>452</v>
      </c>
      <c r="AD37" s="234" t="s">
        <v>453</v>
      </c>
      <c r="AE37" s="235">
        <v>10.262</v>
      </c>
      <c r="AF37" s="236">
        <f>I37*AE37</f>
        <v>8209.6</v>
      </c>
      <c r="AG37" s="236">
        <f>AF37*7.75</f>
        <v>63624.4</v>
      </c>
      <c r="AH37" s="237">
        <v>45994</v>
      </c>
      <c r="AI37" s="224" t="s">
        <v>454</v>
      </c>
      <c r="AJ37" s="224" t="s">
        <v>561</v>
      </c>
      <c r="AK37" s="224"/>
      <c r="AL37" s="224"/>
      <c r="AM37" s="224"/>
      <c r="AN37" s="238"/>
      <c r="AO37" s="238" t="s">
        <v>145</v>
      </c>
      <c r="AP37" s="239">
        <v>46090</v>
      </c>
      <c r="AQ37" s="239">
        <v>46087</v>
      </c>
    </row>
    <row r="38" s="212" customFormat="1" ht="25" customHeight="1" spans="1:43">
      <c r="A38" s="223">
        <v>46008</v>
      </c>
      <c r="B38" s="224" t="s">
        <v>79</v>
      </c>
      <c r="C38" s="225" t="s">
        <v>445</v>
      </c>
      <c r="D38" s="224" t="s">
        <v>78</v>
      </c>
      <c r="E38" s="224" t="s">
        <v>170</v>
      </c>
      <c r="F38" s="224"/>
      <c r="G38" s="224" t="s">
        <v>27</v>
      </c>
      <c r="H38" s="224" t="s">
        <v>110</v>
      </c>
      <c r="I38" s="226">
        <v>1728</v>
      </c>
      <c r="J38" s="226">
        <v>6</v>
      </c>
      <c r="K38" s="224">
        <v>288</v>
      </c>
      <c r="L38" s="223">
        <v>46059</v>
      </c>
      <c r="M38" s="223">
        <v>46059</v>
      </c>
      <c r="N38" s="223" t="s">
        <v>562</v>
      </c>
      <c r="O38" s="224"/>
      <c r="P38" s="227"/>
      <c r="Q38" s="228">
        <v>46008</v>
      </c>
      <c r="R38" s="228">
        <v>46011</v>
      </c>
      <c r="S38" s="228">
        <v>46013</v>
      </c>
      <c r="T38" s="229">
        <v>46010</v>
      </c>
      <c r="U38" s="230" t="s">
        <v>448</v>
      </c>
      <c r="V38" s="240" t="s">
        <v>449</v>
      </c>
      <c r="W38" s="229" t="s">
        <v>459</v>
      </c>
      <c r="X38" s="232" t="s">
        <v>563</v>
      </c>
      <c r="Y38" s="230" t="s">
        <v>451</v>
      </c>
      <c r="Z38" s="229"/>
      <c r="AA38" s="229"/>
      <c r="AB38" s="241" t="s">
        <v>558</v>
      </c>
      <c r="AC38" s="241" t="s">
        <v>558</v>
      </c>
      <c r="AD38" s="234" t="s">
        <v>564</v>
      </c>
      <c r="AE38" s="235">
        <v>3.088</v>
      </c>
      <c r="AF38" s="236">
        <v>5336.064</v>
      </c>
      <c r="AG38" s="236">
        <v>41354.496</v>
      </c>
      <c r="AH38" s="237">
        <v>46008</v>
      </c>
      <c r="AI38" s="224" t="s">
        <v>454</v>
      </c>
      <c r="AJ38" s="224">
        <v>1728</v>
      </c>
      <c r="AK38" s="224">
        <v>0</v>
      </c>
      <c r="AL38" s="224"/>
      <c r="AM38" s="224"/>
      <c r="AN38" s="238"/>
      <c r="AO38" s="238" t="s">
        <v>171</v>
      </c>
      <c r="AP38" s="239">
        <v>46090</v>
      </c>
      <c r="AQ38" s="239">
        <v>46087</v>
      </c>
    </row>
    <row r="39" s="212" customFormat="1" ht="25" customHeight="1" spans="1:43">
      <c r="A39" s="223">
        <v>46022</v>
      </c>
      <c r="B39" s="224" t="s">
        <v>105</v>
      </c>
      <c r="C39" s="225" t="s">
        <v>445</v>
      </c>
      <c r="D39" s="224" t="s">
        <v>200</v>
      </c>
      <c r="E39" s="224" t="s">
        <v>201</v>
      </c>
      <c r="F39" s="224"/>
      <c r="G39" s="224" t="s">
        <v>49</v>
      </c>
      <c r="H39" s="224" t="s">
        <v>144</v>
      </c>
      <c r="I39" s="226">
        <v>5800</v>
      </c>
      <c r="J39" s="226">
        <v>4</v>
      </c>
      <c r="K39" s="224">
        <f t="shared" ref="K39:K57" si="4">I39/J39</f>
        <v>1450</v>
      </c>
      <c r="L39" s="223">
        <v>46094</v>
      </c>
      <c r="M39" s="223">
        <v>46094</v>
      </c>
      <c r="N39" s="223" t="s">
        <v>565</v>
      </c>
      <c r="O39" s="224" t="s">
        <v>446</v>
      </c>
      <c r="P39" s="227">
        <v>46097</v>
      </c>
      <c r="Q39" s="229">
        <v>46043</v>
      </c>
      <c r="R39" s="229">
        <v>46043</v>
      </c>
      <c r="S39" s="229">
        <v>46044</v>
      </c>
      <c r="T39" s="229">
        <v>46043</v>
      </c>
      <c r="U39" s="230" t="s">
        <v>448</v>
      </c>
      <c r="V39" s="229" t="s">
        <v>566</v>
      </c>
      <c r="W39" s="229" t="s">
        <v>450</v>
      </c>
      <c r="X39" s="232" t="str">
        <f t="array" ref="X39">INDEX(系统货号!C:C,MATCH(1,(系统货号!A:A=G39)*(系统货号!B:B=V39),0))</f>
        <v>PF001A1-SMYTHS TOYS客版</v>
      </c>
      <c r="Y39" s="230" t="s">
        <v>520</v>
      </c>
      <c r="Z39" s="229"/>
      <c r="AA39" s="229"/>
      <c r="AB39" s="224" t="s">
        <v>450</v>
      </c>
      <c r="AC39" s="245" t="s">
        <v>567</v>
      </c>
      <c r="AD39" s="234" t="s">
        <v>568</v>
      </c>
      <c r="AE39" s="235">
        <v>9.67</v>
      </c>
      <c r="AF39" s="236">
        <f t="shared" ref="AF39:AF73" si="5">I39*AE39</f>
        <v>56086</v>
      </c>
      <c r="AG39" s="236">
        <f t="shared" ref="AG39:AG73" si="6">AF39*7.75</f>
        <v>434666.5</v>
      </c>
      <c r="AH39" s="237">
        <v>46029</v>
      </c>
      <c r="AI39" s="224" t="s">
        <v>454</v>
      </c>
      <c r="AJ39" s="224">
        <f>4256+1544</f>
        <v>5800</v>
      </c>
      <c r="AK39" s="224">
        <f>AJ39-I39</f>
        <v>0</v>
      </c>
      <c r="AL39" s="224"/>
      <c r="AM39" s="224"/>
      <c r="AN39" s="238"/>
      <c r="AO39" s="238" t="s">
        <v>202</v>
      </c>
      <c r="AP39" s="239">
        <v>46100</v>
      </c>
      <c r="AQ39" s="239">
        <v>46098</v>
      </c>
    </row>
    <row r="40" s="212" customFormat="1" ht="25" customHeight="1" spans="1:43">
      <c r="A40" s="223">
        <v>46015</v>
      </c>
      <c r="B40" s="224" t="s">
        <v>188</v>
      </c>
      <c r="C40" s="225" t="s">
        <v>445</v>
      </c>
      <c r="D40" s="224" t="s">
        <v>187</v>
      </c>
      <c r="E40" s="224" t="s">
        <v>189</v>
      </c>
      <c r="F40" s="224"/>
      <c r="G40" s="224" t="s">
        <v>49</v>
      </c>
      <c r="H40" s="224" t="s">
        <v>144</v>
      </c>
      <c r="I40" s="226">
        <v>1400</v>
      </c>
      <c r="J40" s="226">
        <v>4</v>
      </c>
      <c r="K40" s="224">
        <f t="shared" si="4"/>
        <v>350</v>
      </c>
      <c r="L40" s="223">
        <v>46087</v>
      </c>
      <c r="M40" s="223">
        <v>46087</v>
      </c>
      <c r="N40" s="223"/>
      <c r="O40" s="224" t="s">
        <v>446</v>
      </c>
      <c r="P40" s="227">
        <v>46097</v>
      </c>
      <c r="Q40" s="229">
        <v>46041</v>
      </c>
      <c r="R40" s="229">
        <v>46042</v>
      </c>
      <c r="S40" s="229">
        <v>46044</v>
      </c>
      <c r="T40" s="229" t="s">
        <v>569</v>
      </c>
      <c r="U40" s="230" t="s">
        <v>448</v>
      </c>
      <c r="V40" s="229" t="s">
        <v>570</v>
      </c>
      <c r="W40" s="229" t="s">
        <v>450</v>
      </c>
      <c r="X40" s="232" t="str">
        <f t="array" ref="X40">INDEX(系统货号!C:C,MATCH(1,(系统货号!A:A=G40)*(系统货号!B:B=V40),0))</f>
        <v>PF001A1-新标准版</v>
      </c>
      <c r="Y40" s="230" t="s">
        <v>571</v>
      </c>
      <c r="Z40" s="229"/>
      <c r="AA40" s="229"/>
      <c r="AB40" s="224" t="s">
        <v>450</v>
      </c>
      <c r="AC40" s="245" t="s">
        <v>567</v>
      </c>
      <c r="AD40" s="234" t="s">
        <v>572</v>
      </c>
      <c r="AE40" s="235">
        <v>9.9</v>
      </c>
      <c r="AF40" s="236">
        <f t="shared" si="5"/>
        <v>13860</v>
      </c>
      <c r="AG40" s="236">
        <f t="shared" si="6"/>
        <v>107415</v>
      </c>
      <c r="AH40" s="237">
        <v>46020</v>
      </c>
      <c r="AI40" s="224" t="s">
        <v>454</v>
      </c>
      <c r="AJ40" s="224">
        <v>1400</v>
      </c>
      <c r="AK40" s="224">
        <f>AJ40-I40</f>
        <v>0</v>
      </c>
      <c r="AL40" s="224"/>
      <c r="AM40" s="224"/>
      <c r="AN40" s="238"/>
      <c r="AO40" s="238" t="s">
        <v>190</v>
      </c>
      <c r="AP40" s="239">
        <v>46100</v>
      </c>
      <c r="AQ40" s="239">
        <v>46099</v>
      </c>
    </row>
    <row r="41" s="212" customFormat="1" ht="25" customHeight="1" spans="1:43">
      <c r="A41" s="223">
        <v>46029</v>
      </c>
      <c r="B41" s="224" t="s">
        <v>131</v>
      </c>
      <c r="C41" s="225" t="s">
        <v>445</v>
      </c>
      <c r="D41" s="224" t="s">
        <v>203</v>
      </c>
      <c r="E41" s="224" t="s">
        <v>204</v>
      </c>
      <c r="F41" s="224"/>
      <c r="G41" s="224" t="s">
        <v>49</v>
      </c>
      <c r="H41" s="224" t="s">
        <v>144</v>
      </c>
      <c r="I41" s="226">
        <v>5788</v>
      </c>
      <c r="J41" s="226">
        <v>4</v>
      </c>
      <c r="K41" s="224">
        <f t="shared" si="4"/>
        <v>1447</v>
      </c>
      <c r="L41" s="223">
        <v>46094</v>
      </c>
      <c r="M41" s="223">
        <v>46094</v>
      </c>
      <c r="N41" s="223" t="s">
        <v>565</v>
      </c>
      <c r="O41" s="224" t="s">
        <v>446</v>
      </c>
      <c r="P41" s="227">
        <v>46099</v>
      </c>
      <c r="Q41" s="229">
        <v>46043</v>
      </c>
      <c r="R41" s="229">
        <v>46043</v>
      </c>
      <c r="S41" s="229">
        <v>46044</v>
      </c>
      <c r="T41" s="229">
        <v>46043</v>
      </c>
      <c r="U41" s="230" t="s">
        <v>448</v>
      </c>
      <c r="V41" s="229" t="s">
        <v>566</v>
      </c>
      <c r="W41" s="229" t="s">
        <v>450</v>
      </c>
      <c r="X41" s="232" t="str">
        <f t="array" ref="X41">INDEX(系统货号!C:C,MATCH(1,(系统货号!A:A=G41)*(系统货号!B:B=V41),0))</f>
        <v>PF001A1-SMYTHS TOYS客版</v>
      </c>
      <c r="Y41" s="230" t="s">
        <v>520</v>
      </c>
      <c r="Z41" s="229"/>
      <c r="AA41" s="229"/>
      <c r="AB41" s="224" t="s">
        <v>450</v>
      </c>
      <c r="AC41" s="245" t="s">
        <v>567</v>
      </c>
      <c r="AD41" s="234" t="s">
        <v>568</v>
      </c>
      <c r="AE41" s="235">
        <v>9.67</v>
      </c>
      <c r="AF41" s="236">
        <f t="shared" si="5"/>
        <v>55969.96</v>
      </c>
      <c r="AG41" s="236">
        <f t="shared" si="6"/>
        <v>433767.19</v>
      </c>
      <c r="AH41" s="237">
        <v>46029</v>
      </c>
      <c r="AI41" s="224" t="s">
        <v>454</v>
      </c>
      <c r="AJ41" s="224">
        <f>500+3680+1608</f>
        <v>5788</v>
      </c>
      <c r="AK41" s="224">
        <f>AJ41-I41</f>
        <v>0</v>
      </c>
      <c r="AL41" s="224"/>
      <c r="AM41" s="224"/>
      <c r="AN41" s="238"/>
      <c r="AO41" s="238" t="s">
        <v>205</v>
      </c>
      <c r="AP41" s="239">
        <v>46101</v>
      </c>
      <c r="AQ41" s="239">
        <v>46101</v>
      </c>
    </row>
    <row r="42" s="212" customFormat="1" ht="25" customHeight="1" spans="1:43">
      <c r="A42" s="223">
        <v>45988</v>
      </c>
      <c r="B42" s="224" t="s">
        <v>79</v>
      </c>
      <c r="C42" s="225" t="s">
        <v>445</v>
      </c>
      <c r="D42" s="224" t="s">
        <v>78</v>
      </c>
      <c r="E42" s="224" t="s">
        <v>139</v>
      </c>
      <c r="F42" s="224"/>
      <c r="G42" s="224" t="s">
        <v>12</v>
      </c>
      <c r="H42" s="224" t="s">
        <v>121</v>
      </c>
      <c r="I42" s="226">
        <v>1710</v>
      </c>
      <c r="J42" s="226">
        <v>6</v>
      </c>
      <c r="K42" s="224">
        <f t="shared" si="4"/>
        <v>285</v>
      </c>
      <c r="L42" s="223">
        <v>46091</v>
      </c>
      <c r="M42" s="223">
        <v>46091</v>
      </c>
      <c r="N42" s="223">
        <v>46097</v>
      </c>
      <c r="O42" s="224" t="s">
        <v>446</v>
      </c>
      <c r="P42" s="227" t="s">
        <v>573</v>
      </c>
      <c r="Q42" s="228">
        <v>46044</v>
      </c>
      <c r="R42" s="228">
        <v>46044</v>
      </c>
      <c r="S42" s="228">
        <v>46045</v>
      </c>
      <c r="T42" s="229" t="s">
        <v>497</v>
      </c>
      <c r="U42" s="230" t="s">
        <v>448</v>
      </c>
      <c r="V42" s="240" t="s">
        <v>532</v>
      </c>
      <c r="W42" s="229" t="s">
        <v>450</v>
      </c>
      <c r="X42" s="232" t="str">
        <f t="array" ref="X42">INDEX(系统货号!C:C,MATCH(1,(系统货号!A:A=G42)*(系统货号!B:B=V42),0))</f>
        <v>MZ002D6-标准KMART版</v>
      </c>
      <c r="Y42" s="230" t="s">
        <v>533</v>
      </c>
      <c r="Z42" s="229"/>
      <c r="AA42" s="229"/>
      <c r="AB42" s="224" t="s">
        <v>450</v>
      </c>
      <c r="AC42" s="224" t="s">
        <v>534</v>
      </c>
      <c r="AD42" s="234" t="s">
        <v>535</v>
      </c>
      <c r="AE42" s="235">
        <v>3.958</v>
      </c>
      <c r="AF42" s="236">
        <f t="shared" si="5"/>
        <v>6768.18</v>
      </c>
      <c r="AG42" s="236">
        <f t="shared" si="6"/>
        <v>52453.395</v>
      </c>
      <c r="AH42" s="237">
        <v>45989</v>
      </c>
      <c r="AI42" s="224"/>
      <c r="AJ42" s="224"/>
      <c r="AK42" s="224"/>
      <c r="AL42" s="224"/>
      <c r="AM42" s="224"/>
      <c r="AN42" s="238"/>
      <c r="AO42" s="238" t="s">
        <v>140</v>
      </c>
      <c r="AP42" s="239">
        <v>46104</v>
      </c>
      <c r="AQ42" s="239">
        <v>46099</v>
      </c>
    </row>
    <row r="43" s="212" customFormat="1" ht="25" customHeight="1" spans="1:43">
      <c r="A43" s="223">
        <v>45988</v>
      </c>
      <c r="B43" s="224" t="s">
        <v>84</v>
      </c>
      <c r="C43" s="225" t="s">
        <v>445</v>
      </c>
      <c r="D43" s="224" t="s">
        <v>78</v>
      </c>
      <c r="E43" s="224" t="s">
        <v>141</v>
      </c>
      <c r="F43" s="224"/>
      <c r="G43" s="224" t="s">
        <v>12</v>
      </c>
      <c r="H43" s="224" t="s">
        <v>121</v>
      </c>
      <c r="I43" s="226">
        <v>90</v>
      </c>
      <c r="J43" s="226">
        <v>6</v>
      </c>
      <c r="K43" s="224">
        <f t="shared" si="4"/>
        <v>15</v>
      </c>
      <c r="L43" s="223">
        <v>46091</v>
      </c>
      <c r="M43" s="223">
        <v>46091</v>
      </c>
      <c r="N43" s="223">
        <v>46097</v>
      </c>
      <c r="O43" s="224" t="s">
        <v>446</v>
      </c>
      <c r="P43" s="227" t="s">
        <v>573</v>
      </c>
      <c r="Q43" s="228">
        <v>46044</v>
      </c>
      <c r="R43" s="228">
        <v>46044</v>
      </c>
      <c r="S43" s="228">
        <v>46045</v>
      </c>
      <c r="T43" s="229" t="s">
        <v>497</v>
      </c>
      <c r="U43" s="230" t="s">
        <v>448</v>
      </c>
      <c r="V43" s="240" t="s">
        <v>532</v>
      </c>
      <c r="W43" s="229" t="s">
        <v>450</v>
      </c>
      <c r="X43" s="232" t="str">
        <f t="array" ref="X43">INDEX(系统货号!C:C,MATCH(1,(系统货号!A:A=G43)*(系统货号!B:B=V43),0))</f>
        <v>MZ002D6-标准KMART版</v>
      </c>
      <c r="Y43" s="230" t="s">
        <v>533</v>
      </c>
      <c r="Z43" s="229"/>
      <c r="AA43" s="229"/>
      <c r="AB43" s="224" t="s">
        <v>450</v>
      </c>
      <c r="AC43" s="224" t="s">
        <v>534</v>
      </c>
      <c r="AD43" s="234" t="s">
        <v>535</v>
      </c>
      <c r="AE43" s="235">
        <v>3.958</v>
      </c>
      <c r="AF43" s="236">
        <f t="shared" si="5"/>
        <v>356.22</v>
      </c>
      <c r="AG43" s="236">
        <f t="shared" si="6"/>
        <v>2760.705</v>
      </c>
      <c r="AH43" s="237">
        <v>45989</v>
      </c>
      <c r="AI43" s="224"/>
      <c r="AJ43" s="224"/>
      <c r="AK43" s="224"/>
      <c r="AL43" s="224"/>
      <c r="AM43" s="224"/>
      <c r="AN43" s="238"/>
      <c r="AO43" s="238" t="s">
        <v>142</v>
      </c>
      <c r="AP43" s="246">
        <v>46104</v>
      </c>
      <c r="AQ43" s="247">
        <v>46099</v>
      </c>
    </row>
    <row r="44" s="212" customFormat="1" ht="25" customHeight="1" spans="1:43">
      <c r="A44" s="223">
        <v>46020</v>
      </c>
      <c r="B44" s="224" t="s">
        <v>184</v>
      </c>
      <c r="C44" s="225" t="s">
        <v>445</v>
      </c>
      <c r="D44" s="224" t="s">
        <v>195</v>
      </c>
      <c r="E44" s="224" t="s">
        <v>196</v>
      </c>
      <c r="F44" s="224"/>
      <c r="G44" s="224" t="s">
        <v>10</v>
      </c>
      <c r="H44" s="224" t="s">
        <v>128</v>
      </c>
      <c r="I44" s="226">
        <v>654</v>
      </c>
      <c r="J44" s="226">
        <v>6</v>
      </c>
      <c r="K44" s="224">
        <f t="shared" si="4"/>
        <v>109</v>
      </c>
      <c r="L44" s="223">
        <v>46094</v>
      </c>
      <c r="M44" s="223">
        <v>46094</v>
      </c>
      <c r="N44" s="223"/>
      <c r="O44" s="224" t="s">
        <v>446</v>
      </c>
      <c r="P44" s="227">
        <v>46105</v>
      </c>
      <c r="Q44" s="228">
        <v>46042</v>
      </c>
      <c r="R44" s="228">
        <v>46043</v>
      </c>
      <c r="S44" s="230">
        <v>46045</v>
      </c>
      <c r="T44" s="230">
        <v>46045</v>
      </c>
      <c r="U44" s="230" t="s">
        <v>448</v>
      </c>
      <c r="V44" s="240" t="s">
        <v>458</v>
      </c>
      <c r="W44" s="229" t="s">
        <v>459</v>
      </c>
      <c r="X44" s="232" t="str">
        <f t="array" ref="X44">INDEX(系统货号!C:C,MATCH(1,(系统货号!A:A=G44)*(系统货号!B:B=V44),0))</f>
        <v>BS082D6</v>
      </c>
      <c r="Y44" s="230" t="s">
        <v>520</v>
      </c>
      <c r="Z44" s="229"/>
      <c r="AA44" s="229"/>
      <c r="AB44" s="224" t="s">
        <v>544</v>
      </c>
      <c r="AC44" s="224" t="s">
        <v>544</v>
      </c>
      <c r="AD44" s="234" t="s">
        <v>574</v>
      </c>
      <c r="AE44" s="235">
        <v>3.405</v>
      </c>
      <c r="AF44" s="236">
        <f t="shared" si="5"/>
        <v>2226.87</v>
      </c>
      <c r="AG44" s="236">
        <f t="shared" si="6"/>
        <v>17258.2425</v>
      </c>
      <c r="AH44" s="237">
        <v>46021</v>
      </c>
      <c r="AI44" s="224" t="s">
        <v>454</v>
      </c>
      <c r="AJ44" s="224">
        <f>636+18</f>
        <v>654</v>
      </c>
      <c r="AK44" s="224">
        <f t="shared" ref="AK44:AK55" si="7">AJ44-I44</f>
        <v>0</v>
      </c>
      <c r="AL44" s="224"/>
      <c r="AM44" s="224"/>
      <c r="AN44" s="238"/>
      <c r="AO44" s="238" t="s">
        <v>197</v>
      </c>
      <c r="AP44" s="246">
        <v>46105</v>
      </c>
      <c r="AQ44" s="247">
        <v>46105</v>
      </c>
    </row>
    <row r="45" s="212" customFormat="1" ht="25" customHeight="1" spans="1:43">
      <c r="A45" s="223">
        <v>46020</v>
      </c>
      <c r="B45" s="224" t="s">
        <v>184</v>
      </c>
      <c r="C45" s="225" t="s">
        <v>445</v>
      </c>
      <c r="D45" s="224" t="s">
        <v>195</v>
      </c>
      <c r="E45" s="224" t="s">
        <v>196</v>
      </c>
      <c r="F45" s="224"/>
      <c r="G45" s="224" t="s">
        <v>11</v>
      </c>
      <c r="H45" s="224" t="s">
        <v>178</v>
      </c>
      <c r="I45" s="226">
        <v>522</v>
      </c>
      <c r="J45" s="226">
        <v>6</v>
      </c>
      <c r="K45" s="224">
        <f t="shared" si="4"/>
        <v>87</v>
      </c>
      <c r="L45" s="223">
        <v>46094</v>
      </c>
      <c r="M45" s="223">
        <v>46094</v>
      </c>
      <c r="N45" s="223"/>
      <c r="O45" s="224" t="s">
        <v>446</v>
      </c>
      <c r="P45" s="227">
        <v>46105</v>
      </c>
      <c r="Q45" s="228">
        <v>46042</v>
      </c>
      <c r="R45" s="228">
        <v>46043</v>
      </c>
      <c r="S45" s="230">
        <v>46045</v>
      </c>
      <c r="T45" s="230">
        <v>46045</v>
      </c>
      <c r="U45" s="230" t="s">
        <v>448</v>
      </c>
      <c r="V45" s="240" t="s">
        <v>458</v>
      </c>
      <c r="W45" s="229" t="s">
        <v>459</v>
      </c>
      <c r="X45" s="232" t="str">
        <f t="array" ref="X45">INDEX(系统货号!C:C,MATCH(1,(系统货号!A:A=G45)*(系统货号!B:B=V45),0))</f>
        <v>BS083D6</v>
      </c>
      <c r="Y45" s="230" t="s">
        <v>520</v>
      </c>
      <c r="Z45" s="229"/>
      <c r="AA45" s="229"/>
      <c r="AB45" s="224" t="s">
        <v>551</v>
      </c>
      <c r="AC45" s="224" t="s">
        <v>551</v>
      </c>
      <c r="AD45" s="234" t="s">
        <v>574</v>
      </c>
      <c r="AE45" s="235">
        <v>3.149</v>
      </c>
      <c r="AF45" s="236">
        <f t="shared" si="5"/>
        <v>1643.778</v>
      </c>
      <c r="AG45" s="236">
        <f t="shared" si="6"/>
        <v>12739.2795</v>
      </c>
      <c r="AH45" s="237">
        <v>46021</v>
      </c>
      <c r="AI45" s="224" t="s">
        <v>454</v>
      </c>
      <c r="AJ45" s="224">
        <f>510+12</f>
        <v>522</v>
      </c>
      <c r="AK45" s="224">
        <f t="shared" si="7"/>
        <v>0</v>
      </c>
      <c r="AL45" s="224"/>
      <c r="AM45" s="224"/>
      <c r="AN45" s="238"/>
      <c r="AO45" s="238" t="s">
        <v>197</v>
      </c>
      <c r="AP45" s="239">
        <v>46105</v>
      </c>
      <c r="AQ45" s="247">
        <v>46105</v>
      </c>
    </row>
    <row r="46" s="212" customFormat="1" ht="25" customHeight="1" spans="1:43">
      <c r="A46" s="223">
        <v>46020</v>
      </c>
      <c r="B46" s="224" t="s">
        <v>184</v>
      </c>
      <c r="C46" s="225" t="s">
        <v>445</v>
      </c>
      <c r="D46" s="224" t="s">
        <v>195</v>
      </c>
      <c r="E46" s="224" t="s">
        <v>196</v>
      </c>
      <c r="F46" s="224"/>
      <c r="G46" s="224" t="s">
        <v>14</v>
      </c>
      <c r="H46" s="224" t="s">
        <v>112</v>
      </c>
      <c r="I46" s="226">
        <v>522</v>
      </c>
      <c r="J46" s="226">
        <v>6</v>
      </c>
      <c r="K46" s="224">
        <f t="shared" si="4"/>
        <v>87</v>
      </c>
      <c r="L46" s="223">
        <v>46094</v>
      </c>
      <c r="M46" s="223">
        <v>46094</v>
      </c>
      <c r="N46" s="223"/>
      <c r="O46" s="224" t="s">
        <v>446</v>
      </c>
      <c r="P46" s="227">
        <v>46105</v>
      </c>
      <c r="Q46" s="228">
        <v>46042</v>
      </c>
      <c r="R46" s="228">
        <v>46043</v>
      </c>
      <c r="S46" s="230">
        <v>46045</v>
      </c>
      <c r="T46" s="230">
        <v>46045</v>
      </c>
      <c r="U46" s="230" t="s">
        <v>448</v>
      </c>
      <c r="V46" s="240" t="s">
        <v>458</v>
      </c>
      <c r="W46" s="229" t="s">
        <v>459</v>
      </c>
      <c r="X46" s="232" t="str">
        <f t="array" ref="X46">INDEX(系统货号!C:C,MATCH(1,(系统货号!A:A=G46)*(系统货号!B:B=V46),0))</f>
        <v>BS067D1</v>
      </c>
      <c r="Y46" s="230" t="s">
        <v>520</v>
      </c>
      <c r="Z46" s="229"/>
      <c r="AA46" s="229"/>
      <c r="AB46" s="224" t="s">
        <v>575</v>
      </c>
      <c r="AC46" s="224" t="s">
        <v>544</v>
      </c>
      <c r="AD46" s="234" t="s">
        <v>574</v>
      </c>
      <c r="AE46" s="235">
        <v>3.09</v>
      </c>
      <c r="AF46" s="236">
        <f t="shared" si="5"/>
        <v>1612.98</v>
      </c>
      <c r="AG46" s="236">
        <f t="shared" si="6"/>
        <v>12500.595</v>
      </c>
      <c r="AH46" s="237">
        <v>46021</v>
      </c>
      <c r="AI46" s="224" t="s">
        <v>454</v>
      </c>
      <c r="AJ46" s="224">
        <f>504+18</f>
        <v>522</v>
      </c>
      <c r="AK46" s="224">
        <f t="shared" si="7"/>
        <v>0</v>
      </c>
      <c r="AL46" s="224"/>
      <c r="AM46" s="224"/>
      <c r="AN46" s="238"/>
      <c r="AO46" s="238" t="s">
        <v>197</v>
      </c>
      <c r="AP46" s="239">
        <v>46105</v>
      </c>
      <c r="AQ46" s="247">
        <v>46105</v>
      </c>
    </row>
    <row r="47" s="212" customFormat="1" ht="25" customHeight="1" spans="1:43">
      <c r="A47" s="223">
        <v>46020</v>
      </c>
      <c r="B47" s="224" t="s">
        <v>184</v>
      </c>
      <c r="C47" s="225" t="s">
        <v>445</v>
      </c>
      <c r="D47" s="224" t="s">
        <v>195</v>
      </c>
      <c r="E47" s="224" t="s">
        <v>198</v>
      </c>
      <c r="F47" s="224"/>
      <c r="G47" s="224" t="s">
        <v>10</v>
      </c>
      <c r="H47" s="224" t="s">
        <v>128</v>
      </c>
      <c r="I47" s="226">
        <v>150</v>
      </c>
      <c r="J47" s="226">
        <v>6</v>
      </c>
      <c r="K47" s="224">
        <f t="shared" si="4"/>
        <v>25</v>
      </c>
      <c r="L47" s="223">
        <v>46094</v>
      </c>
      <c r="M47" s="223">
        <v>46094</v>
      </c>
      <c r="N47" s="223"/>
      <c r="O47" s="224" t="s">
        <v>446</v>
      </c>
      <c r="P47" s="227">
        <v>46105</v>
      </c>
      <c r="Q47" s="228">
        <v>46042</v>
      </c>
      <c r="R47" s="228">
        <v>46043</v>
      </c>
      <c r="S47" s="230">
        <v>46045</v>
      </c>
      <c r="T47" s="230">
        <v>46045</v>
      </c>
      <c r="U47" s="230" t="s">
        <v>448</v>
      </c>
      <c r="V47" s="240" t="s">
        <v>458</v>
      </c>
      <c r="W47" s="229" t="s">
        <v>459</v>
      </c>
      <c r="X47" s="232" t="str">
        <f t="array" ref="X47">INDEX(系统货号!C:C,MATCH(1,(系统货号!A:A=G47)*(系统货号!B:B=V47),0))</f>
        <v>BS082D6</v>
      </c>
      <c r="Y47" s="230" t="s">
        <v>520</v>
      </c>
      <c r="Z47" s="229"/>
      <c r="AA47" s="229"/>
      <c r="AB47" s="224" t="s">
        <v>544</v>
      </c>
      <c r="AC47" s="224" t="s">
        <v>544</v>
      </c>
      <c r="AD47" s="234" t="s">
        <v>574</v>
      </c>
      <c r="AE47" s="235">
        <v>3.405</v>
      </c>
      <c r="AF47" s="236">
        <f t="shared" si="5"/>
        <v>510.75</v>
      </c>
      <c r="AG47" s="236">
        <f t="shared" si="6"/>
        <v>3958.3125</v>
      </c>
      <c r="AH47" s="237">
        <v>46021</v>
      </c>
      <c r="AI47" s="224" t="s">
        <v>454</v>
      </c>
      <c r="AJ47" s="224">
        <f>138+12</f>
        <v>150</v>
      </c>
      <c r="AK47" s="224">
        <f t="shared" si="7"/>
        <v>0</v>
      </c>
      <c r="AL47" s="224"/>
      <c r="AM47" s="224"/>
      <c r="AN47" s="238"/>
      <c r="AO47" s="238" t="s">
        <v>199</v>
      </c>
      <c r="AP47" s="239">
        <v>46105</v>
      </c>
      <c r="AQ47" s="247">
        <v>46105</v>
      </c>
    </row>
    <row r="48" s="212" customFormat="1" ht="25" customHeight="1" spans="1:43">
      <c r="A48" s="223">
        <v>46020</v>
      </c>
      <c r="B48" s="224" t="s">
        <v>184</v>
      </c>
      <c r="C48" s="225" t="s">
        <v>445</v>
      </c>
      <c r="D48" s="224" t="s">
        <v>195</v>
      </c>
      <c r="E48" s="224" t="s">
        <v>198</v>
      </c>
      <c r="F48" s="224"/>
      <c r="G48" s="224" t="s">
        <v>11</v>
      </c>
      <c r="H48" s="224" t="s">
        <v>178</v>
      </c>
      <c r="I48" s="226">
        <v>120</v>
      </c>
      <c r="J48" s="226">
        <v>6</v>
      </c>
      <c r="K48" s="224">
        <f t="shared" si="4"/>
        <v>20</v>
      </c>
      <c r="L48" s="223">
        <v>46094</v>
      </c>
      <c r="M48" s="223">
        <v>46094</v>
      </c>
      <c r="N48" s="223"/>
      <c r="O48" s="224" t="s">
        <v>446</v>
      </c>
      <c r="P48" s="227">
        <v>46105</v>
      </c>
      <c r="Q48" s="228">
        <v>46042</v>
      </c>
      <c r="R48" s="228">
        <v>46043</v>
      </c>
      <c r="S48" s="230">
        <v>46045</v>
      </c>
      <c r="T48" s="230">
        <v>46045</v>
      </c>
      <c r="U48" s="230" t="s">
        <v>448</v>
      </c>
      <c r="V48" s="240" t="s">
        <v>458</v>
      </c>
      <c r="W48" s="229" t="s">
        <v>459</v>
      </c>
      <c r="X48" s="232" t="str">
        <f t="array" ref="X48">INDEX(系统货号!C:C,MATCH(1,(系统货号!A:A=G48)*(系统货号!B:B=V48),0))</f>
        <v>BS083D6</v>
      </c>
      <c r="Y48" s="230" t="s">
        <v>520</v>
      </c>
      <c r="Z48" s="229"/>
      <c r="AA48" s="229"/>
      <c r="AB48" s="224" t="s">
        <v>551</v>
      </c>
      <c r="AC48" s="224" t="s">
        <v>551</v>
      </c>
      <c r="AD48" s="234" t="s">
        <v>574</v>
      </c>
      <c r="AE48" s="235">
        <v>3.149</v>
      </c>
      <c r="AF48" s="236">
        <f t="shared" si="5"/>
        <v>377.88</v>
      </c>
      <c r="AG48" s="236">
        <f t="shared" si="6"/>
        <v>2928.57</v>
      </c>
      <c r="AH48" s="237">
        <v>46021</v>
      </c>
      <c r="AI48" s="224" t="s">
        <v>454</v>
      </c>
      <c r="AJ48" s="224">
        <f>102+18</f>
        <v>120</v>
      </c>
      <c r="AK48" s="224">
        <f t="shared" si="7"/>
        <v>0</v>
      </c>
      <c r="AL48" s="224"/>
      <c r="AM48" s="224"/>
      <c r="AN48" s="238"/>
      <c r="AO48" s="238" t="s">
        <v>199</v>
      </c>
      <c r="AP48" s="239">
        <v>46105</v>
      </c>
      <c r="AQ48" s="247">
        <v>46105</v>
      </c>
    </row>
    <row r="49" s="212" customFormat="1" ht="25" customHeight="1" spans="1:43">
      <c r="A49" s="223">
        <v>46020</v>
      </c>
      <c r="B49" s="224" t="s">
        <v>184</v>
      </c>
      <c r="C49" s="225" t="s">
        <v>445</v>
      </c>
      <c r="D49" s="224" t="s">
        <v>195</v>
      </c>
      <c r="E49" s="224" t="s">
        <v>198</v>
      </c>
      <c r="F49" s="224"/>
      <c r="G49" s="224" t="s">
        <v>14</v>
      </c>
      <c r="H49" s="224" t="s">
        <v>112</v>
      </c>
      <c r="I49" s="226">
        <v>120</v>
      </c>
      <c r="J49" s="226">
        <v>6</v>
      </c>
      <c r="K49" s="224">
        <f t="shared" si="4"/>
        <v>20</v>
      </c>
      <c r="L49" s="223">
        <v>46094</v>
      </c>
      <c r="M49" s="223">
        <v>46094</v>
      </c>
      <c r="N49" s="223"/>
      <c r="O49" s="224" t="s">
        <v>446</v>
      </c>
      <c r="P49" s="227">
        <v>46105</v>
      </c>
      <c r="Q49" s="228">
        <v>46042</v>
      </c>
      <c r="R49" s="228">
        <v>46043</v>
      </c>
      <c r="S49" s="230">
        <v>46045</v>
      </c>
      <c r="T49" s="230">
        <v>46045</v>
      </c>
      <c r="U49" s="230" t="s">
        <v>448</v>
      </c>
      <c r="V49" s="240" t="s">
        <v>458</v>
      </c>
      <c r="W49" s="229" t="s">
        <v>459</v>
      </c>
      <c r="X49" s="232" t="str">
        <f t="array" ref="X49">INDEX(系统货号!C:C,MATCH(1,(系统货号!A:A=G49)*(系统货号!B:B=V49),0))</f>
        <v>BS067D1</v>
      </c>
      <c r="Y49" s="230" t="s">
        <v>520</v>
      </c>
      <c r="Z49" s="229"/>
      <c r="AA49" s="229"/>
      <c r="AB49" s="224" t="s">
        <v>575</v>
      </c>
      <c r="AC49" s="224" t="s">
        <v>544</v>
      </c>
      <c r="AD49" s="234" t="s">
        <v>574</v>
      </c>
      <c r="AE49" s="235">
        <v>3.09</v>
      </c>
      <c r="AF49" s="236">
        <f t="shared" si="5"/>
        <v>370.8</v>
      </c>
      <c r="AG49" s="236">
        <f t="shared" si="6"/>
        <v>2873.7</v>
      </c>
      <c r="AH49" s="237">
        <v>46021</v>
      </c>
      <c r="AI49" s="224" t="s">
        <v>454</v>
      </c>
      <c r="AJ49" s="224">
        <f>108+12</f>
        <v>120</v>
      </c>
      <c r="AK49" s="224">
        <f t="shared" si="7"/>
        <v>0</v>
      </c>
      <c r="AL49" s="224"/>
      <c r="AM49" s="224"/>
      <c r="AN49" s="238"/>
      <c r="AO49" s="238" t="s">
        <v>199</v>
      </c>
      <c r="AP49" s="239">
        <v>46105</v>
      </c>
      <c r="AQ49" s="247">
        <v>46105</v>
      </c>
    </row>
    <row r="50" s="212" customFormat="1" ht="25" customHeight="1" spans="1:43">
      <c r="A50" s="223">
        <v>46010</v>
      </c>
      <c r="B50" s="224" t="s">
        <v>184</v>
      </c>
      <c r="C50" s="225" t="s">
        <v>445</v>
      </c>
      <c r="D50" s="224" t="s">
        <v>183</v>
      </c>
      <c r="E50" s="224" t="s">
        <v>185</v>
      </c>
      <c r="F50" s="224"/>
      <c r="G50" s="224" t="s">
        <v>10</v>
      </c>
      <c r="H50" s="224" t="s">
        <v>128</v>
      </c>
      <c r="I50" s="226">
        <v>204</v>
      </c>
      <c r="J50" s="226">
        <v>6</v>
      </c>
      <c r="K50" s="224">
        <f t="shared" si="4"/>
        <v>34</v>
      </c>
      <c r="L50" s="223">
        <v>46094</v>
      </c>
      <c r="M50" s="223">
        <v>46094</v>
      </c>
      <c r="N50" s="223"/>
      <c r="O50" s="224" t="s">
        <v>446</v>
      </c>
      <c r="P50" s="227">
        <v>46105</v>
      </c>
      <c r="Q50" s="228">
        <v>46042</v>
      </c>
      <c r="R50" s="228">
        <v>46043</v>
      </c>
      <c r="S50" s="230">
        <v>46045</v>
      </c>
      <c r="T50" s="230">
        <v>46045</v>
      </c>
      <c r="U50" s="230" t="s">
        <v>448</v>
      </c>
      <c r="V50" s="240" t="s">
        <v>458</v>
      </c>
      <c r="W50" s="229" t="s">
        <v>459</v>
      </c>
      <c r="X50" s="232" t="str">
        <f t="array" ref="X50">INDEX(系统货号!C:C,MATCH(1,(系统货号!A:A=G50)*(系统货号!B:B=V50),0))</f>
        <v>BS082D6</v>
      </c>
      <c r="Y50" s="230" t="s">
        <v>520</v>
      </c>
      <c r="Z50" s="229"/>
      <c r="AA50" s="229"/>
      <c r="AB50" s="224" t="s">
        <v>544</v>
      </c>
      <c r="AC50" s="224" t="s">
        <v>544</v>
      </c>
      <c r="AD50" s="234" t="s">
        <v>574</v>
      </c>
      <c r="AE50" s="235">
        <v>3.405</v>
      </c>
      <c r="AF50" s="236">
        <f t="shared" si="5"/>
        <v>694.62</v>
      </c>
      <c r="AG50" s="236">
        <f t="shared" si="6"/>
        <v>5383.305</v>
      </c>
      <c r="AH50" s="237">
        <v>46021</v>
      </c>
      <c r="AI50" s="224" t="s">
        <v>454</v>
      </c>
      <c r="AJ50" s="224">
        <f>192+12</f>
        <v>204</v>
      </c>
      <c r="AK50" s="224">
        <f t="shared" si="7"/>
        <v>0</v>
      </c>
      <c r="AL50" s="224"/>
      <c r="AM50" s="224"/>
      <c r="AN50" s="238"/>
      <c r="AO50" s="238" t="s">
        <v>186</v>
      </c>
      <c r="AP50" s="239">
        <v>46105</v>
      </c>
      <c r="AQ50" s="247">
        <v>46105</v>
      </c>
    </row>
    <row r="51" s="212" customFormat="1" ht="25" customHeight="1" spans="1:43">
      <c r="A51" s="223">
        <v>46010</v>
      </c>
      <c r="B51" s="224" t="s">
        <v>184</v>
      </c>
      <c r="C51" s="225" t="s">
        <v>445</v>
      </c>
      <c r="D51" s="224" t="s">
        <v>183</v>
      </c>
      <c r="E51" s="224" t="s">
        <v>185</v>
      </c>
      <c r="F51" s="224"/>
      <c r="G51" s="224" t="s">
        <v>11</v>
      </c>
      <c r="H51" s="224" t="s">
        <v>178</v>
      </c>
      <c r="I51" s="226">
        <v>162</v>
      </c>
      <c r="J51" s="226">
        <v>6</v>
      </c>
      <c r="K51" s="224">
        <f t="shared" si="4"/>
        <v>27</v>
      </c>
      <c r="L51" s="223">
        <v>46094</v>
      </c>
      <c r="M51" s="223">
        <v>46094</v>
      </c>
      <c r="N51" s="223"/>
      <c r="O51" s="224" t="s">
        <v>446</v>
      </c>
      <c r="P51" s="227">
        <v>46105</v>
      </c>
      <c r="Q51" s="228">
        <v>46042</v>
      </c>
      <c r="R51" s="228">
        <v>46043</v>
      </c>
      <c r="S51" s="230">
        <v>46045</v>
      </c>
      <c r="T51" s="230">
        <v>46045</v>
      </c>
      <c r="U51" s="230" t="s">
        <v>448</v>
      </c>
      <c r="V51" s="240" t="s">
        <v>458</v>
      </c>
      <c r="W51" s="229" t="s">
        <v>459</v>
      </c>
      <c r="X51" s="232" t="str">
        <f t="array" ref="X51">INDEX(系统货号!C:C,MATCH(1,(系统货号!A:A=G51)*(系统货号!B:B=V51),0))</f>
        <v>BS083D6</v>
      </c>
      <c r="Y51" s="230" t="s">
        <v>520</v>
      </c>
      <c r="Z51" s="229"/>
      <c r="AA51" s="229"/>
      <c r="AB51" s="224" t="s">
        <v>551</v>
      </c>
      <c r="AC51" s="224" t="s">
        <v>551</v>
      </c>
      <c r="AD51" s="234" t="s">
        <v>574</v>
      </c>
      <c r="AE51" s="235">
        <v>3.149</v>
      </c>
      <c r="AF51" s="236">
        <f t="shared" si="5"/>
        <v>510.138</v>
      </c>
      <c r="AG51" s="236">
        <f t="shared" si="6"/>
        <v>3953.5695</v>
      </c>
      <c r="AH51" s="237">
        <v>46021</v>
      </c>
      <c r="AI51" s="224" t="s">
        <v>454</v>
      </c>
      <c r="AJ51" s="224">
        <f>156+6</f>
        <v>162</v>
      </c>
      <c r="AK51" s="224">
        <f t="shared" si="7"/>
        <v>0</v>
      </c>
      <c r="AL51" s="224"/>
      <c r="AM51" s="224"/>
      <c r="AN51" s="238"/>
      <c r="AO51" s="238" t="s">
        <v>186</v>
      </c>
      <c r="AP51" s="239">
        <v>46105</v>
      </c>
      <c r="AQ51" s="247">
        <v>46105</v>
      </c>
    </row>
    <row r="52" s="212" customFormat="1" ht="25" customHeight="1" spans="1:43">
      <c r="A52" s="223">
        <v>46010</v>
      </c>
      <c r="B52" s="224" t="s">
        <v>184</v>
      </c>
      <c r="C52" s="225" t="s">
        <v>445</v>
      </c>
      <c r="D52" s="224" t="s">
        <v>183</v>
      </c>
      <c r="E52" s="224" t="s">
        <v>185</v>
      </c>
      <c r="F52" s="224"/>
      <c r="G52" s="224" t="s">
        <v>14</v>
      </c>
      <c r="H52" s="224" t="s">
        <v>112</v>
      </c>
      <c r="I52" s="226">
        <v>162</v>
      </c>
      <c r="J52" s="226">
        <v>6</v>
      </c>
      <c r="K52" s="224">
        <f t="shared" si="4"/>
        <v>27</v>
      </c>
      <c r="L52" s="223">
        <v>46094</v>
      </c>
      <c r="M52" s="223">
        <v>46094</v>
      </c>
      <c r="N52" s="223"/>
      <c r="O52" s="224" t="s">
        <v>446</v>
      </c>
      <c r="P52" s="227">
        <v>46105</v>
      </c>
      <c r="Q52" s="228">
        <v>46042</v>
      </c>
      <c r="R52" s="228">
        <v>46043</v>
      </c>
      <c r="S52" s="230">
        <v>46045</v>
      </c>
      <c r="T52" s="230">
        <v>46045</v>
      </c>
      <c r="U52" s="230" t="s">
        <v>448</v>
      </c>
      <c r="V52" s="240" t="s">
        <v>458</v>
      </c>
      <c r="W52" s="229" t="s">
        <v>459</v>
      </c>
      <c r="X52" s="232" t="str">
        <f t="array" ref="X52">INDEX(系统货号!C:C,MATCH(1,(系统货号!A:A=G52)*(系统货号!B:B=V52),0))</f>
        <v>BS067D1</v>
      </c>
      <c r="Y52" s="230" t="s">
        <v>520</v>
      </c>
      <c r="Z52" s="229"/>
      <c r="AA52" s="229"/>
      <c r="AB52" s="224" t="s">
        <v>575</v>
      </c>
      <c r="AC52" s="224" t="s">
        <v>544</v>
      </c>
      <c r="AD52" s="234" t="s">
        <v>574</v>
      </c>
      <c r="AE52" s="235">
        <v>3.09</v>
      </c>
      <c r="AF52" s="236">
        <f t="shared" si="5"/>
        <v>500.58</v>
      </c>
      <c r="AG52" s="236">
        <f t="shared" si="6"/>
        <v>3879.495</v>
      </c>
      <c r="AH52" s="237">
        <v>46021</v>
      </c>
      <c r="AI52" s="224" t="s">
        <v>454</v>
      </c>
      <c r="AJ52" s="224">
        <f>150+12</f>
        <v>162</v>
      </c>
      <c r="AK52" s="224">
        <f t="shared" si="7"/>
        <v>0</v>
      </c>
      <c r="AL52" s="224"/>
      <c r="AM52" s="224"/>
      <c r="AN52" s="238"/>
      <c r="AO52" s="238" t="s">
        <v>186</v>
      </c>
      <c r="AP52" s="239">
        <v>46105</v>
      </c>
      <c r="AQ52" s="247">
        <v>46105</v>
      </c>
    </row>
    <row r="53" s="212" customFormat="1" ht="25" customHeight="1" spans="1:43">
      <c r="A53" s="223">
        <v>46008</v>
      </c>
      <c r="B53" s="224" t="s">
        <v>159</v>
      </c>
      <c r="C53" s="225" t="s">
        <v>445</v>
      </c>
      <c r="D53" s="224" t="s">
        <v>158</v>
      </c>
      <c r="E53" s="224" t="s">
        <v>160</v>
      </c>
      <c r="F53" s="224"/>
      <c r="G53" s="224" t="s">
        <v>21</v>
      </c>
      <c r="H53" s="224" t="s">
        <v>161</v>
      </c>
      <c r="I53" s="226">
        <v>306</v>
      </c>
      <c r="J53" s="226">
        <v>6</v>
      </c>
      <c r="K53" s="224">
        <f t="shared" si="4"/>
        <v>51</v>
      </c>
      <c r="L53" s="223">
        <v>46050</v>
      </c>
      <c r="M53" s="223">
        <v>46050</v>
      </c>
      <c r="N53" s="223" t="s">
        <v>539</v>
      </c>
      <c r="O53" s="224" t="s">
        <v>446</v>
      </c>
      <c r="P53" s="227">
        <v>46111</v>
      </c>
      <c r="Q53" s="228">
        <v>46010</v>
      </c>
      <c r="R53" s="228">
        <v>46013</v>
      </c>
      <c r="S53" s="228">
        <v>46386</v>
      </c>
      <c r="T53" s="229">
        <v>46387</v>
      </c>
      <c r="U53" s="230" t="s">
        <v>448</v>
      </c>
      <c r="V53" s="240" t="s">
        <v>458</v>
      </c>
      <c r="W53" s="229" t="s">
        <v>459</v>
      </c>
      <c r="X53" s="232" t="str">
        <f t="array" ref="X53">INDEX(系统货号!C:C,MATCH(1,(系统货号!A:A=G53)*(系统货号!B:B=V53),0))</f>
        <v>CZ001D6</v>
      </c>
      <c r="Y53" s="230" t="s">
        <v>520</v>
      </c>
      <c r="Z53" s="229"/>
      <c r="AA53" s="229"/>
      <c r="AB53" s="224" t="s">
        <v>575</v>
      </c>
      <c r="AC53" s="224" t="s">
        <v>537</v>
      </c>
      <c r="AD53" s="234" t="s">
        <v>576</v>
      </c>
      <c r="AE53" s="235">
        <v>3.648</v>
      </c>
      <c r="AF53" s="236">
        <f t="shared" si="5"/>
        <v>1116.288</v>
      </c>
      <c r="AG53" s="236">
        <f t="shared" si="6"/>
        <v>8651.232</v>
      </c>
      <c r="AH53" s="237">
        <v>46008</v>
      </c>
      <c r="AI53" s="224" t="s">
        <v>454</v>
      </c>
      <c r="AJ53" s="224">
        <v>306</v>
      </c>
      <c r="AK53" s="224">
        <f t="shared" si="7"/>
        <v>0</v>
      </c>
      <c r="AL53" s="224"/>
      <c r="AM53" s="224"/>
      <c r="AN53" s="238"/>
      <c r="AO53" s="238" t="s">
        <v>162</v>
      </c>
      <c r="AP53" s="239">
        <v>46112</v>
      </c>
      <c r="AQ53" s="247">
        <v>46111</v>
      </c>
    </row>
    <row r="54" s="212" customFormat="1" ht="25" customHeight="1" spans="1:43">
      <c r="A54" s="223">
        <v>46008</v>
      </c>
      <c r="B54" s="224" t="s">
        <v>159</v>
      </c>
      <c r="C54" s="225" t="s">
        <v>445</v>
      </c>
      <c r="D54" s="224" t="s">
        <v>158</v>
      </c>
      <c r="E54" s="224" t="s">
        <v>160</v>
      </c>
      <c r="F54" s="224"/>
      <c r="G54" s="224" t="s">
        <v>14</v>
      </c>
      <c r="H54" s="224" t="s">
        <v>112</v>
      </c>
      <c r="I54" s="226">
        <v>360</v>
      </c>
      <c r="J54" s="226">
        <v>6</v>
      </c>
      <c r="K54" s="224">
        <f t="shared" si="4"/>
        <v>60</v>
      </c>
      <c r="L54" s="223">
        <v>46050</v>
      </c>
      <c r="M54" s="223">
        <v>46050</v>
      </c>
      <c r="N54" s="223" t="s">
        <v>539</v>
      </c>
      <c r="O54" s="224" t="s">
        <v>446</v>
      </c>
      <c r="P54" s="227">
        <v>46111</v>
      </c>
      <c r="Q54" s="228">
        <v>46010</v>
      </c>
      <c r="R54" s="228">
        <v>46013</v>
      </c>
      <c r="S54" s="228">
        <v>46386</v>
      </c>
      <c r="T54" s="229">
        <v>46387</v>
      </c>
      <c r="U54" s="230" t="s">
        <v>448</v>
      </c>
      <c r="V54" s="240" t="s">
        <v>458</v>
      </c>
      <c r="W54" s="229" t="s">
        <v>459</v>
      </c>
      <c r="X54" s="232" t="str">
        <f t="array" ref="X54">INDEX(系统货号!C:C,MATCH(1,(系统货号!A:A=G54)*(系统货号!B:B=V54),0))</f>
        <v>BS067D1</v>
      </c>
      <c r="Y54" s="230" t="s">
        <v>520</v>
      </c>
      <c r="Z54" s="229"/>
      <c r="AA54" s="229"/>
      <c r="AB54" s="224" t="s">
        <v>575</v>
      </c>
      <c r="AC54" s="224" t="s">
        <v>537</v>
      </c>
      <c r="AD54" s="234" t="s">
        <v>577</v>
      </c>
      <c r="AE54" s="235">
        <v>3.09</v>
      </c>
      <c r="AF54" s="236">
        <f t="shared" si="5"/>
        <v>1112.4</v>
      </c>
      <c r="AG54" s="236">
        <f t="shared" si="6"/>
        <v>8621.1</v>
      </c>
      <c r="AH54" s="237">
        <v>46008</v>
      </c>
      <c r="AI54" s="224" t="s">
        <v>454</v>
      </c>
      <c r="AJ54" s="224">
        <v>360</v>
      </c>
      <c r="AK54" s="224">
        <f t="shared" si="7"/>
        <v>0</v>
      </c>
      <c r="AL54" s="224"/>
      <c r="AM54" s="224"/>
      <c r="AN54" s="238"/>
      <c r="AO54" s="238" t="s">
        <v>162</v>
      </c>
      <c r="AP54" s="239">
        <v>46112</v>
      </c>
      <c r="AQ54" s="239">
        <v>46111</v>
      </c>
    </row>
    <row r="55" s="212" customFormat="1" ht="25" customHeight="1" spans="1:43">
      <c r="A55" s="223">
        <v>46008</v>
      </c>
      <c r="B55" s="224" t="s">
        <v>159</v>
      </c>
      <c r="C55" s="225" t="s">
        <v>445</v>
      </c>
      <c r="D55" s="224" t="s">
        <v>158</v>
      </c>
      <c r="E55" s="224" t="s">
        <v>160</v>
      </c>
      <c r="F55" s="224"/>
      <c r="G55" s="224" t="s">
        <v>26</v>
      </c>
      <c r="H55" s="224" t="s">
        <v>163</v>
      </c>
      <c r="I55" s="226">
        <v>300</v>
      </c>
      <c r="J55" s="226">
        <v>4</v>
      </c>
      <c r="K55" s="224">
        <f t="shared" si="4"/>
        <v>75</v>
      </c>
      <c r="L55" s="223">
        <v>46050</v>
      </c>
      <c r="M55" s="223">
        <v>46050</v>
      </c>
      <c r="N55" s="223" t="s">
        <v>539</v>
      </c>
      <c r="O55" s="224" t="s">
        <v>446</v>
      </c>
      <c r="P55" s="227">
        <v>46111</v>
      </c>
      <c r="Q55" s="228">
        <v>46010</v>
      </c>
      <c r="R55" s="228">
        <v>46013</v>
      </c>
      <c r="S55" s="228">
        <v>46386</v>
      </c>
      <c r="T55" s="229">
        <v>46387</v>
      </c>
      <c r="U55" s="230" t="s">
        <v>448</v>
      </c>
      <c r="V55" s="240" t="s">
        <v>458</v>
      </c>
      <c r="W55" s="229" t="s">
        <v>459</v>
      </c>
      <c r="X55" s="232" t="str">
        <f t="array" ref="X55">INDEX(系统货号!C:C,MATCH(1,(系统货号!A:A=G55)*(系统货号!B:B=V55),0))</f>
        <v>BS069A1</v>
      </c>
      <c r="Y55" s="230" t="s">
        <v>520</v>
      </c>
      <c r="Z55" s="229"/>
      <c r="AA55" s="229"/>
      <c r="AB55" s="224" t="s">
        <v>537</v>
      </c>
      <c r="AC55" s="224" t="s">
        <v>537</v>
      </c>
      <c r="AD55" s="234" t="s">
        <v>578</v>
      </c>
      <c r="AE55" s="235">
        <v>5.064</v>
      </c>
      <c r="AF55" s="236">
        <f t="shared" si="5"/>
        <v>1519.2</v>
      </c>
      <c r="AG55" s="236">
        <f t="shared" si="6"/>
        <v>11773.8</v>
      </c>
      <c r="AH55" s="237">
        <v>46008</v>
      </c>
      <c r="AI55" s="224" t="s">
        <v>454</v>
      </c>
      <c r="AJ55" s="224">
        <v>300</v>
      </c>
      <c r="AK55" s="224">
        <f t="shared" si="7"/>
        <v>0</v>
      </c>
      <c r="AL55" s="224"/>
      <c r="AM55" s="224"/>
      <c r="AN55" s="238"/>
      <c r="AO55" s="238" t="s">
        <v>162</v>
      </c>
      <c r="AP55" s="239">
        <v>46112</v>
      </c>
      <c r="AQ55" s="239">
        <v>46111</v>
      </c>
    </row>
    <row r="56" s="212" customFormat="1" ht="25" customHeight="1" spans="1:43">
      <c r="A56" s="223">
        <v>46008</v>
      </c>
      <c r="B56" s="224" t="s">
        <v>159</v>
      </c>
      <c r="C56" s="225" t="s">
        <v>445</v>
      </c>
      <c r="D56" s="224" t="s">
        <v>158</v>
      </c>
      <c r="E56" s="224" t="s">
        <v>160</v>
      </c>
      <c r="F56" s="224"/>
      <c r="G56" s="224" t="s">
        <v>164</v>
      </c>
      <c r="H56" s="224" t="s">
        <v>137</v>
      </c>
      <c r="I56" s="226">
        <v>306</v>
      </c>
      <c r="J56" s="226">
        <v>9</v>
      </c>
      <c r="K56" s="224">
        <f t="shared" si="4"/>
        <v>34</v>
      </c>
      <c r="L56" s="223">
        <v>46050</v>
      </c>
      <c r="M56" s="223">
        <v>46050</v>
      </c>
      <c r="N56" s="223" t="s">
        <v>539</v>
      </c>
      <c r="O56" s="224" t="s">
        <v>446</v>
      </c>
      <c r="P56" s="227">
        <v>46111</v>
      </c>
      <c r="Q56" s="228">
        <v>46010</v>
      </c>
      <c r="R56" s="228">
        <v>46013</v>
      </c>
      <c r="S56" s="228">
        <v>46386</v>
      </c>
      <c r="T56" s="229">
        <v>46387</v>
      </c>
      <c r="U56" s="230" t="s">
        <v>448</v>
      </c>
      <c r="V56" s="240" t="s">
        <v>458</v>
      </c>
      <c r="W56" s="229" t="s">
        <v>450</v>
      </c>
      <c r="X56" s="232" t="str">
        <f t="array" ref="X56">INDEX(系统货号!C:C,MATCH(1,(系统货号!A:A=G56)*(系统货号!B:B=V56),0))</f>
        <v>MZ003D9</v>
      </c>
      <c r="Y56" s="230" t="s">
        <v>520</v>
      </c>
      <c r="Z56" s="229"/>
      <c r="AA56" s="229"/>
      <c r="AB56" s="224" t="s">
        <v>450</v>
      </c>
      <c r="AC56" s="224" t="s">
        <v>537</v>
      </c>
      <c r="AD56" s="234" t="s">
        <v>576</v>
      </c>
      <c r="AE56" s="235">
        <v>3.87</v>
      </c>
      <c r="AF56" s="236">
        <f t="shared" si="5"/>
        <v>1184.22</v>
      </c>
      <c r="AG56" s="236">
        <f t="shared" si="6"/>
        <v>9177.705</v>
      </c>
      <c r="AH56" s="237">
        <v>46008</v>
      </c>
      <c r="AI56" s="224"/>
      <c r="AJ56" s="224"/>
      <c r="AK56" s="224"/>
      <c r="AL56" s="224"/>
      <c r="AM56" s="224"/>
      <c r="AN56" s="238"/>
      <c r="AO56" s="238" t="s">
        <v>162</v>
      </c>
      <c r="AP56" s="239">
        <v>46112</v>
      </c>
      <c r="AQ56" s="239">
        <v>46111</v>
      </c>
    </row>
    <row r="57" s="212" customFormat="1" ht="25" customHeight="1" spans="1:43">
      <c r="A57" s="223">
        <v>46008</v>
      </c>
      <c r="B57" s="224" t="s">
        <v>159</v>
      </c>
      <c r="C57" s="225" t="s">
        <v>445</v>
      </c>
      <c r="D57" s="224" t="s">
        <v>158</v>
      </c>
      <c r="E57" s="224" t="s">
        <v>160</v>
      </c>
      <c r="F57" s="224"/>
      <c r="G57" s="224" t="s">
        <v>165</v>
      </c>
      <c r="H57" s="224" t="s">
        <v>166</v>
      </c>
      <c r="I57" s="226">
        <v>300</v>
      </c>
      <c r="J57" s="226">
        <v>6</v>
      </c>
      <c r="K57" s="224">
        <f t="shared" si="4"/>
        <v>50</v>
      </c>
      <c r="L57" s="223">
        <v>46050</v>
      </c>
      <c r="M57" s="223">
        <v>46050</v>
      </c>
      <c r="N57" s="223" t="s">
        <v>539</v>
      </c>
      <c r="O57" s="224" t="s">
        <v>446</v>
      </c>
      <c r="P57" s="227">
        <v>46111</v>
      </c>
      <c r="Q57" s="228">
        <v>46010</v>
      </c>
      <c r="R57" s="228">
        <v>46013</v>
      </c>
      <c r="S57" s="228">
        <v>46386</v>
      </c>
      <c r="T57" s="229">
        <v>46387</v>
      </c>
      <c r="U57" s="230" t="s">
        <v>448</v>
      </c>
      <c r="V57" s="240" t="s">
        <v>458</v>
      </c>
      <c r="W57" s="229" t="s">
        <v>450</v>
      </c>
      <c r="X57" s="232" t="str">
        <f t="array" ref="X57">INDEX(系统货号!C:C,MATCH(1,(系统货号!A:A=G57)*(系统货号!B:B=V57),0))</f>
        <v>ZC006A1（标准版本）</v>
      </c>
      <c r="Y57" s="230" t="s">
        <v>520</v>
      </c>
      <c r="Z57" s="229"/>
      <c r="AA57" s="229"/>
      <c r="AB57" s="224" t="s">
        <v>450</v>
      </c>
      <c r="AC57" s="224" t="s">
        <v>537</v>
      </c>
      <c r="AD57" s="234" t="s">
        <v>579</v>
      </c>
      <c r="AE57" s="235">
        <v>1.209</v>
      </c>
      <c r="AF57" s="236">
        <f t="shared" si="5"/>
        <v>362.7</v>
      </c>
      <c r="AG57" s="236">
        <f t="shared" si="6"/>
        <v>2810.925</v>
      </c>
      <c r="AH57" s="237">
        <v>46008</v>
      </c>
      <c r="AI57" s="224"/>
      <c r="AJ57" s="224"/>
      <c r="AK57" s="224"/>
      <c r="AL57" s="224"/>
      <c r="AM57" s="224"/>
      <c r="AN57" s="238"/>
      <c r="AO57" s="238" t="s">
        <v>162</v>
      </c>
      <c r="AP57" s="239">
        <v>46112</v>
      </c>
      <c r="AQ57" s="239">
        <v>46111</v>
      </c>
    </row>
    <row r="58" s="212" customFormat="1" ht="25" customHeight="1" spans="1:43">
      <c r="A58" s="223">
        <v>46057</v>
      </c>
      <c r="B58" s="224" t="s">
        <v>79</v>
      </c>
      <c r="C58" s="225" t="s">
        <v>445</v>
      </c>
      <c r="D58" s="224" t="s">
        <v>78</v>
      </c>
      <c r="E58" s="224" t="s">
        <v>212</v>
      </c>
      <c r="F58" s="224"/>
      <c r="G58" s="224" t="s">
        <v>12</v>
      </c>
      <c r="H58" s="224" t="s">
        <v>121</v>
      </c>
      <c r="I58" s="224">
        <v>1560</v>
      </c>
      <c r="J58" s="226">
        <v>6</v>
      </c>
      <c r="K58" s="226">
        <v>260</v>
      </c>
      <c r="L58" s="223">
        <v>46111</v>
      </c>
      <c r="M58" s="223">
        <v>46111</v>
      </c>
      <c r="N58" s="223"/>
      <c r="O58" s="224" t="s">
        <v>446</v>
      </c>
      <c r="P58" s="227" t="s">
        <v>580</v>
      </c>
      <c r="Q58" s="228">
        <v>46084</v>
      </c>
      <c r="R58" s="228">
        <v>46085</v>
      </c>
      <c r="S58" s="228">
        <v>46087</v>
      </c>
      <c r="T58" s="228">
        <v>46084</v>
      </c>
      <c r="U58" s="230" t="s">
        <v>448</v>
      </c>
      <c r="V58" s="240" t="s">
        <v>532</v>
      </c>
      <c r="W58" s="229" t="s">
        <v>450</v>
      </c>
      <c r="X58" s="232" t="str">
        <f t="array" ref="X58">INDEX(系统货号!C:C,MATCH(1,(系统货号!A:A=G58)*(系统货号!B:B=V58),0))</f>
        <v>MZ002D6-标准KMART版</v>
      </c>
      <c r="Y58" s="230" t="s">
        <v>533</v>
      </c>
      <c r="Z58" s="229"/>
      <c r="AA58" s="229"/>
      <c r="AB58" s="224" t="s">
        <v>450</v>
      </c>
      <c r="AC58" s="224" t="s">
        <v>534</v>
      </c>
      <c r="AD58" s="234" t="s">
        <v>581</v>
      </c>
      <c r="AE58" s="235">
        <v>3.958</v>
      </c>
      <c r="AF58" s="236">
        <f t="shared" si="5"/>
        <v>6174.48</v>
      </c>
      <c r="AG58" s="236">
        <f t="shared" si="6"/>
        <v>47852.22</v>
      </c>
      <c r="AH58" s="237">
        <v>46059</v>
      </c>
      <c r="AI58" s="224"/>
      <c r="AJ58" s="224"/>
      <c r="AK58" s="224"/>
      <c r="AL58" s="224"/>
      <c r="AM58" s="224"/>
      <c r="AN58" s="238"/>
      <c r="AO58" s="238" t="s">
        <v>213</v>
      </c>
      <c r="AP58" s="239">
        <v>46115</v>
      </c>
      <c r="AQ58" s="239">
        <v>46113</v>
      </c>
    </row>
    <row r="59" s="212" customFormat="1" ht="25" customHeight="1" spans="1:43">
      <c r="A59" s="223">
        <v>46057</v>
      </c>
      <c r="B59" s="224" t="s">
        <v>84</v>
      </c>
      <c r="C59" s="225" t="s">
        <v>445</v>
      </c>
      <c r="D59" s="224" t="s">
        <v>78</v>
      </c>
      <c r="E59" s="224" t="s">
        <v>214</v>
      </c>
      <c r="F59" s="224"/>
      <c r="G59" s="224" t="s">
        <v>12</v>
      </c>
      <c r="H59" s="224" t="s">
        <v>121</v>
      </c>
      <c r="I59" s="224">
        <v>240</v>
      </c>
      <c r="J59" s="226">
        <v>6</v>
      </c>
      <c r="K59" s="226">
        <v>40</v>
      </c>
      <c r="L59" s="223">
        <v>46111</v>
      </c>
      <c r="M59" s="223">
        <v>46111</v>
      </c>
      <c r="N59" s="223"/>
      <c r="O59" s="224" t="s">
        <v>446</v>
      </c>
      <c r="P59" s="227" t="s">
        <v>580</v>
      </c>
      <c r="Q59" s="228">
        <v>46084</v>
      </c>
      <c r="R59" s="228">
        <v>46085</v>
      </c>
      <c r="S59" s="228">
        <v>46087</v>
      </c>
      <c r="T59" s="228">
        <v>46084</v>
      </c>
      <c r="U59" s="230" t="s">
        <v>448</v>
      </c>
      <c r="V59" s="240" t="s">
        <v>532</v>
      </c>
      <c r="W59" s="229" t="s">
        <v>450</v>
      </c>
      <c r="X59" s="232" t="str">
        <f t="array" ref="X59">INDEX(系统货号!C:C,MATCH(1,(系统货号!A:A=G59)*(系统货号!B:B=V59),0))</f>
        <v>MZ002D6-标准KMART版</v>
      </c>
      <c r="Y59" s="230" t="s">
        <v>533</v>
      </c>
      <c r="Z59" s="229"/>
      <c r="AA59" s="229"/>
      <c r="AB59" s="224" t="s">
        <v>450</v>
      </c>
      <c r="AC59" s="224" t="s">
        <v>534</v>
      </c>
      <c r="AD59" s="234" t="s">
        <v>581</v>
      </c>
      <c r="AE59" s="235">
        <v>3.958</v>
      </c>
      <c r="AF59" s="236">
        <f t="shared" si="5"/>
        <v>949.92</v>
      </c>
      <c r="AG59" s="236">
        <f t="shared" si="6"/>
        <v>7361.88</v>
      </c>
      <c r="AH59" s="237">
        <v>46059</v>
      </c>
      <c r="AI59" s="224"/>
      <c r="AJ59" s="224"/>
      <c r="AK59" s="224"/>
      <c r="AL59" s="224"/>
      <c r="AM59" s="224"/>
      <c r="AN59" s="238"/>
      <c r="AO59" s="238" t="s">
        <v>215</v>
      </c>
      <c r="AP59" s="239">
        <v>46115</v>
      </c>
      <c r="AQ59" s="247">
        <v>46113</v>
      </c>
    </row>
    <row r="60" s="212" customFormat="1" ht="25" customHeight="1" spans="1:43">
      <c r="A60" s="223">
        <v>46057</v>
      </c>
      <c r="B60" s="224" t="s">
        <v>79</v>
      </c>
      <c r="C60" s="225" t="s">
        <v>445</v>
      </c>
      <c r="D60" s="224" t="s">
        <v>78</v>
      </c>
      <c r="E60" s="224" t="s">
        <v>216</v>
      </c>
      <c r="F60" s="224"/>
      <c r="G60" s="224" t="s">
        <v>136</v>
      </c>
      <c r="H60" s="224" t="s">
        <v>137</v>
      </c>
      <c r="I60" s="224">
        <v>1500</v>
      </c>
      <c r="J60" s="226">
        <v>6</v>
      </c>
      <c r="K60" s="226">
        <v>250</v>
      </c>
      <c r="L60" s="223">
        <v>46111</v>
      </c>
      <c r="M60" s="223">
        <v>46111</v>
      </c>
      <c r="N60" s="223"/>
      <c r="O60" s="224" t="s">
        <v>446</v>
      </c>
      <c r="P60" s="227" t="s">
        <v>580</v>
      </c>
      <c r="Q60" s="228">
        <v>46084</v>
      </c>
      <c r="R60" s="228">
        <v>46085</v>
      </c>
      <c r="S60" s="228">
        <v>46087</v>
      </c>
      <c r="T60" s="228">
        <v>46084</v>
      </c>
      <c r="U60" s="230" t="s">
        <v>448</v>
      </c>
      <c r="V60" s="240" t="s">
        <v>532</v>
      </c>
      <c r="W60" s="229" t="s">
        <v>450</v>
      </c>
      <c r="X60" s="232" t="str">
        <f t="array" ref="X60">INDEX(系统货号!C:C,MATCH(1,(系统货号!A:A=G60)*(系统货号!B:B=V60),0))</f>
        <v>MZ003D1-标准KMART包装</v>
      </c>
      <c r="Y60" s="230" t="s">
        <v>533</v>
      </c>
      <c r="Z60" s="229"/>
      <c r="AA60" s="229"/>
      <c r="AB60" s="224" t="s">
        <v>450</v>
      </c>
      <c r="AC60" s="224" t="s">
        <v>558</v>
      </c>
      <c r="AD60" s="234" t="s">
        <v>582</v>
      </c>
      <c r="AE60" s="235">
        <v>3.924</v>
      </c>
      <c r="AF60" s="236">
        <f t="shared" si="5"/>
        <v>5886</v>
      </c>
      <c r="AG60" s="236">
        <f t="shared" si="6"/>
        <v>45616.5</v>
      </c>
      <c r="AH60" s="237">
        <v>46059</v>
      </c>
      <c r="AI60" s="224"/>
      <c r="AJ60" s="224"/>
      <c r="AK60" s="224"/>
      <c r="AL60" s="224"/>
      <c r="AM60" s="224"/>
      <c r="AN60" s="238"/>
      <c r="AO60" s="238" t="s">
        <v>217</v>
      </c>
      <c r="AP60" s="239">
        <v>46115</v>
      </c>
      <c r="AQ60" s="247">
        <v>46113</v>
      </c>
    </row>
    <row r="61" s="212" customFormat="1" ht="25" customHeight="1" spans="1:43">
      <c r="A61" s="223">
        <v>46057</v>
      </c>
      <c r="B61" s="224" t="s">
        <v>84</v>
      </c>
      <c r="C61" s="225" t="s">
        <v>445</v>
      </c>
      <c r="D61" s="224" t="s">
        <v>78</v>
      </c>
      <c r="E61" s="224" t="s">
        <v>218</v>
      </c>
      <c r="F61" s="224"/>
      <c r="G61" s="224" t="s">
        <v>136</v>
      </c>
      <c r="H61" s="224" t="s">
        <v>137</v>
      </c>
      <c r="I61" s="224">
        <v>240</v>
      </c>
      <c r="J61" s="226">
        <v>6</v>
      </c>
      <c r="K61" s="226">
        <v>40</v>
      </c>
      <c r="L61" s="223">
        <v>46111</v>
      </c>
      <c r="M61" s="223">
        <v>46111</v>
      </c>
      <c r="N61" s="223"/>
      <c r="O61" s="224" t="s">
        <v>446</v>
      </c>
      <c r="P61" s="227" t="s">
        <v>580</v>
      </c>
      <c r="Q61" s="228">
        <v>46084</v>
      </c>
      <c r="R61" s="228">
        <v>46085</v>
      </c>
      <c r="S61" s="228">
        <v>46087</v>
      </c>
      <c r="T61" s="228">
        <v>46084</v>
      </c>
      <c r="U61" s="230" t="s">
        <v>448</v>
      </c>
      <c r="V61" s="240" t="s">
        <v>532</v>
      </c>
      <c r="W61" s="229" t="s">
        <v>450</v>
      </c>
      <c r="X61" s="232" t="str">
        <f t="array" ref="X61">INDEX(系统货号!C:C,MATCH(1,(系统货号!A:A=G61)*(系统货号!B:B=V61),0))</f>
        <v>MZ003D1-标准KMART包装</v>
      </c>
      <c r="Y61" s="230" t="s">
        <v>533</v>
      </c>
      <c r="Z61" s="229"/>
      <c r="AA61" s="229"/>
      <c r="AB61" s="224" t="s">
        <v>450</v>
      </c>
      <c r="AC61" s="224" t="s">
        <v>558</v>
      </c>
      <c r="AD61" s="234" t="s">
        <v>582</v>
      </c>
      <c r="AE61" s="235">
        <v>3.924</v>
      </c>
      <c r="AF61" s="236">
        <f t="shared" si="5"/>
        <v>941.76</v>
      </c>
      <c r="AG61" s="236">
        <f t="shared" si="6"/>
        <v>7298.64</v>
      </c>
      <c r="AH61" s="237">
        <v>46059</v>
      </c>
      <c r="AI61" s="224"/>
      <c r="AJ61" s="224"/>
      <c r="AK61" s="224"/>
      <c r="AL61" s="224"/>
      <c r="AM61" s="224"/>
      <c r="AN61" s="238"/>
      <c r="AO61" s="238" t="s">
        <v>219</v>
      </c>
      <c r="AP61" s="239">
        <v>46115</v>
      </c>
      <c r="AQ61" s="247">
        <v>46113</v>
      </c>
    </row>
    <row r="62" s="212" customFormat="1" ht="25" customHeight="1" spans="1:43">
      <c r="A62" s="223">
        <v>46038</v>
      </c>
      <c r="B62" s="224" t="s">
        <v>378</v>
      </c>
      <c r="C62" s="225" t="s">
        <v>445</v>
      </c>
      <c r="D62" s="224" t="s">
        <v>583</v>
      </c>
      <c r="E62" s="224" t="s">
        <v>584</v>
      </c>
      <c r="F62" s="224"/>
      <c r="G62" s="224" t="s">
        <v>49</v>
      </c>
      <c r="H62" s="224" t="s">
        <v>144</v>
      </c>
      <c r="I62" s="226">
        <v>50</v>
      </c>
      <c r="J62" s="226">
        <v>4</v>
      </c>
      <c r="K62" s="224">
        <f t="shared" ref="K62:K68" si="8">I62/J62</f>
        <v>12.5</v>
      </c>
      <c r="L62" s="223">
        <v>46044</v>
      </c>
      <c r="M62" s="223">
        <v>46044</v>
      </c>
      <c r="N62" s="223"/>
      <c r="O62" s="224"/>
      <c r="P62" s="227"/>
      <c r="Q62" s="228"/>
      <c r="R62" s="228"/>
      <c r="S62" s="228"/>
      <c r="T62" s="229"/>
      <c r="U62" s="230"/>
      <c r="V62" s="240" t="s">
        <v>449</v>
      </c>
      <c r="W62" s="229" t="s">
        <v>450</v>
      </c>
      <c r="X62" s="232" t="str">
        <f t="array" ref="X62">INDEX(系统货号!C:C,MATCH(1,(系统货号!A:A=G62)*(系统货号!B:B=V62),0))</f>
        <v>PF001A1-KMART</v>
      </c>
      <c r="Y62" s="230" t="s">
        <v>451</v>
      </c>
      <c r="Z62" s="229"/>
      <c r="AA62" s="229"/>
      <c r="AB62" s="224" t="s">
        <v>450</v>
      </c>
      <c r="AC62" s="224" t="s">
        <v>530</v>
      </c>
      <c r="AD62" s="234" t="s">
        <v>585</v>
      </c>
      <c r="AE62" s="235">
        <v>0</v>
      </c>
      <c r="AF62" s="236">
        <f t="shared" si="5"/>
        <v>0</v>
      </c>
      <c r="AG62" s="236">
        <f t="shared" si="6"/>
        <v>0</v>
      </c>
      <c r="AH62" s="237"/>
      <c r="AI62" s="224"/>
      <c r="AJ62" s="224"/>
      <c r="AK62" s="224">
        <f t="shared" ref="AK62:AK65" si="9">AJ62-I62</f>
        <v>-50</v>
      </c>
      <c r="AL62" s="224"/>
      <c r="AM62" s="224"/>
      <c r="AN62" s="238"/>
      <c r="AO62" s="238"/>
      <c r="AP62" s="246"/>
      <c r="AQ62" s="247"/>
    </row>
    <row r="63" s="212" customFormat="1" ht="25" customHeight="1" spans="1:43">
      <c r="A63" s="223">
        <v>46010</v>
      </c>
      <c r="B63" s="224" t="s">
        <v>180</v>
      </c>
      <c r="C63" s="225" t="s">
        <v>445</v>
      </c>
      <c r="D63" s="224" t="s">
        <v>179</v>
      </c>
      <c r="E63" s="224" t="s">
        <v>181</v>
      </c>
      <c r="F63" s="224"/>
      <c r="G63" s="224" t="s">
        <v>10</v>
      </c>
      <c r="H63" s="224" t="s">
        <v>128</v>
      </c>
      <c r="I63" s="226">
        <v>804</v>
      </c>
      <c r="J63" s="226">
        <v>6</v>
      </c>
      <c r="K63" s="224">
        <f t="shared" si="8"/>
        <v>134</v>
      </c>
      <c r="L63" s="223">
        <v>46094</v>
      </c>
      <c r="M63" s="223">
        <v>46094</v>
      </c>
      <c r="N63" s="223"/>
      <c r="O63" s="224" t="s">
        <v>446</v>
      </c>
      <c r="P63" s="227">
        <v>46125</v>
      </c>
      <c r="Q63" s="228">
        <v>46042</v>
      </c>
      <c r="R63" s="228">
        <v>46059</v>
      </c>
      <c r="S63" s="228">
        <v>46062</v>
      </c>
      <c r="T63" s="229">
        <v>46045</v>
      </c>
      <c r="U63" s="230" t="s">
        <v>448</v>
      </c>
      <c r="V63" s="240" t="s">
        <v>458</v>
      </c>
      <c r="W63" s="229" t="s">
        <v>488</v>
      </c>
      <c r="X63" s="232" t="str">
        <f t="array" ref="X63">INDEX(系统货号!C:C,MATCH(1,(系统货号!A:A=G63)*(系统货号!B:B=V63),0))</f>
        <v>BS082D6</v>
      </c>
      <c r="Y63" s="230" t="s">
        <v>520</v>
      </c>
      <c r="Z63" s="229"/>
      <c r="AA63" s="229"/>
      <c r="AB63" s="224" t="s">
        <v>544</v>
      </c>
      <c r="AC63" s="224" t="s">
        <v>544</v>
      </c>
      <c r="AD63" s="234" t="s">
        <v>586</v>
      </c>
      <c r="AE63" s="235">
        <v>3.405</v>
      </c>
      <c r="AF63" s="236">
        <f t="shared" si="5"/>
        <v>2737.62</v>
      </c>
      <c r="AG63" s="236">
        <f t="shared" si="6"/>
        <v>21216.555</v>
      </c>
      <c r="AH63" s="237">
        <v>46021</v>
      </c>
      <c r="AI63" s="224" t="s">
        <v>454</v>
      </c>
      <c r="AJ63" s="224">
        <f>786+18</f>
        <v>804</v>
      </c>
      <c r="AK63" s="224">
        <f t="shared" si="9"/>
        <v>0</v>
      </c>
      <c r="AL63" s="224"/>
      <c r="AM63" s="224"/>
      <c r="AN63" s="238"/>
      <c r="AO63" s="238" t="s">
        <v>182</v>
      </c>
      <c r="AP63" s="246">
        <v>46126</v>
      </c>
      <c r="AQ63" s="247">
        <v>46125</v>
      </c>
    </row>
    <row r="64" s="212" customFormat="1" ht="25" customHeight="1" spans="1:43">
      <c r="A64" s="223">
        <v>46010</v>
      </c>
      <c r="B64" s="224" t="s">
        <v>180</v>
      </c>
      <c r="C64" s="225" t="s">
        <v>445</v>
      </c>
      <c r="D64" s="224" t="s">
        <v>179</v>
      </c>
      <c r="E64" s="224" t="s">
        <v>181</v>
      </c>
      <c r="F64" s="224"/>
      <c r="G64" s="224" t="s">
        <v>11</v>
      </c>
      <c r="H64" s="224" t="s">
        <v>178</v>
      </c>
      <c r="I64" s="226">
        <v>504</v>
      </c>
      <c r="J64" s="226">
        <v>6</v>
      </c>
      <c r="K64" s="224">
        <f t="shared" si="8"/>
        <v>84</v>
      </c>
      <c r="L64" s="223">
        <v>46094</v>
      </c>
      <c r="M64" s="223">
        <v>46094</v>
      </c>
      <c r="N64" s="223"/>
      <c r="O64" s="224" t="s">
        <v>446</v>
      </c>
      <c r="P64" s="227">
        <v>46125</v>
      </c>
      <c r="Q64" s="228">
        <v>46042</v>
      </c>
      <c r="R64" s="228">
        <v>46059</v>
      </c>
      <c r="S64" s="228">
        <v>46062</v>
      </c>
      <c r="T64" s="229">
        <v>46045</v>
      </c>
      <c r="U64" s="230" t="s">
        <v>448</v>
      </c>
      <c r="V64" s="240" t="s">
        <v>458</v>
      </c>
      <c r="W64" s="229" t="s">
        <v>488</v>
      </c>
      <c r="X64" s="232" t="str">
        <f t="array" ref="X64">INDEX(系统货号!C:C,MATCH(1,(系统货号!A:A=G64)*(系统货号!B:B=V64),0))</f>
        <v>BS083D6</v>
      </c>
      <c r="Y64" s="230" t="s">
        <v>520</v>
      </c>
      <c r="Z64" s="229"/>
      <c r="AA64" s="229"/>
      <c r="AB64" s="224" t="s">
        <v>544</v>
      </c>
      <c r="AC64" s="224" t="s">
        <v>544</v>
      </c>
      <c r="AD64" s="234" t="s">
        <v>586</v>
      </c>
      <c r="AE64" s="235">
        <v>3.149</v>
      </c>
      <c r="AF64" s="236">
        <f t="shared" si="5"/>
        <v>1587.096</v>
      </c>
      <c r="AG64" s="236">
        <f t="shared" si="6"/>
        <v>12299.994</v>
      </c>
      <c r="AH64" s="237">
        <v>46021</v>
      </c>
      <c r="AI64" s="224" t="s">
        <v>454</v>
      </c>
      <c r="AJ64" s="224">
        <f>486+18</f>
        <v>504</v>
      </c>
      <c r="AK64" s="224">
        <f t="shared" si="9"/>
        <v>0</v>
      </c>
      <c r="AL64" s="224"/>
      <c r="AM64" s="224"/>
      <c r="AN64" s="238"/>
      <c r="AO64" s="238" t="s">
        <v>182</v>
      </c>
      <c r="AP64" s="246">
        <v>46126</v>
      </c>
      <c r="AQ64" s="247">
        <v>46125</v>
      </c>
    </row>
    <row r="65" s="212" customFormat="1" ht="25" customHeight="1" spans="1:43">
      <c r="A65" s="223">
        <v>46010</v>
      </c>
      <c r="B65" s="224" t="s">
        <v>180</v>
      </c>
      <c r="C65" s="225" t="s">
        <v>445</v>
      </c>
      <c r="D65" s="224" t="s">
        <v>179</v>
      </c>
      <c r="E65" s="224" t="s">
        <v>181</v>
      </c>
      <c r="F65" s="224"/>
      <c r="G65" s="224" t="s">
        <v>14</v>
      </c>
      <c r="H65" s="224" t="s">
        <v>112</v>
      </c>
      <c r="I65" s="226">
        <v>504</v>
      </c>
      <c r="J65" s="226">
        <v>6</v>
      </c>
      <c r="K65" s="224">
        <f t="shared" si="8"/>
        <v>84</v>
      </c>
      <c r="L65" s="223">
        <v>46094</v>
      </c>
      <c r="M65" s="223">
        <v>46094</v>
      </c>
      <c r="N65" s="223"/>
      <c r="O65" s="224" t="s">
        <v>446</v>
      </c>
      <c r="P65" s="227">
        <v>46125</v>
      </c>
      <c r="Q65" s="228">
        <v>46042</v>
      </c>
      <c r="R65" s="228">
        <v>46059</v>
      </c>
      <c r="S65" s="228">
        <v>46062</v>
      </c>
      <c r="T65" s="229">
        <v>46045</v>
      </c>
      <c r="U65" s="230" t="s">
        <v>448</v>
      </c>
      <c r="V65" s="240" t="s">
        <v>458</v>
      </c>
      <c r="W65" s="229" t="s">
        <v>488</v>
      </c>
      <c r="X65" s="232" t="str">
        <f t="array" ref="X65">INDEX(系统货号!C:C,MATCH(1,(系统货号!A:A=G65)*(系统货号!B:B=V65),0))</f>
        <v>BS067D1</v>
      </c>
      <c r="Y65" s="230" t="s">
        <v>520</v>
      </c>
      <c r="Z65" s="229"/>
      <c r="AA65" s="229"/>
      <c r="AB65" s="224" t="s">
        <v>544</v>
      </c>
      <c r="AC65" s="224" t="s">
        <v>544</v>
      </c>
      <c r="AD65" s="234" t="s">
        <v>586</v>
      </c>
      <c r="AE65" s="235">
        <v>3.09</v>
      </c>
      <c r="AF65" s="236">
        <f t="shared" si="5"/>
        <v>1557.36</v>
      </c>
      <c r="AG65" s="236">
        <f t="shared" si="6"/>
        <v>12069.54</v>
      </c>
      <c r="AH65" s="237">
        <v>46021</v>
      </c>
      <c r="AI65" s="224" t="s">
        <v>454</v>
      </c>
      <c r="AJ65" s="224">
        <f>480+24</f>
        <v>504</v>
      </c>
      <c r="AK65" s="224">
        <f t="shared" si="9"/>
        <v>0</v>
      </c>
      <c r="AL65" s="224"/>
      <c r="AM65" s="224"/>
      <c r="AN65" s="238"/>
      <c r="AO65" s="238" t="s">
        <v>182</v>
      </c>
      <c r="AP65" s="246">
        <v>46126</v>
      </c>
      <c r="AQ65" s="247">
        <v>46125</v>
      </c>
    </row>
    <row r="66" s="212" customFormat="1" ht="25" customHeight="1" spans="1:43">
      <c r="A66" s="223">
        <v>46080</v>
      </c>
      <c r="B66" s="224" t="s">
        <v>150</v>
      </c>
      <c r="C66" s="225" t="s">
        <v>445</v>
      </c>
      <c r="D66" s="224" t="s">
        <v>149</v>
      </c>
      <c r="E66" s="224" t="s">
        <v>232</v>
      </c>
      <c r="F66" s="224"/>
      <c r="G66" s="224" t="s">
        <v>67</v>
      </c>
      <c r="H66" s="224" t="s">
        <v>152</v>
      </c>
      <c r="I66" s="226">
        <v>2004</v>
      </c>
      <c r="J66" s="226">
        <v>6</v>
      </c>
      <c r="K66" s="224">
        <f t="shared" si="8"/>
        <v>334</v>
      </c>
      <c r="L66" s="223">
        <v>46122</v>
      </c>
      <c r="M66" s="223">
        <v>46122</v>
      </c>
      <c r="N66" s="223">
        <v>46120</v>
      </c>
      <c r="O66" s="224" t="s">
        <v>446</v>
      </c>
      <c r="P66" s="227">
        <v>46133</v>
      </c>
      <c r="Q66" s="228">
        <v>46090</v>
      </c>
      <c r="R66" s="228">
        <v>46090</v>
      </c>
      <c r="S66" s="228">
        <v>46091</v>
      </c>
      <c r="T66" s="229">
        <v>46008</v>
      </c>
      <c r="U66" s="230" t="s">
        <v>448</v>
      </c>
      <c r="V66" s="240" t="s">
        <v>540</v>
      </c>
      <c r="W66" s="229" t="s">
        <v>488</v>
      </c>
      <c r="X66" s="232" t="str">
        <f t="array" ref="X66">INDEX(系统货号!C:C,MATCH(1,(系统货号!A:A=G66)*(系统货号!B:B=V66),0))</f>
        <v>CZ018D6-加拿大客版</v>
      </c>
      <c r="Y66" s="230" t="s">
        <v>587</v>
      </c>
      <c r="Z66" s="229"/>
      <c r="AA66" s="229"/>
      <c r="AB66" s="224" t="s">
        <v>588</v>
      </c>
      <c r="AC66" s="224" t="s">
        <v>588</v>
      </c>
      <c r="AD66" s="234" t="s">
        <v>589</v>
      </c>
      <c r="AE66" s="235">
        <v>3.905</v>
      </c>
      <c r="AF66" s="236">
        <f t="shared" si="5"/>
        <v>7825.62</v>
      </c>
      <c r="AG66" s="236">
        <f t="shared" si="6"/>
        <v>60648.555</v>
      </c>
      <c r="AH66" s="237">
        <v>46081</v>
      </c>
      <c r="AI66" s="224"/>
      <c r="AJ66" s="224">
        <v>2004</v>
      </c>
      <c r="AK66" s="224"/>
      <c r="AL66" s="224"/>
      <c r="AM66" s="224"/>
      <c r="AN66" s="238"/>
      <c r="AO66" s="238" t="s">
        <v>233</v>
      </c>
      <c r="AP66" s="239">
        <v>46133</v>
      </c>
      <c r="AQ66" s="239">
        <v>46133</v>
      </c>
    </row>
    <row r="67" s="212" customFormat="1" ht="25" customHeight="1" spans="1:43">
      <c r="A67" s="223">
        <v>46042</v>
      </c>
      <c r="B67" s="224" t="s">
        <v>79</v>
      </c>
      <c r="C67" s="225" t="s">
        <v>445</v>
      </c>
      <c r="D67" s="224" t="s">
        <v>78</v>
      </c>
      <c r="E67" s="224" t="s">
        <v>206</v>
      </c>
      <c r="F67" s="224"/>
      <c r="G67" s="224" t="s">
        <v>49</v>
      </c>
      <c r="H67" s="224" t="s">
        <v>144</v>
      </c>
      <c r="I67" s="226">
        <v>1044</v>
      </c>
      <c r="J67" s="226">
        <v>4</v>
      </c>
      <c r="K67" s="224">
        <f t="shared" si="8"/>
        <v>261</v>
      </c>
      <c r="L67" s="223">
        <v>46122</v>
      </c>
      <c r="M67" s="223">
        <v>46122</v>
      </c>
      <c r="N67" s="223">
        <v>46128</v>
      </c>
      <c r="O67" s="224" t="s">
        <v>446</v>
      </c>
      <c r="P67" s="227" t="s">
        <v>590</v>
      </c>
      <c r="Q67" s="228">
        <v>46084</v>
      </c>
      <c r="R67" s="228">
        <v>46085</v>
      </c>
      <c r="S67" s="228">
        <v>46087</v>
      </c>
      <c r="T67" s="228">
        <v>46084</v>
      </c>
      <c r="U67" s="230" t="s">
        <v>448</v>
      </c>
      <c r="V67" s="229" t="s">
        <v>449</v>
      </c>
      <c r="W67" s="229" t="s">
        <v>450</v>
      </c>
      <c r="X67" s="232" t="str">
        <f t="array" ref="X67">INDEX(系统货号!C:C,MATCH(1,(系统货号!A:A=G67)*(系统货号!B:B=V67),0))</f>
        <v>PF001A1-KMART</v>
      </c>
      <c r="Y67" s="230" t="s">
        <v>451</v>
      </c>
      <c r="Z67" s="229"/>
      <c r="AA67" s="229"/>
      <c r="AB67" s="224" t="s">
        <v>450</v>
      </c>
      <c r="AC67" s="241" t="s">
        <v>452</v>
      </c>
      <c r="AD67" s="234" t="s">
        <v>453</v>
      </c>
      <c r="AE67" s="235">
        <v>10.262</v>
      </c>
      <c r="AF67" s="236">
        <f t="shared" si="5"/>
        <v>10713.528</v>
      </c>
      <c r="AG67" s="236">
        <f t="shared" si="6"/>
        <v>83029.842</v>
      </c>
      <c r="AH67" s="237">
        <v>46051</v>
      </c>
      <c r="AI67" s="224" t="s">
        <v>454</v>
      </c>
      <c r="AJ67" s="224">
        <v>1044</v>
      </c>
      <c r="AK67" s="224">
        <f t="shared" ref="AK67:AK70" si="10">AJ67-I67</f>
        <v>0</v>
      </c>
      <c r="AL67" s="224"/>
      <c r="AM67" s="224"/>
      <c r="AN67" s="238"/>
      <c r="AO67" s="238" t="s">
        <v>207</v>
      </c>
      <c r="AP67" s="239">
        <v>46133</v>
      </c>
      <c r="AQ67" s="239">
        <v>46127</v>
      </c>
    </row>
    <row r="68" s="212" customFormat="1" ht="25" customHeight="1" spans="1:43">
      <c r="A68" s="223">
        <v>46050</v>
      </c>
      <c r="B68" s="224" t="s">
        <v>79</v>
      </c>
      <c r="C68" s="225" t="s">
        <v>445</v>
      </c>
      <c r="D68" s="224" t="s">
        <v>78</v>
      </c>
      <c r="E68" s="224" t="s">
        <v>208</v>
      </c>
      <c r="F68" s="224"/>
      <c r="G68" s="224" t="s">
        <v>49</v>
      </c>
      <c r="H68" s="224" t="s">
        <v>144</v>
      </c>
      <c r="I68" s="224">
        <v>844</v>
      </c>
      <c r="J68" s="226">
        <v>4</v>
      </c>
      <c r="K68" s="224">
        <f t="shared" si="8"/>
        <v>211</v>
      </c>
      <c r="L68" s="223">
        <v>46125</v>
      </c>
      <c r="M68" s="223">
        <v>46125</v>
      </c>
      <c r="N68" s="223">
        <v>46128</v>
      </c>
      <c r="O68" s="224" t="s">
        <v>446</v>
      </c>
      <c r="P68" s="227" t="s">
        <v>590</v>
      </c>
      <c r="Q68" s="228">
        <v>46084</v>
      </c>
      <c r="R68" s="228">
        <v>46085</v>
      </c>
      <c r="S68" s="228">
        <v>46087</v>
      </c>
      <c r="T68" s="228">
        <v>46084</v>
      </c>
      <c r="U68" s="230" t="s">
        <v>448</v>
      </c>
      <c r="V68" s="229" t="s">
        <v>449</v>
      </c>
      <c r="W68" s="229" t="s">
        <v>450</v>
      </c>
      <c r="X68" s="232" t="str">
        <f t="array" ref="X68">INDEX(系统货号!C:C,MATCH(1,(系统货号!A:A=G68)*(系统货号!B:B=V68),0))</f>
        <v>PF001A1-KMART</v>
      </c>
      <c r="Y68" s="230" t="s">
        <v>451</v>
      </c>
      <c r="Z68" s="229"/>
      <c r="AA68" s="229"/>
      <c r="AB68" s="224" t="s">
        <v>450</v>
      </c>
      <c r="AC68" s="241" t="s">
        <v>452</v>
      </c>
      <c r="AD68" s="234" t="s">
        <v>453</v>
      </c>
      <c r="AE68" s="235">
        <v>10.262</v>
      </c>
      <c r="AF68" s="236">
        <f t="shared" si="5"/>
        <v>8661.128</v>
      </c>
      <c r="AG68" s="236">
        <f t="shared" si="6"/>
        <v>67123.742</v>
      </c>
      <c r="AH68" s="237">
        <v>46051</v>
      </c>
      <c r="AI68" s="224" t="s">
        <v>454</v>
      </c>
      <c r="AJ68" s="224">
        <v>844</v>
      </c>
      <c r="AK68" s="224">
        <f t="shared" si="10"/>
        <v>0</v>
      </c>
      <c r="AL68" s="224"/>
      <c r="AM68" s="224"/>
      <c r="AN68" s="238"/>
      <c r="AO68" s="238" t="s">
        <v>209</v>
      </c>
      <c r="AP68" s="239">
        <v>46133</v>
      </c>
      <c r="AQ68" s="239">
        <v>46127</v>
      </c>
    </row>
    <row r="69" s="212" customFormat="1" ht="25" customHeight="1" spans="1:43">
      <c r="A69" s="223">
        <v>46057</v>
      </c>
      <c r="B69" s="224" t="s">
        <v>79</v>
      </c>
      <c r="C69" s="225" t="s">
        <v>445</v>
      </c>
      <c r="D69" s="224" t="s">
        <v>78</v>
      </c>
      <c r="E69" s="224" t="s">
        <v>220</v>
      </c>
      <c r="F69" s="224"/>
      <c r="G69" s="224" t="s">
        <v>136</v>
      </c>
      <c r="H69" s="224" t="s">
        <v>137</v>
      </c>
      <c r="I69" s="226">
        <v>1440</v>
      </c>
      <c r="J69" s="226">
        <v>6</v>
      </c>
      <c r="K69" s="224">
        <v>240</v>
      </c>
      <c r="L69" s="223">
        <v>46125</v>
      </c>
      <c r="M69" s="223">
        <v>46125</v>
      </c>
      <c r="N69" s="223">
        <v>46128</v>
      </c>
      <c r="O69" s="224" t="s">
        <v>446</v>
      </c>
      <c r="P69" s="227" t="s">
        <v>590</v>
      </c>
      <c r="Q69" s="228">
        <v>46084</v>
      </c>
      <c r="R69" s="228">
        <v>46085</v>
      </c>
      <c r="S69" s="228">
        <v>46087</v>
      </c>
      <c r="T69" s="228">
        <v>46084</v>
      </c>
      <c r="U69" s="230" t="s">
        <v>448</v>
      </c>
      <c r="V69" s="240" t="s">
        <v>532</v>
      </c>
      <c r="W69" s="229" t="s">
        <v>450</v>
      </c>
      <c r="X69" s="232" t="str">
        <f t="array" ref="X69">INDEX(系统货号!C:C,MATCH(1,(系统货号!A:A=G69)*(系统货号!B:B=V69),0))</f>
        <v>MZ003D1-标准KMART包装</v>
      </c>
      <c r="Y69" s="230" t="s">
        <v>533</v>
      </c>
      <c r="Z69" s="229"/>
      <c r="AA69" s="229"/>
      <c r="AB69" s="224" t="s">
        <v>450</v>
      </c>
      <c r="AC69" s="224" t="s">
        <v>558</v>
      </c>
      <c r="AD69" s="234" t="s">
        <v>582</v>
      </c>
      <c r="AE69" s="235">
        <v>3.924</v>
      </c>
      <c r="AF69" s="236">
        <f t="shared" si="5"/>
        <v>5650.56</v>
      </c>
      <c r="AG69" s="236">
        <f t="shared" si="6"/>
        <v>43791.84</v>
      </c>
      <c r="AH69" s="237">
        <v>46059</v>
      </c>
      <c r="AI69" s="224"/>
      <c r="AJ69" s="224"/>
      <c r="AK69" s="224"/>
      <c r="AL69" s="224"/>
      <c r="AM69" s="224"/>
      <c r="AN69" s="238"/>
      <c r="AO69" s="238" t="s">
        <v>221</v>
      </c>
      <c r="AP69" s="239">
        <v>46133</v>
      </c>
      <c r="AQ69" s="239">
        <v>46127</v>
      </c>
    </row>
    <row r="70" s="212" customFormat="1" ht="25" customHeight="1" spans="1:43">
      <c r="A70" s="223">
        <v>46050</v>
      </c>
      <c r="B70" s="224" t="s">
        <v>84</v>
      </c>
      <c r="C70" s="225" t="s">
        <v>445</v>
      </c>
      <c r="D70" s="224" t="s">
        <v>78</v>
      </c>
      <c r="E70" s="224" t="s">
        <v>210</v>
      </c>
      <c r="F70" s="224"/>
      <c r="G70" s="224" t="s">
        <v>49</v>
      </c>
      <c r="H70" s="224" t="s">
        <v>144</v>
      </c>
      <c r="I70" s="224">
        <v>24</v>
      </c>
      <c r="J70" s="226">
        <v>4</v>
      </c>
      <c r="K70" s="224">
        <f t="shared" ref="K70:K73" si="11">I70/J70</f>
        <v>6</v>
      </c>
      <c r="L70" s="223">
        <v>46125</v>
      </c>
      <c r="M70" s="223">
        <v>46125</v>
      </c>
      <c r="N70" s="223">
        <v>46128</v>
      </c>
      <c r="O70" s="224" t="s">
        <v>446</v>
      </c>
      <c r="P70" s="227" t="s">
        <v>590</v>
      </c>
      <c r="Q70" s="228">
        <v>46084</v>
      </c>
      <c r="R70" s="228">
        <v>46085</v>
      </c>
      <c r="S70" s="228">
        <v>46087</v>
      </c>
      <c r="T70" s="228">
        <v>46084</v>
      </c>
      <c r="U70" s="230" t="s">
        <v>448</v>
      </c>
      <c r="V70" s="229" t="s">
        <v>449</v>
      </c>
      <c r="W70" s="229" t="s">
        <v>450</v>
      </c>
      <c r="X70" s="232" t="str">
        <f t="array" ref="X70">INDEX(系统货号!C:C,MATCH(1,(系统货号!A:A=G70)*(系统货号!B:B=V70),0))</f>
        <v>PF001A1-KMART</v>
      </c>
      <c r="Y70" s="230" t="s">
        <v>451</v>
      </c>
      <c r="Z70" s="229"/>
      <c r="AA70" s="229"/>
      <c r="AB70" s="224" t="s">
        <v>450</v>
      </c>
      <c r="AC70" s="241" t="s">
        <v>452</v>
      </c>
      <c r="AD70" s="234" t="s">
        <v>453</v>
      </c>
      <c r="AE70" s="235">
        <v>10.262</v>
      </c>
      <c r="AF70" s="236">
        <f t="shared" si="5"/>
        <v>246.288</v>
      </c>
      <c r="AG70" s="236">
        <f t="shared" si="6"/>
        <v>1908.732</v>
      </c>
      <c r="AH70" s="237">
        <v>46051</v>
      </c>
      <c r="AI70" s="224" t="s">
        <v>454</v>
      </c>
      <c r="AJ70" s="224">
        <v>24</v>
      </c>
      <c r="AK70" s="224">
        <f t="shared" si="10"/>
        <v>0</v>
      </c>
      <c r="AL70" s="224"/>
      <c r="AM70" s="224"/>
      <c r="AN70" s="238"/>
      <c r="AO70" s="238" t="s">
        <v>211</v>
      </c>
      <c r="AP70" s="239">
        <v>46133</v>
      </c>
      <c r="AQ70" s="239">
        <v>46127</v>
      </c>
    </row>
    <row r="71" s="212" customFormat="1" ht="25" customHeight="1" spans="1:43">
      <c r="A71" s="223">
        <v>46057</v>
      </c>
      <c r="B71" s="224" t="s">
        <v>84</v>
      </c>
      <c r="C71" s="225" t="s">
        <v>445</v>
      </c>
      <c r="D71" s="224" t="s">
        <v>78</v>
      </c>
      <c r="E71" s="224" t="s">
        <v>222</v>
      </c>
      <c r="F71" s="224"/>
      <c r="G71" s="224" t="s">
        <v>136</v>
      </c>
      <c r="H71" s="224" t="s">
        <v>137</v>
      </c>
      <c r="I71" s="226">
        <v>240</v>
      </c>
      <c r="J71" s="226">
        <v>6</v>
      </c>
      <c r="K71" s="224">
        <v>40</v>
      </c>
      <c r="L71" s="223">
        <v>46125</v>
      </c>
      <c r="M71" s="223">
        <v>46125</v>
      </c>
      <c r="N71" s="223">
        <v>46128</v>
      </c>
      <c r="O71" s="224" t="s">
        <v>446</v>
      </c>
      <c r="P71" s="227" t="s">
        <v>590</v>
      </c>
      <c r="Q71" s="228">
        <v>46084</v>
      </c>
      <c r="R71" s="228">
        <v>46085</v>
      </c>
      <c r="S71" s="228">
        <v>46087</v>
      </c>
      <c r="T71" s="228">
        <v>46084</v>
      </c>
      <c r="U71" s="230" t="s">
        <v>448</v>
      </c>
      <c r="V71" s="240" t="s">
        <v>532</v>
      </c>
      <c r="W71" s="229" t="s">
        <v>450</v>
      </c>
      <c r="X71" s="232" t="str">
        <f t="array" ref="X71">INDEX(系统货号!C:C,MATCH(1,(系统货号!A:A=G71)*(系统货号!B:B=V71),0))</f>
        <v>MZ003D1-标准KMART包装</v>
      </c>
      <c r="Y71" s="230" t="s">
        <v>533</v>
      </c>
      <c r="Z71" s="229"/>
      <c r="AA71" s="229"/>
      <c r="AB71" s="224" t="s">
        <v>450</v>
      </c>
      <c r="AC71" s="224" t="s">
        <v>558</v>
      </c>
      <c r="AD71" s="234" t="s">
        <v>582</v>
      </c>
      <c r="AE71" s="235">
        <v>3.924</v>
      </c>
      <c r="AF71" s="236">
        <f t="shared" si="5"/>
        <v>941.76</v>
      </c>
      <c r="AG71" s="236">
        <f t="shared" si="6"/>
        <v>7298.64</v>
      </c>
      <c r="AH71" s="237">
        <v>46059</v>
      </c>
      <c r="AI71" s="224"/>
      <c r="AJ71" s="224"/>
      <c r="AK71" s="224"/>
      <c r="AL71" s="224"/>
      <c r="AM71" s="224"/>
      <c r="AN71" s="238"/>
      <c r="AO71" s="238" t="s">
        <v>223</v>
      </c>
      <c r="AP71" s="239">
        <v>46133</v>
      </c>
      <c r="AQ71" s="239">
        <v>46127</v>
      </c>
    </row>
    <row r="72" s="212" customFormat="1" ht="25" customHeight="1" spans="1:43">
      <c r="A72" s="223">
        <v>46062</v>
      </c>
      <c r="B72" s="224" t="s">
        <v>79</v>
      </c>
      <c r="C72" s="225" t="s">
        <v>445</v>
      </c>
      <c r="D72" s="224" t="s">
        <v>78</v>
      </c>
      <c r="E72" s="224" t="s">
        <v>228</v>
      </c>
      <c r="F72" s="224"/>
      <c r="G72" s="224" t="s">
        <v>49</v>
      </c>
      <c r="H72" s="224" t="s">
        <v>144</v>
      </c>
      <c r="I72" s="226">
        <v>808</v>
      </c>
      <c r="J72" s="226">
        <v>4</v>
      </c>
      <c r="K72" s="224">
        <f t="shared" si="11"/>
        <v>202</v>
      </c>
      <c r="L72" s="223">
        <v>46139</v>
      </c>
      <c r="M72" s="223">
        <v>46139</v>
      </c>
      <c r="N72" s="223">
        <v>46128</v>
      </c>
      <c r="O72" s="224" t="s">
        <v>446</v>
      </c>
      <c r="P72" s="227" t="s">
        <v>591</v>
      </c>
      <c r="Q72" s="229">
        <v>46099</v>
      </c>
      <c r="R72" s="229">
        <v>46101</v>
      </c>
      <c r="S72" s="228">
        <v>46108</v>
      </c>
      <c r="T72" s="229">
        <v>46099</v>
      </c>
      <c r="U72" s="230" t="s">
        <v>448</v>
      </c>
      <c r="V72" s="229" t="s">
        <v>449</v>
      </c>
      <c r="W72" s="229" t="s">
        <v>450</v>
      </c>
      <c r="X72" s="232" t="str">
        <f t="array" ref="X72">INDEX(系统货号!C:C,MATCH(1,(系统货号!A:A=G72)*(系统货号!B:B=V72),0))</f>
        <v>PF001A1-KMART</v>
      </c>
      <c r="Y72" s="230" t="s">
        <v>451</v>
      </c>
      <c r="Z72" s="229"/>
      <c r="AA72" s="229"/>
      <c r="AB72" s="224" t="s">
        <v>450</v>
      </c>
      <c r="AC72" s="241" t="s">
        <v>452</v>
      </c>
      <c r="AD72" s="234" t="s">
        <v>453</v>
      </c>
      <c r="AE72" s="235">
        <v>10.262</v>
      </c>
      <c r="AF72" s="236">
        <f t="shared" si="5"/>
        <v>8291.696</v>
      </c>
      <c r="AG72" s="236">
        <f t="shared" si="6"/>
        <v>64260.644</v>
      </c>
      <c r="AH72" s="237">
        <v>46081</v>
      </c>
      <c r="AI72" s="224" t="s">
        <v>454</v>
      </c>
      <c r="AJ72" s="224">
        <v>808</v>
      </c>
      <c r="AK72" s="224">
        <f>AJ72-I72</f>
        <v>0</v>
      </c>
      <c r="AL72" s="224"/>
      <c r="AM72" s="224"/>
      <c r="AN72" s="238"/>
      <c r="AO72" s="238" t="s">
        <v>229</v>
      </c>
      <c r="AP72" s="239">
        <v>46140</v>
      </c>
      <c r="AQ72" s="239">
        <v>46134</v>
      </c>
    </row>
    <row r="73" s="212" customFormat="1" ht="25" customHeight="1" spans="1:43">
      <c r="A73" s="223">
        <v>46062</v>
      </c>
      <c r="B73" s="224" t="s">
        <v>84</v>
      </c>
      <c r="C73" s="225" t="s">
        <v>445</v>
      </c>
      <c r="D73" s="224" t="s">
        <v>78</v>
      </c>
      <c r="E73" s="224" t="s">
        <v>230</v>
      </c>
      <c r="F73" s="224"/>
      <c r="G73" s="224" t="s">
        <v>49</v>
      </c>
      <c r="H73" s="224" t="s">
        <v>144</v>
      </c>
      <c r="I73" s="226">
        <v>60</v>
      </c>
      <c r="J73" s="226">
        <v>4</v>
      </c>
      <c r="K73" s="224">
        <f t="shared" si="11"/>
        <v>15</v>
      </c>
      <c r="L73" s="223">
        <v>46139</v>
      </c>
      <c r="M73" s="223">
        <v>46139</v>
      </c>
      <c r="N73" s="223">
        <v>46128</v>
      </c>
      <c r="O73" s="224" t="s">
        <v>446</v>
      </c>
      <c r="P73" s="227" t="s">
        <v>591</v>
      </c>
      <c r="Q73" s="229">
        <v>46099</v>
      </c>
      <c r="R73" s="229">
        <v>46101</v>
      </c>
      <c r="S73" s="228">
        <v>46108</v>
      </c>
      <c r="T73" s="229">
        <v>46099</v>
      </c>
      <c r="U73" s="230" t="s">
        <v>448</v>
      </c>
      <c r="V73" s="229" t="s">
        <v>449</v>
      </c>
      <c r="W73" s="229" t="s">
        <v>450</v>
      </c>
      <c r="X73" s="232" t="str">
        <f t="array" ref="X73">INDEX(系统货号!C:C,MATCH(1,(系统货号!A:A=G73)*(系统货号!B:B=V73),0))</f>
        <v>PF001A1-KMART</v>
      </c>
      <c r="Y73" s="230" t="s">
        <v>451</v>
      </c>
      <c r="Z73" s="229"/>
      <c r="AA73" s="229"/>
      <c r="AB73" s="224" t="s">
        <v>450</v>
      </c>
      <c r="AC73" s="241" t="s">
        <v>452</v>
      </c>
      <c r="AD73" s="234" t="s">
        <v>453</v>
      </c>
      <c r="AE73" s="235">
        <v>10.262</v>
      </c>
      <c r="AF73" s="236">
        <f t="shared" si="5"/>
        <v>615.72</v>
      </c>
      <c r="AG73" s="236">
        <f t="shared" si="6"/>
        <v>4771.83</v>
      </c>
      <c r="AH73" s="237">
        <v>46081</v>
      </c>
      <c r="AI73" s="224" t="s">
        <v>454</v>
      </c>
      <c r="AJ73" s="224">
        <v>60</v>
      </c>
      <c r="AK73" s="224">
        <f>AJ73-I73</f>
        <v>0</v>
      </c>
      <c r="AL73" s="224"/>
      <c r="AM73" s="224"/>
      <c r="AN73" s="238"/>
      <c r="AO73" s="238" t="s">
        <v>231</v>
      </c>
      <c r="AP73" s="239">
        <v>46140</v>
      </c>
      <c r="AQ73" s="239">
        <v>46134</v>
      </c>
    </row>
    <row r="74" s="212" customFormat="1" ht="25" customHeight="1" spans="1:43">
      <c r="A74" s="223">
        <v>45902</v>
      </c>
      <c r="B74" s="224" t="s">
        <v>79</v>
      </c>
      <c r="C74" s="225" t="s">
        <v>445</v>
      </c>
      <c r="D74" s="224" t="s">
        <v>78</v>
      </c>
      <c r="E74" s="224" t="s">
        <v>80</v>
      </c>
      <c r="F74" s="224"/>
      <c r="G74" s="224" t="s">
        <v>16</v>
      </c>
      <c r="H74" s="224" t="s">
        <v>81</v>
      </c>
      <c r="I74" s="226">
        <v>2952</v>
      </c>
      <c r="J74" s="226">
        <v>6</v>
      </c>
      <c r="K74" s="224">
        <v>492</v>
      </c>
      <c r="L74" s="223">
        <v>46132</v>
      </c>
      <c r="M74" s="223">
        <v>46132</v>
      </c>
      <c r="N74" s="223">
        <v>46136</v>
      </c>
      <c r="O74" s="224" t="s">
        <v>446</v>
      </c>
      <c r="P74" s="227" t="s">
        <v>591</v>
      </c>
      <c r="Q74" s="228">
        <v>46099</v>
      </c>
      <c r="R74" s="228">
        <v>46099</v>
      </c>
      <c r="S74" s="228">
        <v>46108</v>
      </c>
      <c r="T74" s="229">
        <v>46099</v>
      </c>
      <c r="U74" s="230" t="s">
        <v>448</v>
      </c>
      <c r="V74" s="240" t="s">
        <v>449</v>
      </c>
      <c r="W74" s="229" t="s">
        <v>592</v>
      </c>
      <c r="X74" s="232" t="s">
        <v>593</v>
      </c>
      <c r="Y74" s="230" t="s">
        <v>533</v>
      </c>
      <c r="Z74" s="229"/>
      <c r="AA74" s="229"/>
      <c r="AB74" s="224" t="s">
        <v>594</v>
      </c>
      <c r="AC74" s="224" t="s">
        <v>594</v>
      </c>
      <c r="AD74" s="234" t="s">
        <v>595</v>
      </c>
      <c r="AE74" s="235">
        <v>3.126</v>
      </c>
      <c r="AF74" s="236">
        <v>9227.952</v>
      </c>
      <c r="AG74" s="236">
        <v>71516.628</v>
      </c>
      <c r="AH74" s="237">
        <v>45904</v>
      </c>
      <c r="AI74" s="224"/>
      <c r="AJ74" s="224"/>
      <c r="AK74" s="224"/>
      <c r="AL74" s="224"/>
      <c r="AM74" s="224"/>
      <c r="AN74" s="238"/>
      <c r="AO74" s="238" t="s">
        <v>82</v>
      </c>
      <c r="AP74" s="239">
        <v>46140</v>
      </c>
      <c r="AQ74" s="239">
        <v>46134</v>
      </c>
    </row>
    <row r="75" s="212" customFormat="1" ht="25" customHeight="1" spans="1:43">
      <c r="A75" s="223">
        <v>45902</v>
      </c>
      <c r="B75" s="224" t="s">
        <v>84</v>
      </c>
      <c r="C75" s="225" t="s">
        <v>445</v>
      </c>
      <c r="D75" s="224" t="s">
        <v>78</v>
      </c>
      <c r="E75" s="224" t="s">
        <v>85</v>
      </c>
      <c r="F75" s="224"/>
      <c r="G75" s="224" t="s">
        <v>16</v>
      </c>
      <c r="H75" s="224" t="s">
        <v>81</v>
      </c>
      <c r="I75" s="226">
        <v>48</v>
      </c>
      <c r="J75" s="226">
        <v>6</v>
      </c>
      <c r="K75" s="224">
        <v>8</v>
      </c>
      <c r="L75" s="223">
        <v>46132</v>
      </c>
      <c r="M75" s="223">
        <v>46132</v>
      </c>
      <c r="N75" s="223">
        <v>46136</v>
      </c>
      <c r="O75" s="224" t="s">
        <v>446</v>
      </c>
      <c r="P75" s="227" t="s">
        <v>591</v>
      </c>
      <c r="Q75" s="228">
        <v>46099</v>
      </c>
      <c r="R75" s="228">
        <v>46099</v>
      </c>
      <c r="S75" s="228">
        <v>46108</v>
      </c>
      <c r="T75" s="229">
        <v>46099</v>
      </c>
      <c r="U75" s="230" t="s">
        <v>448</v>
      </c>
      <c r="V75" s="240" t="s">
        <v>449</v>
      </c>
      <c r="W75" s="229" t="s">
        <v>592</v>
      </c>
      <c r="X75" s="248" t="s">
        <v>593</v>
      </c>
      <c r="Y75" s="230" t="s">
        <v>533</v>
      </c>
      <c r="Z75" s="229"/>
      <c r="AA75" s="229"/>
      <c r="AB75" s="224" t="s">
        <v>594</v>
      </c>
      <c r="AC75" s="224" t="s">
        <v>594</v>
      </c>
      <c r="AD75" s="234" t="s">
        <v>595</v>
      </c>
      <c r="AE75" s="235">
        <v>3.126</v>
      </c>
      <c r="AF75" s="236">
        <v>150.048</v>
      </c>
      <c r="AG75" s="236">
        <v>1162.872</v>
      </c>
      <c r="AH75" s="237">
        <v>45904</v>
      </c>
      <c r="AI75" s="224"/>
      <c r="AJ75" s="224"/>
      <c r="AK75" s="224"/>
      <c r="AL75" s="224"/>
      <c r="AM75" s="224"/>
      <c r="AN75" s="238"/>
      <c r="AO75" s="238" t="s">
        <v>86</v>
      </c>
      <c r="AP75" s="239">
        <v>46140</v>
      </c>
      <c r="AQ75" s="239">
        <v>46134</v>
      </c>
    </row>
    <row r="76" s="212" customFormat="1" ht="25" customHeight="1" spans="1:43">
      <c r="A76" s="223">
        <v>46057</v>
      </c>
      <c r="B76" s="224" t="s">
        <v>79</v>
      </c>
      <c r="C76" s="225" t="s">
        <v>445</v>
      </c>
      <c r="D76" s="224" t="s">
        <v>78</v>
      </c>
      <c r="E76" s="224" t="s">
        <v>224</v>
      </c>
      <c r="F76" s="224"/>
      <c r="G76" s="224" t="s">
        <v>136</v>
      </c>
      <c r="H76" s="224" t="s">
        <v>137</v>
      </c>
      <c r="I76" s="226">
        <v>1260</v>
      </c>
      <c r="J76" s="226">
        <v>6</v>
      </c>
      <c r="K76" s="224">
        <v>210</v>
      </c>
      <c r="L76" s="223">
        <v>46139</v>
      </c>
      <c r="M76" s="223">
        <v>46139</v>
      </c>
      <c r="N76" s="223">
        <v>46128</v>
      </c>
      <c r="O76" s="224" t="s">
        <v>446</v>
      </c>
      <c r="P76" s="227" t="s">
        <v>591</v>
      </c>
      <c r="Q76" s="228">
        <v>46099</v>
      </c>
      <c r="R76" s="228">
        <v>46099</v>
      </c>
      <c r="S76" s="228">
        <v>46108</v>
      </c>
      <c r="T76" s="229">
        <v>46099</v>
      </c>
      <c r="U76" s="230" t="s">
        <v>448</v>
      </c>
      <c r="V76" s="240" t="s">
        <v>532</v>
      </c>
      <c r="W76" s="229" t="s">
        <v>450</v>
      </c>
      <c r="X76" s="232" t="s">
        <v>557</v>
      </c>
      <c r="Y76" s="230" t="s">
        <v>533</v>
      </c>
      <c r="Z76" s="229"/>
      <c r="AA76" s="229"/>
      <c r="AB76" s="224" t="s">
        <v>450</v>
      </c>
      <c r="AC76" s="224" t="s">
        <v>558</v>
      </c>
      <c r="AD76" s="234" t="s">
        <v>582</v>
      </c>
      <c r="AE76" s="235">
        <v>3.924</v>
      </c>
      <c r="AF76" s="236">
        <v>4944.24</v>
      </c>
      <c r="AG76" s="236">
        <v>38317.86</v>
      </c>
      <c r="AH76" s="237">
        <v>46059</v>
      </c>
      <c r="AI76" s="224"/>
      <c r="AJ76" s="224"/>
      <c r="AK76" s="224"/>
      <c r="AL76" s="224"/>
      <c r="AM76" s="224"/>
      <c r="AN76" s="238"/>
      <c r="AO76" s="238" t="s">
        <v>225</v>
      </c>
      <c r="AP76" s="239">
        <v>46140</v>
      </c>
      <c r="AQ76" s="239">
        <v>46134</v>
      </c>
    </row>
    <row r="77" s="212" customFormat="1" ht="25" customHeight="1" spans="1:43">
      <c r="A77" s="223">
        <v>46057</v>
      </c>
      <c r="B77" s="224" t="s">
        <v>84</v>
      </c>
      <c r="C77" s="225" t="s">
        <v>445</v>
      </c>
      <c r="D77" s="224" t="s">
        <v>78</v>
      </c>
      <c r="E77" s="224" t="s">
        <v>226</v>
      </c>
      <c r="F77" s="224"/>
      <c r="G77" s="224" t="s">
        <v>136</v>
      </c>
      <c r="H77" s="224" t="s">
        <v>137</v>
      </c>
      <c r="I77" s="226">
        <v>186</v>
      </c>
      <c r="J77" s="226">
        <v>6</v>
      </c>
      <c r="K77" s="224">
        <v>31</v>
      </c>
      <c r="L77" s="223">
        <v>46139</v>
      </c>
      <c r="M77" s="223">
        <v>46139</v>
      </c>
      <c r="N77" s="223">
        <v>46128</v>
      </c>
      <c r="O77" s="224" t="s">
        <v>446</v>
      </c>
      <c r="P77" s="227" t="s">
        <v>591</v>
      </c>
      <c r="Q77" s="228">
        <v>46099</v>
      </c>
      <c r="R77" s="228">
        <v>46099</v>
      </c>
      <c r="S77" s="228">
        <v>46108</v>
      </c>
      <c r="T77" s="229">
        <v>46099</v>
      </c>
      <c r="U77" s="230" t="s">
        <v>448</v>
      </c>
      <c r="V77" s="240" t="s">
        <v>532</v>
      </c>
      <c r="W77" s="229" t="s">
        <v>450</v>
      </c>
      <c r="X77" s="232" t="s">
        <v>557</v>
      </c>
      <c r="Y77" s="230" t="s">
        <v>533</v>
      </c>
      <c r="Z77" s="229"/>
      <c r="AA77" s="229"/>
      <c r="AB77" s="224" t="s">
        <v>450</v>
      </c>
      <c r="AC77" s="224" t="s">
        <v>558</v>
      </c>
      <c r="AD77" s="234" t="s">
        <v>582</v>
      </c>
      <c r="AE77" s="235">
        <v>3.924</v>
      </c>
      <c r="AF77" s="236">
        <v>729.864</v>
      </c>
      <c r="AG77" s="236">
        <v>5656.446</v>
      </c>
      <c r="AH77" s="237">
        <v>46059</v>
      </c>
      <c r="AI77" s="224"/>
      <c r="AJ77" s="224"/>
      <c r="AK77" s="224"/>
      <c r="AL77" s="224"/>
      <c r="AM77" s="224"/>
      <c r="AN77" s="238"/>
      <c r="AO77" s="238" t="s">
        <v>227</v>
      </c>
      <c r="AP77" s="239">
        <v>46140</v>
      </c>
      <c r="AQ77" s="239">
        <v>46134</v>
      </c>
    </row>
    <row r="78" s="212" customFormat="1" ht="25" customHeight="1" spans="1:43">
      <c r="A78" s="223">
        <v>46087</v>
      </c>
      <c r="B78" s="224" t="s">
        <v>84</v>
      </c>
      <c r="C78" s="225" t="s">
        <v>445</v>
      </c>
      <c r="D78" s="224" t="s">
        <v>78</v>
      </c>
      <c r="E78" s="224" t="s">
        <v>236</v>
      </c>
      <c r="F78" s="224"/>
      <c r="G78" s="224" t="s">
        <v>49</v>
      </c>
      <c r="H78" s="224" t="s">
        <v>144</v>
      </c>
      <c r="I78" s="226">
        <v>56</v>
      </c>
      <c r="J78" s="226">
        <v>4</v>
      </c>
      <c r="K78" s="224">
        <f t="shared" ref="K78:K87" si="12">I78/J78</f>
        <v>14</v>
      </c>
      <c r="L78" s="223">
        <v>46153</v>
      </c>
      <c r="M78" s="223">
        <v>46153</v>
      </c>
      <c r="N78" s="223">
        <v>46148</v>
      </c>
      <c r="O78" s="224" t="s">
        <v>446</v>
      </c>
      <c r="P78" s="227" t="s">
        <v>596</v>
      </c>
      <c r="Q78" s="229">
        <v>46099</v>
      </c>
      <c r="R78" s="229">
        <v>46101</v>
      </c>
      <c r="S78" s="228">
        <v>46108</v>
      </c>
      <c r="T78" s="229">
        <v>46099</v>
      </c>
      <c r="U78" s="230" t="s">
        <v>448</v>
      </c>
      <c r="V78" s="229" t="s">
        <v>449</v>
      </c>
      <c r="W78" s="229" t="s">
        <v>450</v>
      </c>
      <c r="X78" s="232" t="str">
        <f t="array" ref="X78">INDEX(系统货号!C:C,MATCH(1,(系统货号!A:A=G78)*(系统货号!B:B=V78),0))</f>
        <v>PF001A1-KMART</v>
      </c>
      <c r="Y78" s="230" t="s">
        <v>451</v>
      </c>
      <c r="Z78" s="229"/>
      <c r="AA78" s="229"/>
      <c r="AB78" s="224" t="s">
        <v>450</v>
      </c>
      <c r="AC78" s="241" t="s">
        <v>452</v>
      </c>
      <c r="AD78" s="234" t="s">
        <v>453</v>
      </c>
      <c r="AE78" s="235">
        <v>10.262</v>
      </c>
      <c r="AF78" s="236">
        <f t="shared" ref="AF78:AF87" si="13">I78*AE78</f>
        <v>574.672</v>
      </c>
      <c r="AG78" s="236">
        <f t="shared" ref="AG78:AG87" si="14">AF78*7.75</f>
        <v>4453.708</v>
      </c>
      <c r="AH78" s="237">
        <v>46087</v>
      </c>
      <c r="AI78" s="224" t="s">
        <v>454</v>
      </c>
      <c r="AJ78" s="224">
        <v>56</v>
      </c>
      <c r="AK78" s="224">
        <f t="shared" ref="AK78:AK80" si="15">AJ78-I78</f>
        <v>0</v>
      </c>
      <c r="AL78" s="224"/>
      <c r="AM78" s="224"/>
      <c r="AN78" s="238"/>
      <c r="AO78" s="249" t="s">
        <v>235</v>
      </c>
      <c r="AP78" s="239">
        <v>46157</v>
      </c>
      <c r="AQ78" s="239">
        <v>46156</v>
      </c>
    </row>
    <row r="79" s="212" customFormat="1" ht="25" customHeight="1" spans="1:43">
      <c r="A79" s="223">
        <v>46087</v>
      </c>
      <c r="B79" s="224" t="s">
        <v>79</v>
      </c>
      <c r="C79" s="225" t="s">
        <v>445</v>
      </c>
      <c r="D79" s="224" t="s">
        <v>78</v>
      </c>
      <c r="E79" s="224" t="s">
        <v>234</v>
      </c>
      <c r="F79" s="224"/>
      <c r="G79" s="224" t="s">
        <v>49</v>
      </c>
      <c r="H79" s="224" t="s">
        <v>144</v>
      </c>
      <c r="I79" s="226">
        <v>812</v>
      </c>
      <c r="J79" s="226">
        <v>4</v>
      </c>
      <c r="K79" s="224">
        <f t="shared" si="12"/>
        <v>203</v>
      </c>
      <c r="L79" s="223">
        <v>46153</v>
      </c>
      <c r="M79" s="223">
        <v>46153</v>
      </c>
      <c r="N79" s="223">
        <v>46148</v>
      </c>
      <c r="O79" s="224" t="s">
        <v>446</v>
      </c>
      <c r="P79" s="227" t="s">
        <v>596</v>
      </c>
      <c r="Q79" s="229">
        <v>46099</v>
      </c>
      <c r="R79" s="229">
        <v>46101</v>
      </c>
      <c r="S79" s="228">
        <v>46108</v>
      </c>
      <c r="T79" s="229">
        <v>46099</v>
      </c>
      <c r="U79" s="230" t="s">
        <v>448</v>
      </c>
      <c r="V79" s="229" t="s">
        <v>449</v>
      </c>
      <c r="W79" s="229" t="s">
        <v>450</v>
      </c>
      <c r="X79" s="232" t="str">
        <f t="array" ref="X79">INDEX(系统货号!C:C,MATCH(1,(系统货号!A:A=G79)*(系统货号!B:B=V79),0))</f>
        <v>PF001A1-KMART</v>
      </c>
      <c r="Y79" s="230" t="s">
        <v>451</v>
      </c>
      <c r="Z79" s="229"/>
      <c r="AA79" s="229"/>
      <c r="AB79" s="224" t="s">
        <v>450</v>
      </c>
      <c r="AC79" s="241" t="s">
        <v>452</v>
      </c>
      <c r="AD79" s="234" t="s">
        <v>453</v>
      </c>
      <c r="AE79" s="235">
        <v>10.262</v>
      </c>
      <c r="AF79" s="236">
        <f t="shared" si="13"/>
        <v>8332.744</v>
      </c>
      <c r="AG79" s="236">
        <f t="shared" si="14"/>
        <v>64578.766</v>
      </c>
      <c r="AH79" s="237">
        <v>46087</v>
      </c>
      <c r="AI79" s="224" t="s">
        <v>454</v>
      </c>
      <c r="AJ79" s="224">
        <v>812</v>
      </c>
      <c r="AK79" s="224">
        <f t="shared" si="15"/>
        <v>0</v>
      </c>
      <c r="AL79" s="224"/>
      <c r="AM79" s="224"/>
      <c r="AN79" s="238"/>
      <c r="AO79" s="249" t="s">
        <v>237</v>
      </c>
      <c r="AP79" s="239">
        <v>46157</v>
      </c>
      <c r="AQ79" s="239">
        <v>46156</v>
      </c>
    </row>
    <row r="80" s="212" customFormat="1" ht="25" customHeight="1" spans="1:43">
      <c r="A80" s="223">
        <v>46112</v>
      </c>
      <c r="B80" s="224" t="s">
        <v>251</v>
      </c>
      <c r="C80" s="225" t="s">
        <v>445</v>
      </c>
      <c r="D80" s="225" t="s">
        <v>250</v>
      </c>
      <c r="E80" s="224" t="s">
        <v>252</v>
      </c>
      <c r="F80" s="224"/>
      <c r="G80" s="224" t="s">
        <v>49</v>
      </c>
      <c r="H80" s="250" t="s">
        <v>144</v>
      </c>
      <c r="I80" s="226">
        <v>500</v>
      </c>
      <c r="J80" s="226">
        <v>4</v>
      </c>
      <c r="K80" s="250">
        <f t="shared" si="12"/>
        <v>125</v>
      </c>
      <c r="L80" s="223">
        <v>46153</v>
      </c>
      <c r="M80" s="223">
        <v>46153</v>
      </c>
      <c r="N80" s="223" t="s">
        <v>457</v>
      </c>
      <c r="O80" s="224" t="s">
        <v>446</v>
      </c>
      <c r="P80" s="227"/>
      <c r="Q80" s="229">
        <v>46129</v>
      </c>
      <c r="R80" s="229">
        <v>46130</v>
      </c>
      <c r="S80" s="228">
        <v>46134</v>
      </c>
      <c r="T80" s="228">
        <v>46134</v>
      </c>
      <c r="U80" s="230" t="s">
        <v>448</v>
      </c>
      <c r="V80" s="229" t="s">
        <v>570</v>
      </c>
      <c r="W80" s="229" t="s">
        <v>450</v>
      </c>
      <c r="X80" s="232" t="str">
        <f t="array" ref="X80">INDEX(系统货号!C:C,MATCH(1,(系统货号!A:A=G80)*(系统货号!B:B=V80),0))</f>
        <v>PF001A1-新标准版</v>
      </c>
      <c r="Y80" s="230"/>
      <c r="Z80" s="229"/>
      <c r="AA80" s="229"/>
      <c r="AB80" s="224" t="s">
        <v>450</v>
      </c>
      <c r="AC80" s="245" t="s">
        <v>597</v>
      </c>
      <c r="AD80" s="234" t="s">
        <v>598</v>
      </c>
      <c r="AE80" s="235">
        <v>10.262</v>
      </c>
      <c r="AF80" s="236">
        <f t="shared" si="13"/>
        <v>5131</v>
      </c>
      <c r="AG80" s="236">
        <f t="shared" si="14"/>
        <v>39765.25</v>
      </c>
      <c r="AH80" s="237">
        <v>46113</v>
      </c>
      <c r="AI80" s="224" t="s">
        <v>454</v>
      </c>
      <c r="AJ80" s="224">
        <f>496+4</f>
        <v>500</v>
      </c>
      <c r="AK80" s="224">
        <f t="shared" si="15"/>
        <v>0</v>
      </c>
      <c r="AL80" s="224"/>
      <c r="AM80" s="224"/>
      <c r="AN80" s="238"/>
      <c r="AO80" s="249" t="s">
        <v>254</v>
      </c>
      <c r="AP80" s="239">
        <v>46160</v>
      </c>
      <c r="AQ80" s="239">
        <v>46158</v>
      </c>
    </row>
    <row r="81" s="212" customFormat="1" ht="25" customHeight="1" spans="1:43 16384:16384">
      <c r="A81" s="223">
        <v>46112</v>
      </c>
      <c r="B81" s="224" t="s">
        <v>251</v>
      </c>
      <c r="C81" s="225" t="s">
        <v>445</v>
      </c>
      <c r="D81" s="225" t="s">
        <v>250</v>
      </c>
      <c r="E81" s="224" t="s">
        <v>252</v>
      </c>
      <c r="F81" s="224"/>
      <c r="G81" s="224" t="s">
        <v>60</v>
      </c>
      <c r="H81" s="224" t="s">
        <v>253</v>
      </c>
      <c r="I81" s="226">
        <v>600</v>
      </c>
      <c r="J81" s="226">
        <v>6</v>
      </c>
      <c r="K81" s="250">
        <f t="shared" si="12"/>
        <v>100</v>
      </c>
      <c r="L81" s="223">
        <v>46153</v>
      </c>
      <c r="M81" s="223">
        <v>46153</v>
      </c>
      <c r="N81" s="223" t="s">
        <v>457</v>
      </c>
      <c r="O81" s="224" t="s">
        <v>446</v>
      </c>
      <c r="P81" s="227">
        <v>46158</v>
      </c>
      <c r="Q81" s="228">
        <v>46129</v>
      </c>
      <c r="R81" s="228">
        <v>46130</v>
      </c>
      <c r="S81" s="228">
        <v>46134</v>
      </c>
      <c r="T81" s="228">
        <v>46134</v>
      </c>
      <c r="U81" s="230" t="s">
        <v>448</v>
      </c>
      <c r="V81" s="240" t="s">
        <v>458</v>
      </c>
      <c r="W81" s="229" t="s">
        <v>459</v>
      </c>
      <c r="X81" s="232" t="str">
        <f t="array" ref="X81">INDEX(系统货号!C:C,MATCH(1,(系统货号!A:A=G81)*(系统货号!B:B=V81),0))</f>
        <v>CZ022D6</v>
      </c>
      <c r="Y81" s="230"/>
      <c r="Z81" s="229"/>
      <c r="AA81" s="229"/>
      <c r="AB81" s="224" t="s">
        <v>597</v>
      </c>
      <c r="AC81" s="245" t="s">
        <v>597</v>
      </c>
      <c r="AD81" s="234" t="s">
        <v>599</v>
      </c>
      <c r="AE81" s="235">
        <v>3.989</v>
      </c>
      <c r="AF81" s="236">
        <f t="shared" si="13"/>
        <v>2393.4</v>
      </c>
      <c r="AG81" s="236">
        <f t="shared" si="14"/>
        <v>18548.85</v>
      </c>
      <c r="AH81" s="237">
        <v>46113</v>
      </c>
      <c r="AI81" s="224"/>
      <c r="AJ81" s="224"/>
      <c r="AK81" s="224"/>
      <c r="AL81" s="224"/>
      <c r="AM81" s="224"/>
      <c r="AN81" s="238"/>
      <c r="AO81" s="249" t="s">
        <v>254</v>
      </c>
      <c r="AP81" s="239">
        <v>46160</v>
      </c>
      <c r="AQ81" s="239">
        <v>46158</v>
      </c>
    </row>
    <row r="82" s="212" customFormat="1" ht="25" customHeight="1" spans="1:43 16384:16384">
      <c r="A82" s="223">
        <v>46112</v>
      </c>
      <c r="B82" s="224" t="s">
        <v>251</v>
      </c>
      <c r="C82" s="225" t="s">
        <v>445</v>
      </c>
      <c r="D82" s="225" t="s">
        <v>250</v>
      </c>
      <c r="E82" s="224" t="s">
        <v>252</v>
      </c>
      <c r="F82" s="224"/>
      <c r="G82" s="224" t="s">
        <v>67</v>
      </c>
      <c r="H82" s="224" t="s">
        <v>152</v>
      </c>
      <c r="I82" s="226">
        <v>600</v>
      </c>
      <c r="J82" s="226">
        <v>6</v>
      </c>
      <c r="K82" s="250">
        <f t="shared" si="12"/>
        <v>100</v>
      </c>
      <c r="L82" s="223">
        <v>46153</v>
      </c>
      <c r="M82" s="223">
        <v>46153</v>
      </c>
      <c r="N82" s="223" t="s">
        <v>457</v>
      </c>
      <c r="O82" s="224" t="s">
        <v>446</v>
      </c>
      <c r="P82" s="227">
        <v>46158</v>
      </c>
      <c r="Q82" s="228">
        <v>46129</v>
      </c>
      <c r="R82" s="228">
        <v>46130</v>
      </c>
      <c r="S82" s="228">
        <v>46134</v>
      </c>
      <c r="T82" s="228">
        <v>46134</v>
      </c>
      <c r="U82" s="230" t="s">
        <v>448</v>
      </c>
      <c r="V82" s="240" t="s">
        <v>458</v>
      </c>
      <c r="W82" s="229" t="s">
        <v>459</v>
      </c>
      <c r="X82" s="232" t="str">
        <f t="array" ref="X82">INDEX(系统货号!C:C,MATCH(1,(系统货号!A:A=G82)*(系统货号!B:B=V82),0))</f>
        <v>CZ018D6</v>
      </c>
      <c r="Y82" s="230"/>
      <c r="Z82" s="229"/>
      <c r="AA82" s="229"/>
      <c r="AB82" s="224" t="s">
        <v>597</v>
      </c>
      <c r="AC82" s="245" t="s">
        <v>597</v>
      </c>
      <c r="AD82" s="234" t="s">
        <v>599</v>
      </c>
      <c r="AE82" s="235">
        <v>3.905</v>
      </c>
      <c r="AF82" s="236">
        <f t="shared" si="13"/>
        <v>2343</v>
      </c>
      <c r="AG82" s="236">
        <f t="shared" si="14"/>
        <v>18158.25</v>
      </c>
      <c r="AH82" s="237">
        <v>46113</v>
      </c>
      <c r="AI82" s="224"/>
      <c r="AJ82" s="224"/>
      <c r="AK82" s="224"/>
      <c r="AL82" s="224"/>
      <c r="AM82" s="224"/>
      <c r="AN82" s="238"/>
      <c r="AO82" s="249" t="s">
        <v>254</v>
      </c>
      <c r="AP82" s="239">
        <v>46160</v>
      </c>
      <c r="AQ82" s="239">
        <v>46158</v>
      </c>
    </row>
    <row r="83" s="212" customFormat="1" ht="25" customHeight="1" spans="1:43 16384:16384">
      <c r="A83" s="223">
        <v>46088</v>
      </c>
      <c r="B83" s="224" t="s">
        <v>241</v>
      </c>
      <c r="C83" s="225" t="s">
        <v>445</v>
      </c>
      <c r="D83" s="224" t="s">
        <v>240</v>
      </c>
      <c r="E83" s="224" t="s">
        <v>242</v>
      </c>
      <c r="F83" s="224"/>
      <c r="G83" s="224" t="s">
        <v>118</v>
      </c>
      <c r="H83" s="224" t="s">
        <v>119</v>
      </c>
      <c r="I83" s="226">
        <v>4920</v>
      </c>
      <c r="J83" s="226">
        <v>6</v>
      </c>
      <c r="K83" s="224">
        <f t="shared" si="12"/>
        <v>820</v>
      </c>
      <c r="L83" s="223">
        <v>46150</v>
      </c>
      <c r="M83" s="223">
        <v>46150</v>
      </c>
      <c r="N83" s="223" t="s">
        <v>457</v>
      </c>
      <c r="O83" s="224" t="s">
        <v>446</v>
      </c>
      <c r="P83" s="227">
        <v>46158</v>
      </c>
      <c r="Q83" s="228">
        <v>46112</v>
      </c>
      <c r="R83" s="228">
        <v>46113</v>
      </c>
      <c r="S83" s="228">
        <v>46125</v>
      </c>
      <c r="T83" s="229">
        <v>46127</v>
      </c>
      <c r="U83" s="230" t="s">
        <v>448</v>
      </c>
      <c r="V83" s="240" t="s">
        <v>600</v>
      </c>
      <c r="W83" s="229" t="s">
        <v>459</v>
      </c>
      <c r="X83" s="232" t="str">
        <f t="array" ref="X83">INDEX(系统货号!C:C,MATCH(1,(系统货号!A:A=G83)*(系统货号!B:B=V83),0))</f>
        <v>CZ006D6-瑞士</v>
      </c>
      <c r="Y83" s="230"/>
      <c r="Z83" s="229"/>
      <c r="AA83" s="229"/>
      <c r="AB83" s="224" t="s">
        <v>575</v>
      </c>
      <c r="AC83" s="224" t="s">
        <v>575</v>
      </c>
      <c r="AD83" s="234" t="s">
        <v>601</v>
      </c>
      <c r="AE83" s="235">
        <v>3.988</v>
      </c>
      <c r="AF83" s="236">
        <f t="shared" si="13"/>
        <v>19620.96</v>
      </c>
      <c r="AG83" s="236">
        <f t="shared" si="14"/>
        <v>152062.44</v>
      </c>
      <c r="AH83" s="237">
        <v>46104</v>
      </c>
      <c r="AI83" s="224"/>
      <c r="AJ83" s="224"/>
      <c r="AK83" s="224"/>
      <c r="AL83" s="224"/>
      <c r="AM83" s="224"/>
      <c r="AN83" s="238"/>
      <c r="AO83" s="249" t="s">
        <v>243</v>
      </c>
      <c r="AP83" s="246">
        <v>46164</v>
      </c>
      <c r="AQ83" s="247">
        <v>46160</v>
      </c>
    </row>
    <row r="84" s="213" customFormat="1" ht="25" customHeight="1" spans="1:43 16384:16384">
      <c r="A84" s="251">
        <v>46010</v>
      </c>
      <c r="B84" s="252" t="s">
        <v>175</v>
      </c>
      <c r="C84" s="253" t="s">
        <v>445</v>
      </c>
      <c r="D84" s="252" t="s">
        <v>174</v>
      </c>
      <c r="E84" s="252" t="s">
        <v>176</v>
      </c>
      <c r="F84" s="252"/>
      <c r="G84" s="252" t="s">
        <v>10</v>
      </c>
      <c r="H84" s="252" t="s">
        <v>128</v>
      </c>
      <c r="I84" s="254">
        <v>804</v>
      </c>
      <c r="J84" s="254">
        <v>6</v>
      </c>
      <c r="K84" s="252">
        <f t="shared" si="12"/>
        <v>134</v>
      </c>
      <c r="L84" s="251">
        <v>46167</v>
      </c>
      <c r="M84" s="251">
        <v>46167</v>
      </c>
      <c r="N84" s="251" t="s">
        <v>602</v>
      </c>
      <c r="O84" s="252" t="s">
        <v>446</v>
      </c>
      <c r="P84" s="255">
        <v>46171</v>
      </c>
      <c r="Q84" s="256">
        <v>46043</v>
      </c>
      <c r="R84" s="256">
        <v>46059</v>
      </c>
      <c r="S84" s="256">
        <v>46059</v>
      </c>
      <c r="T84" s="257">
        <v>46133</v>
      </c>
      <c r="U84" s="258" t="s">
        <v>448</v>
      </c>
      <c r="V84" s="259" t="s">
        <v>458</v>
      </c>
      <c r="W84" s="257" t="s">
        <v>459</v>
      </c>
      <c r="X84" s="260" t="str">
        <f t="array" ref="X84">INDEX(系统货号!C:C,MATCH(1,(系统货号!A:A=G84)*(系统货号!B:B=V84),0))</f>
        <v>BS082D6</v>
      </c>
      <c r="Y84" s="258" t="s">
        <v>520</v>
      </c>
      <c r="Z84" s="257"/>
      <c r="AA84" s="257"/>
      <c r="AB84" s="252" t="s">
        <v>544</v>
      </c>
      <c r="AC84" s="252" t="s">
        <v>544</v>
      </c>
      <c r="AD84" s="261" t="s">
        <v>603</v>
      </c>
      <c r="AE84" s="262">
        <v>3.405</v>
      </c>
      <c r="AF84" s="263">
        <f t="shared" si="13"/>
        <v>2737.62</v>
      </c>
      <c r="AG84" s="263">
        <f t="shared" si="14"/>
        <v>21216.555</v>
      </c>
      <c r="AH84" s="264">
        <v>46021</v>
      </c>
      <c r="AI84" s="252" t="s">
        <v>454</v>
      </c>
      <c r="AJ84" s="252"/>
      <c r="AK84" s="252"/>
      <c r="AL84" s="252"/>
      <c r="AM84" s="252"/>
      <c r="AN84" s="265"/>
      <c r="AO84" s="265" t="s">
        <v>177</v>
      </c>
      <c r="AP84" s="266">
        <v>46175</v>
      </c>
      <c r="AQ84" s="267">
        <v>46174</v>
      </c>
    </row>
    <row r="85" s="213" customFormat="1" ht="25" customHeight="1" spans="1:43 16384:16384">
      <c r="A85" s="251">
        <v>46010</v>
      </c>
      <c r="B85" s="252" t="s">
        <v>175</v>
      </c>
      <c r="C85" s="253" t="s">
        <v>445</v>
      </c>
      <c r="D85" s="252" t="s">
        <v>174</v>
      </c>
      <c r="E85" s="252" t="s">
        <v>176</v>
      </c>
      <c r="F85" s="252"/>
      <c r="G85" s="252" t="s">
        <v>11</v>
      </c>
      <c r="H85" s="252" t="s">
        <v>178</v>
      </c>
      <c r="I85" s="254">
        <v>504</v>
      </c>
      <c r="J85" s="254">
        <v>6</v>
      </c>
      <c r="K85" s="252">
        <f t="shared" si="12"/>
        <v>84</v>
      </c>
      <c r="L85" s="251">
        <v>46167</v>
      </c>
      <c r="M85" s="251">
        <v>46167</v>
      </c>
      <c r="N85" s="251" t="s">
        <v>602</v>
      </c>
      <c r="O85" s="252" t="s">
        <v>446</v>
      </c>
      <c r="P85" s="255">
        <v>46171</v>
      </c>
      <c r="Q85" s="256">
        <v>46043</v>
      </c>
      <c r="R85" s="256">
        <v>46059</v>
      </c>
      <c r="S85" s="256">
        <v>46059</v>
      </c>
      <c r="T85" s="257">
        <v>46133</v>
      </c>
      <c r="U85" s="258" t="s">
        <v>448</v>
      </c>
      <c r="V85" s="259" t="s">
        <v>458</v>
      </c>
      <c r="W85" s="257" t="s">
        <v>459</v>
      </c>
      <c r="X85" s="260" t="str">
        <f t="array" ref="X85">INDEX(系统货号!C:C,MATCH(1,(系统货号!A:A=G85)*(系统货号!B:B=V85),0))</f>
        <v>BS083D6</v>
      </c>
      <c r="Y85" s="258" t="s">
        <v>520</v>
      </c>
      <c r="Z85" s="257"/>
      <c r="AA85" s="257"/>
      <c r="AB85" s="252" t="s">
        <v>551</v>
      </c>
      <c r="AC85" s="252" t="s">
        <v>551</v>
      </c>
      <c r="AD85" s="261" t="s">
        <v>603</v>
      </c>
      <c r="AE85" s="262">
        <v>3.149</v>
      </c>
      <c r="AF85" s="263">
        <f t="shared" si="13"/>
        <v>1587.096</v>
      </c>
      <c r="AG85" s="263">
        <f t="shared" si="14"/>
        <v>12299.994</v>
      </c>
      <c r="AH85" s="264">
        <v>46021</v>
      </c>
      <c r="AI85" s="252" t="s">
        <v>454</v>
      </c>
      <c r="AJ85" s="252"/>
      <c r="AK85" s="252"/>
      <c r="AL85" s="252"/>
      <c r="AM85" s="252"/>
      <c r="AN85" s="265"/>
      <c r="AO85" s="265" t="s">
        <v>177</v>
      </c>
      <c r="AP85" s="266">
        <v>46175</v>
      </c>
      <c r="AQ85" s="267">
        <v>46174</v>
      </c>
    </row>
    <row r="86" s="213" customFormat="1" ht="25" customHeight="1" spans="1:43 16384:16384">
      <c r="A86" s="251">
        <v>46010</v>
      </c>
      <c r="B86" s="252" t="s">
        <v>175</v>
      </c>
      <c r="C86" s="253" t="s">
        <v>445</v>
      </c>
      <c r="D86" s="252" t="s">
        <v>174</v>
      </c>
      <c r="E86" s="252" t="s">
        <v>176</v>
      </c>
      <c r="F86" s="252"/>
      <c r="G86" s="252" t="s">
        <v>14</v>
      </c>
      <c r="H86" s="252" t="s">
        <v>112</v>
      </c>
      <c r="I86" s="254">
        <v>504</v>
      </c>
      <c r="J86" s="254">
        <v>6</v>
      </c>
      <c r="K86" s="252">
        <f t="shared" si="12"/>
        <v>84</v>
      </c>
      <c r="L86" s="251">
        <v>46167</v>
      </c>
      <c r="M86" s="251">
        <v>46167</v>
      </c>
      <c r="N86" s="251" t="s">
        <v>602</v>
      </c>
      <c r="O86" s="252" t="s">
        <v>446</v>
      </c>
      <c r="P86" s="255">
        <v>46171</v>
      </c>
      <c r="Q86" s="256">
        <v>46043</v>
      </c>
      <c r="R86" s="256">
        <v>46059</v>
      </c>
      <c r="S86" s="256">
        <v>46059</v>
      </c>
      <c r="T86" s="257">
        <v>46133</v>
      </c>
      <c r="U86" s="258" t="s">
        <v>448</v>
      </c>
      <c r="V86" s="259" t="s">
        <v>458</v>
      </c>
      <c r="W86" s="257" t="s">
        <v>459</v>
      </c>
      <c r="X86" s="260" t="str">
        <f t="array" ref="X86">INDEX(系统货号!C:C,MATCH(1,(系统货号!A:A=G86)*(系统货号!B:B=V86),0))</f>
        <v>BS067D1</v>
      </c>
      <c r="Y86" s="258" t="s">
        <v>520</v>
      </c>
      <c r="Z86" s="257"/>
      <c r="AA86" s="257"/>
      <c r="AB86" s="252" t="s">
        <v>575</v>
      </c>
      <c r="AC86" s="252" t="s">
        <v>544</v>
      </c>
      <c r="AD86" s="261" t="s">
        <v>603</v>
      </c>
      <c r="AE86" s="262">
        <v>3.09</v>
      </c>
      <c r="AF86" s="263">
        <f t="shared" si="13"/>
        <v>1557.36</v>
      </c>
      <c r="AG86" s="263">
        <f t="shared" si="14"/>
        <v>12069.54</v>
      </c>
      <c r="AH86" s="264">
        <v>46021</v>
      </c>
      <c r="AI86" s="252" t="s">
        <v>454</v>
      </c>
      <c r="AJ86" s="252"/>
      <c r="AK86" s="252"/>
      <c r="AL86" s="252"/>
      <c r="AM86" s="252"/>
      <c r="AN86" s="265"/>
      <c r="AO86" s="265" t="s">
        <v>177</v>
      </c>
      <c r="AP86" s="266">
        <v>46175</v>
      </c>
      <c r="AQ86" s="267">
        <v>46174</v>
      </c>
    </row>
    <row r="87" s="213" customFormat="1" ht="25" customHeight="1" spans="1:43 16384:16384">
      <c r="A87" s="251">
        <v>46087</v>
      </c>
      <c r="B87" s="252" t="s">
        <v>79</v>
      </c>
      <c r="C87" s="253" t="s">
        <v>445</v>
      </c>
      <c r="D87" s="252" t="s">
        <v>78</v>
      </c>
      <c r="E87" s="252" t="s">
        <v>238</v>
      </c>
      <c r="F87" s="252"/>
      <c r="G87" s="252" t="s">
        <v>49</v>
      </c>
      <c r="H87" s="252" t="s">
        <v>144</v>
      </c>
      <c r="I87" s="254">
        <v>868</v>
      </c>
      <c r="J87" s="254">
        <v>4</v>
      </c>
      <c r="K87" s="252">
        <f t="shared" si="12"/>
        <v>217</v>
      </c>
      <c r="L87" s="251">
        <v>46164</v>
      </c>
      <c r="M87" s="251">
        <v>46164</v>
      </c>
      <c r="N87" s="251">
        <v>46168</v>
      </c>
      <c r="O87" s="252"/>
      <c r="P87" s="255" t="s">
        <v>604</v>
      </c>
      <c r="Q87" s="257">
        <v>46099</v>
      </c>
      <c r="R87" s="257">
        <v>46101</v>
      </c>
      <c r="S87" s="256">
        <v>46108</v>
      </c>
      <c r="T87" s="257">
        <v>46099</v>
      </c>
      <c r="U87" s="258" t="s">
        <v>448</v>
      </c>
      <c r="V87" s="257" t="s">
        <v>449</v>
      </c>
      <c r="W87" s="257" t="s">
        <v>450</v>
      </c>
      <c r="X87" s="260" t="str">
        <f t="array" ref="X87">INDEX(系统货号!C:C,MATCH(1,(系统货号!A:A=G87)*(系统货号!B:B=V87),0))</f>
        <v>PF001A1-KMART</v>
      </c>
      <c r="Y87" s="258" t="s">
        <v>451</v>
      </c>
      <c r="Z87" s="257"/>
      <c r="AA87" s="257"/>
      <c r="AB87" s="252" t="s">
        <v>450</v>
      </c>
      <c r="AC87" s="268" t="s">
        <v>452</v>
      </c>
      <c r="AD87" s="261" t="s">
        <v>453</v>
      </c>
      <c r="AE87" s="262">
        <v>10.262</v>
      </c>
      <c r="AF87" s="263">
        <f t="shared" si="13"/>
        <v>8907.416</v>
      </c>
      <c r="AG87" s="263">
        <f t="shared" si="14"/>
        <v>69032.474</v>
      </c>
      <c r="AH87" s="264">
        <v>46087</v>
      </c>
      <c r="AI87" s="252" t="s">
        <v>454</v>
      </c>
      <c r="AJ87" s="252">
        <v>868</v>
      </c>
      <c r="AK87" s="252">
        <f>AJ87-I87</f>
        <v>0</v>
      </c>
      <c r="AL87" s="252"/>
      <c r="AM87" s="252"/>
      <c r="AN87" s="265"/>
      <c r="AO87" s="265" t="s">
        <v>239</v>
      </c>
      <c r="AP87" s="266">
        <v>46175</v>
      </c>
      <c r="AQ87" s="267">
        <v>46174</v>
      </c>
    </row>
    <row r="88" s="213" customFormat="1" ht="25" customHeight="1" spans="1:43 16384:16384">
      <c r="A88" s="251">
        <v>46126</v>
      </c>
      <c r="B88" s="251" t="s">
        <v>188</v>
      </c>
      <c r="C88" s="253" t="s">
        <v>445</v>
      </c>
      <c r="D88" s="252" t="s">
        <v>265</v>
      </c>
      <c r="E88" s="252" t="s">
        <v>266</v>
      </c>
      <c r="G88" s="252" t="s">
        <v>28</v>
      </c>
      <c r="H88" s="252" t="s">
        <v>267</v>
      </c>
      <c r="I88" s="254">
        <v>801</v>
      </c>
      <c r="J88" s="254">
        <v>9</v>
      </c>
      <c r="K88" s="252">
        <v>89</v>
      </c>
      <c r="L88" s="251">
        <v>46170</v>
      </c>
      <c r="M88" s="251">
        <v>46170</v>
      </c>
      <c r="N88" s="251" t="s">
        <v>605</v>
      </c>
      <c r="O88" s="252" t="s">
        <v>446</v>
      </c>
      <c r="P88" s="255" t="s">
        <v>606</v>
      </c>
      <c r="Q88" s="256">
        <v>46134</v>
      </c>
      <c r="R88" s="256">
        <v>46136</v>
      </c>
      <c r="S88" s="256">
        <v>46141</v>
      </c>
      <c r="T88" s="257" t="s">
        <v>607</v>
      </c>
      <c r="U88" s="258" t="s">
        <v>448</v>
      </c>
      <c r="V88" s="259" t="s">
        <v>458</v>
      </c>
      <c r="W88" s="257" t="s">
        <v>450</v>
      </c>
      <c r="X88" s="260" t="s">
        <v>28</v>
      </c>
      <c r="Y88" s="258" t="s">
        <v>608</v>
      </c>
      <c r="Z88" s="257"/>
      <c r="AA88" s="257"/>
      <c r="AB88" s="252" t="s">
        <v>450</v>
      </c>
      <c r="AC88" s="269" t="s">
        <v>609</v>
      </c>
      <c r="AD88" s="261" t="s">
        <v>610</v>
      </c>
      <c r="AE88" s="262">
        <v>3.904</v>
      </c>
      <c r="AF88" s="263">
        <v>3127.104</v>
      </c>
      <c r="AG88" s="263">
        <v>24235.056</v>
      </c>
      <c r="AH88" s="264">
        <v>46129</v>
      </c>
      <c r="AI88" s="252"/>
      <c r="AJ88" s="252"/>
      <c r="AK88" s="252"/>
      <c r="AL88" s="252"/>
      <c r="AM88" s="265"/>
      <c r="AN88" s="265"/>
      <c r="AO88" s="270" t="s">
        <v>268</v>
      </c>
      <c r="AP88" s="271">
        <v>46185</v>
      </c>
      <c r="AQ88" s="267">
        <v>46185</v>
      </c>
      <c r="XFD88" s="212"/>
    </row>
    <row r="89" s="214" customFormat="1" ht="25" customHeight="1" spans="1:43 16384:16384">
      <c r="A89" s="272">
        <v>46101</v>
      </c>
      <c r="B89" s="273" t="s">
        <v>79</v>
      </c>
      <c r="C89" s="274" t="s">
        <v>445</v>
      </c>
      <c r="D89" s="273" t="s">
        <v>78</v>
      </c>
      <c r="E89" s="273" t="s">
        <v>248</v>
      </c>
      <c r="F89" s="273"/>
      <c r="G89" s="273" t="s">
        <v>49</v>
      </c>
      <c r="H89" s="273" t="s">
        <v>144</v>
      </c>
      <c r="I89" s="273">
        <v>868</v>
      </c>
      <c r="J89" s="275">
        <v>4</v>
      </c>
      <c r="K89" s="273">
        <f t="shared" ref="K89:K135" si="16">I89/J89</f>
        <v>217</v>
      </c>
      <c r="L89" s="272">
        <v>46178</v>
      </c>
      <c r="M89" s="272">
        <v>46178</v>
      </c>
      <c r="N89" s="272">
        <v>46178</v>
      </c>
      <c r="O89" s="273" t="s">
        <v>446</v>
      </c>
      <c r="P89" s="276" t="s">
        <v>611</v>
      </c>
      <c r="Q89" s="277">
        <v>46142</v>
      </c>
      <c r="R89" s="277">
        <v>46147</v>
      </c>
      <c r="S89" s="278">
        <v>46153</v>
      </c>
      <c r="T89" s="277">
        <v>46142</v>
      </c>
      <c r="U89" s="279" t="s">
        <v>448</v>
      </c>
      <c r="V89" s="277" t="s">
        <v>449</v>
      </c>
      <c r="W89" s="277" t="s">
        <v>450</v>
      </c>
      <c r="X89" s="280" t="str">
        <f t="array" ref="X89">INDEX(系统货号!C:C,MATCH(1,(系统货号!A:A=G89)*(系统货号!B:B=V89),0))</f>
        <v>PF001A1-KMART</v>
      </c>
      <c r="Y89" s="279" t="s">
        <v>451</v>
      </c>
      <c r="Z89" s="277"/>
      <c r="AA89" s="277"/>
      <c r="AB89" s="273" t="s">
        <v>450</v>
      </c>
      <c r="AC89" s="281" t="s">
        <v>452</v>
      </c>
      <c r="AD89" s="282" t="s">
        <v>453</v>
      </c>
      <c r="AE89" s="283">
        <v>10.262</v>
      </c>
      <c r="AF89" s="284">
        <f t="shared" ref="AF89:AF112" si="17">I89*AE89</f>
        <v>8907.416</v>
      </c>
      <c r="AG89" s="284">
        <f t="shared" ref="AG89:AG112" si="18">AF89*7.75</f>
        <v>69032.474</v>
      </c>
      <c r="AH89" s="285">
        <v>46102</v>
      </c>
      <c r="AI89" s="273" t="s">
        <v>454</v>
      </c>
      <c r="AJ89" s="273">
        <v>868</v>
      </c>
      <c r="AK89" s="273">
        <f>AJ89-I89</f>
        <v>0</v>
      </c>
      <c r="AL89" s="273"/>
      <c r="AM89" s="273"/>
      <c r="AN89" s="286"/>
      <c r="AO89" s="270" t="s">
        <v>249</v>
      </c>
      <c r="AP89" s="242">
        <v>46188</v>
      </c>
      <c r="AQ89" s="242">
        <v>46183</v>
      </c>
    </row>
    <row r="90" s="214" customFormat="1" ht="25" customHeight="1" spans="1:43 16384:16384">
      <c r="A90" s="272">
        <v>46101</v>
      </c>
      <c r="B90" s="273" t="s">
        <v>79</v>
      </c>
      <c r="C90" s="274" t="s">
        <v>445</v>
      </c>
      <c r="D90" s="273" t="s">
        <v>244</v>
      </c>
      <c r="E90" s="273" t="s">
        <v>245</v>
      </c>
      <c r="F90" s="273"/>
      <c r="G90" s="273" t="s">
        <v>62</v>
      </c>
      <c r="H90" s="273" t="s">
        <v>246</v>
      </c>
      <c r="I90" s="275">
        <v>21824</v>
      </c>
      <c r="J90" s="275">
        <v>11</v>
      </c>
      <c r="K90" s="287">
        <f t="shared" si="16"/>
        <v>1984</v>
      </c>
      <c r="L90" s="272">
        <v>46156</v>
      </c>
      <c r="M90" s="272">
        <v>46156</v>
      </c>
      <c r="N90" s="272">
        <v>46171</v>
      </c>
      <c r="O90" s="273"/>
      <c r="P90" s="276">
        <v>46177</v>
      </c>
      <c r="Q90" s="278">
        <v>46101</v>
      </c>
      <c r="R90" s="278">
        <v>46119</v>
      </c>
      <c r="S90" s="278">
        <v>46125</v>
      </c>
      <c r="T90" s="278">
        <v>46109</v>
      </c>
      <c r="U90" s="277" t="s">
        <v>448</v>
      </c>
      <c r="V90" s="288" t="s">
        <v>508</v>
      </c>
      <c r="W90" s="288" t="s">
        <v>509</v>
      </c>
      <c r="X90" s="280" t="e">
        <f t="array" ref="X90">INDEX(系统货号!C:C,MATCH(1,(系统货号!A:A=G90)*(系统货号!B:B=V90),0))</f>
        <v>#N/A</v>
      </c>
      <c r="Y90" s="279"/>
      <c r="Z90" s="277"/>
      <c r="AA90" s="277"/>
      <c r="AB90" s="289" t="s">
        <v>612</v>
      </c>
      <c r="AC90" s="289" t="s">
        <v>612</v>
      </c>
      <c r="AD90" s="282" t="s">
        <v>613</v>
      </c>
      <c r="AE90" s="283">
        <v>3.644</v>
      </c>
      <c r="AF90" s="284">
        <f>AE90*I90</f>
        <v>79526.656</v>
      </c>
      <c r="AG90" s="275">
        <f t="shared" si="18"/>
        <v>616331.584</v>
      </c>
      <c r="AH90" s="285"/>
      <c r="AI90" s="273"/>
      <c r="AJ90" s="273"/>
      <c r="AK90" s="273"/>
      <c r="AL90" s="273"/>
      <c r="AM90" s="273"/>
      <c r="AN90" s="286"/>
      <c r="AO90" s="270" t="s">
        <v>247</v>
      </c>
      <c r="AP90" s="242">
        <v>46195</v>
      </c>
      <c r="AQ90" s="286"/>
    </row>
    <row r="91" s="212" customFormat="1" ht="25" customHeight="1" spans="1:43 16384:16384">
      <c r="A91" s="223" t="s">
        <v>614</v>
      </c>
      <c r="B91" s="224" t="s">
        <v>180</v>
      </c>
      <c r="C91" s="225" t="s">
        <v>445</v>
      </c>
      <c r="D91" s="224" t="s">
        <v>326</v>
      </c>
      <c r="E91" s="224" t="s">
        <v>327</v>
      </c>
      <c r="F91" s="224"/>
      <c r="G91" s="224" t="s">
        <v>10</v>
      </c>
      <c r="H91" s="224" t="s">
        <v>128</v>
      </c>
      <c r="I91" s="226">
        <v>11706</v>
      </c>
      <c r="J91" s="226">
        <v>6</v>
      </c>
      <c r="K91" s="224">
        <v>1951</v>
      </c>
      <c r="L91" s="223" t="s">
        <v>615</v>
      </c>
      <c r="M91" s="223" t="s">
        <v>616</v>
      </c>
      <c r="N91" s="223" t="s">
        <v>457</v>
      </c>
      <c r="O91" s="224" t="s">
        <v>617</v>
      </c>
      <c r="P91" s="227">
        <v>46203</v>
      </c>
      <c r="Q91" s="228">
        <v>46147</v>
      </c>
      <c r="R91" s="228">
        <v>46148</v>
      </c>
      <c r="S91" s="228">
        <v>46155</v>
      </c>
      <c r="T91" s="229">
        <v>46149</v>
      </c>
      <c r="U91" s="230" t="s">
        <v>448</v>
      </c>
      <c r="V91" s="240" t="s">
        <v>458</v>
      </c>
      <c r="W91" s="229" t="s">
        <v>459</v>
      </c>
      <c r="X91" s="232" t="s">
        <v>10</v>
      </c>
      <c r="Y91" s="230"/>
      <c r="Z91" s="229"/>
      <c r="AA91" s="229"/>
      <c r="AB91" s="224" t="s">
        <v>618</v>
      </c>
      <c r="AC91" s="224" t="s">
        <v>618</v>
      </c>
      <c r="AD91" s="234" t="s">
        <v>619</v>
      </c>
      <c r="AE91" s="235">
        <v>3.232</v>
      </c>
      <c r="AF91" s="236">
        <v>37833.79</v>
      </c>
      <c r="AG91" s="236">
        <v>293211.89</v>
      </c>
      <c r="AH91" s="237">
        <v>46141</v>
      </c>
      <c r="AI91" s="224" t="s">
        <v>462</v>
      </c>
      <c r="AJ91" s="224" t="s">
        <v>454</v>
      </c>
      <c r="AK91" s="224">
        <v>11706</v>
      </c>
      <c r="AL91" s="224"/>
      <c r="AM91" s="224"/>
      <c r="AN91" s="290"/>
      <c r="AO91" s="270" t="s">
        <v>328</v>
      </c>
      <c r="AP91" s="246">
        <v>46203</v>
      </c>
      <c r="AQ91" s="247">
        <v>46201</v>
      </c>
    </row>
    <row r="92" s="212" customFormat="1" ht="25" customHeight="1" spans="1:43 16384:16384">
      <c r="A92" s="223" t="s">
        <v>614</v>
      </c>
      <c r="B92" s="224" t="s">
        <v>180</v>
      </c>
      <c r="C92" s="225" t="s">
        <v>445</v>
      </c>
      <c r="D92" s="224" t="s">
        <v>326</v>
      </c>
      <c r="E92" s="224" t="s">
        <v>327</v>
      </c>
      <c r="F92" s="224"/>
      <c r="G92" s="224" t="s">
        <v>11</v>
      </c>
      <c r="H92" s="224" t="s">
        <v>178</v>
      </c>
      <c r="I92" s="226">
        <v>2100</v>
      </c>
      <c r="J92" s="226">
        <v>6</v>
      </c>
      <c r="K92" s="224">
        <v>350</v>
      </c>
      <c r="L92" s="223" t="s">
        <v>615</v>
      </c>
      <c r="M92" s="223" t="s">
        <v>616</v>
      </c>
      <c r="N92" s="223" t="s">
        <v>457</v>
      </c>
      <c r="O92" s="224" t="s">
        <v>617</v>
      </c>
      <c r="P92" s="227">
        <v>46203</v>
      </c>
      <c r="Q92" s="228">
        <v>46147</v>
      </c>
      <c r="R92" s="228">
        <v>46148</v>
      </c>
      <c r="S92" s="228">
        <v>46155</v>
      </c>
      <c r="T92" s="229">
        <v>46149</v>
      </c>
      <c r="U92" s="230" t="s">
        <v>448</v>
      </c>
      <c r="V92" s="240" t="s">
        <v>458</v>
      </c>
      <c r="W92" s="229" t="s">
        <v>459</v>
      </c>
      <c r="X92" s="232" t="s">
        <v>11</v>
      </c>
      <c r="Y92" s="230"/>
      <c r="Z92" s="229"/>
      <c r="AA92" s="229"/>
      <c r="AB92" s="224" t="s">
        <v>618</v>
      </c>
      <c r="AC92" s="224" t="s">
        <v>618</v>
      </c>
      <c r="AD92" s="234" t="s">
        <v>619</v>
      </c>
      <c r="AE92" s="235">
        <v>2.976</v>
      </c>
      <c r="AF92" s="236">
        <v>6249.6</v>
      </c>
      <c r="AG92" s="236">
        <v>48434.4</v>
      </c>
      <c r="AH92" s="237">
        <v>46141</v>
      </c>
      <c r="AI92" s="224" t="s">
        <v>462</v>
      </c>
      <c r="AJ92" s="224" t="s">
        <v>454</v>
      </c>
      <c r="AK92" s="224">
        <v>2100</v>
      </c>
      <c r="AL92" s="224"/>
      <c r="AM92" s="224"/>
      <c r="AN92" s="290"/>
      <c r="AO92" s="270" t="s">
        <v>328</v>
      </c>
      <c r="AP92" s="246">
        <v>46203</v>
      </c>
      <c r="AQ92" s="247">
        <v>46201</v>
      </c>
    </row>
    <row r="93" s="214" customFormat="1" ht="25" customHeight="1" spans="1:43 16384:16384">
      <c r="A93" s="272">
        <v>46133</v>
      </c>
      <c r="B93" s="272" t="s">
        <v>321</v>
      </c>
      <c r="C93" s="274" t="s">
        <v>445</v>
      </c>
      <c r="D93" s="273" t="s">
        <v>320</v>
      </c>
      <c r="E93" s="273" t="s">
        <v>322</v>
      </c>
      <c r="F93" s="291"/>
      <c r="G93" s="273" t="s">
        <v>118</v>
      </c>
      <c r="H93" s="273" t="s">
        <v>119</v>
      </c>
      <c r="I93" s="275">
        <v>1254</v>
      </c>
      <c r="J93" s="275">
        <v>6</v>
      </c>
      <c r="K93" s="273">
        <f t="shared" si="16"/>
        <v>209</v>
      </c>
      <c r="L93" s="272">
        <v>46188</v>
      </c>
      <c r="M93" s="272">
        <v>46196</v>
      </c>
      <c r="N93" s="292" t="s">
        <v>457</v>
      </c>
      <c r="O93" s="274" t="s">
        <v>617</v>
      </c>
      <c r="P93" s="276">
        <v>46205</v>
      </c>
      <c r="Q93" s="277">
        <v>46154</v>
      </c>
      <c r="R93" s="278">
        <v>46155</v>
      </c>
      <c r="S93" s="278">
        <v>46160</v>
      </c>
      <c r="T93" s="277">
        <v>46154</v>
      </c>
      <c r="U93" s="279" t="s">
        <v>448</v>
      </c>
      <c r="V93" s="293" t="s">
        <v>458</v>
      </c>
      <c r="W93" s="277" t="s">
        <v>488</v>
      </c>
      <c r="X93" s="280" t="str">
        <f t="array" ref="X93">INDEX(系统货号!C:C,MATCH(1,(系统货号!A:A=G93)*(系统货号!B:B=V93),0))</f>
        <v>CZ006D6</v>
      </c>
      <c r="Y93" s="279"/>
      <c r="Z93" s="277"/>
      <c r="AA93" s="277"/>
      <c r="AB93" s="294" t="s">
        <v>620</v>
      </c>
      <c r="AC93" s="294" t="s">
        <v>620</v>
      </c>
      <c r="AD93" s="282" t="s">
        <v>621</v>
      </c>
      <c r="AE93" s="283">
        <v>3.855</v>
      </c>
      <c r="AF93" s="284">
        <f t="shared" si="17"/>
        <v>4834.17</v>
      </c>
      <c r="AG93" s="284">
        <f t="shared" si="18"/>
        <v>37464.8175</v>
      </c>
      <c r="AH93" s="285">
        <v>46137</v>
      </c>
      <c r="AI93" s="295" t="s">
        <v>462</v>
      </c>
      <c r="AJ93" s="273" t="s">
        <v>454</v>
      </c>
      <c r="AK93" s="273">
        <v>1254</v>
      </c>
      <c r="AL93" s="273"/>
      <c r="AM93" s="273"/>
      <c r="AN93" s="273"/>
      <c r="AO93" s="270" t="s">
        <v>323</v>
      </c>
      <c r="AP93" s="242">
        <v>46204</v>
      </c>
      <c r="AQ93" s="242">
        <v>46203</v>
      </c>
    </row>
    <row r="94" s="214" customFormat="1" ht="25" customHeight="1" spans="1:43 16384:16384">
      <c r="A94" s="272">
        <v>46133</v>
      </c>
      <c r="B94" s="272" t="s">
        <v>321</v>
      </c>
      <c r="C94" s="274" t="s">
        <v>445</v>
      </c>
      <c r="D94" s="273" t="s">
        <v>320</v>
      </c>
      <c r="E94" s="273" t="s">
        <v>322</v>
      </c>
      <c r="F94" s="291"/>
      <c r="G94" s="273" t="s">
        <v>66</v>
      </c>
      <c r="H94" s="273" t="s">
        <v>258</v>
      </c>
      <c r="I94" s="275">
        <v>1254</v>
      </c>
      <c r="J94" s="275">
        <v>6</v>
      </c>
      <c r="K94" s="273">
        <f t="shared" si="16"/>
        <v>209</v>
      </c>
      <c r="L94" s="272">
        <v>46188</v>
      </c>
      <c r="M94" s="272">
        <v>46196</v>
      </c>
      <c r="N94" s="292" t="s">
        <v>457</v>
      </c>
      <c r="O94" s="274" t="s">
        <v>617</v>
      </c>
      <c r="P94" s="276">
        <v>46205</v>
      </c>
      <c r="Q94" s="277">
        <v>46154</v>
      </c>
      <c r="R94" s="278">
        <v>46155</v>
      </c>
      <c r="S94" s="278">
        <v>46160</v>
      </c>
      <c r="T94" s="277">
        <v>46154</v>
      </c>
      <c r="U94" s="279" t="s">
        <v>448</v>
      </c>
      <c r="V94" s="293" t="s">
        <v>458</v>
      </c>
      <c r="W94" s="277" t="s">
        <v>488</v>
      </c>
      <c r="X94" s="280" t="str">
        <f t="array" ref="X94">INDEX(系统货号!C:C,MATCH(1,(系统货号!A:A=G94)*(系统货号!B:B=V94),0))</f>
        <v>CZ019D6</v>
      </c>
      <c r="Y94" s="279"/>
      <c r="Z94" s="277"/>
      <c r="AA94" s="277"/>
      <c r="AB94" s="294" t="s">
        <v>620</v>
      </c>
      <c r="AC94" s="294" t="s">
        <v>620</v>
      </c>
      <c r="AD94" s="282" t="s">
        <v>621</v>
      </c>
      <c r="AE94" s="283">
        <v>3.855</v>
      </c>
      <c r="AF94" s="284">
        <f t="shared" si="17"/>
        <v>4834.17</v>
      </c>
      <c r="AG94" s="284">
        <f t="shared" si="18"/>
        <v>37464.8175</v>
      </c>
      <c r="AH94" s="285">
        <v>46137</v>
      </c>
      <c r="AI94" s="295" t="s">
        <v>462</v>
      </c>
      <c r="AJ94" s="273" t="s">
        <v>454</v>
      </c>
      <c r="AK94" s="273">
        <v>1254</v>
      </c>
      <c r="AL94" s="273"/>
      <c r="AM94" s="273"/>
      <c r="AN94" s="273"/>
      <c r="AO94" s="270" t="s">
        <v>323</v>
      </c>
      <c r="AP94" s="242">
        <v>46204</v>
      </c>
      <c r="AQ94" s="242">
        <v>46203</v>
      </c>
    </row>
    <row r="95" s="214" customFormat="1" ht="25" customHeight="1" spans="1:43 16384:16384">
      <c r="A95" s="272">
        <v>46133</v>
      </c>
      <c r="B95" s="272" t="s">
        <v>321</v>
      </c>
      <c r="C95" s="274" t="s">
        <v>445</v>
      </c>
      <c r="D95" s="273" t="s">
        <v>320</v>
      </c>
      <c r="E95" s="273" t="s">
        <v>322</v>
      </c>
      <c r="F95" s="291"/>
      <c r="G95" s="273" t="s">
        <v>67</v>
      </c>
      <c r="H95" s="273" t="s">
        <v>152</v>
      </c>
      <c r="I95" s="275">
        <v>1254</v>
      </c>
      <c r="J95" s="275">
        <v>6</v>
      </c>
      <c r="K95" s="273">
        <f t="shared" si="16"/>
        <v>209</v>
      </c>
      <c r="L95" s="272">
        <v>46188</v>
      </c>
      <c r="M95" s="296">
        <v>46196</v>
      </c>
      <c r="N95" s="292" t="s">
        <v>457</v>
      </c>
      <c r="O95" s="274" t="s">
        <v>617</v>
      </c>
      <c r="P95" s="276">
        <v>46205</v>
      </c>
      <c r="Q95" s="277">
        <v>46154</v>
      </c>
      <c r="R95" s="278">
        <v>46155</v>
      </c>
      <c r="S95" s="278">
        <v>46160</v>
      </c>
      <c r="T95" s="277">
        <v>46154</v>
      </c>
      <c r="U95" s="279" t="s">
        <v>448</v>
      </c>
      <c r="V95" s="293" t="s">
        <v>458</v>
      </c>
      <c r="W95" s="277" t="s">
        <v>488</v>
      </c>
      <c r="X95" s="280" t="str">
        <f t="array" ref="X95">INDEX(系统货号!C:C,MATCH(1,(系统货号!A:A=G95)*(系统货号!B:B=V95),0))</f>
        <v>CZ018D6</v>
      </c>
      <c r="Y95" s="279"/>
      <c r="Z95" s="277"/>
      <c r="AA95" s="277"/>
      <c r="AB95" s="294" t="s">
        <v>620</v>
      </c>
      <c r="AC95" s="294" t="s">
        <v>620</v>
      </c>
      <c r="AD95" s="282" t="s">
        <v>621</v>
      </c>
      <c r="AE95" s="283">
        <v>3.728</v>
      </c>
      <c r="AF95" s="284">
        <f t="shared" si="17"/>
        <v>4674.912</v>
      </c>
      <c r="AG95" s="284">
        <f t="shared" si="18"/>
        <v>36230.568</v>
      </c>
      <c r="AH95" s="285">
        <v>46137</v>
      </c>
      <c r="AI95" s="295" t="s">
        <v>462</v>
      </c>
      <c r="AJ95" s="273" t="s">
        <v>454</v>
      </c>
      <c r="AK95" s="273">
        <v>1254</v>
      </c>
      <c r="AL95" s="273"/>
      <c r="AM95" s="273"/>
      <c r="AN95" s="273"/>
      <c r="AO95" s="270" t="s">
        <v>323</v>
      </c>
      <c r="AP95" s="242">
        <v>46204</v>
      </c>
      <c r="AQ95" s="242">
        <v>46203</v>
      </c>
    </row>
    <row r="96" s="214" customFormat="1" ht="25" customHeight="1" spans="1:43 16384:16384">
      <c r="A96" s="272">
        <v>46133</v>
      </c>
      <c r="B96" s="272" t="s">
        <v>321</v>
      </c>
      <c r="C96" s="274" t="s">
        <v>445</v>
      </c>
      <c r="D96" s="273" t="s">
        <v>320</v>
      </c>
      <c r="E96" s="273" t="s">
        <v>322</v>
      </c>
      <c r="F96" s="291"/>
      <c r="G96" s="273" t="s">
        <v>64</v>
      </c>
      <c r="H96" s="273" t="s">
        <v>259</v>
      </c>
      <c r="I96" s="275">
        <v>1254</v>
      </c>
      <c r="J96" s="275">
        <v>6</v>
      </c>
      <c r="K96" s="273">
        <f t="shared" si="16"/>
        <v>209</v>
      </c>
      <c r="L96" s="272">
        <v>46188</v>
      </c>
      <c r="M96" s="272">
        <v>46196</v>
      </c>
      <c r="N96" s="292" t="s">
        <v>457</v>
      </c>
      <c r="O96" s="274" t="s">
        <v>617</v>
      </c>
      <c r="P96" s="276">
        <v>46205</v>
      </c>
      <c r="Q96" s="277">
        <v>46154</v>
      </c>
      <c r="R96" s="278">
        <v>46155</v>
      </c>
      <c r="S96" s="278">
        <v>46160</v>
      </c>
      <c r="T96" s="277">
        <v>46154</v>
      </c>
      <c r="U96" s="279" t="s">
        <v>448</v>
      </c>
      <c r="V96" s="293" t="s">
        <v>458</v>
      </c>
      <c r="W96" s="277" t="s">
        <v>488</v>
      </c>
      <c r="X96" s="280" t="str">
        <f t="array" ref="X96">INDEX(系统货号!C:C,MATCH(1,(系统货号!A:A=G96)*(系统货号!B:B=V96),0))</f>
        <v>CZ017D6</v>
      </c>
      <c r="Y96" s="279"/>
      <c r="Z96" s="277"/>
      <c r="AA96" s="277"/>
      <c r="AB96" s="294" t="s">
        <v>620</v>
      </c>
      <c r="AC96" s="294" t="s">
        <v>620</v>
      </c>
      <c r="AD96" s="282" t="s">
        <v>621</v>
      </c>
      <c r="AE96" s="283">
        <v>3.898</v>
      </c>
      <c r="AF96" s="284">
        <f t="shared" si="17"/>
        <v>4888.092</v>
      </c>
      <c r="AG96" s="284">
        <f t="shared" si="18"/>
        <v>37882.713</v>
      </c>
      <c r="AH96" s="285">
        <v>46137</v>
      </c>
      <c r="AI96" s="295" t="s">
        <v>462</v>
      </c>
      <c r="AJ96" s="273" t="s">
        <v>454</v>
      </c>
      <c r="AK96" s="273">
        <v>1254</v>
      </c>
      <c r="AL96" s="273"/>
      <c r="AM96" s="273"/>
      <c r="AN96" s="273"/>
      <c r="AO96" s="270" t="s">
        <v>323</v>
      </c>
      <c r="AP96" s="242">
        <v>46204</v>
      </c>
      <c r="AQ96" s="242">
        <v>46203</v>
      </c>
    </row>
    <row r="97" s="214" customFormat="1" ht="25" customHeight="1" spans="1:43">
      <c r="A97" s="272">
        <v>46133</v>
      </c>
      <c r="B97" s="272" t="s">
        <v>321</v>
      </c>
      <c r="C97" s="274" t="s">
        <v>445</v>
      </c>
      <c r="D97" s="273" t="s">
        <v>320</v>
      </c>
      <c r="E97" s="273" t="s">
        <v>322</v>
      </c>
      <c r="F97" s="291"/>
      <c r="G97" s="273" t="s">
        <v>270</v>
      </c>
      <c r="H97" s="273" t="s">
        <v>271</v>
      </c>
      <c r="I97" s="275">
        <v>3000</v>
      </c>
      <c r="J97" s="275">
        <v>6</v>
      </c>
      <c r="K97" s="273">
        <f t="shared" si="16"/>
        <v>500</v>
      </c>
      <c r="L97" s="272">
        <v>46188</v>
      </c>
      <c r="M97" s="272">
        <v>46196</v>
      </c>
      <c r="N97" s="292" t="s">
        <v>457</v>
      </c>
      <c r="O97" s="274" t="s">
        <v>617</v>
      </c>
      <c r="P97" s="276">
        <v>46205</v>
      </c>
      <c r="Q97" s="277">
        <v>46154</v>
      </c>
      <c r="R97" s="278">
        <v>46155</v>
      </c>
      <c r="S97" s="278">
        <v>46160</v>
      </c>
      <c r="T97" s="277">
        <v>46154</v>
      </c>
      <c r="U97" s="279" t="s">
        <v>448</v>
      </c>
      <c r="V97" s="293" t="s">
        <v>622</v>
      </c>
      <c r="W97" s="277" t="s">
        <v>450</v>
      </c>
      <c r="X97" s="280" t="str">
        <f t="array" ref="X97">INDEX(系统货号!C:C,MATCH(1,(系统货号!A:A=G97)*(系统货号!B:B=V97),0))</f>
        <v>SP002A1-以色列</v>
      </c>
      <c r="Y97" s="279"/>
      <c r="Z97" s="277"/>
      <c r="AA97" s="297"/>
      <c r="AB97" s="273" t="s">
        <v>450</v>
      </c>
      <c r="AC97" s="294" t="s">
        <v>620</v>
      </c>
      <c r="AD97" s="282" t="s">
        <v>623</v>
      </c>
      <c r="AE97" s="283">
        <v>1.102</v>
      </c>
      <c r="AF97" s="284">
        <f t="shared" si="17"/>
        <v>3306</v>
      </c>
      <c r="AG97" s="284">
        <f t="shared" si="18"/>
        <v>25621.5</v>
      </c>
      <c r="AH97" s="285">
        <v>46147</v>
      </c>
      <c r="AI97" s="295" t="s">
        <v>466</v>
      </c>
      <c r="AJ97" s="273"/>
      <c r="AK97" s="273">
        <v>3000</v>
      </c>
      <c r="AL97" s="273"/>
      <c r="AM97" s="273"/>
      <c r="AN97" s="273"/>
      <c r="AO97" s="270" t="s">
        <v>323</v>
      </c>
      <c r="AP97" s="242">
        <v>46204</v>
      </c>
      <c r="AQ97" s="242">
        <v>46203</v>
      </c>
    </row>
    <row r="98" s="214" customFormat="1" ht="25" customHeight="1" spans="1:43">
      <c r="A98" s="272">
        <v>46125</v>
      </c>
      <c r="B98" s="273" t="s">
        <v>262</v>
      </c>
      <c r="C98" s="274" t="s">
        <v>445</v>
      </c>
      <c r="D98" s="273" t="s">
        <v>261</v>
      </c>
      <c r="E98" s="273" t="s">
        <v>263</v>
      </c>
      <c r="F98" s="298"/>
      <c r="G98" s="273" t="s">
        <v>10</v>
      </c>
      <c r="H98" s="273" t="s">
        <v>128</v>
      </c>
      <c r="I98" s="275">
        <v>8004</v>
      </c>
      <c r="J98" s="275">
        <v>6</v>
      </c>
      <c r="K98" s="273">
        <f t="shared" si="16"/>
        <v>1334</v>
      </c>
      <c r="L98" s="272">
        <v>46190</v>
      </c>
      <c r="M98" s="292">
        <v>46203</v>
      </c>
      <c r="N98" s="272" t="s">
        <v>457</v>
      </c>
      <c r="O98" s="274" t="s">
        <v>624</v>
      </c>
      <c r="P98" s="276">
        <v>46206</v>
      </c>
      <c r="Q98" s="278">
        <v>46142</v>
      </c>
      <c r="R98" s="278">
        <v>46147</v>
      </c>
      <c r="S98" s="278">
        <v>46150</v>
      </c>
      <c r="T98" s="278">
        <v>46142</v>
      </c>
      <c r="U98" s="279" t="s">
        <v>448</v>
      </c>
      <c r="V98" s="293" t="s">
        <v>625</v>
      </c>
      <c r="W98" s="277" t="s">
        <v>488</v>
      </c>
      <c r="X98" s="280" t="str">
        <f t="array" ref="X98">INDEX(系统货号!C:C,MATCH(1,(系统货号!A:A=G98)*(系统货号!B:B=V98),0))</f>
        <v>BS082D6-巴西</v>
      </c>
      <c r="Y98" s="279"/>
      <c r="Z98" s="277"/>
      <c r="AA98" s="277"/>
      <c r="AB98" s="273" t="s">
        <v>620</v>
      </c>
      <c r="AC98" s="273" t="s">
        <v>620</v>
      </c>
      <c r="AD98" s="282" t="s">
        <v>626</v>
      </c>
      <c r="AE98" s="283">
        <v>3.283</v>
      </c>
      <c r="AF98" s="284">
        <f t="shared" si="17"/>
        <v>26277.132</v>
      </c>
      <c r="AG98" s="284">
        <f t="shared" si="18"/>
        <v>203647.773</v>
      </c>
      <c r="AH98" s="285">
        <v>46129</v>
      </c>
      <c r="AI98" s="295" t="s">
        <v>462</v>
      </c>
      <c r="AJ98" s="273" t="s">
        <v>454</v>
      </c>
      <c r="AK98" s="273">
        <v>8004</v>
      </c>
      <c r="AL98" s="273"/>
      <c r="AM98" s="273"/>
      <c r="AN98" s="273"/>
      <c r="AO98" s="270" t="s">
        <v>264</v>
      </c>
      <c r="AP98" s="242">
        <v>46209</v>
      </c>
      <c r="AQ98" s="242">
        <v>46205</v>
      </c>
    </row>
    <row r="99" s="214" customFormat="1" ht="25" customHeight="1" spans="1:43">
      <c r="A99" s="272">
        <v>46129</v>
      </c>
      <c r="B99" s="272" t="s">
        <v>84</v>
      </c>
      <c r="C99" s="274" t="s">
        <v>445</v>
      </c>
      <c r="D99" s="273" t="s">
        <v>315</v>
      </c>
      <c r="E99" s="273" t="s">
        <v>318</v>
      </c>
      <c r="F99" s="273"/>
      <c r="G99" s="273" t="s">
        <v>49</v>
      </c>
      <c r="H99" s="273" t="s">
        <v>144</v>
      </c>
      <c r="I99" s="275">
        <v>24</v>
      </c>
      <c r="J99" s="275">
        <v>4</v>
      </c>
      <c r="K99" s="273">
        <f t="shared" si="16"/>
        <v>6</v>
      </c>
      <c r="L99" s="272">
        <v>46196</v>
      </c>
      <c r="M99" s="272">
        <v>46196</v>
      </c>
      <c r="N99" s="272">
        <v>46206</v>
      </c>
      <c r="O99" s="273"/>
      <c r="P99" s="299" t="s">
        <v>627</v>
      </c>
      <c r="Q99" s="278">
        <v>46157</v>
      </c>
      <c r="R99" s="278">
        <v>46161</v>
      </c>
      <c r="S99" s="278">
        <v>46169</v>
      </c>
      <c r="T99" s="278">
        <v>46157</v>
      </c>
      <c r="U99" s="279" t="s">
        <v>448</v>
      </c>
      <c r="V99" s="279" t="s">
        <v>448</v>
      </c>
      <c r="W99" s="277" t="s">
        <v>449</v>
      </c>
      <c r="X99" s="277" t="s">
        <v>450</v>
      </c>
      <c r="Y99" s="280" t="e">
        <f t="array" ref="Y99">INDEX(系统货号!D:D,MATCH(1,(系统货号!B:B=H99)*(系统货号!C:C=W99),0))</f>
        <v>#N/A</v>
      </c>
      <c r="Z99" s="277"/>
      <c r="AA99" s="297"/>
      <c r="AB99" s="273" t="s">
        <v>450</v>
      </c>
      <c r="AC99" s="281" t="s">
        <v>452</v>
      </c>
      <c r="AD99" s="282" t="s">
        <v>453</v>
      </c>
      <c r="AE99" s="283">
        <v>10.262</v>
      </c>
      <c r="AF99" s="284">
        <f t="shared" si="17"/>
        <v>246.288</v>
      </c>
      <c r="AG99" s="284">
        <f t="shared" si="18"/>
        <v>1908.732</v>
      </c>
      <c r="AH99" s="285">
        <v>46130</v>
      </c>
      <c r="AI99" s="273" t="s">
        <v>454</v>
      </c>
      <c r="AJ99" s="273">
        <v>24</v>
      </c>
      <c r="AK99" s="273"/>
      <c r="AL99" s="273"/>
      <c r="AM99" s="273"/>
      <c r="AN99" s="300"/>
      <c r="AO99" s="270" t="s">
        <v>319</v>
      </c>
      <c r="AP99" s="294">
        <v>46217</v>
      </c>
      <c r="AQ99" s="294">
        <v>46211</v>
      </c>
    </row>
    <row r="100" s="214" customFormat="1" ht="25" customHeight="1" spans="1:43">
      <c r="A100" s="272">
        <v>46129</v>
      </c>
      <c r="B100" s="272" t="s">
        <v>79</v>
      </c>
      <c r="C100" s="274" t="s">
        <v>445</v>
      </c>
      <c r="D100" s="273" t="s">
        <v>315</v>
      </c>
      <c r="E100" s="273" t="s">
        <v>316</v>
      </c>
      <c r="F100" s="273"/>
      <c r="G100" s="273" t="s">
        <v>49</v>
      </c>
      <c r="H100" s="273" t="s">
        <v>144</v>
      </c>
      <c r="I100" s="275">
        <v>1712</v>
      </c>
      <c r="J100" s="275">
        <v>4</v>
      </c>
      <c r="K100" s="273">
        <f t="shared" si="16"/>
        <v>428</v>
      </c>
      <c r="L100" s="272">
        <v>46196</v>
      </c>
      <c r="M100" s="272">
        <v>46196</v>
      </c>
      <c r="N100" s="272">
        <v>46206</v>
      </c>
      <c r="O100" s="273"/>
      <c r="P100" s="299" t="s">
        <v>627</v>
      </c>
      <c r="Q100" s="278">
        <v>46157</v>
      </c>
      <c r="R100" s="278">
        <v>46161</v>
      </c>
      <c r="S100" s="278">
        <v>46169</v>
      </c>
      <c r="T100" s="278">
        <v>46157</v>
      </c>
      <c r="U100" s="279" t="s">
        <v>448</v>
      </c>
      <c r="V100" s="279" t="s">
        <v>448</v>
      </c>
      <c r="W100" s="277" t="s">
        <v>449</v>
      </c>
      <c r="X100" s="277" t="s">
        <v>450</v>
      </c>
      <c r="Y100" s="280" t="e">
        <f t="array" ref="Y100">INDEX(系统货号!D:D,MATCH(1,(系统货号!B:B=H100)*(系统货号!C:C=W100),0))</f>
        <v>#N/A</v>
      </c>
      <c r="Z100" s="277"/>
      <c r="AA100" s="297"/>
      <c r="AB100" s="273" t="s">
        <v>450</v>
      </c>
      <c r="AC100" s="281" t="s">
        <v>452</v>
      </c>
      <c r="AD100" s="282" t="s">
        <v>453</v>
      </c>
      <c r="AE100" s="283">
        <v>10.262</v>
      </c>
      <c r="AF100" s="284">
        <f t="shared" si="17"/>
        <v>17568.544</v>
      </c>
      <c r="AG100" s="284">
        <f t="shared" si="18"/>
        <v>136156.216</v>
      </c>
      <c r="AH100" s="285">
        <v>46130</v>
      </c>
      <c r="AI100" s="273" t="s">
        <v>454</v>
      </c>
      <c r="AJ100" s="273">
        <f>1568+144</f>
        <v>1712</v>
      </c>
      <c r="AK100" s="273"/>
      <c r="AL100" s="273"/>
      <c r="AM100" s="273"/>
      <c r="AN100" s="300"/>
      <c r="AO100" s="270" t="s">
        <v>317</v>
      </c>
      <c r="AP100" s="294">
        <v>46217</v>
      </c>
      <c r="AQ100" s="294">
        <v>46211</v>
      </c>
    </row>
    <row r="101" s="214" customFormat="1" ht="25" customHeight="1" spans="1:43">
      <c r="A101" s="272">
        <v>46153</v>
      </c>
      <c r="B101" s="272" t="s">
        <v>344</v>
      </c>
      <c r="C101" s="274" t="s">
        <v>445</v>
      </c>
      <c r="D101" s="273" t="s">
        <v>343</v>
      </c>
      <c r="E101" s="273" t="s">
        <v>345</v>
      </c>
      <c r="F101" s="291"/>
      <c r="G101" s="273" t="s">
        <v>165</v>
      </c>
      <c r="H101" s="273" t="s">
        <v>166</v>
      </c>
      <c r="I101" s="275">
        <v>1200</v>
      </c>
      <c r="J101" s="275">
        <v>6</v>
      </c>
      <c r="K101" s="273">
        <f t="shared" si="16"/>
        <v>200</v>
      </c>
      <c r="L101" s="272">
        <v>46213</v>
      </c>
      <c r="M101" s="272">
        <v>46213</v>
      </c>
      <c r="N101" s="272" t="s">
        <v>457</v>
      </c>
      <c r="O101" s="274" t="s">
        <v>624</v>
      </c>
      <c r="P101" s="299">
        <v>46225</v>
      </c>
      <c r="Q101" s="278">
        <v>46178</v>
      </c>
      <c r="R101" s="278">
        <v>46179</v>
      </c>
      <c r="S101" s="278">
        <v>46183</v>
      </c>
      <c r="T101" s="278">
        <v>46178</v>
      </c>
      <c r="U101" s="279" t="s">
        <v>448</v>
      </c>
      <c r="V101" s="293" t="s">
        <v>628</v>
      </c>
      <c r="W101" s="277" t="s">
        <v>450</v>
      </c>
      <c r="X101" s="280" t="str">
        <f t="array" ref="X101">INDEX(系统货号!C:C,MATCH(1,(系统货号!A:A=G101)*(系统货号!B:B=V101),0))</f>
        <v>ZC006A1-捷克</v>
      </c>
      <c r="Y101" s="279"/>
      <c r="Z101" s="277"/>
      <c r="AA101" s="297"/>
      <c r="AB101" s="273" t="s">
        <v>450</v>
      </c>
      <c r="AC101" s="301" t="s">
        <v>629</v>
      </c>
      <c r="AD101" s="282" t="s">
        <v>630</v>
      </c>
      <c r="AE101" s="283">
        <v>1.209</v>
      </c>
      <c r="AF101" s="284">
        <f t="shared" si="17"/>
        <v>1450.8</v>
      </c>
      <c r="AG101" s="284">
        <f t="shared" si="18"/>
        <v>11243.7</v>
      </c>
      <c r="AH101" s="285">
        <v>46155</v>
      </c>
      <c r="AI101" s="295" t="s">
        <v>466</v>
      </c>
      <c r="AJ101" s="273"/>
      <c r="AK101" s="273"/>
      <c r="AL101" s="273"/>
      <c r="AM101" s="273"/>
      <c r="AN101" s="300"/>
      <c r="AO101" s="270" t="s">
        <v>346</v>
      </c>
      <c r="AP101" s="294">
        <v>46217</v>
      </c>
      <c r="AQ101" s="294">
        <v>46216</v>
      </c>
    </row>
    <row r="102" s="214" customFormat="1" ht="25" customHeight="1" spans="1:43">
      <c r="A102" s="272">
        <v>46169</v>
      </c>
      <c r="B102" s="272" t="s">
        <v>358</v>
      </c>
      <c r="C102" s="274" t="s">
        <v>445</v>
      </c>
      <c r="D102" s="273" t="s">
        <v>357</v>
      </c>
      <c r="E102" s="273" t="s">
        <v>359</v>
      </c>
      <c r="F102" s="298"/>
      <c r="G102" s="273" t="s">
        <v>70</v>
      </c>
      <c r="H102" s="273" t="s">
        <v>339</v>
      </c>
      <c r="I102" s="275">
        <v>180</v>
      </c>
      <c r="J102" s="275">
        <v>6</v>
      </c>
      <c r="K102" s="273">
        <f t="shared" si="16"/>
        <v>30</v>
      </c>
      <c r="L102" s="272">
        <v>46223</v>
      </c>
      <c r="M102" s="272">
        <v>46226</v>
      </c>
      <c r="N102" s="272">
        <v>46226</v>
      </c>
      <c r="O102" s="274" t="s">
        <v>624</v>
      </c>
      <c r="P102" s="276">
        <v>46228</v>
      </c>
      <c r="Q102" s="278">
        <v>46183</v>
      </c>
      <c r="R102" s="278">
        <v>46183</v>
      </c>
      <c r="S102" s="278">
        <v>46183</v>
      </c>
      <c r="T102" s="277">
        <v>46197</v>
      </c>
      <c r="U102" s="302" t="s">
        <v>448</v>
      </c>
      <c r="V102" s="293" t="s">
        <v>458</v>
      </c>
      <c r="W102" s="277" t="s">
        <v>459</v>
      </c>
      <c r="X102" s="280" t="str">
        <f t="array" ref="X102">INDEX(系统货号!C:C,MATCH(1,(系统货号!A:A=G102)*(系统货号!B:B=V102),0))</f>
        <v>BS085D6</v>
      </c>
      <c r="Y102" s="279"/>
      <c r="Z102" s="277"/>
      <c r="AA102" s="277"/>
      <c r="AB102" s="301" t="s">
        <v>474</v>
      </c>
      <c r="AC102" s="301" t="s">
        <v>474</v>
      </c>
      <c r="AD102" s="282" t="s">
        <v>631</v>
      </c>
      <c r="AE102" s="283">
        <v>3.443</v>
      </c>
      <c r="AF102" s="284">
        <f t="shared" si="17"/>
        <v>619.74</v>
      </c>
      <c r="AG102" s="284">
        <f t="shared" si="18"/>
        <v>4802.985</v>
      </c>
      <c r="AH102" s="285">
        <v>46170</v>
      </c>
      <c r="AI102" s="295" t="s">
        <v>462</v>
      </c>
      <c r="AJ102" s="274" t="s">
        <v>454</v>
      </c>
      <c r="AK102" s="273">
        <v>180</v>
      </c>
      <c r="AL102" s="273"/>
      <c r="AM102" s="273"/>
      <c r="AN102" s="273"/>
      <c r="AO102" s="270" t="s">
        <v>360</v>
      </c>
      <c r="AP102" s="242">
        <v>46231</v>
      </c>
      <c r="AQ102" s="242">
        <v>46223</v>
      </c>
    </row>
    <row r="103" s="214" customFormat="1" ht="25" customHeight="1" spans="1:43">
      <c r="A103" s="272">
        <v>46139</v>
      </c>
      <c r="B103" s="272" t="s">
        <v>330</v>
      </c>
      <c r="C103" s="274" t="s">
        <v>445</v>
      </c>
      <c r="D103" s="273" t="s">
        <v>329</v>
      </c>
      <c r="E103" s="273" t="s">
        <v>334</v>
      </c>
      <c r="F103" s="298"/>
      <c r="G103" s="273" t="s">
        <v>10</v>
      </c>
      <c r="H103" s="273" t="s">
        <v>128</v>
      </c>
      <c r="I103" s="303">
        <f>1200-6</f>
        <v>1194</v>
      </c>
      <c r="J103" s="275">
        <v>6</v>
      </c>
      <c r="K103" s="273">
        <f t="shared" si="16"/>
        <v>199</v>
      </c>
      <c r="L103" s="272">
        <v>46206</v>
      </c>
      <c r="M103" s="272">
        <v>46216</v>
      </c>
      <c r="N103" s="272" t="s">
        <v>457</v>
      </c>
      <c r="O103" s="274" t="s">
        <v>446</v>
      </c>
      <c r="P103" s="276">
        <v>46234</v>
      </c>
      <c r="Q103" s="278">
        <v>46157</v>
      </c>
      <c r="R103" s="278">
        <v>46158</v>
      </c>
      <c r="S103" s="278">
        <v>46178</v>
      </c>
      <c r="T103" s="277">
        <v>46156</v>
      </c>
      <c r="U103" s="279" t="s">
        <v>448</v>
      </c>
      <c r="V103" s="293" t="s">
        <v>458</v>
      </c>
      <c r="W103" s="277" t="s">
        <v>459</v>
      </c>
      <c r="X103" s="280" t="str">
        <f t="array" ref="X103">INDEX(系统货号!C:C,MATCH(1,(系统货号!A:A=G103)*(系统货号!B:B=V103),0))</f>
        <v>BS082D6</v>
      </c>
      <c r="Y103" s="279"/>
      <c r="Z103" s="277"/>
      <c r="AA103" s="277"/>
      <c r="AB103" s="301" t="s">
        <v>618</v>
      </c>
      <c r="AC103" s="301" t="s">
        <v>618</v>
      </c>
      <c r="AD103" s="282" t="s">
        <v>632</v>
      </c>
      <c r="AE103" s="283">
        <v>3.405</v>
      </c>
      <c r="AF103" s="284">
        <f t="shared" si="17"/>
        <v>4065.57</v>
      </c>
      <c r="AG103" s="284">
        <f t="shared" si="18"/>
        <v>31508.1675</v>
      </c>
      <c r="AH103" s="285">
        <v>46141</v>
      </c>
      <c r="AI103" s="295" t="s">
        <v>462</v>
      </c>
      <c r="AJ103" s="273" t="s">
        <v>454</v>
      </c>
      <c r="AK103" s="273">
        <v>1188</v>
      </c>
      <c r="AL103" s="273"/>
      <c r="AM103" s="273"/>
      <c r="AN103" s="273"/>
      <c r="AO103" s="304" t="s">
        <v>335</v>
      </c>
      <c r="AP103" s="242">
        <v>46233</v>
      </c>
      <c r="AQ103" s="242">
        <v>46233</v>
      </c>
    </row>
    <row r="104" s="214" customFormat="1" ht="25" customHeight="1" spans="1:43">
      <c r="A104" s="272">
        <v>46139</v>
      </c>
      <c r="B104" s="272" t="s">
        <v>330</v>
      </c>
      <c r="C104" s="274" t="s">
        <v>445</v>
      </c>
      <c r="D104" s="273" t="s">
        <v>329</v>
      </c>
      <c r="E104" s="273" t="s">
        <v>334</v>
      </c>
      <c r="F104" s="298"/>
      <c r="G104" s="273" t="s">
        <v>11</v>
      </c>
      <c r="H104" s="273" t="s">
        <v>178</v>
      </c>
      <c r="I104" s="303">
        <f>1200-6</f>
        <v>1194</v>
      </c>
      <c r="J104" s="275">
        <v>6</v>
      </c>
      <c r="K104" s="273">
        <f t="shared" si="16"/>
        <v>199</v>
      </c>
      <c r="L104" s="272">
        <v>46206</v>
      </c>
      <c r="M104" s="272">
        <v>46216</v>
      </c>
      <c r="N104" s="272" t="s">
        <v>457</v>
      </c>
      <c r="O104" s="274" t="s">
        <v>446</v>
      </c>
      <c r="P104" s="276">
        <v>46234</v>
      </c>
      <c r="Q104" s="278">
        <v>46157</v>
      </c>
      <c r="R104" s="278">
        <v>46158</v>
      </c>
      <c r="S104" s="278">
        <v>46178</v>
      </c>
      <c r="T104" s="277">
        <v>46156</v>
      </c>
      <c r="U104" s="279" t="s">
        <v>448</v>
      </c>
      <c r="V104" s="293" t="s">
        <v>458</v>
      </c>
      <c r="W104" s="277" t="s">
        <v>459</v>
      </c>
      <c r="X104" s="280" t="str">
        <f t="array" ref="X104">INDEX(系统货号!C:C,MATCH(1,(系统货号!A:A=G104)*(系统货号!B:B=V104),0))</f>
        <v>BS083D6</v>
      </c>
      <c r="Y104" s="279"/>
      <c r="Z104" s="277"/>
      <c r="AA104" s="277"/>
      <c r="AB104" s="301" t="s">
        <v>618</v>
      </c>
      <c r="AC104" s="301" t="s">
        <v>618</v>
      </c>
      <c r="AD104" s="282" t="s">
        <v>632</v>
      </c>
      <c r="AE104" s="283">
        <v>3.149</v>
      </c>
      <c r="AF104" s="284">
        <f t="shared" si="17"/>
        <v>3759.906</v>
      </c>
      <c r="AG104" s="284">
        <f t="shared" si="18"/>
        <v>29139.2715</v>
      </c>
      <c r="AH104" s="285">
        <v>46141</v>
      </c>
      <c r="AI104" s="295" t="s">
        <v>462</v>
      </c>
      <c r="AJ104" s="273" t="s">
        <v>454</v>
      </c>
      <c r="AK104" s="273">
        <v>1200</v>
      </c>
      <c r="AL104" s="273"/>
      <c r="AM104" s="273"/>
      <c r="AN104" s="273"/>
      <c r="AO104" s="304" t="s">
        <v>335</v>
      </c>
      <c r="AP104" s="242">
        <v>46233</v>
      </c>
      <c r="AQ104" s="242">
        <v>46233</v>
      </c>
    </row>
    <row r="105" s="214" customFormat="1" ht="25" customHeight="1" spans="1:43">
      <c r="A105" s="272">
        <v>46139</v>
      </c>
      <c r="B105" s="272" t="s">
        <v>330</v>
      </c>
      <c r="C105" s="274" t="s">
        <v>445</v>
      </c>
      <c r="D105" s="273" t="s">
        <v>329</v>
      </c>
      <c r="E105" s="273" t="s">
        <v>334</v>
      </c>
      <c r="F105" s="298"/>
      <c r="G105" s="273" t="s">
        <v>67</v>
      </c>
      <c r="H105" s="273" t="s">
        <v>152</v>
      </c>
      <c r="I105" s="275">
        <f>1002</f>
        <v>1002</v>
      </c>
      <c r="J105" s="275">
        <v>6</v>
      </c>
      <c r="K105" s="273">
        <f t="shared" si="16"/>
        <v>167</v>
      </c>
      <c r="L105" s="272">
        <v>46206</v>
      </c>
      <c r="M105" s="272">
        <v>46216</v>
      </c>
      <c r="N105" s="272" t="s">
        <v>457</v>
      </c>
      <c r="O105" s="274" t="s">
        <v>446</v>
      </c>
      <c r="P105" s="276">
        <v>46234</v>
      </c>
      <c r="Q105" s="278">
        <v>46157</v>
      </c>
      <c r="R105" s="278">
        <v>46158</v>
      </c>
      <c r="S105" s="278">
        <v>46178</v>
      </c>
      <c r="T105" s="277">
        <v>46156</v>
      </c>
      <c r="U105" s="279" t="s">
        <v>448</v>
      </c>
      <c r="V105" s="293" t="s">
        <v>458</v>
      </c>
      <c r="W105" s="277" t="s">
        <v>459</v>
      </c>
      <c r="X105" s="280" t="str">
        <f t="array" ref="X105">INDEX(系统货号!C:C,MATCH(1,(系统货号!A:A=G105)*(系统货号!B:B=V105),0))</f>
        <v>CZ018D6</v>
      </c>
      <c r="Y105" s="279"/>
      <c r="Z105" s="277"/>
      <c r="AA105" s="277"/>
      <c r="AB105" s="301" t="s">
        <v>463</v>
      </c>
      <c r="AC105" s="301" t="s">
        <v>463</v>
      </c>
      <c r="AD105" s="282" t="s">
        <v>633</v>
      </c>
      <c r="AE105" s="283">
        <v>3.905</v>
      </c>
      <c r="AF105" s="284">
        <f t="shared" si="17"/>
        <v>3912.81</v>
      </c>
      <c r="AG105" s="284">
        <f t="shared" si="18"/>
        <v>30324.2775</v>
      </c>
      <c r="AH105" s="285">
        <v>46141</v>
      </c>
      <c r="AI105" s="295" t="s">
        <v>462</v>
      </c>
      <c r="AJ105" s="273" t="s">
        <v>454</v>
      </c>
      <c r="AK105" s="273">
        <v>1002</v>
      </c>
      <c r="AL105" s="273"/>
      <c r="AM105" s="273"/>
      <c r="AN105" s="273"/>
      <c r="AO105" s="304" t="s">
        <v>335</v>
      </c>
      <c r="AP105" s="242">
        <v>46233</v>
      </c>
      <c r="AQ105" s="242">
        <v>46233</v>
      </c>
    </row>
    <row r="106" s="214" customFormat="1" ht="25" customHeight="1" spans="1:43">
      <c r="A106" s="272">
        <v>46139</v>
      </c>
      <c r="B106" s="272" t="s">
        <v>330</v>
      </c>
      <c r="C106" s="274" t="s">
        <v>445</v>
      </c>
      <c r="D106" s="273" t="s">
        <v>329</v>
      </c>
      <c r="E106" s="273" t="s">
        <v>331</v>
      </c>
      <c r="F106" s="298"/>
      <c r="G106" s="273" t="s">
        <v>10</v>
      </c>
      <c r="H106" s="273" t="s">
        <v>128</v>
      </c>
      <c r="I106" s="303">
        <f>384-6</f>
        <v>378</v>
      </c>
      <c r="J106" s="275">
        <v>6</v>
      </c>
      <c r="K106" s="273">
        <f t="shared" si="16"/>
        <v>63</v>
      </c>
      <c r="L106" s="272">
        <v>46206</v>
      </c>
      <c r="M106" s="272">
        <v>46216</v>
      </c>
      <c r="N106" s="272" t="s">
        <v>457</v>
      </c>
      <c r="O106" s="274" t="s">
        <v>446</v>
      </c>
      <c r="P106" s="276">
        <v>46234</v>
      </c>
      <c r="Q106" s="278">
        <v>46157</v>
      </c>
      <c r="R106" s="278">
        <v>46158</v>
      </c>
      <c r="S106" s="278">
        <v>46178</v>
      </c>
      <c r="T106" s="277">
        <v>46156</v>
      </c>
      <c r="U106" s="279" t="s">
        <v>448</v>
      </c>
      <c r="V106" s="293" t="s">
        <v>458</v>
      </c>
      <c r="W106" s="277" t="s">
        <v>459</v>
      </c>
      <c r="X106" s="280" t="str">
        <f t="array" ref="X106">INDEX(系统货号!C:C,MATCH(1,(系统货号!A:A=G106)*(系统货号!B:B=V106),0))</f>
        <v>BS082D6</v>
      </c>
      <c r="Y106" s="279"/>
      <c r="Z106" s="277"/>
      <c r="AA106" s="277"/>
      <c r="AB106" s="301" t="s">
        <v>618</v>
      </c>
      <c r="AC106" s="301" t="s">
        <v>618</v>
      </c>
      <c r="AD106" s="282" t="s">
        <v>632</v>
      </c>
      <c r="AE106" s="283">
        <v>3.405</v>
      </c>
      <c r="AF106" s="284">
        <f t="shared" si="17"/>
        <v>1287.09</v>
      </c>
      <c r="AG106" s="284">
        <f t="shared" si="18"/>
        <v>9974.9475</v>
      </c>
      <c r="AH106" s="285">
        <v>46141</v>
      </c>
      <c r="AI106" s="295" t="s">
        <v>462</v>
      </c>
      <c r="AJ106" s="273" t="s">
        <v>454</v>
      </c>
      <c r="AK106" s="273">
        <v>372</v>
      </c>
      <c r="AL106" s="273"/>
      <c r="AM106" s="273"/>
      <c r="AN106" s="273"/>
      <c r="AO106" s="304" t="s">
        <v>332</v>
      </c>
      <c r="AP106" s="242">
        <v>46233</v>
      </c>
      <c r="AQ106" s="242">
        <v>46233</v>
      </c>
    </row>
    <row r="107" s="214" customFormat="1" ht="25" customHeight="1" spans="1:43">
      <c r="A107" s="272">
        <v>46139</v>
      </c>
      <c r="B107" s="272" t="s">
        <v>330</v>
      </c>
      <c r="C107" s="274" t="s">
        <v>445</v>
      </c>
      <c r="D107" s="273" t="s">
        <v>329</v>
      </c>
      <c r="E107" s="273" t="s">
        <v>331</v>
      </c>
      <c r="F107" s="298"/>
      <c r="G107" s="273" t="s">
        <v>11</v>
      </c>
      <c r="H107" s="273" t="s">
        <v>178</v>
      </c>
      <c r="I107" s="303">
        <f>384-6</f>
        <v>378</v>
      </c>
      <c r="J107" s="275">
        <v>6</v>
      </c>
      <c r="K107" s="273">
        <f t="shared" si="16"/>
        <v>63</v>
      </c>
      <c r="L107" s="272">
        <v>46206</v>
      </c>
      <c r="M107" s="272">
        <v>46216</v>
      </c>
      <c r="N107" s="272" t="s">
        <v>457</v>
      </c>
      <c r="O107" s="274" t="s">
        <v>446</v>
      </c>
      <c r="P107" s="276">
        <v>46234</v>
      </c>
      <c r="Q107" s="278">
        <v>46157</v>
      </c>
      <c r="R107" s="278">
        <v>46158</v>
      </c>
      <c r="S107" s="278">
        <v>46178</v>
      </c>
      <c r="T107" s="277">
        <v>46156</v>
      </c>
      <c r="U107" s="279" t="s">
        <v>448</v>
      </c>
      <c r="V107" s="293" t="s">
        <v>458</v>
      </c>
      <c r="W107" s="277" t="s">
        <v>459</v>
      </c>
      <c r="X107" s="280" t="str">
        <f t="array" ref="X107">INDEX(系统货号!C:C,MATCH(1,(系统货号!A:A=G107)*(系统货号!B:B=V107),0))</f>
        <v>BS083D6</v>
      </c>
      <c r="Y107" s="279"/>
      <c r="Z107" s="277"/>
      <c r="AA107" s="277"/>
      <c r="AB107" s="301" t="s">
        <v>618</v>
      </c>
      <c r="AC107" s="301" t="s">
        <v>618</v>
      </c>
      <c r="AD107" s="282" t="s">
        <v>632</v>
      </c>
      <c r="AE107" s="283">
        <v>3.149</v>
      </c>
      <c r="AF107" s="284">
        <f t="shared" si="17"/>
        <v>1190.322</v>
      </c>
      <c r="AG107" s="284">
        <f t="shared" si="18"/>
        <v>9224.9955</v>
      </c>
      <c r="AH107" s="285">
        <v>46141</v>
      </c>
      <c r="AI107" s="295" t="s">
        <v>462</v>
      </c>
      <c r="AJ107" s="273" t="s">
        <v>454</v>
      </c>
      <c r="AK107" s="273">
        <v>384</v>
      </c>
      <c r="AL107" s="273"/>
      <c r="AM107" s="273"/>
      <c r="AN107" s="273"/>
      <c r="AO107" s="304" t="s">
        <v>332</v>
      </c>
      <c r="AP107" s="242">
        <v>46233</v>
      </c>
      <c r="AQ107" s="242">
        <v>46233</v>
      </c>
    </row>
    <row r="108" s="214" customFormat="1" ht="25" customHeight="1" spans="1:43">
      <c r="A108" s="272">
        <v>46139</v>
      </c>
      <c r="B108" s="272" t="s">
        <v>330</v>
      </c>
      <c r="C108" s="274" t="s">
        <v>445</v>
      </c>
      <c r="D108" s="273" t="s">
        <v>329</v>
      </c>
      <c r="E108" s="273" t="s">
        <v>331</v>
      </c>
      <c r="F108" s="298"/>
      <c r="G108" s="273" t="s">
        <v>67</v>
      </c>
      <c r="H108" s="273" t="s">
        <v>152</v>
      </c>
      <c r="I108" s="275">
        <f>306</f>
        <v>306</v>
      </c>
      <c r="J108" s="275">
        <v>6</v>
      </c>
      <c r="K108" s="273">
        <f t="shared" si="16"/>
        <v>51</v>
      </c>
      <c r="L108" s="272">
        <v>46206</v>
      </c>
      <c r="M108" s="272">
        <v>46216</v>
      </c>
      <c r="N108" s="272" t="s">
        <v>457</v>
      </c>
      <c r="O108" s="274" t="s">
        <v>446</v>
      </c>
      <c r="P108" s="276">
        <v>46234</v>
      </c>
      <c r="Q108" s="278">
        <v>46157</v>
      </c>
      <c r="R108" s="278">
        <v>46158</v>
      </c>
      <c r="S108" s="278">
        <v>46178</v>
      </c>
      <c r="T108" s="277">
        <v>46156</v>
      </c>
      <c r="U108" s="279" t="s">
        <v>448</v>
      </c>
      <c r="V108" s="293" t="s">
        <v>458</v>
      </c>
      <c r="W108" s="277" t="s">
        <v>459</v>
      </c>
      <c r="X108" s="280" t="str">
        <f t="array" ref="X108">INDEX(系统货号!C:C,MATCH(1,(系统货号!A:A=G108)*(系统货号!B:B=V108),0))</f>
        <v>CZ018D6</v>
      </c>
      <c r="Y108" s="279"/>
      <c r="Z108" s="277"/>
      <c r="AA108" s="277"/>
      <c r="AB108" s="301" t="s">
        <v>463</v>
      </c>
      <c r="AC108" s="301" t="s">
        <v>463</v>
      </c>
      <c r="AD108" s="282" t="s">
        <v>633</v>
      </c>
      <c r="AE108" s="283">
        <v>3.905</v>
      </c>
      <c r="AF108" s="284">
        <f t="shared" si="17"/>
        <v>1194.93</v>
      </c>
      <c r="AG108" s="284">
        <f t="shared" si="18"/>
        <v>9260.7075</v>
      </c>
      <c r="AH108" s="285">
        <v>46141</v>
      </c>
      <c r="AI108" s="295" t="s">
        <v>462</v>
      </c>
      <c r="AJ108" s="273" t="s">
        <v>454</v>
      </c>
      <c r="AK108" s="273">
        <v>306</v>
      </c>
      <c r="AL108" s="273"/>
      <c r="AM108" s="273"/>
      <c r="AN108" s="273"/>
      <c r="AO108" s="304" t="s">
        <v>332</v>
      </c>
      <c r="AP108" s="242">
        <v>46233</v>
      </c>
      <c r="AQ108" s="242">
        <v>46233</v>
      </c>
    </row>
    <row r="109" s="214" customFormat="1" ht="25" customHeight="1" spans="1:43">
      <c r="A109" s="272">
        <v>46139</v>
      </c>
      <c r="B109" s="272" t="s">
        <v>330</v>
      </c>
      <c r="C109" s="274" t="s">
        <v>445</v>
      </c>
      <c r="D109" s="273" t="s">
        <v>329</v>
      </c>
      <c r="E109" s="273" t="s">
        <v>331</v>
      </c>
      <c r="F109" s="298"/>
      <c r="G109" s="273" t="s">
        <v>66</v>
      </c>
      <c r="H109" s="273" t="s">
        <v>258</v>
      </c>
      <c r="I109" s="275">
        <f>384</f>
        <v>384</v>
      </c>
      <c r="J109" s="275">
        <v>6</v>
      </c>
      <c r="K109" s="273">
        <f t="shared" si="16"/>
        <v>64</v>
      </c>
      <c r="L109" s="272">
        <v>46206</v>
      </c>
      <c r="M109" s="272">
        <v>46216</v>
      </c>
      <c r="N109" s="272" t="s">
        <v>457</v>
      </c>
      <c r="O109" s="274" t="s">
        <v>446</v>
      </c>
      <c r="P109" s="276">
        <v>46234</v>
      </c>
      <c r="Q109" s="278">
        <v>46157</v>
      </c>
      <c r="R109" s="278">
        <v>46158</v>
      </c>
      <c r="S109" s="278">
        <v>46178</v>
      </c>
      <c r="T109" s="277">
        <v>46156</v>
      </c>
      <c r="U109" s="279" t="s">
        <v>448</v>
      </c>
      <c r="V109" s="293" t="s">
        <v>458</v>
      </c>
      <c r="W109" s="277" t="s">
        <v>459</v>
      </c>
      <c r="X109" s="280" t="str">
        <f t="array" ref="X109">INDEX(系统货号!C:C,MATCH(1,(系统货号!A:A=G109)*(系统货号!B:B=V109),0))</f>
        <v>CZ019D6</v>
      </c>
      <c r="Y109" s="279"/>
      <c r="Z109" s="277"/>
      <c r="AA109" s="277"/>
      <c r="AB109" s="301" t="s">
        <v>463</v>
      </c>
      <c r="AC109" s="301" t="s">
        <v>463</v>
      </c>
      <c r="AD109" s="282" t="s">
        <v>633</v>
      </c>
      <c r="AE109" s="283">
        <v>3.988</v>
      </c>
      <c r="AF109" s="284">
        <f t="shared" si="17"/>
        <v>1531.392</v>
      </c>
      <c r="AG109" s="284">
        <f t="shared" si="18"/>
        <v>11868.288</v>
      </c>
      <c r="AH109" s="285">
        <v>46141</v>
      </c>
      <c r="AI109" s="295" t="s">
        <v>462</v>
      </c>
      <c r="AJ109" s="273" t="s">
        <v>454</v>
      </c>
      <c r="AK109" s="273">
        <v>384</v>
      </c>
      <c r="AL109" s="273"/>
      <c r="AM109" s="273"/>
      <c r="AN109" s="273"/>
      <c r="AO109" s="304" t="s">
        <v>332</v>
      </c>
      <c r="AP109" s="242">
        <v>46233</v>
      </c>
      <c r="AQ109" s="242">
        <v>46233</v>
      </c>
    </row>
    <row r="110" s="214" customFormat="1" ht="25" customHeight="1" spans="1:43">
      <c r="A110" s="272">
        <v>46139</v>
      </c>
      <c r="B110" s="272" t="s">
        <v>330</v>
      </c>
      <c r="C110" s="274" t="s">
        <v>445</v>
      </c>
      <c r="D110" s="273" t="s">
        <v>329</v>
      </c>
      <c r="E110" s="273" t="s">
        <v>331</v>
      </c>
      <c r="F110" s="298"/>
      <c r="G110" s="273" t="s">
        <v>64</v>
      </c>
      <c r="H110" s="273" t="s">
        <v>259</v>
      </c>
      <c r="I110" s="275">
        <f>306</f>
        <v>306</v>
      </c>
      <c r="J110" s="275">
        <v>6</v>
      </c>
      <c r="K110" s="273">
        <f t="shared" si="16"/>
        <v>51</v>
      </c>
      <c r="L110" s="272">
        <v>46206</v>
      </c>
      <c r="M110" s="272">
        <v>46216</v>
      </c>
      <c r="N110" s="272" t="s">
        <v>457</v>
      </c>
      <c r="O110" s="274" t="s">
        <v>446</v>
      </c>
      <c r="P110" s="276">
        <v>46234</v>
      </c>
      <c r="Q110" s="278">
        <v>46157</v>
      </c>
      <c r="R110" s="278">
        <v>46158</v>
      </c>
      <c r="S110" s="278">
        <v>46178</v>
      </c>
      <c r="T110" s="277">
        <v>46156</v>
      </c>
      <c r="U110" s="279" t="s">
        <v>448</v>
      </c>
      <c r="V110" s="293" t="s">
        <v>458</v>
      </c>
      <c r="W110" s="277" t="s">
        <v>459</v>
      </c>
      <c r="X110" s="280" t="str">
        <f t="array" ref="X110">INDEX(系统货号!C:C,MATCH(1,(系统货号!A:A=G110)*(系统货号!B:B=V110),0))</f>
        <v>CZ017D6</v>
      </c>
      <c r="Y110" s="279"/>
      <c r="Z110" s="277"/>
      <c r="AA110" s="277"/>
      <c r="AB110" s="301" t="s">
        <v>463</v>
      </c>
      <c r="AC110" s="301" t="s">
        <v>463</v>
      </c>
      <c r="AD110" s="282" t="s">
        <v>633</v>
      </c>
      <c r="AE110" s="283">
        <v>4.075</v>
      </c>
      <c r="AF110" s="284">
        <f t="shared" si="17"/>
        <v>1246.95</v>
      </c>
      <c r="AG110" s="284">
        <f t="shared" si="18"/>
        <v>9663.8625</v>
      </c>
      <c r="AH110" s="285">
        <v>46141</v>
      </c>
      <c r="AI110" s="295" t="s">
        <v>462</v>
      </c>
      <c r="AJ110" s="273" t="s">
        <v>454</v>
      </c>
      <c r="AK110" s="273">
        <v>306</v>
      </c>
      <c r="AL110" s="273"/>
      <c r="AM110" s="273"/>
      <c r="AN110" s="273"/>
      <c r="AO110" s="304" t="s">
        <v>332</v>
      </c>
      <c r="AP110" s="242">
        <v>46233</v>
      </c>
      <c r="AQ110" s="242">
        <v>46233</v>
      </c>
    </row>
    <row r="111" s="214" customFormat="1" ht="25" customHeight="1" spans="1:43">
      <c r="A111" s="305">
        <v>46139</v>
      </c>
      <c r="B111" s="305" t="s">
        <v>330</v>
      </c>
      <c r="C111" s="306" t="s">
        <v>445</v>
      </c>
      <c r="D111" s="307" t="s">
        <v>329</v>
      </c>
      <c r="E111" s="307" t="s">
        <v>331</v>
      </c>
      <c r="F111" s="308"/>
      <c r="G111" s="307" t="s">
        <v>63</v>
      </c>
      <c r="H111" s="307" t="s">
        <v>333</v>
      </c>
      <c r="I111" s="275">
        <f>306</f>
        <v>306</v>
      </c>
      <c r="J111" s="309">
        <v>6</v>
      </c>
      <c r="K111" s="307">
        <f t="shared" si="16"/>
        <v>51</v>
      </c>
      <c r="L111" s="305">
        <v>46206</v>
      </c>
      <c r="M111" s="305">
        <v>46216</v>
      </c>
      <c r="N111" s="305" t="s">
        <v>457</v>
      </c>
      <c r="O111" s="274" t="s">
        <v>446</v>
      </c>
      <c r="P111" s="276">
        <v>46234</v>
      </c>
      <c r="Q111" s="310">
        <v>46157</v>
      </c>
      <c r="R111" s="310">
        <v>46158</v>
      </c>
      <c r="S111" s="310">
        <v>46178</v>
      </c>
      <c r="T111" s="311">
        <v>46156</v>
      </c>
      <c r="U111" s="312" t="s">
        <v>448</v>
      </c>
      <c r="V111" s="313" t="s">
        <v>458</v>
      </c>
      <c r="W111" s="311" t="s">
        <v>459</v>
      </c>
      <c r="X111" s="314" t="str">
        <f t="array" ref="X111">INDEX(系统货号!C:C,MATCH(1,(系统货号!A:A=G111)*(系统货号!B:B=V111),0))</f>
        <v>CZ023D6</v>
      </c>
      <c r="Y111" s="312"/>
      <c r="Z111" s="311"/>
      <c r="AA111" s="311"/>
      <c r="AB111" s="315" t="s">
        <v>463</v>
      </c>
      <c r="AC111" s="315" t="s">
        <v>463</v>
      </c>
      <c r="AD111" s="316" t="s">
        <v>633</v>
      </c>
      <c r="AE111" s="317">
        <v>4.018</v>
      </c>
      <c r="AF111" s="318">
        <f t="shared" si="17"/>
        <v>1229.508</v>
      </c>
      <c r="AG111" s="318">
        <f t="shared" si="18"/>
        <v>9528.687</v>
      </c>
      <c r="AH111" s="319">
        <v>46141</v>
      </c>
      <c r="AI111" s="320" t="s">
        <v>462</v>
      </c>
      <c r="AJ111" s="307" t="s">
        <v>454</v>
      </c>
      <c r="AK111" s="307">
        <v>306</v>
      </c>
      <c r="AL111" s="307"/>
      <c r="AM111" s="307"/>
      <c r="AN111" s="307"/>
      <c r="AO111" s="304" t="s">
        <v>332</v>
      </c>
      <c r="AP111" s="242">
        <v>46233</v>
      </c>
      <c r="AQ111" s="242">
        <v>46233</v>
      </c>
    </row>
    <row r="112" s="214" customFormat="1" ht="25" customHeight="1" spans="1:43">
      <c r="A112" s="272">
        <v>46126</v>
      </c>
      <c r="B112" s="272" t="s">
        <v>79</v>
      </c>
      <c r="C112" s="274" t="s">
        <v>445</v>
      </c>
      <c r="D112" s="273" t="s">
        <v>291</v>
      </c>
      <c r="E112" s="273" t="s">
        <v>292</v>
      </c>
      <c r="F112" s="308"/>
      <c r="G112" s="273" t="s">
        <v>270</v>
      </c>
      <c r="H112" s="273" t="s">
        <v>271</v>
      </c>
      <c r="I112" s="275">
        <v>3900</v>
      </c>
      <c r="J112" s="275">
        <v>6</v>
      </c>
      <c r="K112" s="307">
        <f t="shared" si="16"/>
        <v>650</v>
      </c>
      <c r="L112" s="272">
        <v>46209</v>
      </c>
      <c r="M112" s="272">
        <v>46209</v>
      </c>
      <c r="N112" s="321">
        <v>46224</v>
      </c>
      <c r="O112" s="274" t="s">
        <v>446</v>
      </c>
      <c r="P112" s="322" t="s">
        <v>634</v>
      </c>
      <c r="Q112" s="278">
        <v>46157</v>
      </c>
      <c r="R112" s="278">
        <v>46161</v>
      </c>
      <c r="S112" s="278">
        <v>46169</v>
      </c>
      <c r="T112" s="277">
        <v>46155</v>
      </c>
      <c r="U112" s="279" t="s">
        <v>448</v>
      </c>
      <c r="V112" s="279" t="s">
        <v>448</v>
      </c>
      <c r="W112" s="293" t="s">
        <v>449</v>
      </c>
      <c r="X112" s="277" t="s">
        <v>450</v>
      </c>
      <c r="Y112" s="280" t="s">
        <v>635</v>
      </c>
      <c r="Z112" s="311"/>
      <c r="AA112" s="311"/>
      <c r="AB112" s="273" t="s">
        <v>450</v>
      </c>
      <c r="AC112" s="273" t="s">
        <v>468</v>
      </c>
      <c r="AD112" s="282" t="s">
        <v>479</v>
      </c>
      <c r="AE112" s="283">
        <v>1.189</v>
      </c>
      <c r="AF112" s="318">
        <f t="shared" si="17"/>
        <v>4637.1</v>
      </c>
      <c r="AG112" s="318">
        <f t="shared" si="18"/>
        <v>35937.525</v>
      </c>
      <c r="AH112" s="285">
        <v>46137</v>
      </c>
      <c r="AI112" s="295" t="s">
        <v>466</v>
      </c>
      <c r="AJ112" s="307"/>
      <c r="AK112" s="307"/>
      <c r="AL112" s="307"/>
      <c r="AM112" s="307"/>
      <c r="AN112" s="323"/>
      <c r="AO112" s="304" t="s">
        <v>293</v>
      </c>
      <c r="AP112" s="324">
        <v>46237</v>
      </c>
      <c r="AQ112" s="324">
        <v>46232</v>
      </c>
    </row>
    <row r="113" s="214" customFormat="1" ht="25" customHeight="1" spans="1:43">
      <c r="A113" s="296">
        <v>46126</v>
      </c>
      <c r="B113" s="296" t="s">
        <v>79</v>
      </c>
      <c r="C113" s="325" t="s">
        <v>445</v>
      </c>
      <c r="D113" s="326" t="s">
        <v>78</v>
      </c>
      <c r="E113" s="326" t="s">
        <v>269</v>
      </c>
      <c r="F113" s="308"/>
      <c r="G113" s="326" t="s">
        <v>270</v>
      </c>
      <c r="H113" s="326" t="s">
        <v>271</v>
      </c>
      <c r="I113" s="327">
        <v>35100</v>
      </c>
      <c r="J113" s="327">
        <v>6</v>
      </c>
      <c r="K113" s="326">
        <f t="shared" si="16"/>
        <v>5850</v>
      </c>
      <c r="L113" s="296">
        <v>46209</v>
      </c>
      <c r="M113" s="296">
        <v>46209</v>
      </c>
      <c r="N113" s="321">
        <v>46224</v>
      </c>
      <c r="O113" s="274" t="s">
        <v>446</v>
      </c>
      <c r="P113" s="322" t="s">
        <v>634</v>
      </c>
      <c r="Q113" s="328">
        <v>46157</v>
      </c>
      <c r="R113" s="328">
        <v>46161</v>
      </c>
      <c r="S113" s="328">
        <v>46174</v>
      </c>
      <c r="T113" s="329">
        <v>46155</v>
      </c>
      <c r="U113" s="330" t="s">
        <v>448</v>
      </c>
      <c r="V113" s="331" t="s">
        <v>449</v>
      </c>
      <c r="W113" s="331" t="s">
        <v>449</v>
      </c>
      <c r="X113" s="329" t="s">
        <v>450</v>
      </c>
      <c r="Y113" s="332" t="s">
        <v>635</v>
      </c>
      <c r="Z113" s="330" t="s">
        <v>478</v>
      </c>
      <c r="AA113" s="311"/>
      <c r="AB113" s="326" t="s">
        <v>450</v>
      </c>
      <c r="AC113" s="326" t="s">
        <v>468</v>
      </c>
      <c r="AD113" s="333" t="s">
        <v>479</v>
      </c>
      <c r="AE113" s="334">
        <v>1.189</v>
      </c>
      <c r="AF113" s="318">
        <f t="shared" ref="AF113:AF135" si="19">I113*AE113</f>
        <v>41733.9</v>
      </c>
      <c r="AG113" s="318">
        <f t="shared" ref="AG113:AG135" si="20">AF113*7.75</f>
        <v>323437.725</v>
      </c>
      <c r="AH113" s="335">
        <v>46137</v>
      </c>
      <c r="AI113" s="336" t="s">
        <v>466</v>
      </c>
      <c r="AJ113" s="307"/>
      <c r="AK113" s="307"/>
      <c r="AL113" s="307"/>
      <c r="AM113" s="307"/>
      <c r="AN113" s="323"/>
      <c r="AO113" s="304" t="s">
        <v>272</v>
      </c>
      <c r="AP113" s="324">
        <v>46239</v>
      </c>
      <c r="AQ113" s="324">
        <v>46232</v>
      </c>
    </row>
    <row r="114" s="214" customFormat="1" ht="25" customHeight="1" spans="1:43">
      <c r="A114" s="272">
        <v>46126</v>
      </c>
      <c r="B114" s="272" t="s">
        <v>79</v>
      </c>
      <c r="C114" s="274" t="s">
        <v>445</v>
      </c>
      <c r="D114" s="273" t="s">
        <v>78</v>
      </c>
      <c r="E114" s="273" t="s">
        <v>275</v>
      </c>
      <c r="F114" s="298"/>
      <c r="G114" s="273" t="s">
        <v>44</v>
      </c>
      <c r="H114" s="273" t="s">
        <v>276</v>
      </c>
      <c r="I114" s="275">
        <v>8754</v>
      </c>
      <c r="J114" s="275">
        <v>6</v>
      </c>
      <c r="K114" s="273">
        <f t="shared" si="16"/>
        <v>1459</v>
      </c>
      <c r="L114" s="272">
        <v>46209</v>
      </c>
      <c r="M114" s="272">
        <v>46209</v>
      </c>
      <c r="N114" s="321">
        <v>46224</v>
      </c>
      <c r="O114" s="274" t="s">
        <v>446</v>
      </c>
      <c r="P114" s="322" t="s">
        <v>634</v>
      </c>
      <c r="Q114" s="278">
        <v>46157</v>
      </c>
      <c r="R114" s="278">
        <v>46161</v>
      </c>
      <c r="S114" s="278">
        <v>46174</v>
      </c>
      <c r="T114" s="277">
        <v>46155</v>
      </c>
      <c r="U114" s="279" t="s">
        <v>448</v>
      </c>
      <c r="V114" s="293" t="s">
        <v>449</v>
      </c>
      <c r="W114" s="277" t="s">
        <v>450</v>
      </c>
      <c r="X114" s="280" t="str">
        <f t="array" ref="X114">INDEX(系统货号!C:C,MATCH(1,(系统货号!A:A=G114)*(系统货号!B:B=V114),0))</f>
        <v>SP003A2-KMART</v>
      </c>
      <c r="Y114" s="279" t="s">
        <v>478</v>
      </c>
      <c r="Z114" s="277"/>
      <c r="AA114" s="277"/>
      <c r="AB114" s="273" t="s">
        <v>450</v>
      </c>
      <c r="AC114" s="273" t="s">
        <v>468</v>
      </c>
      <c r="AD114" s="282" t="s">
        <v>479</v>
      </c>
      <c r="AE114" s="283">
        <v>1.462</v>
      </c>
      <c r="AF114" s="284">
        <f t="shared" si="19"/>
        <v>12798.348</v>
      </c>
      <c r="AG114" s="284">
        <f t="shared" si="20"/>
        <v>99187.197</v>
      </c>
      <c r="AH114" s="285">
        <v>46137</v>
      </c>
      <c r="AI114" s="295" t="s">
        <v>466</v>
      </c>
      <c r="AJ114" s="273"/>
      <c r="AK114" s="273"/>
      <c r="AL114" s="273"/>
      <c r="AM114" s="273"/>
      <c r="AN114" s="273"/>
      <c r="AO114" s="304" t="s">
        <v>277</v>
      </c>
      <c r="AP114" s="242">
        <v>46239</v>
      </c>
      <c r="AQ114" s="324">
        <v>46232</v>
      </c>
    </row>
    <row r="115" s="214" customFormat="1" ht="25" customHeight="1" spans="1:43">
      <c r="A115" s="272">
        <v>46126</v>
      </c>
      <c r="B115" s="272" t="s">
        <v>79</v>
      </c>
      <c r="C115" s="274" t="s">
        <v>445</v>
      </c>
      <c r="D115" s="273" t="s">
        <v>78</v>
      </c>
      <c r="E115" s="273" t="s">
        <v>280</v>
      </c>
      <c r="F115" s="273"/>
      <c r="G115" s="273" t="s">
        <v>281</v>
      </c>
      <c r="H115" s="273" t="s">
        <v>282</v>
      </c>
      <c r="I115" s="275">
        <v>8754</v>
      </c>
      <c r="J115" s="275">
        <v>6</v>
      </c>
      <c r="K115" s="273">
        <f t="shared" si="16"/>
        <v>1459</v>
      </c>
      <c r="L115" s="272">
        <v>46209</v>
      </c>
      <c r="M115" s="272">
        <v>46209</v>
      </c>
      <c r="N115" s="321">
        <v>46224</v>
      </c>
      <c r="O115" s="274" t="s">
        <v>446</v>
      </c>
      <c r="P115" s="322" t="s">
        <v>634</v>
      </c>
      <c r="Q115" s="278">
        <v>46157</v>
      </c>
      <c r="R115" s="278">
        <v>46161</v>
      </c>
      <c r="S115" s="278">
        <v>46174</v>
      </c>
      <c r="T115" s="277">
        <v>46155</v>
      </c>
      <c r="U115" s="279" t="s">
        <v>448</v>
      </c>
      <c r="V115" s="293" t="s">
        <v>449</v>
      </c>
      <c r="W115" s="277" t="s">
        <v>450</v>
      </c>
      <c r="X115" s="280" t="str">
        <f t="array" ref="X115">INDEX(系统货号!C:C,MATCH(1,(系统货号!A:A=G115)*(系统货号!B:B=V115),0))</f>
        <v>SP003A3-KMART</v>
      </c>
      <c r="Y115" s="279" t="s">
        <v>478</v>
      </c>
      <c r="Z115" s="277"/>
      <c r="AA115" s="277"/>
      <c r="AB115" s="273" t="s">
        <v>450</v>
      </c>
      <c r="AC115" s="273" t="s">
        <v>468</v>
      </c>
      <c r="AD115" s="282" t="s">
        <v>479</v>
      </c>
      <c r="AE115" s="283">
        <v>1.462</v>
      </c>
      <c r="AF115" s="284">
        <f t="shared" si="19"/>
        <v>12798.348</v>
      </c>
      <c r="AG115" s="284">
        <f t="shared" si="20"/>
        <v>99187.197</v>
      </c>
      <c r="AH115" s="285">
        <v>46137</v>
      </c>
      <c r="AI115" s="295" t="s">
        <v>466</v>
      </c>
      <c r="AJ115" s="273"/>
      <c r="AK115" s="273"/>
      <c r="AL115" s="273"/>
      <c r="AM115" s="273"/>
      <c r="AN115" s="273"/>
      <c r="AO115" s="304" t="s">
        <v>283</v>
      </c>
      <c r="AP115" s="242">
        <v>46239</v>
      </c>
      <c r="AQ115" s="324">
        <v>46232</v>
      </c>
    </row>
    <row r="116" s="214" customFormat="1" ht="25" customHeight="1" spans="1:43">
      <c r="A116" s="272">
        <v>46126</v>
      </c>
      <c r="B116" s="272" t="s">
        <v>79</v>
      </c>
      <c r="C116" s="274" t="s">
        <v>445</v>
      </c>
      <c r="D116" s="273" t="s">
        <v>78</v>
      </c>
      <c r="E116" s="273" t="s">
        <v>286</v>
      </c>
      <c r="F116" s="273"/>
      <c r="G116" s="273" t="s">
        <v>45</v>
      </c>
      <c r="H116" s="273" t="s">
        <v>287</v>
      </c>
      <c r="I116" s="275">
        <v>12954</v>
      </c>
      <c r="J116" s="275">
        <v>6</v>
      </c>
      <c r="K116" s="273">
        <f t="shared" si="16"/>
        <v>2159</v>
      </c>
      <c r="L116" s="272">
        <v>46209</v>
      </c>
      <c r="M116" s="272">
        <v>46209</v>
      </c>
      <c r="N116" s="321">
        <v>46224</v>
      </c>
      <c r="O116" s="274" t="s">
        <v>446</v>
      </c>
      <c r="P116" s="322" t="s">
        <v>634</v>
      </c>
      <c r="Q116" s="278">
        <v>46157</v>
      </c>
      <c r="R116" s="278">
        <v>46161</v>
      </c>
      <c r="S116" s="278">
        <v>46174</v>
      </c>
      <c r="T116" s="277">
        <v>46155</v>
      </c>
      <c r="U116" s="279" t="s">
        <v>448</v>
      </c>
      <c r="V116" s="293" t="s">
        <v>449</v>
      </c>
      <c r="W116" s="277" t="s">
        <v>450</v>
      </c>
      <c r="X116" s="280" t="str">
        <f t="array" ref="X116">INDEX(系统货号!C:C,MATCH(1,(系统货号!A:A=G116)*(系统货号!B:B=V116),0))</f>
        <v>SP005A1-KMART客版本</v>
      </c>
      <c r="Y116" s="279"/>
      <c r="Z116" s="277"/>
      <c r="AA116" s="277"/>
      <c r="AB116" s="273" t="s">
        <v>450</v>
      </c>
      <c r="AC116" s="273" t="s">
        <v>470</v>
      </c>
      <c r="AD116" s="282" t="s">
        <v>480</v>
      </c>
      <c r="AE116" s="283">
        <v>1.452</v>
      </c>
      <c r="AF116" s="284">
        <f t="shared" si="19"/>
        <v>18809.208</v>
      </c>
      <c r="AG116" s="284">
        <f t="shared" si="20"/>
        <v>145771.362</v>
      </c>
      <c r="AH116" s="285">
        <v>46155</v>
      </c>
      <c r="AI116" s="295" t="s">
        <v>466</v>
      </c>
      <c r="AJ116" s="273"/>
      <c r="AK116" s="273"/>
      <c r="AL116" s="273"/>
      <c r="AM116" s="273"/>
      <c r="AN116" s="273"/>
      <c r="AO116" s="304" t="s">
        <v>288</v>
      </c>
      <c r="AP116" s="242">
        <v>46239</v>
      </c>
      <c r="AQ116" s="324">
        <v>46232</v>
      </c>
    </row>
    <row r="117" s="214" customFormat="1" ht="25" customHeight="1" spans="1:43">
      <c r="A117" s="337">
        <v>46126</v>
      </c>
      <c r="B117" s="337" t="s">
        <v>84</v>
      </c>
      <c r="C117" s="338" t="s">
        <v>445</v>
      </c>
      <c r="D117" s="339" t="s">
        <v>78</v>
      </c>
      <c r="E117" s="339" t="s">
        <v>273</v>
      </c>
      <c r="F117" s="339"/>
      <c r="G117" s="339" t="s">
        <v>270</v>
      </c>
      <c r="H117" s="339" t="s">
        <v>271</v>
      </c>
      <c r="I117" s="340">
        <v>3510</v>
      </c>
      <c r="J117" s="340">
        <v>6</v>
      </c>
      <c r="K117" s="339">
        <f t="shared" si="16"/>
        <v>585</v>
      </c>
      <c r="L117" s="337">
        <v>46209</v>
      </c>
      <c r="M117" s="337">
        <v>46209</v>
      </c>
      <c r="N117" s="321">
        <v>46224</v>
      </c>
      <c r="O117" s="274" t="s">
        <v>446</v>
      </c>
      <c r="P117" s="322" t="s">
        <v>634</v>
      </c>
      <c r="Q117" s="341">
        <v>46157</v>
      </c>
      <c r="R117" s="341">
        <v>46161</v>
      </c>
      <c r="S117" s="341">
        <v>46174</v>
      </c>
      <c r="T117" s="342">
        <v>46155</v>
      </c>
      <c r="U117" s="343" t="s">
        <v>448</v>
      </c>
      <c r="V117" s="344" t="s">
        <v>449</v>
      </c>
      <c r="W117" s="342" t="s">
        <v>450</v>
      </c>
      <c r="X117" s="345" t="str">
        <f t="array" ref="X117">INDEX(系统货号!C:C,MATCH(1,(系统货号!A:A=G117)*(系统货号!B:B=V117),0))</f>
        <v>SP002A1-KMART</v>
      </c>
      <c r="Y117" s="343" t="s">
        <v>478</v>
      </c>
      <c r="Z117" s="342"/>
      <c r="AA117" s="342"/>
      <c r="AB117" s="339" t="s">
        <v>450</v>
      </c>
      <c r="AC117" s="339" t="s">
        <v>468</v>
      </c>
      <c r="AD117" s="346" t="s">
        <v>479</v>
      </c>
      <c r="AE117" s="347">
        <v>1.189</v>
      </c>
      <c r="AF117" s="348">
        <f t="shared" si="19"/>
        <v>4173.39</v>
      </c>
      <c r="AG117" s="348">
        <f t="shared" si="20"/>
        <v>32343.7725</v>
      </c>
      <c r="AH117" s="349">
        <v>46137</v>
      </c>
      <c r="AI117" s="350" t="s">
        <v>466</v>
      </c>
      <c r="AJ117" s="339"/>
      <c r="AK117" s="339"/>
      <c r="AL117" s="339"/>
      <c r="AM117" s="339"/>
      <c r="AN117" s="339"/>
      <c r="AO117" s="304" t="s">
        <v>274</v>
      </c>
      <c r="AP117" s="242">
        <v>46239</v>
      </c>
      <c r="AQ117" s="324">
        <v>46232</v>
      </c>
    </row>
    <row r="118" s="214" customFormat="1" ht="25" customHeight="1" spans="1:43">
      <c r="A118" s="272">
        <v>46126</v>
      </c>
      <c r="B118" s="272" t="s">
        <v>84</v>
      </c>
      <c r="C118" s="274" t="s">
        <v>445</v>
      </c>
      <c r="D118" s="273" t="s">
        <v>78</v>
      </c>
      <c r="E118" s="273" t="s">
        <v>278</v>
      </c>
      <c r="F118" s="273"/>
      <c r="G118" s="273" t="s">
        <v>44</v>
      </c>
      <c r="H118" s="273" t="s">
        <v>276</v>
      </c>
      <c r="I118" s="275">
        <v>870</v>
      </c>
      <c r="J118" s="275">
        <v>6</v>
      </c>
      <c r="K118" s="273">
        <f t="shared" si="16"/>
        <v>145</v>
      </c>
      <c r="L118" s="272">
        <v>46209</v>
      </c>
      <c r="M118" s="272">
        <v>46209</v>
      </c>
      <c r="N118" s="321">
        <v>46224</v>
      </c>
      <c r="O118" s="274" t="s">
        <v>446</v>
      </c>
      <c r="P118" s="322" t="s">
        <v>634</v>
      </c>
      <c r="Q118" s="278">
        <v>46157</v>
      </c>
      <c r="R118" s="278">
        <v>46161</v>
      </c>
      <c r="S118" s="278">
        <v>46174</v>
      </c>
      <c r="T118" s="277">
        <v>46155</v>
      </c>
      <c r="U118" s="279" t="s">
        <v>448</v>
      </c>
      <c r="V118" s="293" t="s">
        <v>449</v>
      </c>
      <c r="W118" s="277" t="s">
        <v>450</v>
      </c>
      <c r="X118" s="280" t="str">
        <f t="array" ref="X118">INDEX(系统货号!C:C,MATCH(1,(系统货号!A:A=G118)*(系统货号!B:B=V118),0))</f>
        <v>SP003A2-KMART</v>
      </c>
      <c r="Y118" s="279" t="s">
        <v>478</v>
      </c>
      <c r="Z118" s="277"/>
      <c r="AA118" s="277"/>
      <c r="AB118" s="273" t="s">
        <v>450</v>
      </c>
      <c r="AC118" s="273" t="s">
        <v>468</v>
      </c>
      <c r="AD118" s="282" t="s">
        <v>479</v>
      </c>
      <c r="AE118" s="283">
        <v>1.462</v>
      </c>
      <c r="AF118" s="284">
        <f t="shared" si="19"/>
        <v>1271.94</v>
      </c>
      <c r="AG118" s="284">
        <f t="shared" si="20"/>
        <v>9857.535</v>
      </c>
      <c r="AH118" s="285">
        <v>46137</v>
      </c>
      <c r="AI118" s="295" t="s">
        <v>466</v>
      </c>
      <c r="AJ118" s="273"/>
      <c r="AK118" s="273"/>
      <c r="AL118" s="273"/>
      <c r="AM118" s="273"/>
      <c r="AN118" s="273"/>
      <c r="AO118" s="304" t="s">
        <v>279</v>
      </c>
      <c r="AP118" s="242">
        <v>46239</v>
      </c>
      <c r="AQ118" s="324">
        <v>46232</v>
      </c>
    </row>
    <row r="119" s="214" customFormat="1" ht="25" customHeight="1" spans="1:43">
      <c r="A119" s="272">
        <v>46126</v>
      </c>
      <c r="B119" s="272" t="s">
        <v>84</v>
      </c>
      <c r="C119" s="274" t="s">
        <v>445</v>
      </c>
      <c r="D119" s="273" t="s">
        <v>78</v>
      </c>
      <c r="E119" s="273" t="s">
        <v>284</v>
      </c>
      <c r="F119" s="273"/>
      <c r="G119" s="273" t="s">
        <v>281</v>
      </c>
      <c r="H119" s="273" t="s">
        <v>282</v>
      </c>
      <c r="I119" s="275">
        <v>870</v>
      </c>
      <c r="J119" s="275">
        <v>6</v>
      </c>
      <c r="K119" s="273">
        <f t="shared" si="16"/>
        <v>145</v>
      </c>
      <c r="L119" s="272">
        <v>46209</v>
      </c>
      <c r="M119" s="272">
        <v>46209</v>
      </c>
      <c r="N119" s="321">
        <v>46224</v>
      </c>
      <c r="O119" s="274" t="s">
        <v>446</v>
      </c>
      <c r="P119" s="322" t="s">
        <v>634</v>
      </c>
      <c r="Q119" s="278">
        <v>46157</v>
      </c>
      <c r="R119" s="278">
        <v>46161</v>
      </c>
      <c r="S119" s="278">
        <v>46174</v>
      </c>
      <c r="T119" s="277">
        <v>46155</v>
      </c>
      <c r="U119" s="279" t="s">
        <v>448</v>
      </c>
      <c r="V119" s="293" t="s">
        <v>449</v>
      </c>
      <c r="W119" s="277" t="s">
        <v>450</v>
      </c>
      <c r="X119" s="280" t="str">
        <f t="array" ref="X119">INDEX(系统货号!C:C,MATCH(1,(系统货号!A:A=G119)*(系统货号!B:B=V119),0))</f>
        <v>SP003A3-KMART</v>
      </c>
      <c r="Y119" s="279" t="s">
        <v>478</v>
      </c>
      <c r="Z119" s="277"/>
      <c r="AA119" s="277"/>
      <c r="AB119" s="273" t="s">
        <v>450</v>
      </c>
      <c r="AC119" s="273" t="s">
        <v>468</v>
      </c>
      <c r="AD119" s="282" t="s">
        <v>479</v>
      </c>
      <c r="AE119" s="283">
        <v>1.462</v>
      </c>
      <c r="AF119" s="284">
        <f t="shared" si="19"/>
        <v>1271.94</v>
      </c>
      <c r="AG119" s="284">
        <f t="shared" si="20"/>
        <v>9857.535</v>
      </c>
      <c r="AH119" s="285">
        <v>46137</v>
      </c>
      <c r="AI119" s="295" t="s">
        <v>466</v>
      </c>
      <c r="AJ119" s="273"/>
      <c r="AK119" s="273"/>
      <c r="AL119" s="273"/>
      <c r="AM119" s="273"/>
      <c r="AN119" s="273"/>
      <c r="AO119" s="304" t="s">
        <v>285</v>
      </c>
      <c r="AP119" s="242">
        <v>46239</v>
      </c>
      <c r="AQ119" s="324">
        <v>46232</v>
      </c>
    </row>
    <row r="120" s="214" customFormat="1" ht="25" customHeight="1" spans="1:43">
      <c r="A120" s="272">
        <v>46126</v>
      </c>
      <c r="B120" s="272" t="s">
        <v>84</v>
      </c>
      <c r="C120" s="274" t="s">
        <v>445</v>
      </c>
      <c r="D120" s="273" t="s">
        <v>78</v>
      </c>
      <c r="E120" s="273" t="s">
        <v>289</v>
      </c>
      <c r="F120" s="273"/>
      <c r="G120" s="273" t="s">
        <v>45</v>
      </c>
      <c r="H120" s="273" t="s">
        <v>287</v>
      </c>
      <c r="I120" s="275">
        <v>1290</v>
      </c>
      <c r="J120" s="275">
        <v>6</v>
      </c>
      <c r="K120" s="273">
        <f t="shared" si="16"/>
        <v>215</v>
      </c>
      <c r="L120" s="272">
        <v>46209</v>
      </c>
      <c r="M120" s="272">
        <v>46209</v>
      </c>
      <c r="N120" s="321">
        <v>46224</v>
      </c>
      <c r="O120" s="274" t="s">
        <v>446</v>
      </c>
      <c r="P120" s="322" t="s">
        <v>634</v>
      </c>
      <c r="Q120" s="278">
        <v>46157</v>
      </c>
      <c r="R120" s="278">
        <v>46161</v>
      </c>
      <c r="S120" s="278">
        <v>46174</v>
      </c>
      <c r="T120" s="277">
        <v>46155</v>
      </c>
      <c r="U120" s="279" t="s">
        <v>448</v>
      </c>
      <c r="V120" s="293" t="s">
        <v>449</v>
      </c>
      <c r="W120" s="277" t="s">
        <v>450</v>
      </c>
      <c r="X120" s="280" t="str">
        <f t="array" ref="X120">INDEX(系统货号!C:C,MATCH(1,(系统货号!A:A=G120)*(系统货号!B:B=V120),0))</f>
        <v>SP005A1-KMART客版本</v>
      </c>
      <c r="Y120" s="279"/>
      <c r="Z120" s="277"/>
      <c r="AA120" s="277"/>
      <c r="AB120" s="273" t="s">
        <v>450</v>
      </c>
      <c r="AC120" s="273" t="s">
        <v>470</v>
      </c>
      <c r="AD120" s="282" t="s">
        <v>480</v>
      </c>
      <c r="AE120" s="283">
        <v>1.452</v>
      </c>
      <c r="AF120" s="284">
        <f t="shared" si="19"/>
        <v>1873.08</v>
      </c>
      <c r="AG120" s="284">
        <f t="shared" si="20"/>
        <v>14516.37</v>
      </c>
      <c r="AH120" s="285">
        <v>46155</v>
      </c>
      <c r="AI120" s="295" t="s">
        <v>466</v>
      </c>
      <c r="AJ120" s="273"/>
      <c r="AK120" s="273"/>
      <c r="AL120" s="273"/>
      <c r="AM120" s="273"/>
      <c r="AN120" s="273"/>
      <c r="AO120" s="304" t="s">
        <v>290</v>
      </c>
      <c r="AP120" s="242">
        <v>46239</v>
      </c>
      <c r="AQ120" s="324">
        <v>46232</v>
      </c>
    </row>
    <row r="121" s="214" customFormat="1" ht="25" customHeight="1" spans="1:43">
      <c r="A121" s="272">
        <v>46149</v>
      </c>
      <c r="B121" s="272" t="s">
        <v>131</v>
      </c>
      <c r="C121" s="274" t="s">
        <v>445</v>
      </c>
      <c r="D121" s="273" t="s">
        <v>340</v>
      </c>
      <c r="E121" s="273" t="s">
        <v>341</v>
      </c>
      <c r="F121" s="273"/>
      <c r="G121" s="273" t="s">
        <v>69</v>
      </c>
      <c r="H121" s="275" t="s">
        <v>325</v>
      </c>
      <c r="I121" s="275">
        <v>8154</v>
      </c>
      <c r="J121" s="275">
        <v>6</v>
      </c>
      <c r="K121" s="273">
        <f t="shared" si="16"/>
        <v>1359</v>
      </c>
      <c r="L121" s="272">
        <v>46218</v>
      </c>
      <c r="M121" s="272">
        <v>46223</v>
      </c>
      <c r="N121" s="292" t="s">
        <v>457</v>
      </c>
      <c r="O121" s="274" t="s">
        <v>446</v>
      </c>
      <c r="P121" s="299">
        <v>46237</v>
      </c>
      <c r="Q121" s="278">
        <v>46157</v>
      </c>
      <c r="R121" s="278">
        <v>46161</v>
      </c>
      <c r="S121" s="278">
        <v>46169</v>
      </c>
      <c r="T121" s="277">
        <v>46170</v>
      </c>
      <c r="U121" s="279" t="s">
        <v>448</v>
      </c>
      <c r="V121" s="277" t="s">
        <v>500</v>
      </c>
      <c r="W121" s="277" t="s">
        <v>636</v>
      </c>
      <c r="X121" s="280" t="str">
        <f t="array" ref="X121">INDEX(系统货号!C:C,MATCH(1,(系统货号!A:A=G121)*(系统货号!B:B=V121),0))</f>
        <v>BS086D6-SMYTHS</v>
      </c>
      <c r="Y121" s="279" t="s">
        <v>637</v>
      </c>
      <c r="Z121" s="277"/>
      <c r="AA121" s="277"/>
      <c r="AB121" s="273" t="s">
        <v>629</v>
      </c>
      <c r="AC121" s="301" t="s">
        <v>629</v>
      </c>
      <c r="AD121" s="282" t="s">
        <v>638</v>
      </c>
      <c r="AE121" s="283">
        <v>3.419</v>
      </c>
      <c r="AF121" s="284">
        <f t="shared" si="19"/>
        <v>27878.526</v>
      </c>
      <c r="AG121" s="284">
        <f t="shared" si="20"/>
        <v>216058.5765</v>
      </c>
      <c r="AH121" s="285">
        <v>46155</v>
      </c>
      <c r="AI121" s="295" t="s">
        <v>462</v>
      </c>
      <c r="AJ121" s="274" t="s">
        <v>454</v>
      </c>
      <c r="AK121" s="273">
        <v>8154</v>
      </c>
      <c r="AL121" s="273">
        <f>AK121-I121</f>
        <v>0</v>
      </c>
      <c r="AM121" s="273"/>
      <c r="AN121" s="273"/>
      <c r="AO121" s="304" t="s">
        <v>342</v>
      </c>
      <c r="AP121" s="242">
        <v>46239</v>
      </c>
      <c r="AQ121" s="324">
        <v>46233</v>
      </c>
    </row>
    <row r="122" s="214" customFormat="1" ht="25" customHeight="1" spans="1:43">
      <c r="A122" s="272">
        <v>46120</v>
      </c>
      <c r="B122" s="273" t="s">
        <v>184</v>
      </c>
      <c r="C122" s="274" t="s">
        <v>445</v>
      </c>
      <c r="D122" s="273" t="s">
        <v>255</v>
      </c>
      <c r="E122" s="273" t="s">
        <v>256</v>
      </c>
      <c r="F122" s="273"/>
      <c r="G122" s="273" t="s">
        <v>67</v>
      </c>
      <c r="H122" s="273" t="s">
        <v>152</v>
      </c>
      <c r="I122" s="275">
        <v>2400</v>
      </c>
      <c r="J122" s="275">
        <v>6</v>
      </c>
      <c r="K122" s="273">
        <f t="shared" si="16"/>
        <v>400</v>
      </c>
      <c r="L122" s="272">
        <v>46231</v>
      </c>
      <c r="M122" s="296">
        <v>46231</v>
      </c>
      <c r="N122" s="272" t="s">
        <v>457</v>
      </c>
      <c r="O122" s="273" t="s">
        <v>446</v>
      </c>
      <c r="P122" s="351">
        <v>46240</v>
      </c>
      <c r="Q122" s="278">
        <v>46142</v>
      </c>
      <c r="R122" s="278">
        <v>46156</v>
      </c>
      <c r="S122" s="278">
        <v>46184</v>
      </c>
      <c r="T122" s="278">
        <v>46142</v>
      </c>
      <c r="U122" s="279" t="s">
        <v>448</v>
      </c>
      <c r="V122" s="293" t="s">
        <v>458</v>
      </c>
      <c r="W122" s="277" t="s">
        <v>459</v>
      </c>
      <c r="X122" s="280" t="str">
        <f t="array" ref="X122">INDEX(系统货号!C:C,MATCH(1,(系统货号!A:A=G122)*(系统货号!B:B=V122),0))</f>
        <v>CZ018D6</v>
      </c>
      <c r="Y122" s="279"/>
      <c r="Z122" s="277"/>
      <c r="AA122" s="277"/>
      <c r="AB122" s="273" t="s">
        <v>639</v>
      </c>
      <c r="AC122" s="273" t="s">
        <v>639</v>
      </c>
      <c r="AD122" s="282" t="s">
        <v>640</v>
      </c>
      <c r="AE122" s="283">
        <v>3.787</v>
      </c>
      <c r="AF122" s="284">
        <f t="shared" si="19"/>
        <v>9088.8</v>
      </c>
      <c r="AG122" s="284">
        <f t="shared" si="20"/>
        <v>70438.2</v>
      </c>
      <c r="AH122" s="285">
        <v>46125</v>
      </c>
      <c r="AI122" s="295" t="s">
        <v>462</v>
      </c>
      <c r="AJ122" s="273" t="s">
        <v>454</v>
      </c>
      <c r="AK122" s="274">
        <v>2400</v>
      </c>
      <c r="AL122" s="273"/>
      <c r="AM122" s="273"/>
      <c r="AN122" s="273"/>
      <c r="AO122" s="304" t="s">
        <v>641</v>
      </c>
      <c r="AP122" s="242">
        <v>46239</v>
      </c>
      <c r="AQ122" s="242">
        <v>46234</v>
      </c>
    </row>
    <row r="123" s="214" customFormat="1" ht="25" customHeight="1" spans="1:43">
      <c r="A123" s="272">
        <v>46120</v>
      </c>
      <c r="B123" s="273" t="s">
        <v>184</v>
      </c>
      <c r="C123" s="274" t="s">
        <v>445</v>
      </c>
      <c r="D123" s="273" t="s">
        <v>255</v>
      </c>
      <c r="E123" s="273" t="s">
        <v>256</v>
      </c>
      <c r="F123" s="273"/>
      <c r="G123" s="273" t="s">
        <v>66</v>
      </c>
      <c r="H123" s="273" t="s">
        <v>258</v>
      </c>
      <c r="I123" s="275">
        <v>2400</v>
      </c>
      <c r="J123" s="275">
        <v>6</v>
      </c>
      <c r="K123" s="273">
        <f t="shared" si="16"/>
        <v>400</v>
      </c>
      <c r="L123" s="272">
        <v>46231</v>
      </c>
      <c r="M123" s="296">
        <v>46231</v>
      </c>
      <c r="N123" s="272" t="s">
        <v>457</v>
      </c>
      <c r="O123" s="273" t="s">
        <v>446</v>
      </c>
      <c r="P123" s="351">
        <v>46240</v>
      </c>
      <c r="Q123" s="278">
        <v>46142</v>
      </c>
      <c r="R123" s="278">
        <v>46156</v>
      </c>
      <c r="S123" s="278">
        <v>46184</v>
      </c>
      <c r="T123" s="278">
        <v>46142</v>
      </c>
      <c r="U123" s="279" t="s">
        <v>448</v>
      </c>
      <c r="V123" s="293" t="s">
        <v>458</v>
      </c>
      <c r="W123" s="277" t="s">
        <v>459</v>
      </c>
      <c r="X123" s="280" t="str">
        <f t="array" ref="X123">INDEX(系统货号!C:C,MATCH(1,(系统货号!A:A=G123)*(系统货号!B:B=V123),0))</f>
        <v>CZ019D6</v>
      </c>
      <c r="Y123" s="279"/>
      <c r="Z123" s="277"/>
      <c r="AA123" s="277"/>
      <c r="AB123" s="273" t="s">
        <v>639</v>
      </c>
      <c r="AC123" s="273" t="s">
        <v>639</v>
      </c>
      <c r="AD123" s="282" t="s">
        <v>640</v>
      </c>
      <c r="AE123" s="283">
        <v>3.901</v>
      </c>
      <c r="AF123" s="284">
        <f t="shared" si="19"/>
        <v>9362.4</v>
      </c>
      <c r="AG123" s="284">
        <f t="shared" si="20"/>
        <v>72558.6</v>
      </c>
      <c r="AH123" s="285">
        <v>46125</v>
      </c>
      <c r="AI123" s="295" t="s">
        <v>462</v>
      </c>
      <c r="AJ123" s="273" t="s">
        <v>454</v>
      </c>
      <c r="AK123" s="274">
        <v>2400</v>
      </c>
      <c r="AL123" s="273"/>
      <c r="AM123" s="273"/>
      <c r="AN123" s="273"/>
      <c r="AO123" s="304" t="s">
        <v>641</v>
      </c>
      <c r="AP123" s="242">
        <v>46239</v>
      </c>
      <c r="AQ123" s="242">
        <v>46234</v>
      </c>
    </row>
    <row r="124" s="214" customFormat="1" ht="25" customHeight="1" spans="1:43">
      <c r="A124" s="272">
        <v>46120</v>
      </c>
      <c r="B124" s="273" t="s">
        <v>184</v>
      </c>
      <c r="C124" s="274" t="s">
        <v>445</v>
      </c>
      <c r="D124" s="273" t="s">
        <v>255</v>
      </c>
      <c r="E124" s="273" t="s">
        <v>256</v>
      </c>
      <c r="F124" s="273"/>
      <c r="G124" s="273" t="s">
        <v>64</v>
      </c>
      <c r="H124" s="273" t="s">
        <v>259</v>
      </c>
      <c r="I124" s="275">
        <v>1680</v>
      </c>
      <c r="J124" s="275">
        <v>6</v>
      </c>
      <c r="K124" s="273">
        <f t="shared" si="16"/>
        <v>280</v>
      </c>
      <c r="L124" s="272">
        <v>46231</v>
      </c>
      <c r="M124" s="296">
        <v>46231</v>
      </c>
      <c r="N124" s="272" t="s">
        <v>457</v>
      </c>
      <c r="O124" s="273" t="s">
        <v>446</v>
      </c>
      <c r="P124" s="351">
        <v>46240</v>
      </c>
      <c r="Q124" s="278">
        <v>46142</v>
      </c>
      <c r="R124" s="278">
        <v>46156</v>
      </c>
      <c r="S124" s="278">
        <v>46184</v>
      </c>
      <c r="T124" s="278">
        <v>46142</v>
      </c>
      <c r="U124" s="279" t="s">
        <v>448</v>
      </c>
      <c r="V124" s="293" t="s">
        <v>458</v>
      </c>
      <c r="W124" s="277" t="s">
        <v>459</v>
      </c>
      <c r="X124" s="280" t="str">
        <f t="array" ref="X124">INDEX(系统货号!C:C,MATCH(1,(系统货号!A:A=G124)*(系统货号!B:B=V124),0))</f>
        <v>CZ017D6</v>
      </c>
      <c r="Y124" s="279"/>
      <c r="Z124" s="277"/>
      <c r="AA124" s="277"/>
      <c r="AB124" s="273" t="s">
        <v>639</v>
      </c>
      <c r="AC124" s="273" t="s">
        <v>639</v>
      </c>
      <c r="AD124" s="282" t="s">
        <v>640</v>
      </c>
      <c r="AE124" s="283">
        <v>3.957</v>
      </c>
      <c r="AF124" s="284">
        <f t="shared" si="19"/>
        <v>6647.76</v>
      </c>
      <c r="AG124" s="284">
        <f t="shared" si="20"/>
        <v>51520.14</v>
      </c>
      <c r="AH124" s="285">
        <v>46125</v>
      </c>
      <c r="AI124" s="295" t="s">
        <v>462</v>
      </c>
      <c r="AJ124" s="273" t="s">
        <v>454</v>
      </c>
      <c r="AK124" s="274">
        <v>1680</v>
      </c>
      <c r="AL124" s="273"/>
      <c r="AM124" s="273"/>
      <c r="AN124" s="273"/>
      <c r="AO124" s="304" t="s">
        <v>641</v>
      </c>
      <c r="AP124" s="242">
        <v>46239</v>
      </c>
      <c r="AQ124" s="242">
        <v>46234</v>
      </c>
    </row>
    <row r="125" s="214" customFormat="1" ht="25" customHeight="1" spans="1:43">
      <c r="A125" s="272">
        <v>46120</v>
      </c>
      <c r="B125" s="273" t="s">
        <v>184</v>
      </c>
      <c r="C125" s="274" t="s">
        <v>445</v>
      </c>
      <c r="D125" s="273" t="s">
        <v>255</v>
      </c>
      <c r="E125" s="273" t="s">
        <v>256</v>
      </c>
      <c r="F125" s="273"/>
      <c r="G125" s="273" t="s">
        <v>65</v>
      </c>
      <c r="H125" s="273" t="s">
        <v>260</v>
      </c>
      <c r="I125" s="275">
        <v>2400</v>
      </c>
      <c r="J125" s="275">
        <v>6</v>
      </c>
      <c r="K125" s="273">
        <f t="shared" si="16"/>
        <v>400</v>
      </c>
      <c r="L125" s="272">
        <v>46231</v>
      </c>
      <c r="M125" s="296">
        <v>46231</v>
      </c>
      <c r="N125" s="272" t="s">
        <v>457</v>
      </c>
      <c r="O125" s="273" t="s">
        <v>446</v>
      </c>
      <c r="P125" s="351">
        <v>46240</v>
      </c>
      <c r="Q125" s="278">
        <v>46142</v>
      </c>
      <c r="R125" s="278">
        <v>46156</v>
      </c>
      <c r="S125" s="278">
        <v>46184</v>
      </c>
      <c r="T125" s="278">
        <v>46142</v>
      </c>
      <c r="U125" s="279" t="s">
        <v>448</v>
      </c>
      <c r="V125" s="293" t="s">
        <v>458</v>
      </c>
      <c r="W125" s="277" t="s">
        <v>459</v>
      </c>
      <c r="X125" s="280" t="str">
        <f t="array" ref="X125">INDEX(系统货号!C:C,MATCH(1,(系统货号!A:A=G125)*(系统货号!B:B=V125),0))</f>
        <v>BS090D6</v>
      </c>
      <c r="Y125" s="279"/>
      <c r="Z125" s="277"/>
      <c r="AA125" s="352"/>
      <c r="AB125" s="273" t="s">
        <v>639</v>
      </c>
      <c r="AC125" s="273" t="s">
        <v>639</v>
      </c>
      <c r="AD125" s="282" t="s">
        <v>642</v>
      </c>
      <c r="AE125" s="283">
        <v>3.395</v>
      </c>
      <c r="AF125" s="284">
        <f t="shared" si="19"/>
        <v>8148</v>
      </c>
      <c r="AG125" s="284">
        <f t="shared" si="20"/>
        <v>63147</v>
      </c>
      <c r="AH125" s="285">
        <v>46130</v>
      </c>
      <c r="AI125" s="295" t="s">
        <v>462</v>
      </c>
      <c r="AJ125" s="274" t="s">
        <v>454</v>
      </c>
      <c r="AK125" s="274">
        <v>2400</v>
      </c>
      <c r="AL125" s="273"/>
      <c r="AM125" s="273"/>
      <c r="AN125" s="273"/>
      <c r="AO125" s="304" t="s">
        <v>641</v>
      </c>
      <c r="AP125" s="242">
        <v>46239</v>
      </c>
      <c r="AQ125" s="242">
        <v>46234</v>
      </c>
    </row>
    <row r="126" s="214" customFormat="1" ht="25" customHeight="1" spans="1:43">
      <c r="A126" s="272">
        <v>46156</v>
      </c>
      <c r="B126" s="272" t="s">
        <v>155</v>
      </c>
      <c r="C126" s="274" t="s">
        <v>445</v>
      </c>
      <c r="D126" s="273" t="s">
        <v>154</v>
      </c>
      <c r="E126" s="273" t="s">
        <v>347</v>
      </c>
      <c r="F126" s="117"/>
      <c r="G126" s="273" t="s">
        <v>71</v>
      </c>
      <c r="H126" s="273" t="s">
        <v>348</v>
      </c>
      <c r="I126" s="275">
        <v>10728</v>
      </c>
      <c r="J126" s="275">
        <v>12</v>
      </c>
      <c r="K126" s="273">
        <f t="shared" si="16"/>
        <v>894</v>
      </c>
      <c r="L126" s="272">
        <v>46223</v>
      </c>
      <c r="M126" s="272">
        <v>46230</v>
      </c>
      <c r="N126" s="272" t="s">
        <v>457</v>
      </c>
      <c r="O126" s="274" t="s">
        <v>446</v>
      </c>
      <c r="P126" s="351">
        <v>46240</v>
      </c>
      <c r="Q126" s="278">
        <v>46197</v>
      </c>
      <c r="R126" s="278">
        <v>46199</v>
      </c>
      <c r="S126" s="278">
        <v>46203</v>
      </c>
      <c r="T126" s="277">
        <v>46203</v>
      </c>
      <c r="U126" s="302" t="s">
        <v>448</v>
      </c>
      <c r="V126" s="277" t="s">
        <v>643</v>
      </c>
      <c r="W126" s="277" t="s">
        <v>450</v>
      </c>
      <c r="X126" s="280" t="str">
        <f t="array" ref="X126">INDEX(系统货号!C:C,MATCH(1,(系统货号!A:A=G126)*(系统货号!B:B=V126),0))</f>
        <v>BS089D12-克罗地亚</v>
      </c>
      <c r="Y126" s="279"/>
      <c r="Z126" s="277"/>
      <c r="AA126" s="277"/>
      <c r="AB126" s="273" t="s">
        <v>450</v>
      </c>
      <c r="AC126" s="301" t="s">
        <v>629</v>
      </c>
      <c r="AD126" s="282" t="s">
        <v>644</v>
      </c>
      <c r="AE126" s="283">
        <v>1.69</v>
      </c>
      <c r="AF126" s="284">
        <f t="shared" si="19"/>
        <v>18130.32</v>
      </c>
      <c r="AG126" s="284">
        <f t="shared" si="20"/>
        <v>140509.98</v>
      </c>
      <c r="AH126" s="285">
        <v>46164</v>
      </c>
      <c r="AI126" s="295" t="s">
        <v>645</v>
      </c>
      <c r="AJ126" s="273"/>
      <c r="AK126" s="273"/>
      <c r="AL126" s="273"/>
      <c r="AM126" s="273"/>
      <c r="AN126" s="273"/>
      <c r="AO126" s="304" t="s">
        <v>349</v>
      </c>
      <c r="AP126" s="242">
        <v>46244</v>
      </c>
      <c r="AQ126" s="242">
        <v>46238</v>
      </c>
    </row>
    <row r="127" s="214" customFormat="1" ht="25" customHeight="1" spans="1:43">
      <c r="A127" s="272">
        <v>46156</v>
      </c>
      <c r="B127" s="272" t="s">
        <v>155</v>
      </c>
      <c r="C127" s="274" t="s">
        <v>445</v>
      </c>
      <c r="D127" s="273" t="s">
        <v>154</v>
      </c>
      <c r="E127" s="273" t="s">
        <v>347</v>
      </c>
      <c r="F127" s="117"/>
      <c r="G127" s="273" t="s">
        <v>69</v>
      </c>
      <c r="H127" s="275" t="s">
        <v>325</v>
      </c>
      <c r="I127" s="275">
        <v>7002</v>
      </c>
      <c r="J127" s="275">
        <v>6</v>
      </c>
      <c r="K127" s="273">
        <f t="shared" si="16"/>
        <v>1167</v>
      </c>
      <c r="L127" s="272">
        <v>46223</v>
      </c>
      <c r="M127" s="272">
        <v>46230</v>
      </c>
      <c r="N127" s="272" t="s">
        <v>457</v>
      </c>
      <c r="O127" s="274" t="s">
        <v>446</v>
      </c>
      <c r="P127" s="351">
        <v>46240</v>
      </c>
      <c r="Q127" s="278">
        <v>46197</v>
      </c>
      <c r="R127" s="278">
        <v>46199</v>
      </c>
      <c r="S127" s="278">
        <v>46203</v>
      </c>
      <c r="T127" s="277">
        <v>46203</v>
      </c>
      <c r="U127" s="302" t="s">
        <v>448</v>
      </c>
      <c r="V127" s="277" t="s">
        <v>643</v>
      </c>
      <c r="W127" s="277" t="s">
        <v>488</v>
      </c>
      <c r="X127" s="280" t="str">
        <f t="array" ref="X127">INDEX(系统货号!C:C,MATCH(1,(系统货号!A:A=G127)*(系统货号!B:B=V127),0))</f>
        <v>BS086D6-克罗地亚</v>
      </c>
      <c r="Y127" s="279"/>
      <c r="Z127" s="277"/>
      <c r="AA127" s="277"/>
      <c r="AB127" s="301" t="s">
        <v>629</v>
      </c>
      <c r="AC127" s="301" t="s">
        <v>629</v>
      </c>
      <c r="AD127" s="282" t="s">
        <v>646</v>
      </c>
      <c r="AE127" s="283">
        <v>3.419</v>
      </c>
      <c r="AF127" s="284">
        <f t="shared" si="19"/>
        <v>23939.838</v>
      </c>
      <c r="AG127" s="284">
        <f t="shared" si="20"/>
        <v>185533.7445</v>
      </c>
      <c r="AH127" s="285">
        <v>46164</v>
      </c>
      <c r="AI127" s="295" t="s">
        <v>462</v>
      </c>
      <c r="AJ127" s="274" t="s">
        <v>454</v>
      </c>
      <c r="AK127" s="273">
        <v>7002</v>
      </c>
      <c r="AL127" s="273">
        <f t="shared" ref="AL127:AL131" si="21">AK127-I127</f>
        <v>0</v>
      </c>
      <c r="AM127" s="273"/>
      <c r="AN127" s="273"/>
      <c r="AO127" s="304" t="s">
        <v>349</v>
      </c>
      <c r="AP127" s="242">
        <v>46244</v>
      </c>
      <c r="AQ127" s="242">
        <v>46238</v>
      </c>
    </row>
    <row r="128" s="214" customFormat="1" ht="25" customHeight="1" spans="1:43">
      <c r="A128" s="272">
        <v>46163</v>
      </c>
      <c r="B128" s="272" t="s">
        <v>79</v>
      </c>
      <c r="C128" s="274" t="s">
        <v>445</v>
      </c>
      <c r="D128" s="273" t="s">
        <v>315</v>
      </c>
      <c r="E128" s="273" t="s">
        <v>355</v>
      </c>
      <c r="F128" s="273" t="s">
        <v>49</v>
      </c>
      <c r="G128" s="273" t="s">
        <v>49</v>
      </c>
      <c r="H128" s="273" t="s">
        <v>144</v>
      </c>
      <c r="I128" s="275">
        <v>744</v>
      </c>
      <c r="J128" s="275">
        <v>4</v>
      </c>
      <c r="K128" s="273">
        <f t="shared" si="16"/>
        <v>186</v>
      </c>
      <c r="L128" s="272">
        <v>46237</v>
      </c>
      <c r="M128" s="272">
        <v>46237</v>
      </c>
      <c r="N128" s="272">
        <v>46238</v>
      </c>
      <c r="O128" s="273" t="s">
        <v>446</v>
      </c>
      <c r="P128" s="299" t="s">
        <v>647</v>
      </c>
      <c r="Q128" s="278">
        <v>46183</v>
      </c>
      <c r="R128" s="278">
        <v>46183</v>
      </c>
      <c r="S128" s="278">
        <v>46198</v>
      </c>
      <c r="T128" s="278">
        <v>46184</v>
      </c>
      <c r="U128" s="302" t="s">
        <v>448</v>
      </c>
      <c r="V128" s="277" t="s">
        <v>449</v>
      </c>
      <c r="W128" s="277" t="s">
        <v>450</v>
      </c>
      <c r="X128" s="280" t="str">
        <f t="array" ref="X128">INDEX(系统货号!C:C,MATCH(1,(系统货号!A:A=G128)*(系统货号!B:B=V128),0))</f>
        <v>PF001A1-KMART</v>
      </c>
      <c r="Y128" s="279" t="s">
        <v>451</v>
      </c>
      <c r="Z128" s="277"/>
      <c r="AA128" s="277"/>
      <c r="AB128" s="273" t="s">
        <v>450</v>
      </c>
      <c r="AC128" s="281" t="s">
        <v>452</v>
      </c>
      <c r="AD128" s="282" t="s">
        <v>453</v>
      </c>
      <c r="AE128" s="283">
        <v>10.262</v>
      </c>
      <c r="AF128" s="284">
        <f t="shared" si="19"/>
        <v>7634.928</v>
      </c>
      <c r="AG128" s="284">
        <f t="shared" si="20"/>
        <v>59170.692</v>
      </c>
      <c r="AH128" s="285">
        <v>46163</v>
      </c>
      <c r="AI128" s="274" t="s">
        <v>454</v>
      </c>
      <c r="AJ128" s="273">
        <v>744</v>
      </c>
      <c r="AK128" s="273">
        <f>AJ128-I128</f>
        <v>0</v>
      </c>
      <c r="AL128" s="273"/>
      <c r="AM128" s="273"/>
      <c r="AN128" s="286"/>
      <c r="AO128" s="304" t="s">
        <v>648</v>
      </c>
      <c r="AP128" s="242">
        <v>46245</v>
      </c>
      <c r="AQ128" s="242">
        <v>46244</v>
      </c>
    </row>
    <row r="129" s="214" customFormat="1" ht="25" customHeight="1" spans="1:43">
      <c r="A129" s="272">
        <v>46163</v>
      </c>
      <c r="B129" s="272" t="s">
        <v>84</v>
      </c>
      <c r="C129" s="274" t="s">
        <v>445</v>
      </c>
      <c r="D129" s="273" t="s">
        <v>315</v>
      </c>
      <c r="E129" s="273" t="s">
        <v>356</v>
      </c>
      <c r="F129" s="273" t="s">
        <v>49</v>
      </c>
      <c r="G129" s="273" t="s">
        <v>49</v>
      </c>
      <c r="H129" s="273" t="s">
        <v>144</v>
      </c>
      <c r="I129" s="275">
        <v>124</v>
      </c>
      <c r="J129" s="275">
        <v>4</v>
      </c>
      <c r="K129" s="273">
        <f t="shared" si="16"/>
        <v>31</v>
      </c>
      <c r="L129" s="272">
        <v>46237</v>
      </c>
      <c r="M129" s="272">
        <v>46237</v>
      </c>
      <c r="N129" s="272">
        <v>46238</v>
      </c>
      <c r="O129" s="273" t="s">
        <v>446</v>
      </c>
      <c r="P129" s="299" t="s">
        <v>647</v>
      </c>
      <c r="Q129" s="278">
        <v>46183</v>
      </c>
      <c r="R129" s="278">
        <v>46183</v>
      </c>
      <c r="S129" s="278">
        <v>46198</v>
      </c>
      <c r="T129" s="278">
        <v>46184</v>
      </c>
      <c r="U129" s="302" t="s">
        <v>448</v>
      </c>
      <c r="V129" s="277" t="s">
        <v>449</v>
      </c>
      <c r="W129" s="277" t="s">
        <v>450</v>
      </c>
      <c r="X129" s="280" t="str">
        <f t="array" ref="X129">INDEX(系统货号!C:C,MATCH(1,(系统货号!A:A=G129)*(系统货号!B:B=V129),0))</f>
        <v>PF001A1-KMART</v>
      </c>
      <c r="Y129" s="279" t="s">
        <v>451</v>
      </c>
      <c r="Z129" s="277"/>
      <c r="AA129" s="277"/>
      <c r="AB129" s="273" t="s">
        <v>450</v>
      </c>
      <c r="AC129" s="281" t="s">
        <v>452</v>
      </c>
      <c r="AD129" s="282" t="s">
        <v>453</v>
      </c>
      <c r="AE129" s="283">
        <v>10.262</v>
      </c>
      <c r="AF129" s="284">
        <f t="shared" si="19"/>
        <v>1272.488</v>
      </c>
      <c r="AG129" s="284">
        <f t="shared" si="20"/>
        <v>9861.782</v>
      </c>
      <c r="AH129" s="285">
        <v>46163</v>
      </c>
      <c r="AI129" s="274" t="s">
        <v>454</v>
      </c>
      <c r="AJ129" s="273">
        <v>124</v>
      </c>
      <c r="AK129" s="273">
        <f>AJ129-I129</f>
        <v>0</v>
      </c>
      <c r="AL129" s="273"/>
      <c r="AM129" s="273"/>
      <c r="AN129" s="286"/>
      <c r="AO129" s="304" t="s">
        <v>649</v>
      </c>
      <c r="AP129" s="242">
        <v>46245</v>
      </c>
      <c r="AQ129" s="242">
        <v>46244</v>
      </c>
    </row>
    <row r="130" s="214" customFormat="1" ht="25" customHeight="1" spans="1:43">
      <c r="A130" s="272">
        <v>46178</v>
      </c>
      <c r="B130" s="272" t="s">
        <v>369</v>
      </c>
      <c r="C130" s="274" t="s">
        <v>445</v>
      </c>
      <c r="D130" s="273" t="s">
        <v>368</v>
      </c>
      <c r="E130" s="273" t="s">
        <v>370</v>
      </c>
      <c r="F130" s="273"/>
      <c r="G130" s="273" t="s">
        <v>69</v>
      </c>
      <c r="H130" s="273" t="s">
        <v>325</v>
      </c>
      <c r="I130" s="275">
        <v>4080</v>
      </c>
      <c r="J130" s="275">
        <v>6</v>
      </c>
      <c r="K130" s="273">
        <f t="shared" si="16"/>
        <v>680</v>
      </c>
      <c r="L130" s="272">
        <v>46233</v>
      </c>
      <c r="M130" s="272">
        <v>46233</v>
      </c>
      <c r="N130" s="272" t="s">
        <v>457</v>
      </c>
      <c r="O130" s="273" t="s">
        <v>446</v>
      </c>
      <c r="P130" s="276">
        <v>46244</v>
      </c>
      <c r="Q130" s="278">
        <v>46178</v>
      </c>
      <c r="R130" s="278">
        <v>46179</v>
      </c>
      <c r="S130" s="278">
        <v>46184</v>
      </c>
      <c r="T130" s="277">
        <v>46170</v>
      </c>
      <c r="U130" s="279" t="s">
        <v>448</v>
      </c>
      <c r="V130" s="293" t="s">
        <v>500</v>
      </c>
      <c r="W130" s="277" t="s">
        <v>488</v>
      </c>
      <c r="X130" s="280" t="str">
        <f t="array" ref="X130">INDEX(系统货号!C:C,MATCH(1,(系统货号!A:A=G130)*(系统货号!B:B=V130),0))</f>
        <v>BS086D6-SMYTHS</v>
      </c>
      <c r="Y130" s="279" t="s">
        <v>637</v>
      </c>
      <c r="Z130" s="277"/>
      <c r="AA130" s="277"/>
      <c r="AB130" s="301" t="s">
        <v>629</v>
      </c>
      <c r="AC130" s="301" t="s">
        <v>629</v>
      </c>
      <c r="AD130" s="282" t="s">
        <v>638</v>
      </c>
      <c r="AE130" s="283">
        <v>3.542</v>
      </c>
      <c r="AF130" s="284">
        <f t="shared" si="19"/>
        <v>14451.36</v>
      </c>
      <c r="AG130" s="284">
        <f t="shared" si="20"/>
        <v>111998.04</v>
      </c>
      <c r="AH130" s="285">
        <v>46183</v>
      </c>
      <c r="AI130" s="295" t="s">
        <v>462</v>
      </c>
      <c r="AJ130" s="274" t="s">
        <v>454</v>
      </c>
      <c r="AK130" s="274" t="s">
        <v>650</v>
      </c>
      <c r="AL130" s="273" t="e">
        <f t="shared" si="21"/>
        <v>#VALUE!</v>
      </c>
      <c r="AM130" s="273"/>
      <c r="AN130" s="273"/>
      <c r="AO130" s="304" t="s">
        <v>651</v>
      </c>
      <c r="AP130" s="242">
        <v>46245</v>
      </c>
      <c r="AQ130" s="242">
        <v>46244</v>
      </c>
    </row>
    <row r="131" s="214" customFormat="1" ht="25" customHeight="1" spans="1:43">
      <c r="A131" s="272">
        <v>46136</v>
      </c>
      <c r="B131" s="272" t="s">
        <v>105</v>
      </c>
      <c r="C131" s="274" t="s">
        <v>445</v>
      </c>
      <c r="D131" s="273" t="s">
        <v>200</v>
      </c>
      <c r="E131" s="273" t="s">
        <v>324</v>
      </c>
      <c r="F131" s="273"/>
      <c r="G131" s="273" t="s">
        <v>69</v>
      </c>
      <c r="H131" s="273" t="s">
        <v>325</v>
      </c>
      <c r="I131" s="275">
        <v>16608</v>
      </c>
      <c r="J131" s="275">
        <v>6</v>
      </c>
      <c r="K131" s="273">
        <f t="shared" si="16"/>
        <v>2768</v>
      </c>
      <c r="L131" s="272">
        <v>46213</v>
      </c>
      <c r="M131" s="272">
        <v>46223</v>
      </c>
      <c r="N131" s="292" t="s">
        <v>457</v>
      </c>
      <c r="O131" s="274" t="s">
        <v>446</v>
      </c>
      <c r="P131" s="351">
        <v>46246</v>
      </c>
      <c r="Q131" s="278">
        <v>46157</v>
      </c>
      <c r="R131" s="278">
        <v>46161</v>
      </c>
      <c r="S131" s="278">
        <v>46169</v>
      </c>
      <c r="T131" s="277">
        <v>46170</v>
      </c>
      <c r="U131" s="279" t="s">
        <v>448</v>
      </c>
      <c r="V131" s="277" t="s">
        <v>500</v>
      </c>
      <c r="W131" s="277" t="s">
        <v>636</v>
      </c>
      <c r="X131" s="280" t="str">
        <f t="array" ref="X131">INDEX(系统货号!C:C,MATCH(1,(系统货号!A:A=G131)*(系统货号!B:B=V131),0))</f>
        <v>BS086D6-SMYTHS</v>
      </c>
      <c r="Y131" s="279" t="s">
        <v>637</v>
      </c>
      <c r="Z131" s="277"/>
      <c r="AA131" s="277"/>
      <c r="AB131" s="273" t="s">
        <v>629</v>
      </c>
      <c r="AC131" s="301" t="s">
        <v>629</v>
      </c>
      <c r="AD131" s="282" t="s">
        <v>638</v>
      </c>
      <c r="AE131" s="283">
        <v>3.369</v>
      </c>
      <c r="AF131" s="284">
        <f t="shared" si="19"/>
        <v>55952.352</v>
      </c>
      <c r="AG131" s="284">
        <f t="shared" si="20"/>
        <v>433630.728</v>
      </c>
      <c r="AH131" s="285">
        <v>46147</v>
      </c>
      <c r="AI131" s="295" t="s">
        <v>462</v>
      </c>
      <c r="AJ131" s="274" t="s">
        <v>454</v>
      </c>
      <c r="AK131" s="273">
        <f>5754+5754+2694+1800+602+4</f>
        <v>16608</v>
      </c>
      <c r="AL131" s="273">
        <f t="shared" si="21"/>
        <v>0</v>
      </c>
      <c r="AM131" s="273"/>
      <c r="AN131" s="274" t="s">
        <v>652</v>
      </c>
      <c r="AO131" s="304" t="s">
        <v>653</v>
      </c>
      <c r="AP131" s="242">
        <v>46247</v>
      </c>
      <c r="AQ131" s="242">
        <v>46240</v>
      </c>
    </row>
    <row r="132" s="214" customFormat="1" ht="25" customHeight="1" spans="1:43">
      <c r="A132" s="272">
        <v>46156</v>
      </c>
      <c r="B132" s="272" t="s">
        <v>351</v>
      </c>
      <c r="C132" s="274" t="s">
        <v>445</v>
      </c>
      <c r="D132" s="273" t="s">
        <v>350</v>
      </c>
      <c r="E132" s="273" t="s">
        <v>352</v>
      </c>
      <c r="F132" s="273"/>
      <c r="G132" s="273" t="s">
        <v>71</v>
      </c>
      <c r="H132" s="273" t="s">
        <v>348</v>
      </c>
      <c r="I132" s="275">
        <v>2400</v>
      </c>
      <c r="J132" s="275">
        <v>12</v>
      </c>
      <c r="K132" s="273">
        <f t="shared" si="16"/>
        <v>200</v>
      </c>
      <c r="L132" s="272">
        <v>46223</v>
      </c>
      <c r="M132" s="272">
        <v>46230</v>
      </c>
      <c r="N132" s="272" t="s">
        <v>457</v>
      </c>
      <c r="O132" s="273" t="s">
        <v>446</v>
      </c>
      <c r="P132" s="351">
        <v>46247</v>
      </c>
      <c r="Q132" s="278">
        <v>46198</v>
      </c>
      <c r="R132" s="278">
        <v>46199</v>
      </c>
      <c r="S132" s="278">
        <v>46203</v>
      </c>
      <c r="T132" s="277">
        <v>46203</v>
      </c>
      <c r="U132" s="302" t="s">
        <v>448</v>
      </c>
      <c r="V132" s="277" t="s">
        <v>654</v>
      </c>
      <c r="W132" s="277" t="s">
        <v>450</v>
      </c>
      <c r="X132" s="280" t="str">
        <f t="array" ref="X132">INDEX(系统货号!C:C,MATCH(1,(系统货号!A:A=G132)*(系统货号!B:B=V132),0))</f>
        <v>BS089D12-罗马尼亚</v>
      </c>
      <c r="Y132" s="279"/>
      <c r="Z132" s="277"/>
      <c r="AA132" s="277"/>
      <c r="AB132" s="273" t="s">
        <v>450</v>
      </c>
      <c r="AC132" s="301" t="s">
        <v>629</v>
      </c>
      <c r="AD132" s="282" t="s">
        <v>644</v>
      </c>
      <c r="AE132" s="283">
        <v>1.69</v>
      </c>
      <c r="AF132" s="284">
        <f t="shared" si="19"/>
        <v>4056</v>
      </c>
      <c r="AG132" s="284">
        <f t="shared" si="20"/>
        <v>31434</v>
      </c>
      <c r="AH132" s="285">
        <v>46164</v>
      </c>
      <c r="AI132" s="295" t="s">
        <v>645</v>
      </c>
      <c r="AJ132" s="273"/>
      <c r="AK132" s="274" t="s">
        <v>655</v>
      </c>
      <c r="AL132" s="273"/>
      <c r="AM132" s="273"/>
      <c r="AN132" s="273"/>
      <c r="AO132" s="304" t="s">
        <v>353</v>
      </c>
      <c r="AP132" s="242">
        <v>46248</v>
      </c>
      <c r="AQ132" s="242">
        <v>46247</v>
      </c>
    </row>
    <row r="133" s="214" customFormat="1" ht="25" customHeight="1" spans="1:43">
      <c r="A133" s="272">
        <v>46156</v>
      </c>
      <c r="B133" s="272" t="s">
        <v>351</v>
      </c>
      <c r="C133" s="274" t="s">
        <v>445</v>
      </c>
      <c r="D133" s="273" t="s">
        <v>350</v>
      </c>
      <c r="E133" s="273" t="s">
        <v>352</v>
      </c>
      <c r="F133" s="273"/>
      <c r="G133" s="273" t="s">
        <v>10</v>
      </c>
      <c r="H133" s="273" t="s">
        <v>128</v>
      </c>
      <c r="I133" s="275">
        <v>1800</v>
      </c>
      <c r="J133" s="275">
        <v>6</v>
      </c>
      <c r="K133" s="273">
        <f t="shared" si="16"/>
        <v>300</v>
      </c>
      <c r="L133" s="272">
        <v>46223</v>
      </c>
      <c r="M133" s="272">
        <v>46230</v>
      </c>
      <c r="N133" s="272" t="s">
        <v>457</v>
      </c>
      <c r="O133" s="273" t="s">
        <v>446</v>
      </c>
      <c r="P133" s="351">
        <v>46247</v>
      </c>
      <c r="Q133" s="278">
        <v>46198</v>
      </c>
      <c r="R133" s="278">
        <v>46199</v>
      </c>
      <c r="S133" s="278">
        <v>46203</v>
      </c>
      <c r="T133" s="277">
        <v>46203</v>
      </c>
      <c r="U133" s="302" t="s">
        <v>448</v>
      </c>
      <c r="V133" s="277" t="s">
        <v>654</v>
      </c>
      <c r="W133" s="277" t="s">
        <v>488</v>
      </c>
      <c r="X133" s="280" t="str">
        <f t="array" ref="X133">INDEX(系统货号!C:C,MATCH(1,(系统货号!A:A=G133)*(系统货号!B:B=V133),0))</f>
        <v>BS082D6-罗马尼亚</v>
      </c>
      <c r="Y133" s="279"/>
      <c r="Z133" s="277"/>
      <c r="AA133" s="277"/>
      <c r="AB133" s="301" t="s">
        <v>629</v>
      </c>
      <c r="AC133" s="301" t="s">
        <v>629</v>
      </c>
      <c r="AD133" s="282" t="s">
        <v>656</v>
      </c>
      <c r="AE133" s="283">
        <v>3.283</v>
      </c>
      <c r="AF133" s="284">
        <f t="shared" si="19"/>
        <v>5909.4</v>
      </c>
      <c r="AG133" s="284">
        <f t="shared" si="20"/>
        <v>45797.85</v>
      </c>
      <c r="AH133" s="285">
        <v>46164</v>
      </c>
      <c r="AI133" s="295" t="s">
        <v>462</v>
      </c>
      <c r="AJ133" s="273" t="s">
        <v>454</v>
      </c>
      <c r="AK133" s="274">
        <v>1800</v>
      </c>
      <c r="AL133" s="273"/>
      <c r="AM133" s="273"/>
      <c r="AN133" s="273"/>
      <c r="AO133" s="304" t="s">
        <v>353</v>
      </c>
      <c r="AP133" s="242">
        <v>46248</v>
      </c>
      <c r="AQ133" s="242">
        <v>46247</v>
      </c>
    </row>
    <row r="134" s="214" customFormat="1" ht="25" customHeight="1" spans="1:43">
      <c r="A134" s="272">
        <v>46156</v>
      </c>
      <c r="B134" s="272" t="s">
        <v>351</v>
      </c>
      <c r="C134" s="274" t="s">
        <v>445</v>
      </c>
      <c r="D134" s="273" t="s">
        <v>350</v>
      </c>
      <c r="E134" s="274" t="s">
        <v>352</v>
      </c>
      <c r="F134" s="273"/>
      <c r="G134" s="273" t="s">
        <v>69</v>
      </c>
      <c r="H134" s="275" t="s">
        <v>325</v>
      </c>
      <c r="I134" s="275">
        <v>6600</v>
      </c>
      <c r="J134" s="275">
        <v>6</v>
      </c>
      <c r="K134" s="273">
        <f t="shared" si="16"/>
        <v>1100</v>
      </c>
      <c r="L134" s="272">
        <v>46223</v>
      </c>
      <c r="M134" s="272">
        <v>46230</v>
      </c>
      <c r="N134" s="272" t="s">
        <v>457</v>
      </c>
      <c r="O134" s="273" t="s">
        <v>446</v>
      </c>
      <c r="P134" s="351">
        <v>46247</v>
      </c>
      <c r="Q134" s="278">
        <v>46198</v>
      </c>
      <c r="R134" s="278">
        <v>46199</v>
      </c>
      <c r="S134" s="278">
        <v>46203</v>
      </c>
      <c r="T134" s="277">
        <v>46203</v>
      </c>
      <c r="U134" s="302" t="s">
        <v>448</v>
      </c>
      <c r="V134" s="277" t="s">
        <v>654</v>
      </c>
      <c r="W134" s="277" t="s">
        <v>488</v>
      </c>
      <c r="X134" s="280" t="str">
        <f t="array" ref="X134">INDEX(系统货号!C:C,MATCH(1,(系统货号!A:A=G134)*(系统货号!B:B=V134),0))</f>
        <v>BS086D6-罗马尼亚</v>
      </c>
      <c r="Y134" s="279"/>
      <c r="Z134" s="277"/>
      <c r="AA134" s="277"/>
      <c r="AB134" s="301" t="s">
        <v>629</v>
      </c>
      <c r="AC134" s="301" t="s">
        <v>629</v>
      </c>
      <c r="AD134" s="282" t="s">
        <v>646</v>
      </c>
      <c r="AE134" s="283">
        <v>3.419</v>
      </c>
      <c r="AF134" s="284">
        <f t="shared" si="19"/>
        <v>22565.4</v>
      </c>
      <c r="AG134" s="284">
        <f t="shared" si="20"/>
        <v>174881.85</v>
      </c>
      <c r="AH134" s="285">
        <v>46164</v>
      </c>
      <c r="AI134" s="295" t="s">
        <v>462</v>
      </c>
      <c r="AJ134" s="274" t="s">
        <v>454</v>
      </c>
      <c r="AK134" s="273">
        <v>6600</v>
      </c>
      <c r="AL134" s="273">
        <f>AK134-I134</f>
        <v>0</v>
      </c>
      <c r="AM134" s="273"/>
      <c r="AN134" s="273"/>
      <c r="AO134" s="304" t="s">
        <v>353</v>
      </c>
      <c r="AP134" s="242">
        <v>46248</v>
      </c>
      <c r="AQ134" s="242">
        <v>46247</v>
      </c>
    </row>
    <row r="135" s="214" customFormat="1" ht="25" customHeight="1" spans="1:43">
      <c r="A135" s="272">
        <v>46156</v>
      </c>
      <c r="B135" s="272" t="s">
        <v>351</v>
      </c>
      <c r="C135" s="274" t="s">
        <v>445</v>
      </c>
      <c r="D135" s="273" t="s">
        <v>350</v>
      </c>
      <c r="E135" s="273" t="s">
        <v>354</v>
      </c>
      <c r="F135" s="273"/>
      <c r="G135" s="273" t="s">
        <v>165</v>
      </c>
      <c r="H135" s="273" t="s">
        <v>166</v>
      </c>
      <c r="I135" s="275">
        <v>2004</v>
      </c>
      <c r="J135" s="275">
        <v>6</v>
      </c>
      <c r="K135" s="273">
        <f t="shared" si="16"/>
        <v>334</v>
      </c>
      <c r="L135" s="272">
        <v>46218</v>
      </c>
      <c r="M135" s="292">
        <v>46227</v>
      </c>
      <c r="N135" s="292" t="s">
        <v>457</v>
      </c>
      <c r="O135" s="274" t="s">
        <v>446</v>
      </c>
      <c r="P135" s="351">
        <v>46247</v>
      </c>
      <c r="Q135" s="278">
        <v>46196</v>
      </c>
      <c r="R135" s="278">
        <v>46199</v>
      </c>
      <c r="S135" s="278">
        <v>46205</v>
      </c>
      <c r="T135" s="277">
        <v>46196</v>
      </c>
      <c r="U135" s="279" t="s">
        <v>448</v>
      </c>
      <c r="V135" s="277" t="s">
        <v>458</v>
      </c>
      <c r="W135" s="277" t="s">
        <v>450</v>
      </c>
      <c r="X135" s="280" t="str">
        <f t="array" ref="X135">INDEX(系统货号!C:C,MATCH(1,(系统货号!A:A=G135)*(系统货号!B:B=V135),0))</f>
        <v>ZC006A1（标准版本）</v>
      </c>
      <c r="Y135" s="279"/>
      <c r="Z135" s="277"/>
      <c r="AA135" s="277"/>
      <c r="AB135" s="273" t="s">
        <v>450</v>
      </c>
      <c r="AC135" s="301" t="s">
        <v>629</v>
      </c>
      <c r="AD135" s="282" t="s">
        <v>657</v>
      </c>
      <c r="AE135" s="283">
        <v>1.209</v>
      </c>
      <c r="AF135" s="284">
        <f t="shared" si="19"/>
        <v>2422.836</v>
      </c>
      <c r="AG135" s="284">
        <f t="shared" si="20"/>
        <v>18776.979</v>
      </c>
      <c r="AH135" s="285">
        <v>46164</v>
      </c>
      <c r="AI135" s="295" t="s">
        <v>466</v>
      </c>
      <c r="AJ135" s="273"/>
      <c r="AK135" s="273"/>
      <c r="AL135" s="273"/>
      <c r="AM135" s="273"/>
      <c r="AN135" s="273"/>
      <c r="AO135" s="304" t="s">
        <v>658</v>
      </c>
      <c r="AP135" s="242">
        <v>46248</v>
      </c>
      <c r="AQ135" s="242">
        <v>46247</v>
      </c>
    </row>
    <row r="136" s="214" customFormat="1" ht="25" customHeight="1" spans="1:43">
      <c r="A136" s="272"/>
      <c r="B136" s="272"/>
      <c r="C136" s="274"/>
      <c r="D136" s="273"/>
      <c r="E136" s="274"/>
      <c r="F136" s="273"/>
      <c r="G136" s="273"/>
      <c r="H136" s="275"/>
      <c r="I136" s="275"/>
      <c r="J136" s="275"/>
      <c r="K136" s="273"/>
      <c r="L136" s="272"/>
      <c r="M136" s="272"/>
      <c r="N136" s="272"/>
      <c r="O136" s="273"/>
      <c r="P136" s="351"/>
      <c r="Q136" s="278"/>
      <c r="R136" s="278"/>
      <c r="S136" s="278"/>
      <c r="T136" s="277"/>
      <c r="U136" s="302"/>
      <c r="V136" s="277"/>
      <c r="W136" s="277"/>
      <c r="X136" s="280"/>
      <c r="Y136" s="279"/>
      <c r="Z136" s="277"/>
      <c r="AA136" s="277"/>
      <c r="AB136" s="301"/>
      <c r="AC136" s="301"/>
      <c r="AD136" s="282"/>
      <c r="AE136" s="283"/>
      <c r="AF136" s="284"/>
      <c r="AG136" s="284"/>
      <c r="AH136" s="285"/>
      <c r="AI136" s="295"/>
      <c r="AJ136" s="274"/>
      <c r="AK136" s="273"/>
      <c r="AL136" s="273"/>
      <c r="AM136" s="273"/>
      <c r="AN136" s="300"/>
      <c r="AO136" s="273"/>
      <c r="AP136" s="273"/>
      <c r="AQ136" s="273"/>
    </row>
    <row r="137" s="214" customFormat="1" ht="25" customHeight="1" spans="1:43">
      <c r="A137" s="272"/>
      <c r="B137" s="272"/>
      <c r="C137" s="274"/>
      <c r="D137" s="273"/>
      <c r="E137" s="274"/>
      <c r="F137" s="273"/>
      <c r="G137" s="273"/>
      <c r="H137" s="275"/>
      <c r="I137" s="275"/>
      <c r="J137" s="275"/>
      <c r="K137" s="273"/>
      <c r="L137" s="272"/>
      <c r="M137" s="272"/>
      <c r="N137" s="272"/>
      <c r="O137" s="273"/>
      <c r="P137" s="351"/>
      <c r="Q137" s="278"/>
      <c r="R137" s="278"/>
      <c r="S137" s="278"/>
      <c r="T137" s="277"/>
      <c r="U137" s="302"/>
      <c r="V137" s="277"/>
      <c r="W137" s="277"/>
      <c r="X137" s="280"/>
      <c r="Y137" s="279"/>
      <c r="Z137" s="277"/>
      <c r="AA137" s="277"/>
      <c r="AB137" s="301"/>
      <c r="AC137" s="301"/>
      <c r="AD137" s="282"/>
      <c r="AE137" s="283"/>
      <c r="AF137" s="284"/>
      <c r="AG137" s="284"/>
      <c r="AH137" s="285"/>
      <c r="AI137" s="295"/>
      <c r="AJ137" s="274"/>
      <c r="AK137" s="273"/>
      <c r="AL137" s="273"/>
      <c r="AM137" s="273"/>
      <c r="AN137" s="300"/>
      <c r="AO137" s="273"/>
      <c r="AP137" s="273"/>
      <c r="AQ137" s="273"/>
    </row>
    <row r="138" s="214" customFormat="1" ht="25" customHeight="1" spans="1:43">
      <c r="A138" s="272"/>
      <c r="B138" s="272"/>
      <c r="C138" s="274"/>
      <c r="D138" s="273"/>
      <c r="E138" s="274"/>
      <c r="F138" s="273"/>
      <c r="G138" s="273"/>
      <c r="H138" s="275"/>
      <c r="I138" s="275"/>
      <c r="J138" s="275"/>
      <c r="K138" s="273"/>
      <c r="L138" s="272"/>
      <c r="M138" s="272"/>
      <c r="N138" s="272"/>
      <c r="O138" s="273"/>
      <c r="P138" s="351"/>
      <c r="Q138" s="278"/>
      <c r="R138" s="278"/>
      <c r="S138" s="278"/>
      <c r="T138" s="277"/>
      <c r="U138" s="302"/>
      <c r="V138" s="277"/>
      <c r="W138" s="277"/>
      <c r="X138" s="280"/>
      <c r="Y138" s="279"/>
      <c r="Z138" s="277"/>
      <c r="AA138" s="277"/>
      <c r="AB138" s="301"/>
      <c r="AC138" s="301"/>
      <c r="AD138" s="282"/>
      <c r="AE138" s="283"/>
      <c r="AF138" s="284"/>
      <c r="AG138" s="284"/>
      <c r="AH138" s="285"/>
      <c r="AI138" s="295"/>
      <c r="AJ138" s="274"/>
      <c r="AK138" s="273"/>
      <c r="AL138" s="273"/>
      <c r="AM138" s="273"/>
      <c r="AN138" s="300"/>
      <c r="AO138" s="273"/>
      <c r="AP138" s="273"/>
      <c r="AQ138" s="273"/>
    </row>
    <row r="139" s="214" customFormat="1" ht="25" customHeight="1" spans="1:43">
      <c r="A139" s="272"/>
      <c r="B139" s="272"/>
      <c r="C139" s="274"/>
      <c r="D139" s="273"/>
      <c r="E139" s="274"/>
      <c r="F139" s="273"/>
      <c r="G139" s="273"/>
      <c r="H139" s="275"/>
      <c r="I139" s="275"/>
      <c r="J139" s="275"/>
      <c r="K139" s="273"/>
      <c r="L139" s="272"/>
      <c r="M139" s="272"/>
      <c r="N139" s="272"/>
      <c r="O139" s="273"/>
      <c r="P139" s="351"/>
      <c r="Q139" s="278"/>
      <c r="R139" s="278"/>
      <c r="S139" s="278"/>
      <c r="T139" s="277"/>
      <c r="U139" s="302"/>
      <c r="V139" s="277"/>
      <c r="W139" s="277"/>
      <c r="X139" s="280"/>
      <c r="Y139" s="279"/>
      <c r="Z139" s="277"/>
      <c r="AA139" s="277"/>
      <c r="AB139" s="301"/>
      <c r="AC139" s="301"/>
      <c r="AD139" s="282"/>
      <c r="AE139" s="283"/>
      <c r="AF139" s="284"/>
      <c r="AG139" s="284"/>
      <c r="AH139" s="285"/>
      <c r="AI139" s="295"/>
      <c r="AJ139" s="274"/>
      <c r="AK139" s="273"/>
      <c r="AL139" s="273"/>
      <c r="AM139" s="273"/>
      <c r="AN139" s="300"/>
      <c r="AO139" s="273"/>
      <c r="AP139" s="273"/>
      <c r="AQ139" s="273"/>
    </row>
    <row r="140" s="214" customFormat="1" ht="25" customHeight="1" spans="1:43">
      <c r="A140" s="272"/>
      <c r="B140" s="272"/>
      <c r="C140" s="274"/>
      <c r="D140" s="273"/>
      <c r="E140" s="274"/>
      <c r="F140" s="273"/>
      <c r="G140" s="273"/>
      <c r="H140" s="275"/>
      <c r="I140" s="275"/>
      <c r="J140" s="275"/>
      <c r="K140" s="273"/>
      <c r="L140" s="272"/>
      <c r="M140" s="272"/>
      <c r="N140" s="272"/>
      <c r="O140" s="273"/>
      <c r="P140" s="351"/>
      <c r="Q140" s="278"/>
      <c r="R140" s="278"/>
      <c r="S140" s="278"/>
      <c r="T140" s="277"/>
      <c r="U140" s="302"/>
      <c r="V140" s="277"/>
      <c r="W140" s="277"/>
      <c r="X140" s="280"/>
      <c r="Y140" s="279"/>
      <c r="Z140" s="277"/>
      <c r="AA140" s="277"/>
      <c r="AB140" s="301"/>
      <c r="AC140" s="301"/>
      <c r="AD140" s="282"/>
      <c r="AE140" s="283"/>
      <c r="AF140" s="284"/>
      <c r="AG140" s="284"/>
      <c r="AH140" s="285"/>
      <c r="AI140" s="295"/>
      <c r="AJ140" s="274"/>
      <c r="AK140" s="273"/>
      <c r="AL140" s="273"/>
      <c r="AM140" s="273"/>
      <c r="AN140" s="300"/>
      <c r="AO140" s="273"/>
      <c r="AP140" s="273"/>
      <c r="AQ140" s="273"/>
    </row>
    <row r="141" s="214" customFormat="1" ht="25" customHeight="1" spans="1:43">
      <c r="A141" s="272"/>
      <c r="B141" s="272"/>
      <c r="C141" s="274"/>
      <c r="D141" s="273"/>
      <c r="E141" s="274"/>
      <c r="F141" s="273"/>
      <c r="G141" s="273"/>
      <c r="H141" s="275"/>
      <c r="I141" s="275"/>
      <c r="J141" s="275"/>
      <c r="K141" s="273"/>
      <c r="L141" s="272"/>
      <c r="M141" s="272"/>
      <c r="N141" s="272"/>
      <c r="O141" s="273"/>
      <c r="P141" s="351"/>
      <c r="Q141" s="278"/>
      <c r="R141" s="278"/>
      <c r="S141" s="278"/>
      <c r="T141" s="277"/>
      <c r="U141" s="302"/>
      <c r="V141" s="277"/>
      <c r="W141" s="277"/>
      <c r="X141" s="280"/>
      <c r="Y141" s="279"/>
      <c r="Z141" s="277"/>
      <c r="AA141" s="277"/>
      <c r="AB141" s="301"/>
      <c r="AC141" s="301"/>
      <c r="AD141" s="282"/>
      <c r="AE141" s="283"/>
      <c r="AF141" s="284"/>
      <c r="AG141" s="284"/>
      <c r="AH141" s="285"/>
      <c r="AI141" s="295"/>
      <c r="AJ141" s="274"/>
      <c r="AK141" s="273"/>
      <c r="AL141" s="273"/>
      <c r="AM141" s="273"/>
      <c r="AN141" s="300"/>
      <c r="AO141" s="273"/>
      <c r="AP141" s="273"/>
      <c r="AQ141" s="273"/>
    </row>
    <row r="142" s="214" customFormat="1" ht="25" customHeight="1" spans="1:43">
      <c r="A142" s="272"/>
      <c r="B142" s="272"/>
      <c r="C142" s="274"/>
      <c r="D142" s="273"/>
      <c r="E142" s="273"/>
      <c r="F142" s="291"/>
      <c r="G142" s="273"/>
      <c r="H142" s="273"/>
      <c r="I142" s="275"/>
      <c r="J142" s="275"/>
      <c r="K142" s="273"/>
      <c r="L142" s="272"/>
      <c r="M142" s="272"/>
      <c r="N142" s="292"/>
      <c r="O142" s="274"/>
      <c r="P142" s="276"/>
      <c r="Q142" s="277"/>
      <c r="R142" s="278"/>
      <c r="S142" s="278"/>
      <c r="T142" s="277"/>
      <c r="U142" s="279"/>
      <c r="V142" s="293"/>
      <c r="W142" s="277"/>
      <c r="X142" s="280"/>
      <c r="Y142" s="279"/>
      <c r="Z142" s="277"/>
      <c r="AA142" s="297"/>
      <c r="AB142" s="273"/>
      <c r="AC142" s="294"/>
      <c r="AD142" s="282"/>
      <c r="AE142" s="283"/>
      <c r="AF142" s="284"/>
      <c r="AG142" s="284"/>
      <c r="AH142" s="285"/>
      <c r="AI142" s="295"/>
      <c r="AJ142" s="273"/>
      <c r="AK142" s="273"/>
      <c r="AL142" s="273"/>
      <c r="AM142" s="273"/>
      <c r="AN142" s="300"/>
      <c r="AO142" s="273"/>
      <c r="AP142" s="273"/>
      <c r="AQ142" s="273"/>
    </row>
    <row r="143" s="215" customFormat="1" ht="25" customHeight="1" spans="1:43">
      <c r="A143" s="272"/>
      <c r="B143" s="273"/>
      <c r="C143" s="274"/>
      <c r="D143" s="273"/>
      <c r="E143" s="274"/>
      <c r="F143" s="274"/>
      <c r="G143" s="273"/>
      <c r="H143" s="274"/>
      <c r="I143" s="353">
        <f>SUM(I1:I142)</f>
        <v>369223</v>
      </c>
      <c r="J143" s="274"/>
      <c r="K143" s="274"/>
      <c r="L143" s="292"/>
      <c r="M143" s="292"/>
      <c r="N143" s="292"/>
      <c r="O143" s="292"/>
      <c r="P143" s="299"/>
      <c r="Q143" s="278"/>
      <c r="R143" s="278"/>
      <c r="S143" s="278"/>
      <c r="T143" s="278"/>
      <c r="U143" s="279"/>
      <c r="V143" s="279"/>
      <c r="W143" s="293"/>
      <c r="X143" s="293"/>
      <c r="Y143" s="354"/>
      <c r="Z143" s="274"/>
      <c r="AA143" s="293"/>
      <c r="AB143" s="293"/>
      <c r="AC143" s="293"/>
      <c r="AD143" s="355"/>
      <c r="AE143" s="283"/>
      <c r="AF143" s="356">
        <f>SUM(AF1:AF142)</f>
        <v>1342875.11</v>
      </c>
      <c r="AG143" s="356">
        <f>SUM(AG1:AG142)</f>
        <v>10407282.12</v>
      </c>
      <c r="AH143" s="285"/>
      <c r="AI143" s="274"/>
      <c r="AJ143" s="274"/>
      <c r="AK143" s="274"/>
      <c r="AL143" s="274"/>
      <c r="AM143" s="274"/>
      <c r="AN143" s="357"/>
      <c r="AO143" s="222"/>
      <c r="AP143" s="279"/>
      <c r="AQ143" s="279"/>
    </row>
    <row r="144" s="215" customFormat="1" ht="25" customHeight="1" spans="1:43">
      <c r="A144" s="358"/>
      <c r="D144" s="214"/>
      <c r="E144" s="214"/>
      <c r="F144" s="214"/>
      <c r="I144" s="359"/>
      <c r="L144" s="358"/>
      <c r="M144" s="358"/>
      <c r="N144" s="358"/>
      <c r="O144" s="358"/>
      <c r="P144" s="360"/>
      <c r="Q144" s="361"/>
      <c r="R144" s="361"/>
      <c r="S144" s="361"/>
      <c r="T144" s="361"/>
      <c r="U144" s="362"/>
      <c r="V144" s="362"/>
      <c r="W144" s="363"/>
      <c r="X144" s="363"/>
      <c r="Y144" s="364"/>
      <c r="AA144" s="365"/>
      <c r="AB144" s="365"/>
      <c r="AC144" s="365"/>
      <c r="AD144" s="366"/>
      <c r="AE144" s="367"/>
      <c r="AF144" s="368"/>
      <c r="AG144" s="368"/>
      <c r="AH144" s="369"/>
      <c r="AO144" s="218"/>
    </row>
    <row r="145" s="215" customFormat="1" ht="25" customHeight="1" spans="1:41">
      <c r="A145" s="358"/>
      <c r="D145" s="214"/>
      <c r="E145" s="214"/>
      <c r="F145" s="214"/>
      <c r="I145" s="359"/>
      <c r="L145" s="358"/>
      <c r="M145" s="358"/>
      <c r="N145" s="358"/>
      <c r="O145" s="358"/>
      <c r="P145" s="360"/>
      <c r="Q145" s="361"/>
      <c r="R145" s="361"/>
      <c r="S145" s="361"/>
      <c r="T145" s="361"/>
      <c r="U145" s="362"/>
      <c r="V145" s="362"/>
      <c r="W145" s="363"/>
      <c r="X145" s="363"/>
      <c r="Y145" s="364"/>
      <c r="AA145" s="365"/>
      <c r="AB145" s="365"/>
      <c r="AC145" s="365"/>
      <c r="AD145" s="366"/>
      <c r="AE145" s="367"/>
      <c r="AF145" s="368"/>
      <c r="AG145" s="368"/>
      <c r="AH145" s="369"/>
      <c r="AO145" s="218"/>
    </row>
    <row r="146" s="215" customFormat="1" ht="25" customHeight="1" spans="1:41">
      <c r="A146" s="358"/>
      <c r="D146" s="214"/>
      <c r="E146" s="214"/>
      <c r="F146" s="214"/>
      <c r="I146" s="359"/>
      <c r="L146" s="358"/>
      <c r="M146" s="358"/>
      <c r="N146" s="358"/>
      <c r="O146" s="358"/>
      <c r="P146" s="360"/>
      <c r="Q146" s="361"/>
      <c r="R146" s="361"/>
      <c r="S146" s="361"/>
      <c r="T146" s="361"/>
      <c r="U146" s="362"/>
      <c r="V146" s="362"/>
      <c r="W146" s="363"/>
      <c r="X146" s="363"/>
      <c r="Y146" s="364"/>
      <c r="AA146" s="365"/>
      <c r="AB146" s="365"/>
      <c r="AC146" s="365"/>
      <c r="AD146" s="366"/>
      <c r="AE146" s="367"/>
      <c r="AF146" s="368"/>
      <c r="AG146" s="368"/>
      <c r="AH146" s="369"/>
      <c r="AO146" s="218"/>
    </row>
    <row r="147" s="215" customFormat="1" ht="25" customHeight="1" spans="1:41">
      <c r="A147" s="358"/>
      <c r="D147" s="214"/>
      <c r="E147" s="214"/>
      <c r="F147" s="214"/>
      <c r="I147" s="359"/>
      <c r="L147" s="358"/>
      <c r="M147" s="358"/>
      <c r="N147" s="358"/>
      <c r="O147" s="358"/>
      <c r="P147" s="360"/>
      <c r="Q147" s="361"/>
      <c r="R147" s="361"/>
      <c r="S147" s="361"/>
      <c r="T147" s="361"/>
      <c r="U147" s="362"/>
      <c r="V147" s="362"/>
      <c r="W147" s="363"/>
      <c r="X147" s="363"/>
      <c r="Y147" s="364"/>
      <c r="AA147" s="365"/>
      <c r="AB147" s="365"/>
      <c r="AC147" s="365"/>
      <c r="AD147" s="366"/>
      <c r="AE147" s="367"/>
      <c r="AF147" s="368"/>
      <c r="AG147" s="368"/>
      <c r="AH147" s="369"/>
      <c r="AO147" s="218"/>
    </row>
    <row r="148" s="215" customFormat="1" ht="25" customHeight="1" spans="1:41">
      <c r="A148" s="358"/>
      <c r="D148" s="214"/>
      <c r="E148" s="214"/>
      <c r="F148" s="214"/>
      <c r="I148" s="359"/>
      <c r="L148" s="358"/>
      <c r="M148" s="358"/>
      <c r="N148" s="358"/>
      <c r="O148" s="358"/>
      <c r="P148" s="360"/>
      <c r="Q148" s="361"/>
      <c r="R148" s="361"/>
      <c r="S148" s="361"/>
      <c r="T148" s="361"/>
      <c r="U148" s="362"/>
      <c r="V148" s="362"/>
      <c r="W148" s="363"/>
      <c r="X148" s="363"/>
      <c r="Y148" s="364"/>
      <c r="AA148" s="365"/>
      <c r="AB148" s="365"/>
      <c r="AC148" s="365"/>
      <c r="AD148" s="366"/>
      <c r="AE148" s="367"/>
      <c r="AF148" s="368"/>
      <c r="AG148" s="368"/>
      <c r="AH148" s="369"/>
      <c r="AO148" s="218"/>
    </row>
    <row r="149" s="215" customFormat="1" ht="25" customHeight="1" spans="1:41">
      <c r="A149" s="358"/>
      <c r="D149" s="214"/>
      <c r="E149" s="214"/>
      <c r="F149" s="214"/>
      <c r="I149" s="359"/>
      <c r="L149" s="358"/>
      <c r="M149" s="358"/>
      <c r="N149" s="358"/>
      <c r="O149" s="358"/>
      <c r="P149" s="360"/>
      <c r="Q149" s="361"/>
      <c r="R149" s="361"/>
      <c r="S149" s="361"/>
      <c r="T149" s="361"/>
      <c r="U149" s="362"/>
      <c r="V149" s="362"/>
      <c r="W149" s="363"/>
      <c r="X149" s="363"/>
      <c r="Y149" s="364"/>
      <c r="AA149" s="365"/>
      <c r="AB149" s="365"/>
      <c r="AC149" s="365"/>
      <c r="AD149" s="366"/>
      <c r="AE149" s="367"/>
      <c r="AF149" s="368"/>
      <c r="AG149" s="368"/>
      <c r="AH149" s="369"/>
      <c r="AO149" s="218"/>
    </row>
    <row r="150" s="215" customFormat="1" ht="25" customHeight="1" spans="1:41">
      <c r="A150" s="358"/>
      <c r="D150" s="214"/>
      <c r="E150" s="214"/>
      <c r="F150" s="214"/>
      <c r="I150" s="359"/>
      <c r="L150" s="358"/>
      <c r="M150" s="358"/>
      <c r="N150" s="358"/>
      <c r="O150" s="358"/>
      <c r="P150" s="360"/>
      <c r="Q150" s="361"/>
      <c r="R150" s="361"/>
      <c r="S150" s="361"/>
      <c r="T150" s="361"/>
      <c r="U150" s="362"/>
      <c r="V150" s="362"/>
      <c r="W150" s="363"/>
      <c r="X150" s="363"/>
      <c r="Y150" s="364"/>
      <c r="AA150" s="365"/>
      <c r="AB150" s="365"/>
      <c r="AC150" s="365"/>
      <c r="AD150" s="366"/>
      <c r="AE150" s="367"/>
      <c r="AF150" s="368"/>
      <c r="AG150" s="368"/>
      <c r="AO150" s="218"/>
    </row>
    <row r="151" s="215" customFormat="1" ht="25" customHeight="1" spans="1:41">
      <c r="A151" s="358"/>
      <c r="D151" s="214"/>
      <c r="E151" s="214"/>
      <c r="F151" s="214"/>
      <c r="I151" s="359"/>
      <c r="L151" s="358"/>
      <c r="M151" s="358"/>
      <c r="N151" s="358"/>
      <c r="O151" s="358"/>
      <c r="P151" s="360"/>
      <c r="Q151" s="361"/>
      <c r="R151" s="361"/>
      <c r="S151" s="361"/>
      <c r="T151" s="361"/>
      <c r="U151" s="362"/>
      <c r="V151" s="362"/>
      <c r="W151" s="363"/>
      <c r="X151" s="363"/>
      <c r="Y151" s="364"/>
      <c r="AA151" s="365"/>
      <c r="AB151" s="365"/>
      <c r="AC151" s="365"/>
      <c r="AD151" s="366"/>
      <c r="AE151" s="367"/>
      <c r="AF151" s="368"/>
      <c r="AG151" s="368"/>
      <c r="AO151" s="218"/>
    </row>
    <row r="152" s="215" customFormat="1" ht="25" customHeight="1" spans="1:41">
      <c r="A152" s="358"/>
      <c r="D152" s="214"/>
      <c r="E152" s="214"/>
      <c r="F152" s="214"/>
      <c r="I152" s="359"/>
      <c r="L152" s="358"/>
      <c r="M152" s="358"/>
      <c r="N152" s="358"/>
      <c r="O152" s="358"/>
      <c r="P152" s="360"/>
      <c r="Q152" s="361"/>
      <c r="R152" s="361"/>
      <c r="S152" s="361"/>
      <c r="T152" s="361"/>
      <c r="U152" s="362"/>
      <c r="V152" s="362"/>
      <c r="W152" s="363"/>
      <c r="X152" s="363"/>
      <c r="Y152" s="364"/>
      <c r="AA152" s="365"/>
      <c r="AB152" s="365"/>
      <c r="AC152" s="365"/>
      <c r="AD152" s="366"/>
      <c r="AE152" s="367"/>
      <c r="AF152" s="368"/>
      <c r="AG152" s="368"/>
      <c r="AO152" s="218"/>
    </row>
    <row r="153" s="215" customFormat="1" ht="25" customHeight="1" spans="1:41">
      <c r="A153" s="358"/>
      <c r="D153" s="214"/>
      <c r="E153" s="214"/>
      <c r="F153" s="214"/>
      <c r="I153" s="359"/>
      <c r="L153" s="358"/>
      <c r="M153" s="358"/>
      <c r="N153" s="358"/>
      <c r="O153" s="358"/>
      <c r="P153" s="360"/>
      <c r="Q153" s="361"/>
      <c r="R153" s="361"/>
      <c r="S153" s="361"/>
      <c r="T153" s="361"/>
      <c r="U153" s="362"/>
      <c r="V153" s="362"/>
      <c r="W153" s="363"/>
      <c r="X153" s="363"/>
      <c r="Y153" s="363"/>
      <c r="AA153" s="365"/>
      <c r="AB153" s="365"/>
      <c r="AC153" s="365"/>
      <c r="AD153" s="366"/>
      <c r="AE153" s="367"/>
      <c r="AF153" s="368"/>
      <c r="AG153" s="368"/>
      <c r="AO153" s="218"/>
    </row>
    <row r="154" s="215" customFormat="1" ht="25" customHeight="1" spans="1:41">
      <c r="A154" s="358"/>
      <c r="D154" s="214"/>
      <c r="E154" s="214"/>
      <c r="F154" s="214"/>
      <c r="I154" s="359"/>
      <c r="L154" s="358"/>
      <c r="M154" s="358"/>
      <c r="N154" s="358"/>
      <c r="O154" s="358"/>
      <c r="P154" s="360"/>
      <c r="Q154" s="361"/>
      <c r="R154" s="361"/>
      <c r="S154" s="361"/>
      <c r="T154" s="361"/>
      <c r="U154" s="362"/>
      <c r="V154" s="362"/>
      <c r="W154" s="363"/>
      <c r="X154" s="363"/>
      <c r="Y154" s="364"/>
      <c r="AA154" s="365"/>
      <c r="AB154" s="365"/>
      <c r="AC154" s="365"/>
      <c r="AD154" s="366"/>
      <c r="AE154" s="367"/>
      <c r="AF154" s="368"/>
      <c r="AG154" s="368"/>
      <c r="AO154" s="218"/>
    </row>
    <row r="155" s="215" customFormat="1" ht="25" customHeight="1" spans="1:41">
      <c r="A155" s="358"/>
      <c r="D155" s="214"/>
      <c r="E155" s="214"/>
      <c r="F155" s="214"/>
      <c r="I155" s="359"/>
      <c r="L155" s="358"/>
      <c r="M155" s="358"/>
      <c r="N155" s="358"/>
      <c r="O155" s="358"/>
      <c r="P155" s="360"/>
      <c r="Q155" s="361"/>
      <c r="R155" s="361"/>
      <c r="S155" s="361"/>
      <c r="T155" s="361"/>
      <c r="U155" s="362"/>
      <c r="V155" s="362"/>
      <c r="W155" s="363"/>
      <c r="X155" s="363"/>
      <c r="Y155" s="364"/>
      <c r="AA155" s="365"/>
      <c r="AB155" s="365"/>
      <c r="AC155" s="365"/>
      <c r="AD155" s="366"/>
      <c r="AE155" s="367"/>
      <c r="AF155" s="368"/>
      <c r="AG155" s="368"/>
      <c r="AO155" s="218"/>
    </row>
    <row r="156" s="215" customFormat="1" ht="25" customHeight="1" spans="1:41">
      <c r="A156" s="358"/>
      <c r="D156" s="214"/>
      <c r="E156" s="214"/>
      <c r="F156" s="214"/>
      <c r="I156" s="359"/>
      <c r="L156" s="358"/>
      <c r="M156" s="358"/>
      <c r="N156" s="358"/>
      <c r="O156" s="358"/>
      <c r="P156" s="360"/>
      <c r="Q156" s="361"/>
      <c r="R156" s="361"/>
      <c r="S156" s="361"/>
      <c r="T156" s="361"/>
      <c r="U156" s="362"/>
      <c r="V156" s="362"/>
      <c r="W156" s="363"/>
      <c r="X156" s="363"/>
      <c r="Y156" s="364"/>
      <c r="AA156" s="365"/>
      <c r="AB156" s="365"/>
      <c r="AC156" s="365"/>
      <c r="AD156" s="366"/>
      <c r="AE156" s="367"/>
      <c r="AF156" s="368"/>
      <c r="AG156" s="368"/>
      <c r="AO156" s="218"/>
    </row>
    <row r="157" s="215" customFormat="1" ht="25" customHeight="1" spans="1:41">
      <c r="A157" s="358"/>
      <c r="D157" s="214"/>
      <c r="I157" s="359"/>
      <c r="L157" s="358"/>
      <c r="M157" s="358"/>
      <c r="N157" s="358"/>
      <c r="O157" s="358"/>
      <c r="P157" s="360"/>
      <c r="Q157" s="361"/>
      <c r="R157" s="361"/>
      <c r="S157" s="361"/>
      <c r="T157" s="361"/>
      <c r="U157" s="362"/>
      <c r="V157" s="362"/>
      <c r="W157" s="363"/>
      <c r="X157" s="363"/>
      <c r="Y157" s="364"/>
      <c r="Z157" s="370"/>
      <c r="AA157" s="363"/>
      <c r="AB157" s="371"/>
      <c r="AC157" s="371"/>
      <c r="AD157" s="372"/>
      <c r="AE157" s="367"/>
      <c r="AF157" s="368"/>
      <c r="AG157" s="368"/>
      <c r="AO157" s="218"/>
    </row>
    <row r="158" s="215" customFormat="1" ht="25" customHeight="1" spans="1:41">
      <c r="A158" s="358"/>
      <c r="D158" s="214"/>
      <c r="E158" s="214"/>
      <c r="F158" s="214"/>
      <c r="I158" s="359"/>
      <c r="L158" s="358"/>
      <c r="M158" s="358"/>
      <c r="N158" s="358"/>
      <c r="O158" s="358"/>
      <c r="P158" s="360"/>
      <c r="Q158" s="361"/>
      <c r="R158" s="361"/>
      <c r="S158" s="361"/>
      <c r="T158" s="361"/>
      <c r="U158" s="362"/>
      <c r="V158" s="362"/>
      <c r="W158" s="363"/>
      <c r="X158" s="363"/>
      <c r="Y158" s="364"/>
      <c r="AA158" s="365"/>
      <c r="AB158" s="365"/>
      <c r="AC158" s="365"/>
      <c r="AD158" s="366"/>
      <c r="AE158" s="367"/>
      <c r="AF158" s="368"/>
      <c r="AG158" s="368"/>
      <c r="AO158" s="218"/>
    </row>
    <row r="159" s="215" customFormat="1" ht="25" customHeight="1" spans="1:41">
      <c r="A159" s="358"/>
      <c r="D159" s="214"/>
      <c r="E159" s="214"/>
      <c r="F159" s="214"/>
      <c r="I159" s="359"/>
      <c r="L159" s="358"/>
      <c r="M159" s="358"/>
      <c r="N159" s="358"/>
      <c r="O159" s="358"/>
      <c r="P159" s="360"/>
      <c r="Q159" s="361"/>
      <c r="R159" s="361"/>
      <c r="S159" s="361"/>
      <c r="T159" s="361"/>
      <c r="U159" s="362"/>
      <c r="V159" s="362"/>
      <c r="W159" s="363"/>
      <c r="X159" s="363"/>
      <c r="Y159" s="364"/>
      <c r="AA159" s="365"/>
      <c r="AB159" s="365"/>
      <c r="AC159" s="365"/>
      <c r="AD159" s="366"/>
      <c r="AE159" s="367"/>
      <c r="AF159" s="368"/>
      <c r="AG159" s="368"/>
      <c r="AO159" s="218"/>
    </row>
    <row r="160" s="215" customFormat="1" ht="25" customHeight="1" spans="1:41">
      <c r="A160" s="358"/>
      <c r="D160" s="214"/>
      <c r="I160" s="359"/>
      <c r="L160" s="358"/>
      <c r="M160" s="358"/>
      <c r="N160" s="358"/>
      <c r="O160" s="358"/>
      <c r="P160" s="360"/>
      <c r="Q160" s="361"/>
      <c r="R160" s="361"/>
      <c r="S160" s="361"/>
      <c r="T160" s="361"/>
      <c r="U160" s="362"/>
      <c r="V160" s="362"/>
      <c r="W160" s="363"/>
      <c r="X160" s="363"/>
      <c r="Y160" s="364"/>
      <c r="Z160" s="370"/>
      <c r="AA160" s="363"/>
      <c r="AB160" s="371"/>
      <c r="AC160" s="371"/>
      <c r="AD160" s="372"/>
      <c r="AE160" s="367"/>
      <c r="AF160" s="368"/>
      <c r="AG160" s="368"/>
      <c r="AO160" s="218"/>
    </row>
    <row r="161" s="215" customFormat="1" ht="25" customHeight="1" spans="1:41">
      <c r="A161" s="358"/>
      <c r="D161" s="214"/>
      <c r="E161" s="214"/>
      <c r="F161" s="214"/>
      <c r="I161" s="359"/>
      <c r="L161" s="358"/>
      <c r="M161" s="358"/>
      <c r="N161" s="358"/>
      <c r="O161" s="358"/>
      <c r="P161" s="360"/>
      <c r="Q161" s="361"/>
      <c r="R161" s="361"/>
      <c r="S161" s="361"/>
      <c r="T161" s="361"/>
      <c r="U161" s="362"/>
      <c r="V161" s="362"/>
      <c r="W161" s="363"/>
      <c r="X161" s="363"/>
      <c r="Y161" s="364"/>
      <c r="AA161" s="365"/>
      <c r="AB161" s="365"/>
      <c r="AC161" s="365"/>
      <c r="AD161" s="366"/>
      <c r="AE161" s="367"/>
      <c r="AF161" s="368"/>
      <c r="AG161" s="368"/>
      <c r="AO161" s="218"/>
    </row>
    <row r="162" s="215" customFormat="1" ht="25" customHeight="1" spans="1:41">
      <c r="A162" s="358"/>
      <c r="D162" s="214"/>
      <c r="E162" s="214"/>
      <c r="F162" s="214"/>
      <c r="I162" s="359"/>
      <c r="L162" s="358"/>
      <c r="M162" s="358"/>
      <c r="N162" s="358"/>
      <c r="O162" s="358"/>
      <c r="P162" s="360"/>
      <c r="Q162" s="361"/>
      <c r="R162" s="361"/>
      <c r="S162" s="361"/>
      <c r="T162" s="361"/>
      <c r="U162" s="362"/>
      <c r="V162" s="362"/>
      <c r="W162" s="363"/>
      <c r="X162" s="363"/>
      <c r="Y162" s="364"/>
      <c r="AA162" s="365"/>
      <c r="AB162" s="365"/>
      <c r="AC162" s="365"/>
      <c r="AD162" s="366"/>
      <c r="AE162" s="367"/>
      <c r="AF162" s="368"/>
      <c r="AG162" s="368"/>
      <c r="AO162" s="218"/>
    </row>
    <row r="163" s="215" customFormat="1" ht="25" customHeight="1" spans="1:41">
      <c r="A163" s="358"/>
      <c r="D163" s="214"/>
      <c r="I163" s="359"/>
      <c r="L163" s="358"/>
      <c r="M163" s="358"/>
      <c r="N163" s="358"/>
      <c r="O163" s="358"/>
      <c r="P163" s="360"/>
      <c r="Q163" s="361"/>
      <c r="R163" s="361"/>
      <c r="S163" s="361"/>
      <c r="T163" s="361"/>
      <c r="U163" s="362"/>
      <c r="V163" s="362"/>
      <c r="W163" s="363"/>
      <c r="X163" s="363"/>
      <c r="Y163" s="364"/>
      <c r="Z163" s="370"/>
      <c r="AA163" s="363"/>
      <c r="AB163" s="371"/>
      <c r="AC163" s="371"/>
      <c r="AD163" s="372"/>
      <c r="AE163" s="367"/>
      <c r="AF163" s="368"/>
      <c r="AG163" s="368"/>
      <c r="AO163" s="218"/>
    </row>
    <row r="164" s="215" customFormat="1" ht="25" customHeight="1" spans="1:41">
      <c r="A164" s="358"/>
      <c r="I164" s="359"/>
      <c r="L164" s="358"/>
      <c r="M164" s="358"/>
      <c r="N164" s="358"/>
      <c r="O164" s="358"/>
      <c r="P164" s="360"/>
      <c r="Q164" s="361"/>
      <c r="R164" s="361"/>
      <c r="S164" s="361"/>
      <c r="T164" s="361"/>
      <c r="U164" s="362"/>
      <c r="V164" s="362"/>
      <c r="W164" s="363"/>
      <c r="X164" s="363"/>
      <c r="Y164" s="364"/>
      <c r="Z164" s="370"/>
      <c r="AA164" s="363"/>
      <c r="AB164" s="371"/>
      <c r="AC164" s="371"/>
      <c r="AD164" s="372"/>
      <c r="AE164" s="367"/>
      <c r="AF164" s="368"/>
      <c r="AG164" s="368"/>
      <c r="AH164" s="369"/>
      <c r="AO164" s="218"/>
    </row>
    <row r="165" s="215" customFormat="1" ht="25" customHeight="1" spans="1:41">
      <c r="A165" s="358"/>
      <c r="D165" s="214"/>
      <c r="I165" s="359"/>
      <c r="L165" s="358"/>
      <c r="M165" s="358"/>
      <c r="N165" s="358"/>
      <c r="O165" s="358"/>
      <c r="P165" s="360"/>
      <c r="Q165" s="361"/>
      <c r="R165" s="361"/>
      <c r="S165" s="361"/>
      <c r="T165" s="361"/>
      <c r="U165" s="362"/>
      <c r="V165" s="362"/>
      <c r="W165" s="363"/>
      <c r="X165" s="363"/>
      <c r="Y165" s="364"/>
      <c r="Z165" s="370"/>
      <c r="AA165" s="363"/>
      <c r="AB165" s="371"/>
      <c r="AC165" s="371"/>
      <c r="AD165" s="372"/>
      <c r="AE165" s="367"/>
      <c r="AF165" s="368"/>
      <c r="AG165" s="368"/>
      <c r="AO165" s="218"/>
    </row>
    <row r="166" s="215" customFormat="1" ht="25" customHeight="1" spans="1:41">
      <c r="A166" s="358"/>
      <c r="D166" s="214"/>
      <c r="I166" s="359"/>
      <c r="L166" s="358"/>
      <c r="M166" s="358"/>
      <c r="N166" s="358"/>
      <c r="O166" s="358"/>
      <c r="P166" s="360"/>
      <c r="Q166" s="361"/>
      <c r="R166" s="361"/>
      <c r="S166" s="361"/>
      <c r="T166" s="361"/>
      <c r="U166" s="362"/>
      <c r="V166" s="362"/>
      <c r="W166" s="363"/>
      <c r="X166" s="363"/>
      <c r="Y166" s="364"/>
      <c r="Z166" s="370"/>
      <c r="AA166" s="363"/>
      <c r="AB166" s="371"/>
      <c r="AC166" s="371"/>
      <c r="AD166" s="372"/>
      <c r="AE166" s="367"/>
      <c r="AF166" s="368"/>
      <c r="AG166" s="368"/>
      <c r="AO166" s="218"/>
    </row>
    <row r="167" s="215" customFormat="1" ht="25" customHeight="1" spans="1:41">
      <c r="A167" s="358"/>
      <c r="D167" s="214"/>
      <c r="I167" s="359"/>
      <c r="L167" s="358"/>
      <c r="M167" s="358"/>
      <c r="N167" s="358"/>
      <c r="O167" s="358"/>
      <c r="P167" s="360"/>
      <c r="Q167" s="361"/>
      <c r="R167" s="361"/>
      <c r="S167" s="361"/>
      <c r="T167" s="361"/>
      <c r="U167" s="362"/>
      <c r="V167" s="362"/>
      <c r="W167" s="363"/>
      <c r="X167" s="363"/>
      <c r="Y167" s="364"/>
      <c r="Z167" s="370"/>
      <c r="AA167" s="363"/>
      <c r="AB167" s="371"/>
      <c r="AC167" s="371"/>
      <c r="AD167" s="372"/>
      <c r="AE167" s="367"/>
      <c r="AF167" s="368"/>
      <c r="AG167" s="368"/>
      <c r="AO167" s="218"/>
    </row>
    <row r="168" s="215" customFormat="1" ht="25" customHeight="1" spans="1:41">
      <c r="A168" s="358"/>
      <c r="D168" s="214"/>
      <c r="I168" s="359"/>
      <c r="L168" s="358"/>
      <c r="M168" s="358"/>
      <c r="N168" s="358"/>
      <c r="O168" s="358"/>
      <c r="P168" s="360"/>
      <c r="Q168" s="361"/>
      <c r="R168" s="361"/>
      <c r="S168" s="361"/>
      <c r="T168" s="361"/>
      <c r="U168" s="362"/>
      <c r="V168" s="362"/>
      <c r="W168" s="363"/>
      <c r="X168" s="363"/>
      <c r="Y168" s="364"/>
      <c r="Z168" s="370"/>
      <c r="AA168" s="363"/>
      <c r="AB168" s="371"/>
      <c r="AC168" s="371"/>
      <c r="AD168" s="372"/>
      <c r="AE168" s="367"/>
      <c r="AF168" s="368"/>
      <c r="AG168" s="368"/>
      <c r="AO168" s="218"/>
    </row>
    <row r="169" s="214" customFormat="1" ht="25" customHeight="1" spans="1:41">
      <c r="A169" s="373"/>
      <c r="I169" s="374"/>
      <c r="J169" s="374"/>
      <c r="L169" s="373"/>
      <c r="M169" s="373"/>
      <c r="N169" s="373"/>
      <c r="O169" s="373"/>
      <c r="P169" s="375"/>
      <c r="Q169" s="361"/>
      <c r="R169" s="361"/>
      <c r="S169" s="361"/>
      <c r="T169" s="352"/>
      <c r="U169" s="362"/>
      <c r="V169" s="362"/>
      <c r="W169" s="352"/>
      <c r="X169" s="352"/>
      <c r="Y169" s="364"/>
      <c r="Z169" s="352"/>
      <c r="AA169" s="352"/>
      <c r="AB169" s="371"/>
      <c r="AC169" s="371"/>
      <c r="AD169" s="376"/>
      <c r="AE169" s="367"/>
      <c r="AF169" s="377"/>
      <c r="AG169" s="377"/>
      <c r="AH169" s="377"/>
      <c r="AI169" s="378"/>
      <c r="AO169" s="218"/>
    </row>
    <row r="170" s="215" customFormat="1" ht="25" customHeight="1" spans="1:41">
      <c r="A170" s="373"/>
      <c r="B170" s="214"/>
      <c r="C170" s="214"/>
      <c r="D170" s="214"/>
      <c r="E170" s="214"/>
      <c r="F170" s="214"/>
      <c r="G170" s="214"/>
      <c r="H170" s="214"/>
      <c r="I170" s="374"/>
      <c r="J170" s="374"/>
      <c r="K170" s="214"/>
      <c r="L170" s="373"/>
      <c r="M170" s="373"/>
      <c r="N170" s="373"/>
      <c r="O170" s="373"/>
      <c r="P170" s="360"/>
      <c r="Q170" s="361"/>
      <c r="R170" s="361"/>
      <c r="S170" s="361"/>
      <c r="T170" s="361"/>
      <c r="U170" s="362"/>
      <c r="V170" s="362"/>
      <c r="W170" s="363"/>
      <c r="X170" s="363"/>
      <c r="Y170" s="364"/>
      <c r="Z170" s="370"/>
      <c r="AA170" s="363"/>
      <c r="AB170" s="371"/>
      <c r="AC170" s="371"/>
      <c r="AD170" s="372"/>
      <c r="AE170" s="367"/>
      <c r="AF170" s="368"/>
      <c r="AG170" s="368"/>
      <c r="AO170" s="218"/>
    </row>
    <row r="171" s="214" customFormat="1" ht="25" customHeight="1" spans="1:41">
      <c r="A171" s="373"/>
      <c r="I171" s="374"/>
      <c r="J171" s="374"/>
      <c r="L171" s="373"/>
      <c r="M171" s="373"/>
      <c r="N171" s="373"/>
      <c r="O171" s="373"/>
      <c r="P171" s="375"/>
      <c r="Q171" s="361"/>
      <c r="R171" s="361"/>
      <c r="S171" s="361"/>
      <c r="T171" s="352"/>
      <c r="U171" s="362"/>
      <c r="V171" s="362"/>
      <c r="W171" s="352"/>
      <c r="X171" s="352"/>
      <c r="Y171" s="364"/>
      <c r="Z171" s="352"/>
      <c r="AA171" s="352"/>
      <c r="AB171" s="378"/>
      <c r="AC171" s="378"/>
      <c r="AD171" s="376"/>
      <c r="AE171" s="367"/>
      <c r="AF171" s="377"/>
      <c r="AG171" s="377"/>
      <c r="AH171" s="377"/>
      <c r="AI171" s="378"/>
      <c r="AO171" s="218"/>
    </row>
    <row r="172" s="214" customFormat="1" ht="25" customHeight="1" spans="1:41">
      <c r="A172" s="373"/>
      <c r="I172" s="374"/>
      <c r="J172" s="374"/>
      <c r="L172" s="373"/>
      <c r="M172" s="373"/>
      <c r="N172" s="373"/>
      <c r="O172" s="373"/>
      <c r="P172" s="375"/>
      <c r="Q172" s="361"/>
      <c r="R172" s="361"/>
      <c r="S172" s="361"/>
      <c r="T172" s="352"/>
      <c r="U172" s="362"/>
      <c r="V172" s="362"/>
      <c r="W172" s="352"/>
      <c r="X172" s="352"/>
      <c r="Y172" s="364"/>
      <c r="Z172" s="352"/>
      <c r="AA172" s="352"/>
      <c r="AB172" s="378"/>
      <c r="AC172" s="378"/>
      <c r="AD172" s="376"/>
      <c r="AE172" s="367"/>
      <c r="AF172" s="377"/>
      <c r="AG172" s="377"/>
      <c r="AH172" s="377"/>
      <c r="AI172" s="378"/>
      <c r="AO172" s="218"/>
    </row>
    <row r="173" s="214" customFormat="1" ht="25" customHeight="1" spans="1:41">
      <c r="A173" s="373"/>
      <c r="I173" s="374"/>
      <c r="J173" s="374"/>
      <c r="L173" s="373"/>
      <c r="M173" s="373"/>
      <c r="N173" s="373"/>
      <c r="O173" s="373"/>
      <c r="P173" s="375"/>
      <c r="Q173" s="361"/>
      <c r="R173" s="361"/>
      <c r="S173" s="361"/>
      <c r="T173" s="352"/>
      <c r="U173" s="362"/>
      <c r="V173" s="362"/>
      <c r="W173" s="352"/>
      <c r="X173" s="352"/>
      <c r="Y173" s="364"/>
      <c r="Z173" s="352"/>
      <c r="AA173" s="352"/>
      <c r="AB173" s="378"/>
      <c r="AC173" s="378"/>
      <c r="AD173" s="376"/>
      <c r="AE173" s="367"/>
      <c r="AF173" s="377"/>
      <c r="AG173" s="377"/>
      <c r="AH173" s="377"/>
      <c r="AI173" s="378"/>
      <c r="AO173" s="218"/>
    </row>
    <row r="174" s="214" customFormat="1" ht="25" customHeight="1" spans="1:41">
      <c r="A174" s="373"/>
      <c r="I174" s="374"/>
      <c r="J174" s="374"/>
      <c r="L174" s="373"/>
      <c r="M174" s="373"/>
      <c r="N174" s="373"/>
      <c r="O174" s="373"/>
      <c r="P174" s="375"/>
      <c r="Q174" s="361"/>
      <c r="R174" s="361"/>
      <c r="S174" s="361"/>
      <c r="T174" s="352"/>
      <c r="U174" s="362"/>
      <c r="V174" s="362"/>
      <c r="W174" s="352"/>
      <c r="X174" s="352"/>
      <c r="Y174" s="364"/>
      <c r="Z174" s="352"/>
      <c r="AA174" s="352"/>
      <c r="AB174" s="378"/>
      <c r="AC174" s="378"/>
      <c r="AD174" s="376"/>
      <c r="AE174" s="367"/>
      <c r="AF174" s="377"/>
      <c r="AG174" s="377"/>
      <c r="AH174" s="377"/>
      <c r="AI174" s="378"/>
      <c r="AO174" s="218"/>
    </row>
    <row r="175" s="214" customFormat="1" ht="25" customHeight="1" spans="1:41">
      <c r="A175" s="373"/>
      <c r="I175" s="374"/>
      <c r="J175" s="374"/>
      <c r="L175" s="373"/>
      <c r="M175" s="373"/>
      <c r="N175" s="373"/>
      <c r="O175" s="373"/>
      <c r="P175" s="375"/>
      <c r="Q175" s="361"/>
      <c r="R175" s="361"/>
      <c r="S175" s="361"/>
      <c r="T175" s="352"/>
      <c r="U175" s="362"/>
      <c r="V175" s="362"/>
      <c r="W175" s="352"/>
      <c r="X175" s="352"/>
      <c r="Y175" s="364"/>
      <c r="Z175" s="352"/>
      <c r="AA175" s="352"/>
      <c r="AB175" s="378"/>
      <c r="AC175" s="378"/>
      <c r="AD175" s="376"/>
      <c r="AE175" s="367"/>
      <c r="AF175" s="377"/>
      <c r="AG175" s="377"/>
      <c r="AH175" s="377"/>
      <c r="AI175" s="378"/>
      <c r="AO175" s="218"/>
    </row>
    <row r="176" s="214" customFormat="1" ht="25" customHeight="1" spans="1:41">
      <c r="A176" s="373"/>
      <c r="I176" s="374"/>
      <c r="J176" s="374"/>
      <c r="L176" s="373"/>
      <c r="M176" s="373"/>
      <c r="N176" s="373"/>
      <c r="O176" s="373"/>
      <c r="P176" s="375"/>
      <c r="Q176" s="361"/>
      <c r="R176" s="361"/>
      <c r="S176" s="361"/>
      <c r="T176" s="352"/>
      <c r="U176" s="362"/>
      <c r="V176" s="362"/>
      <c r="W176" s="352"/>
      <c r="X176" s="352"/>
      <c r="Y176" s="364"/>
      <c r="Z176" s="352"/>
      <c r="AA176" s="352"/>
      <c r="AC176" s="378"/>
      <c r="AD176" s="372"/>
      <c r="AE176" s="367"/>
      <c r="AF176" s="377"/>
      <c r="AG176" s="377"/>
      <c r="AH176" s="377"/>
      <c r="AO176" s="218"/>
    </row>
    <row r="177" s="214" customFormat="1" ht="25" customHeight="1" spans="1:41">
      <c r="A177" s="373"/>
      <c r="I177" s="374"/>
      <c r="J177" s="374"/>
      <c r="L177" s="373"/>
      <c r="M177" s="373"/>
      <c r="N177" s="373"/>
      <c r="O177" s="373"/>
      <c r="P177" s="375"/>
      <c r="Q177" s="361"/>
      <c r="R177" s="361"/>
      <c r="S177" s="361"/>
      <c r="T177" s="352"/>
      <c r="U177" s="362"/>
      <c r="V177" s="362"/>
      <c r="W177" s="352"/>
      <c r="X177" s="352"/>
      <c r="Y177" s="364"/>
      <c r="Z177" s="352"/>
      <c r="AA177" s="352"/>
      <c r="AC177" s="378"/>
      <c r="AD177" s="372"/>
      <c r="AE177" s="367"/>
      <c r="AF177" s="377"/>
      <c r="AG177" s="377"/>
      <c r="AH177" s="377"/>
      <c r="AO177" s="218"/>
    </row>
    <row r="178" s="214" customFormat="1" ht="25" customHeight="1" spans="1:41">
      <c r="A178" s="373"/>
      <c r="I178" s="374"/>
      <c r="J178" s="374"/>
      <c r="L178" s="373"/>
      <c r="M178" s="373"/>
      <c r="N178" s="373"/>
      <c r="O178" s="373"/>
      <c r="P178" s="375"/>
      <c r="Q178" s="361"/>
      <c r="R178" s="361"/>
      <c r="S178" s="361"/>
      <c r="T178" s="352"/>
      <c r="U178" s="362"/>
      <c r="V178" s="362"/>
      <c r="W178" s="352"/>
      <c r="X178" s="352"/>
      <c r="Y178" s="364"/>
      <c r="Z178" s="352"/>
      <c r="AA178" s="352"/>
      <c r="AC178" s="378"/>
      <c r="AD178" s="372"/>
      <c r="AE178" s="367"/>
      <c r="AF178" s="377"/>
      <c r="AG178" s="377"/>
      <c r="AH178" s="377"/>
      <c r="AO178" s="218"/>
    </row>
    <row r="179" s="214" customFormat="1" ht="25" customHeight="1" spans="1:41">
      <c r="A179" s="373"/>
      <c r="I179" s="374"/>
      <c r="J179" s="374"/>
      <c r="L179" s="373"/>
      <c r="M179" s="373"/>
      <c r="N179" s="373"/>
      <c r="O179" s="373"/>
      <c r="P179" s="375"/>
      <c r="Q179" s="361"/>
      <c r="R179" s="361"/>
      <c r="S179" s="361"/>
      <c r="T179" s="352"/>
      <c r="U179" s="362"/>
      <c r="V179" s="362"/>
      <c r="W179" s="352"/>
      <c r="X179" s="352"/>
      <c r="Y179" s="364"/>
      <c r="Z179" s="352"/>
      <c r="AA179" s="352"/>
      <c r="AC179" s="378"/>
      <c r="AD179" s="372"/>
      <c r="AE179" s="367"/>
      <c r="AF179" s="377"/>
      <c r="AG179" s="377"/>
      <c r="AH179" s="377"/>
      <c r="AO179" s="218"/>
    </row>
    <row r="180" s="214" customFormat="1" ht="25" customHeight="1" spans="1:41">
      <c r="A180" s="373"/>
      <c r="I180" s="374"/>
      <c r="J180" s="374"/>
      <c r="L180" s="373"/>
      <c r="M180" s="373"/>
      <c r="N180" s="373"/>
      <c r="O180" s="373"/>
      <c r="P180" s="375"/>
      <c r="Q180" s="361"/>
      <c r="R180" s="361"/>
      <c r="S180" s="361"/>
      <c r="T180" s="352"/>
      <c r="U180" s="362"/>
      <c r="V180" s="362"/>
      <c r="W180" s="352"/>
      <c r="X180" s="352"/>
      <c r="Y180" s="364"/>
      <c r="Z180" s="352"/>
      <c r="AA180" s="352"/>
      <c r="AC180" s="378"/>
      <c r="AD180" s="372"/>
      <c r="AE180" s="367"/>
      <c r="AF180" s="377"/>
      <c r="AG180" s="377"/>
      <c r="AH180" s="377"/>
      <c r="AO180" s="218"/>
    </row>
    <row r="181" s="214" customFormat="1" ht="25" customHeight="1" spans="1:41">
      <c r="A181" s="373"/>
      <c r="I181" s="374"/>
      <c r="J181" s="374"/>
      <c r="L181" s="373"/>
      <c r="M181" s="373"/>
      <c r="N181" s="373"/>
      <c r="O181" s="373"/>
      <c r="P181" s="375"/>
      <c r="Q181" s="361"/>
      <c r="R181" s="361"/>
      <c r="S181" s="361"/>
      <c r="T181" s="352"/>
      <c r="U181" s="362"/>
      <c r="V181" s="362"/>
      <c r="W181" s="352"/>
      <c r="X181" s="352"/>
      <c r="Y181" s="364"/>
      <c r="Z181" s="352"/>
      <c r="AA181" s="352"/>
      <c r="AC181" s="378"/>
      <c r="AD181" s="372"/>
      <c r="AE181" s="367"/>
      <c r="AF181" s="377"/>
      <c r="AG181" s="377"/>
      <c r="AH181" s="377"/>
      <c r="AO181" s="218"/>
    </row>
    <row r="182" s="214" customFormat="1" ht="25" customHeight="1" spans="1:41">
      <c r="A182" s="373"/>
      <c r="I182" s="374"/>
      <c r="J182" s="374"/>
      <c r="L182" s="373"/>
      <c r="M182" s="373"/>
      <c r="N182" s="373"/>
      <c r="O182" s="373"/>
      <c r="P182" s="375"/>
      <c r="Q182" s="361"/>
      <c r="R182" s="361"/>
      <c r="S182" s="361"/>
      <c r="T182" s="352"/>
      <c r="U182" s="362"/>
      <c r="V182" s="362"/>
      <c r="W182" s="352"/>
      <c r="X182" s="352"/>
      <c r="Y182" s="364"/>
      <c r="Z182" s="352"/>
      <c r="AA182" s="352"/>
      <c r="AC182" s="378"/>
      <c r="AD182" s="372"/>
      <c r="AE182" s="367"/>
      <c r="AF182" s="377"/>
      <c r="AG182" s="377"/>
      <c r="AH182" s="377"/>
      <c r="AO182" s="218"/>
    </row>
    <row r="183" s="214" customFormat="1" ht="25" customHeight="1" spans="1:41">
      <c r="A183" s="373"/>
      <c r="I183" s="374"/>
      <c r="J183" s="374"/>
      <c r="L183" s="373"/>
      <c r="M183" s="373"/>
      <c r="N183" s="373"/>
      <c r="O183" s="373"/>
      <c r="P183" s="375"/>
      <c r="Q183" s="361"/>
      <c r="R183" s="361"/>
      <c r="S183" s="361"/>
      <c r="T183" s="352"/>
      <c r="U183" s="362"/>
      <c r="V183" s="362"/>
      <c r="W183" s="352"/>
      <c r="X183" s="352"/>
      <c r="Y183" s="364"/>
      <c r="Z183" s="352"/>
      <c r="AA183" s="352"/>
      <c r="AC183" s="378"/>
      <c r="AD183" s="372"/>
      <c r="AE183" s="367"/>
      <c r="AF183" s="377"/>
      <c r="AG183" s="377"/>
      <c r="AH183" s="377"/>
      <c r="AO183" s="218"/>
    </row>
    <row r="184" s="214" customFormat="1" ht="25" customHeight="1" spans="1:41">
      <c r="A184" s="373"/>
      <c r="I184" s="374"/>
      <c r="J184" s="374"/>
      <c r="L184" s="373"/>
      <c r="M184" s="373"/>
      <c r="N184" s="373"/>
      <c r="O184" s="373"/>
      <c r="P184" s="375"/>
      <c r="Q184" s="361"/>
      <c r="R184" s="361"/>
      <c r="S184" s="361"/>
      <c r="T184" s="352"/>
      <c r="U184" s="362"/>
      <c r="V184" s="362"/>
      <c r="W184" s="352"/>
      <c r="X184" s="352"/>
      <c r="Y184" s="364"/>
      <c r="Z184" s="352"/>
      <c r="AA184" s="352"/>
      <c r="AC184" s="378"/>
      <c r="AD184" s="372"/>
      <c r="AE184" s="367"/>
      <c r="AF184" s="377"/>
      <c r="AG184" s="377"/>
      <c r="AH184" s="377"/>
      <c r="AO184" s="218"/>
    </row>
    <row r="185" s="215" customFormat="1" ht="25" customHeight="1" spans="1:41">
      <c r="A185" s="358"/>
      <c r="I185" s="359"/>
      <c r="J185" s="359"/>
      <c r="L185" s="358"/>
      <c r="M185" s="358"/>
      <c r="P185" s="360"/>
      <c r="Q185" s="360"/>
      <c r="R185" s="360"/>
      <c r="S185" s="360"/>
      <c r="T185" s="360"/>
      <c r="U185" s="360"/>
      <c r="V185" s="360"/>
      <c r="Y185" s="364"/>
      <c r="AD185" s="366"/>
      <c r="AE185" s="379"/>
      <c r="AF185" s="359"/>
      <c r="AG185" s="359"/>
      <c r="AO185" s="218"/>
    </row>
    <row r="186" s="52" customFormat="1" ht="25" customHeight="1" spans="1:41">
      <c r="A186" s="59"/>
      <c r="I186" s="200"/>
      <c r="J186" s="200"/>
      <c r="L186" s="59"/>
      <c r="M186" s="59"/>
      <c r="P186" s="216"/>
      <c r="Q186" s="216"/>
      <c r="R186" s="216"/>
      <c r="S186" s="216"/>
      <c r="T186" s="216"/>
      <c r="U186" s="216"/>
      <c r="V186" s="216"/>
      <c r="Y186" s="217"/>
      <c r="AD186" s="201"/>
      <c r="AF186" s="18"/>
      <c r="AO186" s="218"/>
    </row>
    <row r="187" s="52" customFormat="1" ht="25" customHeight="1" spans="1:41">
      <c r="A187" s="59"/>
      <c r="I187" s="200"/>
      <c r="J187" s="200"/>
      <c r="L187" s="59"/>
      <c r="M187" s="59"/>
      <c r="P187" s="216"/>
      <c r="Q187" s="216"/>
      <c r="R187" s="216"/>
      <c r="S187" s="216"/>
      <c r="T187" s="216"/>
      <c r="U187" s="216"/>
      <c r="V187" s="216"/>
      <c r="Y187" s="217"/>
      <c r="AD187" s="201"/>
      <c r="AF187" s="18"/>
      <c r="AO187" s="218"/>
    </row>
    <row r="188" s="52" customFormat="1" ht="25" customHeight="1" spans="1:41">
      <c r="A188" s="59"/>
      <c r="I188" s="200"/>
      <c r="J188" s="200"/>
      <c r="L188" s="59"/>
      <c r="M188" s="59"/>
      <c r="P188" s="216"/>
      <c r="Q188" s="216"/>
      <c r="R188" s="216"/>
      <c r="S188" s="216"/>
      <c r="T188" s="216"/>
      <c r="U188" s="216"/>
      <c r="V188" s="216"/>
      <c r="Y188" s="217"/>
      <c r="AD188" s="201"/>
      <c r="AF188" s="18"/>
      <c r="AO188" s="218"/>
    </row>
    <row r="189" s="52" customFormat="1" ht="25" customHeight="1" spans="1:41">
      <c r="A189" s="59"/>
      <c r="I189" s="200"/>
      <c r="J189" s="200"/>
      <c r="L189" s="59"/>
      <c r="M189" s="59"/>
      <c r="P189" s="216"/>
      <c r="Q189" s="216"/>
      <c r="R189" s="216"/>
      <c r="S189" s="216"/>
      <c r="T189" s="216"/>
      <c r="U189" s="216"/>
      <c r="V189" s="216"/>
      <c r="Y189" s="217"/>
      <c r="AD189" s="201"/>
      <c r="AF189" s="18"/>
      <c r="AO189" s="218"/>
    </row>
    <row r="190" s="52" customFormat="1" ht="25" customHeight="1" spans="1:41">
      <c r="A190" s="59"/>
      <c r="I190" s="200"/>
      <c r="J190" s="200"/>
      <c r="L190" s="59"/>
      <c r="M190" s="59"/>
      <c r="P190" s="216"/>
      <c r="Q190" s="216"/>
      <c r="R190" s="216"/>
      <c r="S190" s="216"/>
      <c r="T190" s="216"/>
      <c r="U190" s="216"/>
      <c r="V190" s="216"/>
      <c r="Y190" s="217"/>
      <c r="AD190" s="201"/>
      <c r="AF190" s="18"/>
      <c r="AO190" s="218"/>
    </row>
    <row r="191" s="52" customFormat="1" ht="25" customHeight="1" spans="1:41">
      <c r="A191" s="59"/>
      <c r="I191" s="200"/>
      <c r="J191" s="200"/>
      <c r="L191" s="59"/>
      <c r="M191" s="59"/>
      <c r="P191" s="216"/>
      <c r="Q191" s="216"/>
      <c r="R191" s="216"/>
      <c r="S191" s="216"/>
      <c r="T191" s="216"/>
      <c r="U191" s="216"/>
      <c r="V191" s="216"/>
      <c r="Y191" s="217"/>
      <c r="AD191" s="201"/>
      <c r="AF191" s="18"/>
      <c r="AO191" s="218"/>
    </row>
    <row r="192" s="52" customFormat="1" ht="25" customHeight="1" spans="1:41">
      <c r="A192" s="59"/>
      <c r="I192" s="200"/>
      <c r="J192" s="200"/>
      <c r="L192" s="59"/>
      <c r="M192" s="59"/>
      <c r="P192" s="216"/>
      <c r="Q192" s="216"/>
      <c r="R192" s="216"/>
      <c r="S192" s="216"/>
      <c r="T192" s="216"/>
      <c r="U192" s="216"/>
      <c r="V192" s="216"/>
      <c r="Y192" s="217"/>
      <c r="AD192" s="201"/>
      <c r="AF192" s="18"/>
      <c r="AO192" s="218"/>
    </row>
    <row r="193" s="52" customFormat="1" ht="25" customHeight="1" spans="1:41">
      <c r="A193" s="59"/>
      <c r="I193" s="200"/>
      <c r="J193" s="200"/>
      <c r="L193" s="59"/>
      <c r="M193" s="59"/>
      <c r="P193" s="216"/>
      <c r="Q193" s="216"/>
      <c r="R193" s="216"/>
      <c r="S193" s="216"/>
      <c r="T193" s="216"/>
      <c r="U193" s="216"/>
      <c r="V193" s="216"/>
      <c r="Y193" s="217"/>
      <c r="AD193" s="201"/>
      <c r="AF193" s="18"/>
      <c r="AO193" s="218"/>
    </row>
    <row r="194" s="52" customFormat="1" ht="25" customHeight="1" spans="1:41">
      <c r="A194" s="59"/>
      <c r="I194" s="200"/>
      <c r="J194" s="200"/>
      <c r="L194" s="59"/>
      <c r="M194" s="59"/>
      <c r="P194" s="216"/>
      <c r="Q194" s="216"/>
      <c r="R194" s="216"/>
      <c r="S194" s="216"/>
      <c r="T194" s="216"/>
      <c r="U194" s="216"/>
      <c r="V194" s="216"/>
      <c r="Y194" s="217"/>
      <c r="AD194" s="201"/>
      <c r="AF194" s="18"/>
      <c r="AO194" s="218"/>
    </row>
    <row r="195" s="52" customFormat="1" ht="25" customHeight="1" spans="1:41">
      <c r="A195" s="59"/>
      <c r="I195" s="200"/>
      <c r="J195" s="200"/>
      <c r="L195" s="59"/>
      <c r="M195" s="59"/>
      <c r="P195" s="216"/>
      <c r="Q195" s="216"/>
      <c r="R195" s="216"/>
      <c r="S195" s="216"/>
      <c r="T195" s="216"/>
      <c r="U195" s="216"/>
      <c r="V195" s="216"/>
      <c r="Y195" s="217"/>
      <c r="AD195" s="201"/>
      <c r="AF195" s="18"/>
      <c r="AO195" s="218"/>
    </row>
    <row r="196" s="52" customFormat="1" ht="25" customHeight="1" spans="1:41">
      <c r="A196" s="59"/>
      <c r="I196" s="200"/>
      <c r="J196" s="200"/>
      <c r="L196" s="59"/>
      <c r="M196" s="59"/>
      <c r="P196" s="216"/>
      <c r="Q196" s="216"/>
      <c r="R196" s="216"/>
      <c r="S196" s="216"/>
      <c r="T196" s="216"/>
      <c r="U196" s="216"/>
      <c r="V196" s="216"/>
      <c r="Y196" s="217"/>
      <c r="AD196" s="201"/>
      <c r="AF196" s="18"/>
      <c r="AO196" s="218"/>
    </row>
    <row r="197" s="52" customFormat="1" ht="25" customHeight="1" spans="1:41">
      <c r="A197" s="59"/>
      <c r="I197" s="200"/>
      <c r="J197" s="200"/>
      <c r="L197" s="59"/>
      <c r="M197" s="59"/>
      <c r="P197" s="216"/>
      <c r="Q197" s="216"/>
      <c r="R197" s="216"/>
      <c r="S197" s="216"/>
      <c r="T197" s="216"/>
      <c r="U197" s="216"/>
      <c r="V197" s="216"/>
      <c r="Y197" s="217"/>
      <c r="AD197" s="201"/>
      <c r="AF197" s="18"/>
      <c r="AO197" s="218"/>
    </row>
    <row r="198" s="52" customFormat="1" ht="25" customHeight="1" spans="1:41">
      <c r="A198" s="59"/>
      <c r="I198" s="200"/>
      <c r="J198" s="200"/>
      <c r="L198" s="59"/>
      <c r="M198" s="59"/>
      <c r="P198" s="216"/>
      <c r="Q198" s="216"/>
      <c r="R198" s="216"/>
      <c r="S198" s="216"/>
      <c r="T198" s="216"/>
      <c r="U198" s="216"/>
      <c r="V198" s="216"/>
      <c r="Y198" s="217"/>
      <c r="AD198" s="201"/>
      <c r="AF198" s="18"/>
      <c r="AO198" s="218"/>
    </row>
    <row r="199" s="52" customFormat="1" ht="25" customHeight="1" spans="1:41">
      <c r="A199" s="59"/>
      <c r="I199" s="200"/>
      <c r="J199" s="200"/>
      <c r="L199" s="59"/>
      <c r="M199" s="59"/>
      <c r="P199" s="216"/>
      <c r="Q199" s="216"/>
      <c r="R199" s="216"/>
      <c r="S199" s="216"/>
      <c r="T199" s="216"/>
      <c r="U199" s="216"/>
      <c r="V199" s="216"/>
      <c r="Y199" s="217"/>
      <c r="AD199" s="201"/>
      <c r="AF199" s="18"/>
      <c r="AO199" s="218"/>
    </row>
    <row r="200" s="52" customFormat="1" ht="25" customHeight="1" spans="1:41">
      <c r="A200" s="59"/>
      <c r="I200" s="200"/>
      <c r="J200" s="200"/>
      <c r="L200" s="59"/>
      <c r="M200" s="59"/>
      <c r="P200" s="216"/>
      <c r="Q200" s="216"/>
      <c r="R200" s="216"/>
      <c r="S200" s="216"/>
      <c r="T200" s="216"/>
      <c r="U200" s="216"/>
      <c r="V200" s="216"/>
      <c r="Y200" s="217"/>
      <c r="AD200" s="201"/>
      <c r="AF200" s="18"/>
      <c r="AO200" s="218"/>
    </row>
    <row r="201" s="52" customFormat="1" ht="25" customHeight="1" spans="1:41">
      <c r="A201" s="59"/>
      <c r="I201" s="200"/>
      <c r="J201" s="200"/>
      <c r="L201" s="59"/>
      <c r="M201" s="59"/>
      <c r="P201" s="216"/>
      <c r="Q201" s="216"/>
      <c r="R201" s="216"/>
      <c r="S201" s="216"/>
      <c r="T201" s="216"/>
      <c r="U201" s="216"/>
      <c r="V201" s="216"/>
      <c r="Y201" s="217"/>
      <c r="AD201" s="201"/>
      <c r="AF201" s="18"/>
      <c r="AO201" s="218"/>
    </row>
    <row r="202" s="52" customFormat="1" ht="25" customHeight="1" spans="1:41">
      <c r="A202" s="59"/>
      <c r="I202" s="200"/>
      <c r="J202" s="200"/>
      <c r="L202" s="59"/>
      <c r="M202" s="59"/>
      <c r="P202" s="216"/>
      <c r="Q202" s="216"/>
      <c r="R202" s="216"/>
      <c r="S202" s="216"/>
      <c r="T202" s="216"/>
      <c r="U202" s="216"/>
      <c r="V202" s="216"/>
      <c r="Y202" s="217"/>
      <c r="AD202" s="201"/>
      <c r="AF202" s="18"/>
      <c r="AO202" s="218"/>
    </row>
    <row r="203" ht="25" customHeight="1"/>
    <row r="204" ht="25" customHeight="1"/>
    <row r="205" ht="25" customHeight="1"/>
    <row r="206" ht="25" customHeight="1"/>
    <row r="207" ht="25" customHeight="1"/>
    <row r="208" ht="25" customHeight="1"/>
    <row r="209" ht="25" customHeight="1"/>
    <row r="210" ht="25" customHeight="1"/>
    <row r="211" ht="25" customHeight="1"/>
    <row r="212" ht="25" customHeight="1"/>
    <row r="213" ht="25" customHeight="1"/>
    <row r="214" ht="25" customHeight="1"/>
    <row r="215" ht="25" customHeight="1"/>
    <row r="216" ht="25" customHeight="1"/>
    <row r="217" ht="25" customHeight="1"/>
    <row r="218" ht="25" customHeight="1"/>
    <row r="219" ht="25" customHeight="1"/>
    <row r="220" ht="25" customHeight="1"/>
    <row r="221" ht="25" customHeight="1"/>
    <row r="222" ht="25" customHeight="1"/>
    <row r="223" ht="25" customHeight="1"/>
    <row r="224" ht="25" customHeight="1"/>
    <row r="225" ht="25" customHeight="1"/>
    <row r="226" ht="25" customHeight="1"/>
    <row r="227" ht="25" customHeight="1"/>
    <row r="228" ht="25" customHeight="1"/>
    <row r="229" ht="25" customHeight="1"/>
    <row r="230" ht="25" customHeight="1"/>
    <row r="231" ht="25" customHeight="1"/>
    <row r="232" ht="25" customHeight="1"/>
    <row r="233" ht="25" customHeight="1"/>
    <row r="234" ht="25" customHeight="1"/>
    <row r="235" ht="25" customHeight="1"/>
    <row r="236" ht="25" customHeight="1"/>
    <row r="237" ht="25" customHeight="1"/>
    <row r="238" ht="25" customHeight="1"/>
    <row r="239" ht="25" customHeight="1"/>
    <row r="240" ht="25" customHeight="1"/>
    <row r="241" ht="25" customHeight="1"/>
    <row r="242" ht="25" customHeight="1"/>
    <row r="243" ht="25" customHeight="1"/>
    <row r="244" ht="25" customHeight="1"/>
    <row r="245" ht="25" customHeight="1"/>
    <row r="246" ht="25" customHeight="1"/>
    <row r="247" ht="25" customHeight="1"/>
    <row r="248" ht="25" customHeight="1"/>
    <row r="249" ht="25" customHeight="1"/>
    <row r="250" ht="25" customHeight="1"/>
    <row r="251" ht="25" customHeight="1"/>
    <row r="252" ht="25" customHeight="1"/>
    <row r="253" ht="25" customHeight="1"/>
    <row r="254" ht="25" customHeight="1"/>
    <row r="255" ht="25" customHeight="1"/>
    <row r="256" ht="25" customHeight="1"/>
    <row r="257" ht="25" customHeight="1"/>
    <row r="258" ht="25" customHeight="1"/>
    <row r="259" ht="25" customHeight="1"/>
    <row r="260" ht="25" customHeight="1"/>
    <row r="261" ht="25" customHeight="1"/>
    <row r="262" ht="25" customHeight="1"/>
    <row r="263" ht="25" customHeight="1"/>
    <row r="264" ht="25" customHeight="1"/>
    <row r="265" ht="25" customHeight="1"/>
    <row r="266" ht="25" customHeight="1"/>
    <row r="267" ht="25" customHeight="1"/>
    <row r="268" ht="25" customHeight="1"/>
    <row r="269" ht="25" customHeight="1"/>
    <row r="270" ht="25" customHeight="1"/>
    <row r="271" ht="25" customHeight="1"/>
    <row r="272" ht="25" customHeight="1"/>
    <row r="273" ht="25" customHeight="1"/>
    <row r="274" ht="25" customHeight="1"/>
    <row r="275" ht="25" customHeight="1"/>
    <row r="276" ht="25" customHeight="1"/>
    <row r="277" ht="25" customHeight="1"/>
    <row r="278" ht="25" customHeight="1"/>
    <row r="279" ht="25" customHeight="1"/>
    <row r="280" ht="25" customHeight="1"/>
    <row r="281" ht="25" customHeight="1"/>
    <row r="282" ht="25" customHeight="1"/>
    <row r="283" ht="25" customHeight="1"/>
    <row r="284" ht="25" customHeight="1"/>
    <row r="285" ht="25" customHeight="1"/>
    <row r="286" ht="25" customHeight="1"/>
    <row r="287" ht="25" customHeight="1"/>
    <row r="288" ht="25" customHeight="1"/>
    <row r="289" ht="25" customHeight="1"/>
    <row r="290" ht="25" customHeight="1"/>
    <row r="291" ht="25" customHeight="1"/>
    <row r="292" ht="25" customHeight="1"/>
    <row r="293" ht="25" customHeight="1"/>
    <row r="294" ht="25" customHeight="1"/>
    <row r="295" ht="25" customHeight="1"/>
    <row r="296" ht="25" customHeight="1"/>
    <row r="297" ht="25" customHeight="1"/>
    <row r="298" ht="25" customHeight="1"/>
    <row r="299" ht="25" customHeight="1"/>
    <row r="300" ht="25" customHeight="1"/>
    <row r="301" ht="25" customHeight="1"/>
    <row r="302" ht="25" customHeight="1"/>
    <row r="303" ht="25" customHeight="1"/>
    <row r="304" ht="25" customHeight="1"/>
    <row r="305" ht="25" customHeight="1"/>
    <row r="306" ht="25" customHeight="1"/>
    <row r="307" ht="25" customHeight="1"/>
    <row r="308" ht="25" customHeight="1"/>
    <row r="309" ht="25" customHeight="1"/>
    <row r="310" ht="25" customHeight="1"/>
    <row r="311" ht="25" customHeight="1"/>
    <row r="312" ht="25" customHeight="1"/>
    <row r="313" ht="25" customHeight="1"/>
    <row r="314" ht="25" customHeight="1"/>
    <row r="315" ht="25" customHeight="1"/>
    <row r="316" ht="25" customHeight="1"/>
    <row r="317" ht="25" customHeight="1"/>
    <row r="318" ht="25" customHeight="1"/>
    <row r="319" ht="25" customHeight="1"/>
    <row r="320" ht="25" customHeight="1"/>
    <row r="321" ht="25" customHeight="1"/>
    <row r="322" ht="25" customHeight="1"/>
    <row r="323" ht="25" customHeight="1"/>
    <row r="324" ht="25" customHeight="1"/>
    <row r="325" ht="25" customHeight="1"/>
    <row r="326" ht="25" customHeight="1"/>
    <row r="327" ht="25" customHeight="1"/>
    <row r="328" ht="25" customHeight="1"/>
    <row r="329" ht="25" customHeight="1"/>
    <row r="330" ht="25" customHeight="1"/>
    <row r="331" ht="25" customHeight="1"/>
    <row r="332" ht="25" customHeight="1"/>
    <row r="333" ht="25" customHeight="1"/>
    <row r="334" ht="25" customHeight="1"/>
    <row r="335" ht="25" customHeight="1"/>
    <row r="336" ht="25" customHeight="1"/>
    <row r="337" ht="25" customHeight="1"/>
    <row r="338" ht="25" customHeight="1"/>
    <row r="339" ht="25" customHeight="1"/>
    <row r="340" ht="25" customHeight="1"/>
    <row r="341" ht="25" customHeight="1"/>
    <row r="342" ht="25" customHeight="1"/>
    <row r="343" ht="25" customHeight="1"/>
    <row r="344" ht="25" customHeight="1"/>
    <row r="345" ht="25" customHeight="1"/>
    <row r="346" ht="25" customHeight="1"/>
    <row r="347" ht="25" customHeight="1"/>
    <row r="348" ht="25" customHeight="1"/>
    <row r="349" ht="25" customHeight="1"/>
    <row r="350" ht="25" customHeight="1"/>
    <row r="351" ht="25" customHeight="1"/>
    <row r="352" ht="25" customHeight="1"/>
    <row r="353" ht="25" customHeight="1"/>
    <row r="354" ht="25" customHeight="1"/>
    <row r="355" ht="25" customHeight="1"/>
    <row r="356" ht="25" customHeight="1"/>
    <row r="357" ht="25" customHeight="1"/>
    <row r="358" ht="25" customHeight="1"/>
    <row r="359" ht="25" customHeight="1"/>
    <row r="360" ht="25" customHeight="1"/>
    <row r="361" ht="25" customHeight="1"/>
    <row r="362" ht="25" customHeight="1"/>
    <row r="363" ht="25" customHeight="1"/>
    <row r="364" ht="25" customHeight="1"/>
    <row r="365" ht="25" customHeight="1"/>
    <row r="366" ht="25" customHeight="1"/>
    <row r="367" ht="25" customHeight="1"/>
    <row r="368" ht="25" customHeight="1"/>
    <row r="369" ht="25" customHeight="1"/>
    <row r="370" ht="25" customHeight="1"/>
    <row r="371" ht="25" customHeight="1"/>
    <row r="372" ht="25" customHeight="1"/>
    <row r="373" ht="25" customHeight="1"/>
    <row r="374" ht="25" customHeight="1"/>
    <row r="375" ht="25" customHeight="1"/>
    <row r="376" ht="25" customHeight="1"/>
    <row r="377" ht="25" customHeight="1"/>
    <row r="378" ht="25" customHeight="1"/>
    <row r="379" ht="25" customHeight="1"/>
    <row r="380" ht="25" customHeight="1"/>
    <row r="381" ht="25" customHeight="1"/>
    <row r="382" ht="25" customHeight="1"/>
    <row r="383" ht="25" customHeight="1"/>
    <row r="384" ht="25" customHeight="1"/>
    <row r="385" ht="25" customHeight="1"/>
    <row r="386" ht="25" customHeight="1"/>
    <row r="387" ht="25" customHeight="1"/>
    <row r="388" ht="25" customHeight="1"/>
    <row r="389" ht="25" customHeight="1"/>
    <row r="390" ht="25" customHeight="1"/>
    <row r="391" ht="25" customHeight="1"/>
    <row r="392" ht="25" customHeight="1"/>
    <row r="393" ht="25" customHeight="1"/>
    <row r="394" ht="25" customHeight="1"/>
    <row r="395" ht="25" customHeight="1"/>
    <row r="396" ht="25" customHeight="1"/>
    <row r="397" ht="25" customHeight="1"/>
    <row r="398" ht="25" customHeight="1"/>
    <row r="399" ht="25" customHeight="1"/>
    <row r="400" ht="25" customHeight="1"/>
    <row r="401" ht="25" customHeight="1"/>
    <row r="402" ht="25" customHeight="1"/>
    <row r="403" ht="25" customHeight="1"/>
    <row r="404" ht="25" customHeight="1"/>
    <row r="405" ht="25" customHeight="1"/>
    <row r="406" ht="25" customHeight="1"/>
    <row r="407" ht="25" customHeight="1"/>
    <row r="408" ht="25" customHeight="1"/>
    <row r="409" ht="25" customHeight="1"/>
    <row r="410" ht="25" customHeight="1"/>
    <row r="411" ht="25" customHeight="1"/>
    <row r="412" ht="25" customHeight="1"/>
    <row r="413" ht="25" customHeight="1"/>
    <row r="414" ht="25" customHeight="1"/>
    <row r="415" ht="25" customHeight="1"/>
    <row r="416" ht="25" customHeight="1"/>
    <row r="417" ht="25" customHeight="1"/>
    <row r="418" ht="25" customHeight="1"/>
    <row r="419" ht="25" customHeight="1"/>
    <row r="420" ht="25" customHeight="1"/>
    <row r="421" ht="25" customHeight="1"/>
    <row r="422" ht="25" customHeight="1"/>
    <row r="423" ht="25" customHeight="1"/>
    <row r="424" ht="25" customHeight="1"/>
    <row r="425" ht="25" customHeight="1"/>
    <row r="426" ht="25" customHeight="1"/>
    <row r="427" ht="25" customHeight="1"/>
    <row r="428" ht="25" customHeight="1"/>
    <row r="429" ht="25" customHeight="1"/>
    <row r="430" ht="25" customHeight="1"/>
    <row r="431" ht="25" customHeight="1"/>
    <row r="432" ht="25" customHeight="1"/>
    <row r="433" ht="25" customHeight="1"/>
    <row r="434" ht="25" customHeight="1"/>
    <row r="435" ht="25" customHeight="1"/>
    <row r="436" ht="25" customHeight="1"/>
    <row r="437" ht="25" customHeight="1"/>
    <row r="438" ht="25" customHeight="1"/>
    <row r="439" ht="25" customHeight="1"/>
    <row r="440" ht="25" customHeight="1"/>
    <row r="441" ht="25" customHeight="1"/>
    <row r="442" ht="25" customHeight="1"/>
    <row r="443" ht="25" customHeight="1"/>
    <row r="444" ht="25" customHeight="1"/>
    <row r="445" ht="25" customHeight="1"/>
    <row r="446" ht="25" customHeight="1"/>
    <row r="447" ht="25" customHeight="1"/>
    <row r="448" ht="25" customHeight="1"/>
    <row r="449" ht="25" customHeight="1"/>
    <row r="450" ht="25" customHeight="1"/>
    <row r="451" ht="25" customHeight="1"/>
    <row r="452" ht="25" customHeight="1"/>
    <row r="453" ht="25" customHeight="1"/>
    <row r="454" ht="25" customHeight="1"/>
    <row r="455" ht="25" customHeight="1"/>
    <row r="456" ht="25" customHeight="1"/>
    <row r="457" ht="25" customHeight="1"/>
    <row r="458" ht="25" customHeight="1"/>
    <row r="459" ht="25" customHeight="1"/>
    <row r="460" ht="25" customHeight="1"/>
    <row r="461" ht="25" customHeight="1"/>
    <row r="462" ht="25" customHeight="1"/>
    <row r="463" ht="25" customHeight="1"/>
    <row r="464" ht="25" customHeight="1"/>
    <row r="465" ht="25" customHeight="1"/>
    <row r="466" ht="25" customHeight="1"/>
    <row r="467" ht="25" customHeight="1"/>
    <row r="468" ht="25" customHeight="1"/>
    <row r="469" ht="25" customHeight="1"/>
    <row r="470" ht="25" customHeight="1"/>
    <row r="471" ht="25" customHeight="1"/>
    <row r="472" ht="25" customHeight="1"/>
  </sheetData>
  <sheetProtection formatCells="0" formatColumns="0" formatRows="0" insertRows="0" insertColumns="0" insertHyperlinks="0" deleteColumns="0" deleteRows="0" sort="0" autoFilter="0" pivotTables="0"/>
  <autoFilter xmlns:etc="http://www.wps.cn/officeDocument/2017/etCustomData" ref="A1:AQ135" etc:filterBottomFollowUsedRange="0">
    <sortState ref="A1:AQ135">
      <sortCondition ref="AO1"/>
    </sortState>
    <extLst/>
  </autoFilter>
  <conditionalFormatting sqref="R2">
    <cfRule type="containsText" dxfId="0" priority="512" operator="between" text="/">
      <formula>NOT(ISERROR(SEARCH("/",R2)))</formula>
    </cfRule>
  </conditionalFormatting>
  <conditionalFormatting sqref="S2">
    <cfRule type="containsText" dxfId="0" priority="511" operator="between" text="未确认/">
      <formula>NOT(ISERROR(SEARCH("未确认/",S2)))</formula>
    </cfRule>
    <cfRule type="containsText" dxfId="0" priority="510" operator="between" text="未确认//">
      <formula>NOT(ISERROR(SEARCH("未确认//",S2)))</formula>
    </cfRule>
    <cfRule type="containsText" dxfId="0" priority="509" operator="between" text="/">
      <formula>NOT(ISERROR(SEARCH("/",S2)))</formula>
    </cfRule>
    <cfRule type="containsText" dxfId="0" priority="508" operator="between" text="未确认">
      <formula>NOT(ISERROR(SEARCH("未确认",S2)))</formula>
    </cfRule>
  </conditionalFormatting>
  <conditionalFormatting sqref="R3">
    <cfRule type="containsText" dxfId="0" priority="504" operator="between" text="/">
      <formula>NOT(ISERROR(SEARCH("/",R3)))</formula>
    </cfRule>
  </conditionalFormatting>
  <conditionalFormatting sqref="S3">
    <cfRule type="containsText" dxfId="0" priority="501" operator="between" text="未确认/">
      <formula>NOT(ISERROR(SEARCH("未确认/",S3)))</formula>
    </cfRule>
    <cfRule type="containsText" dxfId="0" priority="498" operator="between" text="未确认//">
      <formula>NOT(ISERROR(SEARCH("未确认//",S3)))</formula>
    </cfRule>
    <cfRule type="containsText" dxfId="0" priority="495" operator="between" text="/">
      <formula>NOT(ISERROR(SEARCH("/",S3)))</formula>
    </cfRule>
    <cfRule type="containsText" dxfId="0" priority="492" operator="between" text="未确认">
      <formula>NOT(ISERROR(SEARCH("未确认",S3)))</formula>
    </cfRule>
  </conditionalFormatting>
  <conditionalFormatting sqref="R4">
    <cfRule type="containsText" dxfId="0" priority="503" operator="between" text="/">
      <formula>NOT(ISERROR(SEARCH("/",R4)))</formula>
    </cfRule>
  </conditionalFormatting>
  <conditionalFormatting sqref="S4">
    <cfRule type="containsText" dxfId="0" priority="500" operator="between" text="未确认/">
      <formula>NOT(ISERROR(SEARCH("未确认/",S4)))</formula>
    </cfRule>
    <cfRule type="containsText" dxfId="0" priority="497" operator="between" text="未确认//">
      <formula>NOT(ISERROR(SEARCH("未确认//",S4)))</formula>
    </cfRule>
    <cfRule type="containsText" dxfId="0" priority="494" operator="between" text="/">
      <formula>NOT(ISERROR(SEARCH("/",S4)))</formula>
    </cfRule>
    <cfRule type="containsText" dxfId="0" priority="491" operator="between" text="未确认">
      <formula>NOT(ISERROR(SEARCH("未确认",S4)))</formula>
    </cfRule>
  </conditionalFormatting>
  <conditionalFormatting sqref="R5">
    <cfRule type="containsText" dxfId="0" priority="502" operator="between" text="/">
      <formula>NOT(ISERROR(SEARCH("/",R5)))</formula>
    </cfRule>
  </conditionalFormatting>
  <conditionalFormatting sqref="S5">
    <cfRule type="containsText" dxfId="0" priority="490" operator="between" text="未确认">
      <formula>NOT(ISERROR(SEARCH("未确认",S5)))</formula>
    </cfRule>
    <cfRule type="containsText" dxfId="0" priority="493" operator="between" text="/">
      <formula>NOT(ISERROR(SEARCH("/",S5)))</formula>
    </cfRule>
    <cfRule type="containsText" dxfId="0" priority="496" operator="between" text="未确认//">
      <formula>NOT(ISERROR(SEARCH("未确认//",S5)))</formula>
    </cfRule>
    <cfRule type="containsText" dxfId="0" priority="499" operator="between" text="未确认/">
      <formula>NOT(ISERROR(SEARCH("未确认/",S5)))</formula>
    </cfRule>
  </conditionalFormatting>
  <conditionalFormatting sqref="R10">
    <cfRule type="containsText" dxfId="0" priority="481" operator="between" text="/">
      <formula>NOT(ISERROR(SEARCH("/",R10)))</formula>
    </cfRule>
  </conditionalFormatting>
  <conditionalFormatting sqref="S10">
    <cfRule type="containsText" dxfId="0" priority="472" operator="between" text="/">
      <formula>NOT(ISERROR(SEARCH("/",S10)))</formula>
    </cfRule>
  </conditionalFormatting>
  <conditionalFormatting sqref="U10">
    <cfRule type="containsText" dxfId="0" priority="478" operator="between" text="否">
      <formula>NOT(ISERROR(SEARCH("否",U10)))</formula>
    </cfRule>
    <cfRule type="containsText" dxfId="0" priority="475" operator="between" text="欠">
      <formula>NOT(ISERROR(SEARCH("欠",U10)))</formula>
    </cfRule>
  </conditionalFormatting>
  <conditionalFormatting sqref="R11">
    <cfRule type="containsText" dxfId="0" priority="480" operator="between" text="/">
      <formula>NOT(ISERROR(SEARCH("/",R11)))</formula>
    </cfRule>
  </conditionalFormatting>
  <conditionalFormatting sqref="S11">
    <cfRule type="containsText" dxfId="0" priority="471" operator="between" text="/">
      <formula>NOT(ISERROR(SEARCH("/",S11)))</formula>
    </cfRule>
  </conditionalFormatting>
  <conditionalFormatting sqref="U11">
    <cfRule type="containsText" dxfId="0" priority="477" operator="between" text="否">
      <formula>NOT(ISERROR(SEARCH("否",U11)))</formula>
    </cfRule>
    <cfRule type="containsText" dxfId="0" priority="474" operator="between" text="欠">
      <formula>NOT(ISERROR(SEARCH("欠",U11)))</formula>
    </cfRule>
  </conditionalFormatting>
  <conditionalFormatting sqref="R12">
    <cfRule type="containsText" dxfId="0" priority="479" operator="between" text="/">
      <formula>NOT(ISERROR(SEARCH("/",R12)))</formula>
    </cfRule>
  </conditionalFormatting>
  <conditionalFormatting sqref="S12">
    <cfRule type="containsText" dxfId="0" priority="470" operator="between" text="/">
      <formula>NOT(ISERROR(SEARCH("/",S12)))</formula>
    </cfRule>
  </conditionalFormatting>
  <conditionalFormatting sqref="U12">
    <cfRule type="containsText" dxfId="0" priority="473" operator="between" text="欠">
      <formula>NOT(ISERROR(SEARCH("欠",U12)))</formula>
    </cfRule>
    <cfRule type="containsText" dxfId="0" priority="476" operator="between" text="否">
      <formula>NOT(ISERROR(SEARCH("否",U12)))</formula>
    </cfRule>
  </conditionalFormatting>
  <conditionalFormatting sqref="R13">
    <cfRule type="containsText" dxfId="0" priority="455" operator="between" text="/">
      <formula>NOT(ISERROR(SEARCH("/",R13)))</formula>
    </cfRule>
  </conditionalFormatting>
  <conditionalFormatting sqref="S13">
    <cfRule type="containsText" dxfId="0" priority="431" operator="between" text="/">
      <formula>NOT(ISERROR(SEARCH("/",S13)))</formula>
    </cfRule>
  </conditionalFormatting>
  <conditionalFormatting sqref="U13">
    <cfRule type="containsText" dxfId="0" priority="447" operator="between" text="否">
      <formula>NOT(ISERROR(SEARCH("否",U13)))</formula>
    </cfRule>
    <cfRule type="containsText" dxfId="0" priority="439" operator="between" text="欠">
      <formula>NOT(ISERROR(SEARCH("欠",U13)))</formula>
    </cfRule>
  </conditionalFormatting>
  <conditionalFormatting sqref="R14">
    <cfRule type="containsText" dxfId="0" priority="454" operator="between" text="/">
      <formula>NOT(ISERROR(SEARCH("/",R14)))</formula>
    </cfRule>
  </conditionalFormatting>
  <conditionalFormatting sqref="S14">
    <cfRule type="containsText" dxfId="0" priority="430" operator="between" text="/">
      <formula>NOT(ISERROR(SEARCH("/",S14)))</formula>
    </cfRule>
  </conditionalFormatting>
  <conditionalFormatting sqref="U14">
    <cfRule type="containsText" dxfId="0" priority="446" operator="between" text="否">
      <formula>NOT(ISERROR(SEARCH("否",U14)))</formula>
    </cfRule>
    <cfRule type="containsText" dxfId="0" priority="438" operator="between" text="欠">
      <formula>NOT(ISERROR(SEARCH("欠",U14)))</formula>
    </cfRule>
  </conditionalFormatting>
  <conditionalFormatting sqref="R15">
    <cfRule type="containsText" dxfId="0" priority="453" operator="between" text="/">
      <formula>NOT(ISERROR(SEARCH("/",R15)))</formula>
    </cfRule>
  </conditionalFormatting>
  <conditionalFormatting sqref="S15">
    <cfRule type="containsText" dxfId="0" priority="429" operator="between" text="/">
      <formula>NOT(ISERROR(SEARCH("/",S15)))</formula>
    </cfRule>
  </conditionalFormatting>
  <conditionalFormatting sqref="U15">
    <cfRule type="containsText" dxfId="0" priority="445" operator="between" text="否">
      <formula>NOT(ISERROR(SEARCH("否",U15)))</formula>
    </cfRule>
    <cfRule type="containsText" dxfId="0" priority="437" operator="between" text="欠">
      <formula>NOT(ISERROR(SEARCH("欠",U15)))</formula>
    </cfRule>
  </conditionalFormatting>
  <conditionalFormatting sqref="R16">
    <cfRule type="containsText" dxfId="0" priority="452" operator="between" text="/">
      <formula>NOT(ISERROR(SEARCH("/",R16)))</formula>
    </cfRule>
  </conditionalFormatting>
  <conditionalFormatting sqref="S16">
    <cfRule type="containsText" dxfId="0" priority="428" operator="between" text="/">
      <formula>NOT(ISERROR(SEARCH("/",S16)))</formula>
    </cfRule>
  </conditionalFormatting>
  <conditionalFormatting sqref="U16">
    <cfRule type="containsText" dxfId="0" priority="444" operator="between" text="否">
      <formula>NOT(ISERROR(SEARCH("否",U16)))</formula>
    </cfRule>
    <cfRule type="containsText" dxfId="0" priority="436" operator="between" text="欠">
      <formula>NOT(ISERROR(SEARCH("欠",U16)))</formula>
    </cfRule>
  </conditionalFormatting>
  <conditionalFormatting sqref="R17">
    <cfRule type="containsText" dxfId="0" priority="451" operator="between" text="/">
      <formula>NOT(ISERROR(SEARCH("/",R17)))</formula>
    </cfRule>
  </conditionalFormatting>
  <conditionalFormatting sqref="S17">
    <cfRule type="containsText" dxfId="0" priority="427" operator="between" text="/">
      <formula>NOT(ISERROR(SEARCH("/",S17)))</formula>
    </cfRule>
  </conditionalFormatting>
  <conditionalFormatting sqref="U17">
    <cfRule type="containsText" dxfId="0" priority="443" operator="between" text="否">
      <formula>NOT(ISERROR(SEARCH("否",U17)))</formula>
    </cfRule>
    <cfRule type="containsText" dxfId="0" priority="435" operator="between" text="欠">
      <formula>NOT(ISERROR(SEARCH("欠",U17)))</formula>
    </cfRule>
  </conditionalFormatting>
  <conditionalFormatting sqref="R18">
    <cfRule type="containsText" dxfId="0" priority="450" operator="between" text="/">
      <formula>NOT(ISERROR(SEARCH("/",R18)))</formula>
    </cfRule>
  </conditionalFormatting>
  <conditionalFormatting sqref="S18">
    <cfRule type="containsText" dxfId="0" priority="426" operator="between" text="/">
      <formula>NOT(ISERROR(SEARCH("/",S18)))</formula>
    </cfRule>
  </conditionalFormatting>
  <conditionalFormatting sqref="U18">
    <cfRule type="containsText" dxfId="0" priority="442" operator="between" text="否">
      <formula>NOT(ISERROR(SEARCH("否",U18)))</formula>
    </cfRule>
    <cfRule type="containsText" dxfId="0" priority="434" operator="between" text="欠">
      <formula>NOT(ISERROR(SEARCH("欠",U18)))</formula>
    </cfRule>
  </conditionalFormatting>
  <conditionalFormatting sqref="R19">
    <cfRule type="containsText" dxfId="0" priority="449" operator="between" text="/">
      <formula>NOT(ISERROR(SEARCH("/",R19)))</formula>
    </cfRule>
  </conditionalFormatting>
  <conditionalFormatting sqref="S19">
    <cfRule type="containsText" dxfId="0" priority="425" operator="between" text="/">
      <formula>NOT(ISERROR(SEARCH("/",S19)))</formula>
    </cfRule>
  </conditionalFormatting>
  <conditionalFormatting sqref="U19">
    <cfRule type="containsText" dxfId="0" priority="441" operator="between" text="否">
      <formula>NOT(ISERROR(SEARCH("否",U19)))</formula>
    </cfRule>
    <cfRule type="containsText" dxfId="0" priority="433" operator="between" text="欠">
      <formula>NOT(ISERROR(SEARCH("欠",U19)))</formula>
    </cfRule>
  </conditionalFormatting>
  <conditionalFormatting sqref="R20">
    <cfRule type="containsText" dxfId="0" priority="448" operator="between" text="/">
      <formula>NOT(ISERROR(SEARCH("/",R20)))</formula>
    </cfRule>
  </conditionalFormatting>
  <conditionalFormatting sqref="S20">
    <cfRule type="containsText" dxfId="0" priority="424" operator="between" text="/">
      <formula>NOT(ISERROR(SEARCH("/",S20)))</formula>
    </cfRule>
  </conditionalFormatting>
  <conditionalFormatting sqref="U20">
    <cfRule type="containsText" dxfId="0" priority="440" operator="between" text="否">
      <formula>NOT(ISERROR(SEARCH("否",U20)))</formula>
    </cfRule>
    <cfRule type="containsText" dxfId="0" priority="432" operator="between" text="欠">
      <formula>NOT(ISERROR(SEARCH("欠",U20)))</formula>
    </cfRule>
  </conditionalFormatting>
  <conditionalFormatting sqref="R21">
    <cfRule type="containsText" dxfId="0" priority="416" operator="between" text="/">
      <formula>NOT(ISERROR(SEARCH("/",R21)))</formula>
    </cfRule>
  </conditionalFormatting>
  <conditionalFormatting sqref="S21">
    <cfRule type="containsText" dxfId="0" priority="413" operator="between" text="/">
      <formula>NOT(ISERROR(SEARCH("/",S21)))</formula>
    </cfRule>
  </conditionalFormatting>
  <conditionalFormatting sqref="U21">
    <cfRule type="containsText" dxfId="0" priority="414" operator="between" text="欠">
      <formula>NOT(ISERROR(SEARCH("欠",U21)))</formula>
    </cfRule>
    <cfRule type="containsText" dxfId="0" priority="415" operator="between" text="否">
      <formula>NOT(ISERROR(SEARCH("否",U21)))</formula>
    </cfRule>
  </conditionalFormatting>
  <conditionalFormatting sqref="T22">
    <cfRule type="containsText" dxfId="0" priority="409" operator="between" text="未提供">
      <formula>NOT(ISERROR(SEARCH("未提供",T22)))</formula>
    </cfRule>
  </conditionalFormatting>
  <conditionalFormatting sqref="T23">
    <cfRule type="containsText" dxfId="0" priority="408" operator="between" text="未提供">
      <formula>NOT(ISERROR(SEARCH("未提供",T23)))</formula>
    </cfRule>
  </conditionalFormatting>
  <conditionalFormatting sqref="R24">
    <cfRule type="containsText" dxfId="0" priority="398" operator="between" text="未提供">
      <formula>NOT(ISERROR(SEARCH("未提供",R24)))</formula>
    </cfRule>
  </conditionalFormatting>
  <conditionalFormatting sqref="R25">
    <cfRule type="containsText" dxfId="0" priority="397" operator="between" text="未提供">
      <formula>NOT(ISERROR(SEARCH("未提供",R25)))</formula>
    </cfRule>
  </conditionalFormatting>
  <conditionalFormatting sqref="R26">
    <cfRule type="containsText" dxfId="0" priority="395" operator="between" text="/">
      <formula>NOT(ISERROR(SEARCH("/",R26)))</formula>
    </cfRule>
  </conditionalFormatting>
  <conditionalFormatting sqref="S26">
    <cfRule type="containsText" dxfId="0" priority="391" operator="between" text="未确认">
      <formula>NOT(ISERROR(SEARCH("未确认",S26)))</formula>
    </cfRule>
    <cfRule type="containsText" dxfId="0" priority="392" operator="between" text="/">
      <formula>NOT(ISERROR(SEARCH("/",S26)))</formula>
    </cfRule>
    <cfRule type="containsText" dxfId="0" priority="393" operator="between" text="未确认//">
      <formula>NOT(ISERROR(SEARCH("未确认//",S26)))</formula>
    </cfRule>
    <cfRule type="containsText" dxfId="0" priority="394" operator="between" text="未确认/">
      <formula>NOT(ISERROR(SEARCH("未确认/",S26)))</formula>
    </cfRule>
  </conditionalFormatting>
  <conditionalFormatting sqref="U26">
    <cfRule type="containsText" dxfId="0" priority="389" operator="between" text="欠">
      <formula>NOT(ISERROR(SEARCH("欠",U26)))</formula>
    </cfRule>
    <cfRule type="containsText" dxfId="0" priority="390" operator="between" text="否">
      <formula>NOT(ISERROR(SEARCH("否",U26)))</formula>
    </cfRule>
  </conditionalFormatting>
  <conditionalFormatting sqref="R27">
    <cfRule type="containsText" dxfId="0" priority="387" operator="between" text="/">
      <formula>NOT(ISERROR(SEARCH("/",R27)))</formula>
    </cfRule>
  </conditionalFormatting>
  <conditionalFormatting sqref="S27">
    <cfRule type="containsText" dxfId="0" priority="383" operator="between" text="未确认">
      <formula>NOT(ISERROR(SEARCH("未确认",S27)))</formula>
    </cfRule>
    <cfRule type="containsText" dxfId="0" priority="384" operator="between" text="/">
      <formula>NOT(ISERROR(SEARCH("/",S27)))</formula>
    </cfRule>
    <cfRule type="containsText" dxfId="0" priority="385" operator="between" text="未确认//">
      <formula>NOT(ISERROR(SEARCH("未确认//",S27)))</formula>
    </cfRule>
    <cfRule type="containsText" dxfId="0" priority="386" operator="between" text="未确认/">
      <formula>NOT(ISERROR(SEARCH("未确认/",S27)))</formula>
    </cfRule>
  </conditionalFormatting>
  <conditionalFormatting sqref="U27">
    <cfRule type="containsText" dxfId="0" priority="381" operator="between" text="欠">
      <formula>NOT(ISERROR(SEARCH("欠",U27)))</formula>
    </cfRule>
    <cfRule type="containsText" dxfId="0" priority="382" operator="between" text="否">
      <formula>NOT(ISERROR(SEARCH("否",U27)))</formula>
    </cfRule>
  </conditionalFormatting>
  <conditionalFormatting sqref="R30">
    <cfRule type="containsText" dxfId="0" priority="371" operator="between" text="/">
      <formula>NOT(ISERROR(SEARCH("/",R30)))</formula>
    </cfRule>
  </conditionalFormatting>
  <conditionalFormatting sqref="S30">
    <cfRule type="containsText" dxfId="0" priority="367" operator="between" text="未确认">
      <formula>NOT(ISERROR(SEARCH("未确认",S30)))</formula>
    </cfRule>
    <cfRule type="containsText" dxfId="0" priority="368" operator="between" text="/">
      <formula>NOT(ISERROR(SEARCH("/",S30)))</formula>
    </cfRule>
    <cfRule type="containsText" dxfId="0" priority="369" operator="between" text="未确认//">
      <formula>NOT(ISERROR(SEARCH("未确认//",S30)))</formula>
    </cfRule>
    <cfRule type="containsText" dxfId="0" priority="370" operator="between" text="未确认/">
      <formula>NOT(ISERROR(SEARCH("未确认/",S30)))</formula>
    </cfRule>
  </conditionalFormatting>
  <conditionalFormatting sqref="U30">
    <cfRule type="containsText" dxfId="0" priority="365" operator="between" text="欠">
      <formula>NOT(ISERROR(SEARCH("欠",U30)))</formula>
    </cfRule>
    <cfRule type="containsText" dxfId="0" priority="366" operator="between" text="否">
      <formula>NOT(ISERROR(SEARCH("否",U30)))</formula>
    </cfRule>
  </conditionalFormatting>
  <conditionalFormatting sqref="Q34">
    <cfRule type="containsText" dxfId="0" priority="355" operator="between" text="未提供">
      <formula>NOT(ISERROR(SEARCH("未提供",Q34)))</formula>
    </cfRule>
  </conditionalFormatting>
  <conditionalFormatting sqref="S34">
    <cfRule type="containsText" dxfId="0" priority="353" operator="between" text="未确认/">
      <formula>NOT(ISERROR(SEARCH("未确认/",S34)))</formula>
    </cfRule>
    <cfRule type="containsText" dxfId="0" priority="352" operator="between" text="未确认//">
      <formula>NOT(ISERROR(SEARCH("未确认//",S34)))</formula>
    </cfRule>
    <cfRule type="containsText" dxfId="0" priority="351" operator="between" text="/">
      <formula>NOT(ISERROR(SEARCH("/",S34)))</formula>
    </cfRule>
    <cfRule type="containsText" dxfId="0" priority="350" operator="between" text="未确认">
      <formula>NOT(ISERROR(SEARCH("未确认",S34)))</formula>
    </cfRule>
  </conditionalFormatting>
  <conditionalFormatting sqref="T34">
    <cfRule type="containsText" dxfId="0" priority="345" operator="between" text="未提供">
      <formula>NOT(ISERROR(SEARCH("未提供",T34)))</formula>
    </cfRule>
  </conditionalFormatting>
  <conditionalFormatting sqref="Q35">
    <cfRule type="containsText" dxfId="0" priority="354" operator="between" text="未提供">
      <formula>NOT(ISERROR(SEARCH("未提供",Q35)))</formula>
    </cfRule>
  </conditionalFormatting>
  <conditionalFormatting sqref="S35">
    <cfRule type="containsText" dxfId="0" priority="349" operator="between" text="未确认/">
      <formula>NOT(ISERROR(SEARCH("未确认/",S35)))</formula>
    </cfRule>
    <cfRule type="containsText" dxfId="0" priority="348" operator="between" text="未确认//">
      <formula>NOT(ISERROR(SEARCH("未确认//",S35)))</formula>
    </cfRule>
    <cfRule type="containsText" dxfId="0" priority="347" operator="between" text="/">
      <formula>NOT(ISERROR(SEARCH("/",S35)))</formula>
    </cfRule>
    <cfRule type="containsText" dxfId="0" priority="346" operator="between" text="未确认">
      <formula>NOT(ISERROR(SEARCH("未确认",S35)))</formula>
    </cfRule>
  </conditionalFormatting>
  <conditionalFormatting sqref="T35">
    <cfRule type="containsText" dxfId="0" priority="344" operator="between" text="未提供">
      <formula>NOT(ISERROR(SEARCH("未提供",T35)))</formula>
    </cfRule>
  </conditionalFormatting>
  <conditionalFormatting sqref="R36">
    <cfRule type="containsText" dxfId="0" priority="330" operator="between" text="未提供">
      <formula>NOT(ISERROR(SEARCH("未提供",R36)))</formula>
    </cfRule>
  </conditionalFormatting>
  <conditionalFormatting sqref="U36">
    <cfRule type="containsText" dxfId="0" priority="333" operator="between" text="否">
      <formula>NOT(ISERROR(SEARCH("否",U36)))</formula>
    </cfRule>
    <cfRule type="containsText" dxfId="0" priority="332" operator="between" text="欠">
      <formula>NOT(ISERROR(SEARCH("欠",U36)))</formula>
    </cfRule>
  </conditionalFormatting>
  <conditionalFormatting sqref="R38">
    <cfRule type="containsText" dxfId="0" priority="331" operator="between" text="未提供">
      <formula>NOT(ISERROR(SEARCH("未提供",R38)))</formula>
    </cfRule>
  </conditionalFormatting>
  <conditionalFormatting sqref="Q40">
    <cfRule type="containsText" dxfId="0" priority="329" operator="between" text="未提供">
      <formula>NOT(ISERROR(SEARCH("未提供",Q40)))</formula>
    </cfRule>
  </conditionalFormatting>
  <conditionalFormatting sqref="R40">
    <cfRule type="containsText" dxfId="0" priority="324" operator="between" text="未提供">
      <formula>NOT(ISERROR(SEARCH("未提供",R40)))</formula>
    </cfRule>
  </conditionalFormatting>
  <conditionalFormatting sqref="S40">
    <cfRule type="containsText" dxfId="0" priority="328" operator="between" text="未提供">
      <formula>NOT(ISERROR(SEARCH("未提供",S40)))</formula>
    </cfRule>
  </conditionalFormatting>
  <conditionalFormatting sqref="T40">
    <cfRule type="containsText" dxfId="0" priority="325" operator="between" text="未提供">
      <formula>NOT(ISERROR(SEARCH("未提供",T40)))</formula>
    </cfRule>
  </conditionalFormatting>
  <conditionalFormatting sqref="U40">
    <cfRule type="containsText" dxfId="0" priority="327" operator="between" text="否">
      <formula>NOT(ISERROR(SEARCH("否",U40)))</formula>
    </cfRule>
    <cfRule type="containsText" dxfId="0" priority="326" operator="between" text="欠">
      <formula>NOT(ISERROR(SEARCH("欠",U40)))</formula>
    </cfRule>
  </conditionalFormatting>
  <conditionalFormatting sqref="Q41">
    <cfRule type="containsText" dxfId="0" priority="323" operator="between" text="未提供">
      <formula>NOT(ISERROR(SEARCH("未提供",Q41)))</formula>
    </cfRule>
  </conditionalFormatting>
  <conditionalFormatting sqref="R41">
    <cfRule type="containsText" dxfId="0" priority="322" operator="between" text="未提供">
      <formula>NOT(ISERROR(SEARCH("未提供",R41)))</formula>
    </cfRule>
  </conditionalFormatting>
  <conditionalFormatting sqref="S41">
    <cfRule type="containsText" dxfId="0" priority="321" operator="between" text="未提供">
      <formula>NOT(ISERROR(SEARCH("未提供",S41)))</formula>
    </cfRule>
  </conditionalFormatting>
  <conditionalFormatting sqref="T41">
    <cfRule type="containsText" dxfId="0" priority="320" operator="between" text="未提供">
      <formula>NOT(ISERROR(SEARCH("未提供",T41)))</formula>
    </cfRule>
  </conditionalFormatting>
  <conditionalFormatting sqref="U41">
    <cfRule type="containsText" dxfId="0" priority="319" operator="between" text="否">
      <formula>NOT(ISERROR(SEARCH("否",U41)))</formula>
    </cfRule>
    <cfRule type="containsText" dxfId="0" priority="318" operator="between" text="欠">
      <formula>NOT(ISERROR(SEARCH("欠",U41)))</formula>
    </cfRule>
  </conditionalFormatting>
  <conditionalFormatting sqref="Q42">
    <cfRule type="containsText" dxfId="0" priority="317" operator="between" text="未提供">
      <formula>NOT(ISERROR(SEARCH("未提供",Q42)))</formula>
    </cfRule>
  </conditionalFormatting>
  <conditionalFormatting sqref="R42">
    <cfRule type="containsText" dxfId="0" priority="312" operator="between" text="未提供">
      <formula>NOT(ISERROR(SEARCH("未提供",R42)))</formula>
    </cfRule>
  </conditionalFormatting>
  <conditionalFormatting sqref="S42">
    <cfRule type="containsText" dxfId="0" priority="316" operator="between" text="未提供">
      <formula>NOT(ISERROR(SEARCH("未提供",S42)))</formula>
    </cfRule>
  </conditionalFormatting>
  <conditionalFormatting sqref="T42">
    <cfRule type="containsText" dxfId="0" priority="313" operator="between" text="未提供">
      <formula>NOT(ISERROR(SEARCH("未提供",T42)))</formula>
    </cfRule>
  </conditionalFormatting>
  <conditionalFormatting sqref="U42">
    <cfRule type="containsText" dxfId="0" priority="315" operator="between" text="否">
      <formula>NOT(ISERROR(SEARCH("否",U42)))</formula>
    </cfRule>
    <cfRule type="containsText" dxfId="0" priority="314" operator="between" text="欠">
      <formula>NOT(ISERROR(SEARCH("欠",U42)))</formula>
    </cfRule>
  </conditionalFormatting>
  <conditionalFormatting sqref="R43">
    <cfRule type="containsText" dxfId="0" priority="304" operator="between" text="未提供">
      <formula>NOT(ISERROR(SEARCH("未提供",R43)))</formula>
    </cfRule>
  </conditionalFormatting>
  <conditionalFormatting sqref="S43">
    <cfRule type="containsText" dxfId="0" priority="310" operator="between" text="未确认/">
      <formula>NOT(ISERROR(SEARCH("未确认/",S43)))</formula>
    </cfRule>
    <cfRule type="containsText" dxfId="0" priority="309" operator="between" text="未确认//">
      <formula>NOT(ISERROR(SEARCH("未确认//",S43)))</formula>
    </cfRule>
    <cfRule type="containsText" dxfId="0" priority="308" operator="between" text="/">
      <formula>NOT(ISERROR(SEARCH("/",S43)))</formula>
    </cfRule>
    <cfRule type="containsText" dxfId="0" priority="307" operator="between" text="未确认">
      <formula>NOT(ISERROR(SEARCH("未确认",S43)))</formula>
    </cfRule>
  </conditionalFormatting>
  <conditionalFormatting sqref="U43">
    <cfRule type="containsText" dxfId="0" priority="306" operator="between" text="否">
      <formula>NOT(ISERROR(SEARCH("否",U43)))</formula>
    </cfRule>
    <cfRule type="containsText" dxfId="0" priority="305" operator="between" text="欠">
      <formula>NOT(ISERROR(SEARCH("欠",U43)))</formula>
    </cfRule>
  </conditionalFormatting>
  <conditionalFormatting sqref="R44">
    <cfRule type="containsText" dxfId="0" priority="296" operator="between" text="未提供">
      <formula>NOT(ISERROR(SEARCH("未提供",R44)))</formula>
    </cfRule>
  </conditionalFormatting>
  <conditionalFormatting sqref="S44">
    <cfRule type="containsText" dxfId="0" priority="302" operator="between" text="未确认/">
      <formula>NOT(ISERROR(SEARCH("未确认/",S44)))</formula>
    </cfRule>
    <cfRule type="containsText" dxfId="0" priority="301" operator="between" text="未确认//">
      <formula>NOT(ISERROR(SEARCH("未确认//",S44)))</formula>
    </cfRule>
    <cfRule type="containsText" dxfId="0" priority="300" operator="between" text="/">
      <formula>NOT(ISERROR(SEARCH("/",S44)))</formula>
    </cfRule>
    <cfRule type="containsText" dxfId="0" priority="299" operator="between" text="未确认">
      <formula>NOT(ISERROR(SEARCH("未确认",S44)))</formula>
    </cfRule>
  </conditionalFormatting>
  <conditionalFormatting sqref="U44">
    <cfRule type="containsText" dxfId="0" priority="298" operator="between" text="否">
      <formula>NOT(ISERROR(SEARCH("否",U44)))</formula>
    </cfRule>
    <cfRule type="containsText" dxfId="0" priority="297" operator="between" text="欠">
      <formula>NOT(ISERROR(SEARCH("欠",U44)))</formula>
    </cfRule>
  </conditionalFormatting>
  <conditionalFormatting sqref="R54">
    <cfRule type="containsText" dxfId="0" priority="280" operator="between" text="/">
      <formula>NOT(ISERROR(SEARCH("/",R54)))</formula>
    </cfRule>
  </conditionalFormatting>
  <conditionalFormatting sqref="S54">
    <cfRule type="containsText" dxfId="0" priority="276" operator="between" text="未确认">
      <formula>NOT(ISERROR(SEARCH("未确认",S54)))</formula>
    </cfRule>
    <cfRule type="containsText" dxfId="0" priority="277" operator="between" text="/">
      <formula>NOT(ISERROR(SEARCH("/",S54)))</formula>
    </cfRule>
    <cfRule type="containsText" dxfId="0" priority="278" operator="between" text="未确认//">
      <formula>NOT(ISERROR(SEARCH("未确认//",S54)))</formula>
    </cfRule>
    <cfRule type="containsText" dxfId="0" priority="279" operator="between" text="未确认/">
      <formula>NOT(ISERROR(SEARCH("未确认/",S54)))</formula>
    </cfRule>
  </conditionalFormatting>
  <conditionalFormatting sqref="U54">
    <cfRule type="containsText" dxfId="0" priority="274" operator="between" text="欠">
      <formula>NOT(ISERROR(SEARCH("欠",U54)))</formula>
    </cfRule>
    <cfRule type="containsText" dxfId="0" priority="275" operator="between" text="否">
      <formula>NOT(ISERROR(SEARCH("否",U54)))</formula>
    </cfRule>
  </conditionalFormatting>
  <conditionalFormatting sqref="R59">
    <cfRule type="containsText" dxfId="0" priority="258" operator="between" text="未提供">
      <formula>NOT(ISERROR(SEARCH("未提供",R59)))</formula>
    </cfRule>
  </conditionalFormatting>
  <conditionalFormatting sqref="S59">
    <cfRule type="containsText" dxfId="0" priority="262" operator="between" text="未确认/">
      <formula>NOT(ISERROR(SEARCH("未确认/",S59)))</formula>
    </cfRule>
    <cfRule type="containsText" dxfId="0" priority="261" operator="between" text="未确认//">
      <formula>NOT(ISERROR(SEARCH("未确认//",S59)))</formula>
    </cfRule>
    <cfRule type="containsText" dxfId="0" priority="260" operator="between" text="/">
      <formula>NOT(ISERROR(SEARCH("/",S59)))</formula>
    </cfRule>
    <cfRule type="containsText" dxfId="0" priority="259" operator="between" text="未确认">
      <formula>NOT(ISERROR(SEARCH("未确认",S59)))</formula>
    </cfRule>
  </conditionalFormatting>
  <conditionalFormatting sqref="U59">
    <cfRule type="containsText" dxfId="0" priority="265" operator="between" text="否">
      <formula>NOT(ISERROR(SEARCH("否",U59)))</formula>
    </cfRule>
    <cfRule type="containsText" dxfId="0" priority="264" operator="between" text="欠">
      <formula>NOT(ISERROR(SEARCH("欠",U59)))</formula>
    </cfRule>
  </conditionalFormatting>
  <conditionalFormatting sqref="R60">
    <cfRule type="containsText" dxfId="0" priority="250" operator="between" text="未提供">
      <formula>NOT(ISERROR(SEARCH("未提供",R60)))</formula>
    </cfRule>
  </conditionalFormatting>
  <conditionalFormatting sqref="S60">
    <cfRule type="containsText" dxfId="0" priority="254" operator="between" text="未确认/">
      <formula>NOT(ISERROR(SEARCH("未确认/",S60)))</formula>
    </cfRule>
    <cfRule type="containsText" dxfId="0" priority="253" operator="between" text="未确认//">
      <formula>NOT(ISERROR(SEARCH("未确认//",S60)))</formula>
    </cfRule>
    <cfRule type="containsText" dxfId="0" priority="252" operator="between" text="/">
      <formula>NOT(ISERROR(SEARCH("/",S60)))</formula>
    </cfRule>
    <cfRule type="containsText" dxfId="0" priority="251" operator="between" text="未确认">
      <formula>NOT(ISERROR(SEARCH("未确认",S60)))</formula>
    </cfRule>
  </conditionalFormatting>
  <conditionalFormatting sqref="U60">
    <cfRule type="containsText" dxfId="0" priority="257" operator="between" text="否">
      <formula>NOT(ISERROR(SEARCH("否",U60)))</formula>
    </cfRule>
    <cfRule type="containsText" dxfId="0" priority="256" operator="between" text="欠">
      <formula>NOT(ISERROR(SEARCH("欠",U60)))</formula>
    </cfRule>
  </conditionalFormatting>
  <conditionalFormatting sqref="R63">
    <cfRule type="containsText" dxfId="0" priority="207" operator="between" text="未提供">
      <formula>NOT(ISERROR(SEARCH("未提供",R63)))</formula>
    </cfRule>
  </conditionalFormatting>
  <conditionalFormatting sqref="S63">
    <cfRule type="containsText" dxfId="0" priority="219" operator="between" text="未确认/">
      <formula>NOT(ISERROR(SEARCH("未确认/",S63)))</formula>
    </cfRule>
    <cfRule type="containsText" dxfId="0" priority="216" operator="between" text="未确认//">
      <formula>NOT(ISERROR(SEARCH("未确认//",S63)))</formula>
    </cfRule>
    <cfRule type="containsText" dxfId="0" priority="213" operator="between" text="/">
      <formula>NOT(ISERROR(SEARCH("/",S63)))</formula>
    </cfRule>
    <cfRule type="containsText" dxfId="0" priority="210" operator="between" text="未确认">
      <formula>NOT(ISERROR(SEARCH("未确认",S63)))</formula>
    </cfRule>
  </conditionalFormatting>
  <conditionalFormatting sqref="U63">
    <cfRule type="containsText" dxfId="0" priority="228" operator="between" text="否">
      <formula>NOT(ISERROR(SEARCH("否",U63)))</formula>
    </cfRule>
    <cfRule type="containsText" dxfId="0" priority="225" operator="between" text="欠">
      <formula>NOT(ISERROR(SEARCH("欠",U63)))</formula>
    </cfRule>
  </conditionalFormatting>
  <conditionalFormatting sqref="R64">
    <cfRule type="containsText" dxfId="0" priority="206" operator="between" text="未提供">
      <formula>NOT(ISERROR(SEARCH("未提供",R64)))</formula>
    </cfRule>
  </conditionalFormatting>
  <conditionalFormatting sqref="S64">
    <cfRule type="containsText" dxfId="0" priority="218" operator="between" text="未确认/">
      <formula>NOT(ISERROR(SEARCH("未确认/",S64)))</formula>
    </cfRule>
    <cfRule type="containsText" dxfId="0" priority="215" operator="between" text="未确认//">
      <formula>NOT(ISERROR(SEARCH("未确认//",S64)))</formula>
    </cfRule>
    <cfRule type="containsText" dxfId="0" priority="212" operator="between" text="/">
      <formula>NOT(ISERROR(SEARCH("/",S64)))</formula>
    </cfRule>
    <cfRule type="containsText" dxfId="0" priority="209" operator="between" text="未确认">
      <formula>NOT(ISERROR(SEARCH("未确认",S64)))</formula>
    </cfRule>
  </conditionalFormatting>
  <conditionalFormatting sqref="U64">
    <cfRule type="containsText" dxfId="0" priority="227" operator="between" text="否">
      <formula>NOT(ISERROR(SEARCH("否",U64)))</formula>
    </cfRule>
    <cfRule type="containsText" dxfId="0" priority="224" operator="between" text="欠">
      <formula>NOT(ISERROR(SEARCH("欠",U64)))</formula>
    </cfRule>
  </conditionalFormatting>
  <conditionalFormatting sqref="R65">
    <cfRule type="containsText" dxfId="0" priority="205" operator="between" text="未提供">
      <formula>NOT(ISERROR(SEARCH("未提供",R65)))</formula>
    </cfRule>
  </conditionalFormatting>
  <conditionalFormatting sqref="S65">
    <cfRule type="containsText" dxfId="0" priority="217" operator="between" text="未确认/">
      <formula>NOT(ISERROR(SEARCH("未确认/",S65)))</formula>
    </cfRule>
    <cfRule type="containsText" dxfId="0" priority="214" operator="between" text="未确认//">
      <formula>NOT(ISERROR(SEARCH("未确认//",S65)))</formula>
    </cfRule>
    <cfRule type="containsText" dxfId="0" priority="211" operator="between" text="/">
      <formula>NOT(ISERROR(SEARCH("/",S65)))</formula>
    </cfRule>
    <cfRule type="containsText" dxfId="0" priority="208" operator="between" text="未确认">
      <formula>NOT(ISERROR(SEARCH("未确认",S65)))</formula>
    </cfRule>
  </conditionalFormatting>
  <conditionalFormatting sqref="U65">
    <cfRule type="containsText" dxfId="0" priority="226" operator="between" text="否">
      <formula>NOT(ISERROR(SEARCH("否",U65)))</formula>
    </cfRule>
    <cfRule type="containsText" dxfId="0" priority="223" operator="between" text="欠">
      <formula>NOT(ISERROR(SEARCH("欠",U65)))</formula>
    </cfRule>
  </conditionalFormatting>
  <conditionalFormatting sqref="R66">
    <cfRule type="containsText" dxfId="0" priority="197" operator="between" text="未提供">
      <formula>NOT(ISERROR(SEARCH("未提供",R66)))</formula>
    </cfRule>
  </conditionalFormatting>
  <conditionalFormatting sqref="S66">
    <cfRule type="containsText" dxfId="0" priority="201" operator="between" text="未确认/">
      <formula>NOT(ISERROR(SEARCH("未确认/",S66)))</formula>
    </cfRule>
    <cfRule type="containsText" dxfId="0" priority="200" operator="between" text="未确认//">
      <formula>NOT(ISERROR(SEARCH("未确认//",S66)))</formula>
    </cfRule>
    <cfRule type="containsText" dxfId="0" priority="199" operator="between" text="/">
      <formula>NOT(ISERROR(SEARCH("/",S66)))</formula>
    </cfRule>
    <cfRule type="containsText" dxfId="0" priority="198" operator="between" text="未确认">
      <formula>NOT(ISERROR(SEARCH("未确认",S66)))</formula>
    </cfRule>
  </conditionalFormatting>
  <conditionalFormatting sqref="U66">
    <cfRule type="containsText" dxfId="0" priority="204" operator="between" text="否">
      <formula>NOT(ISERROR(SEARCH("否",U66)))</formula>
    </cfRule>
    <cfRule type="containsText" dxfId="0" priority="203" operator="between" text="欠">
      <formula>NOT(ISERROR(SEARCH("欠",U66)))</formula>
    </cfRule>
  </conditionalFormatting>
  <conditionalFormatting sqref="Q67">
    <cfRule type="containsText" dxfId="0" priority="194" operator="between" text="未提供">
      <formula>NOT(ISERROR(SEARCH("未提供",Q67)))</formula>
    </cfRule>
  </conditionalFormatting>
  <conditionalFormatting sqref="R67:S67">
    <cfRule type="containsText" dxfId="0" priority="192" operator="between" text="未提供">
      <formula>NOT(ISERROR(SEARCH("未提供",R67)))</formula>
    </cfRule>
  </conditionalFormatting>
  <conditionalFormatting sqref="T67">
    <cfRule type="containsText" dxfId="0" priority="193" operator="between" text="未提供">
      <formula>NOT(ISERROR(SEARCH("未提供",T67)))</formula>
    </cfRule>
  </conditionalFormatting>
  <conditionalFormatting sqref="U67">
    <cfRule type="containsText" dxfId="0" priority="196" operator="between" text="否">
      <formula>NOT(ISERROR(SEARCH("否",U67)))</formula>
    </cfRule>
    <cfRule type="containsText" dxfId="0" priority="195" operator="between" text="欠">
      <formula>NOT(ISERROR(SEARCH("欠",U67)))</formula>
    </cfRule>
  </conditionalFormatting>
  <conditionalFormatting sqref="Q68">
    <cfRule type="containsText" dxfId="0" priority="191" operator="between" text="未提供">
      <formula>NOT(ISERROR(SEARCH("未提供",Q68)))</formula>
    </cfRule>
  </conditionalFormatting>
  <conditionalFormatting sqref="R68:S68">
    <cfRule type="containsText" dxfId="0" priority="189" operator="between" text="未提供">
      <formula>NOT(ISERROR(SEARCH("未提供",R68)))</formula>
    </cfRule>
  </conditionalFormatting>
  <conditionalFormatting sqref="T68">
    <cfRule type="containsText" dxfId="0" priority="190" operator="between" text="未提供">
      <formula>NOT(ISERROR(SEARCH("未提供",T68)))</formula>
    </cfRule>
  </conditionalFormatting>
  <conditionalFormatting sqref="U68">
    <cfRule type="containsText" dxfId="0" priority="188" operator="between" text="否">
      <formula>NOT(ISERROR(SEARCH("否",U68)))</formula>
    </cfRule>
    <cfRule type="containsText" dxfId="0" priority="187" operator="between" text="欠">
      <formula>NOT(ISERROR(SEARCH("欠",U68)))</formula>
    </cfRule>
  </conditionalFormatting>
  <conditionalFormatting sqref="R69">
    <cfRule type="containsText" dxfId="0" priority="183" operator="between" text="未提供">
      <formula>NOT(ISERROR(SEARCH("未提供",R69)))</formula>
    </cfRule>
  </conditionalFormatting>
  <conditionalFormatting sqref="S69">
    <cfRule type="containsText" dxfId="0" priority="182" operator="between" text="未提供">
      <formula>NOT(ISERROR(SEARCH("未提供",S69)))</formula>
    </cfRule>
  </conditionalFormatting>
  <conditionalFormatting sqref="U69">
    <cfRule type="containsText" dxfId="0" priority="186" operator="between" text="否">
      <formula>NOT(ISERROR(SEARCH("否",U69)))</formula>
    </cfRule>
    <cfRule type="containsText" dxfId="0" priority="185" operator="between" text="欠">
      <formula>NOT(ISERROR(SEARCH("欠",U69)))</formula>
    </cfRule>
  </conditionalFormatting>
  <conditionalFormatting sqref="Q70">
    <cfRule type="containsText" dxfId="0" priority="181" operator="between" text="未提供">
      <formula>NOT(ISERROR(SEARCH("未提供",Q70)))</formula>
    </cfRule>
  </conditionalFormatting>
  <conditionalFormatting sqref="R70:S70">
    <cfRule type="containsText" dxfId="0" priority="179" operator="between" text="未提供">
      <formula>NOT(ISERROR(SEARCH("未提供",R70)))</formula>
    </cfRule>
  </conditionalFormatting>
  <conditionalFormatting sqref="T70">
    <cfRule type="containsText" dxfId="0" priority="180" operator="between" text="未提供">
      <formula>NOT(ISERROR(SEARCH("未提供",T70)))</formula>
    </cfRule>
  </conditionalFormatting>
  <conditionalFormatting sqref="U70">
    <cfRule type="containsText" dxfId="0" priority="178" operator="between" text="否">
      <formula>NOT(ISERROR(SEARCH("否",U70)))</formula>
    </cfRule>
    <cfRule type="containsText" dxfId="0" priority="177" operator="between" text="欠">
      <formula>NOT(ISERROR(SEARCH("欠",U70)))</formula>
    </cfRule>
  </conditionalFormatting>
  <conditionalFormatting sqref="R71">
    <cfRule type="containsText" dxfId="0" priority="173" operator="between" text="未提供">
      <formula>NOT(ISERROR(SEARCH("未提供",R71)))</formula>
    </cfRule>
  </conditionalFormatting>
  <conditionalFormatting sqref="S71">
    <cfRule type="containsText" dxfId="0" priority="172" operator="between" text="未提供">
      <formula>NOT(ISERROR(SEARCH("未提供",S71)))</formula>
    </cfRule>
  </conditionalFormatting>
  <conditionalFormatting sqref="U71">
    <cfRule type="containsText" dxfId="0" priority="176" operator="between" text="否">
      <formula>NOT(ISERROR(SEARCH("否",U71)))</formula>
    </cfRule>
    <cfRule type="containsText" dxfId="0" priority="175" operator="between" text="欠">
      <formula>NOT(ISERROR(SEARCH("欠",U71)))</formula>
    </cfRule>
  </conditionalFormatting>
  <conditionalFormatting sqref="S72">
    <cfRule type="containsText" dxfId="0" priority="162" operator="between" text="未确认/">
      <formula>NOT(ISERROR(SEARCH("未确认/",S72)))</formula>
    </cfRule>
    <cfRule type="containsText" dxfId="0" priority="161" operator="between" text="未确认//">
      <formula>NOT(ISERROR(SEARCH("未确认//",S72)))</formula>
    </cfRule>
    <cfRule type="containsText" dxfId="0" priority="160" operator="between" text="/">
      <formula>NOT(ISERROR(SEARCH("/",S72)))</formula>
    </cfRule>
    <cfRule type="containsText" dxfId="0" priority="159" operator="between" text="未确认">
      <formula>NOT(ISERROR(SEARCH("未确认",S72)))</formula>
    </cfRule>
  </conditionalFormatting>
  <conditionalFormatting sqref="S73">
    <cfRule type="containsText" dxfId="0" priority="166" operator="between" text="未确认/">
      <formula>NOT(ISERROR(SEARCH("未确认/",S73)))</formula>
    </cfRule>
    <cfRule type="containsText" dxfId="0" priority="165" operator="between" text="未确认//">
      <formula>NOT(ISERROR(SEARCH("未确认//",S73)))</formula>
    </cfRule>
    <cfRule type="containsText" dxfId="0" priority="164" operator="between" text="/">
      <formula>NOT(ISERROR(SEARCH("/",S73)))</formula>
    </cfRule>
    <cfRule type="containsText" dxfId="0" priority="163" operator="between" text="未确认">
      <formula>NOT(ISERROR(SEARCH("未确认",S73)))</formula>
    </cfRule>
  </conditionalFormatting>
  <conditionalFormatting sqref="S76">
    <cfRule type="containsText" dxfId="0" priority="143" operator="between" text="未确认/">
      <formula>NOT(ISERROR(SEARCH("未确认/",S76)))</formula>
    </cfRule>
    <cfRule type="containsText" dxfId="0" priority="142" operator="between" text="未确认//">
      <formula>NOT(ISERROR(SEARCH("未确认//",S76)))</formula>
    </cfRule>
    <cfRule type="containsText" dxfId="0" priority="141" operator="between" text="/">
      <formula>NOT(ISERROR(SEARCH("/",S76)))</formula>
    </cfRule>
    <cfRule type="containsText" dxfId="0" priority="140" operator="between" text="未确认">
      <formula>NOT(ISERROR(SEARCH("未确认",S76)))</formula>
    </cfRule>
  </conditionalFormatting>
  <conditionalFormatting sqref="S77">
    <cfRule type="containsText" dxfId="0" priority="147" operator="between" text="未确认/">
      <formula>NOT(ISERROR(SEARCH("未确认/",S77)))</formula>
    </cfRule>
    <cfRule type="containsText" dxfId="0" priority="146" operator="between" text="未确认//">
      <formula>NOT(ISERROR(SEARCH("未确认//",S77)))</formula>
    </cfRule>
    <cfRule type="containsText" dxfId="0" priority="145" operator="between" text="/">
      <formula>NOT(ISERROR(SEARCH("/",S77)))</formula>
    </cfRule>
    <cfRule type="containsText" dxfId="0" priority="144" operator="between" text="未确认">
      <formula>NOT(ISERROR(SEARCH("未确认",S77)))</formula>
    </cfRule>
  </conditionalFormatting>
  <conditionalFormatting sqref="Q78">
    <cfRule type="containsText" dxfId="0" priority="139" operator="between" text="未提供">
      <formula>NOT(ISERROR(SEARCH("未提供",Q78)))</formula>
    </cfRule>
  </conditionalFormatting>
  <conditionalFormatting sqref="R78">
    <cfRule type="containsText" dxfId="0" priority="138" operator="between" text="未提供">
      <formula>NOT(ISERROR(SEARCH("未提供",R78)))</formula>
    </cfRule>
  </conditionalFormatting>
  <conditionalFormatting sqref="S78">
    <cfRule type="containsText" dxfId="0" priority="134" operator="between" text="未确认/">
      <formula>NOT(ISERROR(SEARCH("未确认/",S78)))</formula>
    </cfRule>
    <cfRule type="containsText" dxfId="0" priority="133" operator="between" text="未确认//">
      <formula>NOT(ISERROR(SEARCH("未确认//",S78)))</formula>
    </cfRule>
    <cfRule type="containsText" dxfId="0" priority="132" operator="between" text="/">
      <formula>NOT(ISERROR(SEARCH("/",S78)))</formula>
    </cfRule>
    <cfRule type="containsText" dxfId="0" priority="131" operator="between" text="未确认">
      <formula>NOT(ISERROR(SEARCH("未确认",S78)))</formula>
    </cfRule>
  </conditionalFormatting>
  <conditionalFormatting sqref="T78">
    <cfRule type="containsText" dxfId="0" priority="137" operator="between" text="未提供">
      <formula>NOT(ISERROR(SEARCH("未提供",T78)))</formula>
    </cfRule>
  </conditionalFormatting>
  <conditionalFormatting sqref="U78">
    <cfRule type="containsText" dxfId="0" priority="136" operator="between" text="否">
      <formula>NOT(ISERROR(SEARCH("否",U78)))</formula>
    </cfRule>
    <cfRule type="containsText" dxfId="0" priority="135" operator="between" text="欠">
      <formula>NOT(ISERROR(SEARCH("欠",U78)))</formula>
    </cfRule>
  </conditionalFormatting>
  <conditionalFormatting sqref="Q79">
    <cfRule type="containsText" dxfId="0" priority="130" operator="between" text="未提供">
      <formula>NOT(ISERROR(SEARCH("未提供",Q79)))</formula>
    </cfRule>
  </conditionalFormatting>
  <conditionalFormatting sqref="R79">
    <cfRule type="containsText" dxfId="0" priority="129" operator="between" text="未提供">
      <formula>NOT(ISERROR(SEARCH("未提供",R79)))</formula>
    </cfRule>
  </conditionalFormatting>
  <conditionalFormatting sqref="S79">
    <cfRule type="containsText" dxfId="0" priority="125" operator="between" text="未确认/">
      <formula>NOT(ISERROR(SEARCH("未确认/",S79)))</formula>
    </cfRule>
    <cfRule type="containsText" dxfId="0" priority="124" operator="between" text="未确认//">
      <formula>NOT(ISERROR(SEARCH("未确认//",S79)))</formula>
    </cfRule>
    <cfRule type="containsText" dxfId="0" priority="123" operator="between" text="/">
      <formula>NOT(ISERROR(SEARCH("/",S79)))</formula>
    </cfRule>
    <cfRule type="containsText" dxfId="0" priority="122" operator="between" text="未确认">
      <formula>NOT(ISERROR(SEARCH("未确认",S79)))</formula>
    </cfRule>
  </conditionalFormatting>
  <conditionalFormatting sqref="T79">
    <cfRule type="containsText" dxfId="0" priority="128" operator="between" text="未提供">
      <formula>NOT(ISERROR(SEARCH("未提供",T79)))</formula>
    </cfRule>
  </conditionalFormatting>
  <conditionalFormatting sqref="U79">
    <cfRule type="containsText" dxfId="0" priority="127" operator="between" text="否">
      <formula>NOT(ISERROR(SEARCH("否",U79)))</formula>
    </cfRule>
    <cfRule type="containsText" dxfId="0" priority="126" operator="between" text="欠">
      <formula>NOT(ISERROR(SEARCH("欠",U79)))</formula>
    </cfRule>
  </conditionalFormatting>
  <conditionalFormatting sqref="Q80">
    <cfRule type="containsText" dxfId="0" priority="121" operator="between" text="未提供">
      <formula>NOT(ISERROR(SEARCH("未提供",Q80)))</formula>
    </cfRule>
  </conditionalFormatting>
  <conditionalFormatting sqref="R80">
    <cfRule type="containsText" dxfId="0" priority="120" operator="between" text="未提供">
      <formula>NOT(ISERROR(SEARCH("未提供",R80)))</formula>
    </cfRule>
  </conditionalFormatting>
  <conditionalFormatting sqref="S80">
    <cfRule type="containsText" dxfId="0" priority="119" operator="between" text="未提供">
      <formula>NOT(ISERROR(SEARCH("未提供",S80)))</formula>
    </cfRule>
  </conditionalFormatting>
  <conditionalFormatting sqref="T80">
    <cfRule type="containsText" dxfId="0" priority="118" operator="between" text="未提供">
      <formula>NOT(ISERROR(SEARCH("未提供",T80)))</formula>
    </cfRule>
  </conditionalFormatting>
  <conditionalFormatting sqref="U80">
    <cfRule type="containsText" dxfId="0" priority="117" operator="between" text="否">
      <formula>NOT(ISERROR(SEARCH("否",U80)))</formula>
    </cfRule>
    <cfRule type="containsText" dxfId="0" priority="116" operator="between" text="欠">
      <formula>NOT(ISERROR(SEARCH("欠",U80)))</formula>
    </cfRule>
  </conditionalFormatting>
  <conditionalFormatting sqref="S81">
    <cfRule type="containsText" dxfId="0" priority="113" operator="between" text="未提供">
      <formula>NOT(ISERROR(SEARCH("未提供",S81)))</formula>
    </cfRule>
  </conditionalFormatting>
  <conditionalFormatting sqref="T81">
    <cfRule type="containsText" dxfId="0" priority="108" operator="between" text="未提供">
      <formula>NOT(ISERROR(SEARCH("未提供",T81)))</formula>
    </cfRule>
  </conditionalFormatting>
  <conditionalFormatting sqref="U81">
    <cfRule type="containsText" dxfId="0" priority="107" operator="between" text="否">
      <formula>NOT(ISERROR(SEARCH("否",U81)))</formula>
    </cfRule>
    <cfRule type="containsText" dxfId="0" priority="106" operator="between" text="欠">
      <formula>NOT(ISERROR(SEARCH("欠",U81)))</formula>
    </cfRule>
  </conditionalFormatting>
  <conditionalFormatting sqref="S82">
    <cfRule type="containsText" dxfId="0" priority="112" operator="between" text="未提供">
      <formula>NOT(ISERROR(SEARCH("未提供",S82)))</formula>
    </cfRule>
  </conditionalFormatting>
  <conditionalFormatting sqref="T82">
    <cfRule type="containsText" dxfId="0" priority="111" operator="between" text="未提供">
      <formula>NOT(ISERROR(SEARCH("未提供",T82)))</formula>
    </cfRule>
  </conditionalFormatting>
  <conditionalFormatting sqref="U82">
    <cfRule type="containsText" dxfId="0" priority="110" operator="between" text="否">
      <formula>NOT(ISERROR(SEARCH("否",U82)))</formula>
    </cfRule>
    <cfRule type="containsText" dxfId="0" priority="109" operator="between" text="欠">
      <formula>NOT(ISERROR(SEARCH("欠",U82)))</formula>
    </cfRule>
  </conditionalFormatting>
  <conditionalFormatting sqref="Q87">
    <cfRule type="containsText" dxfId="0" priority="84" operator="between" text="未提供">
      <formula>NOT(ISERROR(SEARCH("未提供",Q87)))</formula>
    </cfRule>
  </conditionalFormatting>
  <conditionalFormatting sqref="R87">
    <cfRule type="containsText" dxfId="0" priority="83" operator="between" text="未提供">
      <formula>NOT(ISERROR(SEARCH("未提供",R87)))</formula>
    </cfRule>
  </conditionalFormatting>
  <conditionalFormatting sqref="S87">
    <cfRule type="containsText" dxfId="0" priority="79" operator="between" text="未确认/">
      <formula>NOT(ISERROR(SEARCH("未确认/",S87)))</formula>
    </cfRule>
    <cfRule type="containsText" dxfId="0" priority="78" operator="between" text="未确认//">
      <formula>NOT(ISERROR(SEARCH("未确认//",S87)))</formula>
    </cfRule>
    <cfRule type="containsText" dxfId="0" priority="77" operator="between" text="/">
      <formula>NOT(ISERROR(SEARCH("/",S87)))</formula>
    </cfRule>
    <cfRule type="containsText" dxfId="0" priority="76" operator="between" text="未确认">
      <formula>NOT(ISERROR(SEARCH("未确认",S87)))</formula>
    </cfRule>
  </conditionalFormatting>
  <conditionalFormatting sqref="T87">
    <cfRule type="containsText" dxfId="0" priority="82" operator="between" text="未提供">
      <formula>NOT(ISERROR(SEARCH("未提供",T87)))</formula>
    </cfRule>
  </conditionalFormatting>
  <conditionalFormatting sqref="U87">
    <cfRule type="containsText" dxfId="0" priority="81" operator="between" text="否">
      <formula>NOT(ISERROR(SEARCH("否",U87)))</formula>
    </cfRule>
    <cfRule type="containsText" dxfId="0" priority="80" operator="between" text="欠">
      <formula>NOT(ISERROR(SEARCH("欠",U87)))</formula>
    </cfRule>
  </conditionalFormatting>
  <conditionalFormatting sqref="R88">
    <cfRule type="containsText" dxfId="0" priority="70" operator="between" text="未提供">
      <formula>NOT(ISERROR(SEARCH("未提供",R88)))</formula>
    </cfRule>
  </conditionalFormatting>
  <conditionalFormatting sqref="S88">
    <cfRule type="containsText" dxfId="0" priority="71" operator="between" text="未确认">
      <formula>NOT(ISERROR(SEARCH("未确认",S88)))</formula>
    </cfRule>
    <cfRule type="containsText" dxfId="0" priority="72" operator="between" text="/">
      <formula>NOT(ISERROR(SEARCH("/",S88)))</formula>
    </cfRule>
    <cfRule type="containsText" dxfId="0" priority="73" operator="between" text="未确认//">
      <formula>NOT(ISERROR(SEARCH("未确认//",S88)))</formula>
    </cfRule>
    <cfRule type="containsText" dxfId="0" priority="74" operator="between" text="未确认/">
      <formula>NOT(ISERROR(SEARCH("未确认/",S88)))</formula>
    </cfRule>
  </conditionalFormatting>
  <conditionalFormatting sqref="U88">
    <cfRule type="containsText" dxfId="0" priority="68" operator="between" text="欠">
      <formula>NOT(ISERROR(SEARCH("欠",U88)))</formula>
    </cfRule>
    <cfRule type="containsText" dxfId="0" priority="69" operator="between" text="否">
      <formula>NOT(ISERROR(SEARCH("否",U88)))</formula>
    </cfRule>
  </conditionalFormatting>
  <conditionalFormatting sqref="Q89">
    <cfRule type="containsText" dxfId="0" priority="67" operator="between" text="未提供">
      <formula>NOT(ISERROR(SEARCH("未提供",Q89)))</formula>
    </cfRule>
  </conditionalFormatting>
  <conditionalFormatting sqref="R89">
    <cfRule type="containsText" dxfId="0" priority="66" operator="between" text="未提供">
      <formula>NOT(ISERROR(SEARCH("未提供",R89)))</formula>
    </cfRule>
  </conditionalFormatting>
  <conditionalFormatting sqref="S89">
    <cfRule type="containsText" dxfId="0" priority="63" operator="between" text="未确认/">
      <formula>NOT(ISERROR(SEARCH("未确认/",S89)))</formula>
    </cfRule>
    <cfRule type="containsText" dxfId="0" priority="62" operator="between" text="未确认//">
      <formula>NOT(ISERROR(SEARCH("未确认//",S89)))</formula>
    </cfRule>
    <cfRule type="containsText" dxfId="0" priority="61" operator="between" text="/">
      <formula>NOT(ISERROR(SEARCH("/",S89)))</formula>
    </cfRule>
    <cfRule type="containsText" dxfId="0" priority="60" operator="between" text="未确认">
      <formula>NOT(ISERROR(SEARCH("未确认",S89)))</formula>
    </cfRule>
  </conditionalFormatting>
  <conditionalFormatting sqref="T89">
    <cfRule type="containsText" dxfId="0" priority="59" operator="between" text="未提供">
      <formula>NOT(ISERROR(SEARCH("未提供",T89)))</formula>
    </cfRule>
  </conditionalFormatting>
  <conditionalFormatting sqref="U89">
    <cfRule type="containsText" dxfId="0" priority="65" operator="between" text="否">
      <formula>NOT(ISERROR(SEARCH("否",U89)))</formula>
    </cfRule>
    <cfRule type="containsText" dxfId="0" priority="64" operator="between" text="欠">
      <formula>NOT(ISERROR(SEARCH("欠",U89)))</formula>
    </cfRule>
  </conditionalFormatting>
  <conditionalFormatting sqref="Q90">
    <cfRule type="containsText" dxfId="0" priority="52" operator="between" text="未确认/">
      <formula>NOT(ISERROR(SEARCH("未确认/",Q90)))</formula>
    </cfRule>
    <cfRule type="containsText" dxfId="0" priority="51" operator="between" text="未确认//">
      <formula>NOT(ISERROR(SEARCH("未确认//",Q90)))</formula>
    </cfRule>
    <cfRule type="containsText" dxfId="0" priority="50" operator="between" text="/">
      <formula>NOT(ISERROR(SEARCH("/",Q90)))</formula>
    </cfRule>
    <cfRule type="containsText" dxfId="0" priority="49" operator="between" text="未确认">
      <formula>NOT(ISERROR(SEARCH("未确认",Q90)))</formula>
    </cfRule>
  </conditionalFormatting>
  <conditionalFormatting sqref="S90">
    <cfRule type="containsText" dxfId="0" priority="53" operator="between" text="未提供">
      <formula>NOT(ISERROR(SEARCH("未提供",S90)))</formula>
    </cfRule>
  </conditionalFormatting>
  <conditionalFormatting sqref="T90">
    <cfRule type="containsText" dxfId="0" priority="57" operator="between" text="未确认/">
      <formula>NOT(ISERROR(SEARCH("未确认/",T90)))</formula>
    </cfRule>
    <cfRule type="containsText" dxfId="0" priority="56" operator="between" text="未确认//">
      <formula>NOT(ISERROR(SEARCH("未确认//",T90)))</formula>
    </cfRule>
    <cfRule type="containsText" dxfId="0" priority="55" operator="between" text="/">
      <formula>NOT(ISERROR(SEARCH("/",T90)))</formula>
    </cfRule>
    <cfRule type="containsText" dxfId="0" priority="54" operator="between" text="未确认">
      <formula>NOT(ISERROR(SEARCH("未确认",T90)))</formula>
    </cfRule>
  </conditionalFormatting>
  <conditionalFormatting sqref="R98">
    <cfRule type="containsText" dxfId="0" priority="27" operator="between" text="未提供">
      <formula>NOT(ISERROR(SEARCH("未提供",R98)))</formula>
    </cfRule>
  </conditionalFormatting>
  <conditionalFormatting sqref="S98">
    <cfRule type="containsText" dxfId="0" priority="31" operator="between" text="未确认/">
      <formula>NOT(ISERROR(SEARCH("未确认/",S98)))</formula>
    </cfRule>
    <cfRule type="containsText" dxfId="0" priority="30" operator="between" text="未确认//">
      <formula>NOT(ISERROR(SEARCH("未确认//",S98)))</formula>
    </cfRule>
    <cfRule type="containsText" dxfId="0" priority="29" operator="between" text="/">
      <formula>NOT(ISERROR(SEARCH("/",S98)))</formula>
    </cfRule>
    <cfRule type="containsText" dxfId="0" priority="28" operator="between" text="未确认">
      <formula>NOT(ISERROR(SEARCH("未确认",S98)))</formula>
    </cfRule>
  </conditionalFormatting>
  <conditionalFormatting sqref="U98">
    <cfRule type="containsText" dxfId="0" priority="26" operator="between" text="否">
      <formula>NOT(ISERROR(SEARCH("否",U98)))</formula>
    </cfRule>
    <cfRule type="containsText" dxfId="0" priority="25" operator="between" text="欠">
      <formula>NOT(ISERROR(SEARCH("欠",U98)))</formula>
    </cfRule>
  </conditionalFormatting>
  <conditionalFormatting sqref="R102">
    <cfRule type="containsText" dxfId="0" priority="19" operator="between" text="未提供">
      <formula>NOT(ISERROR(SEARCH("未提供",R102)))</formula>
    </cfRule>
  </conditionalFormatting>
  <conditionalFormatting sqref="S102">
    <cfRule type="containsText" dxfId="0" priority="23" operator="between" text="未确认/">
      <formula>NOT(ISERROR(SEARCH("未确认/",S102)))</formula>
    </cfRule>
    <cfRule type="containsText" dxfId="0" priority="22" operator="between" text="未确认//">
      <formula>NOT(ISERROR(SEARCH("未确认//",S102)))</formula>
    </cfRule>
    <cfRule type="containsText" dxfId="0" priority="21" operator="between" text="/">
      <formula>NOT(ISERROR(SEARCH("/",S102)))</formula>
    </cfRule>
    <cfRule type="containsText" dxfId="0" priority="20" operator="between" text="未确认">
      <formula>NOT(ISERROR(SEARCH("未确认",S102)))</formula>
    </cfRule>
  </conditionalFormatting>
  <conditionalFormatting sqref="U102">
    <cfRule type="containsText" dxfId="0" priority="18" operator="between" text="否">
      <formula>NOT(ISERROR(SEARCH("否",U102)))</formula>
    </cfRule>
    <cfRule type="containsText" dxfId="0" priority="17" operator="between" text="欠">
      <formula>NOT(ISERROR(SEARCH("欠",U102)))</formula>
    </cfRule>
  </conditionalFormatting>
  <conditionalFormatting sqref="Q22:Q23">
    <cfRule type="containsText" dxfId="0" priority="412" operator="between" text="未提供">
      <formula>NOT(ISERROR(SEARCH("未提供",Q22)))</formula>
    </cfRule>
  </conditionalFormatting>
  <conditionalFormatting sqref="Q45:Q50">
    <cfRule type="containsText" dxfId="0" priority="295" operator="between" text="未提供">
      <formula>NOT(ISERROR(SEARCH("未提供",Q45)))</formula>
    </cfRule>
  </conditionalFormatting>
  <conditionalFormatting sqref="Q51:Q53">
    <cfRule type="containsText" dxfId="0" priority="291" operator="between" text="未提供">
      <formula>NOT(ISERROR(SEARCH("未提供",Q51)))</formula>
    </cfRule>
  </conditionalFormatting>
  <conditionalFormatting sqref="Q72:Q73">
    <cfRule type="containsText" dxfId="0" priority="171" operator="between" text="未提供">
      <formula>NOT(ISERROR(SEARCH("未提供",Q72)))</formula>
    </cfRule>
  </conditionalFormatting>
  <conditionalFormatting sqref="Q76:Q77">
    <cfRule type="containsText" dxfId="0" priority="149" operator="between" text="未提供">
      <formula>NOT(ISERROR(SEARCH("未提供",Q76)))</formula>
    </cfRule>
  </conditionalFormatting>
  <conditionalFormatting sqref="Q81:Q82">
    <cfRule type="containsText" dxfId="0" priority="115" operator="between" text="未提供">
      <formula>NOT(ISERROR(SEARCH("未提供",Q81)))</formula>
    </cfRule>
  </conditionalFormatting>
  <conditionalFormatting sqref="Q84:Q86">
    <cfRule type="containsText" dxfId="0" priority="89" operator="between" text="未提供">
      <formula>NOT(ISERROR(SEARCH("未提供",Q84)))</formula>
    </cfRule>
  </conditionalFormatting>
  <conditionalFormatting sqref="R6:R9">
    <cfRule type="containsText" dxfId="0" priority="488" operator="between" text="/">
      <formula>NOT(ISERROR(SEARCH("/",R6)))</formula>
    </cfRule>
  </conditionalFormatting>
  <conditionalFormatting sqref="R22:R23">
    <cfRule type="containsText" dxfId="0" priority="411" operator="between" text="未提供">
      <formula>NOT(ISERROR(SEARCH("未提供",R22)))</formula>
    </cfRule>
  </conditionalFormatting>
  <conditionalFormatting sqref="R28:R29">
    <cfRule type="containsText" dxfId="0" priority="373" operator="between" text="未提供">
      <formula>NOT(ISERROR(SEARCH("未提供",R28)))</formula>
    </cfRule>
  </conditionalFormatting>
  <conditionalFormatting sqref="R31:R33">
    <cfRule type="containsText" dxfId="0" priority="361" operator="between" text="/">
      <formula>NOT(ISERROR(SEARCH("/",R31)))</formula>
    </cfRule>
  </conditionalFormatting>
  <conditionalFormatting sqref="R34:R35">
    <cfRule type="containsText" dxfId="0" priority="356" operator="between" text="/">
      <formula>NOT(ISERROR(SEARCH("/",R34)))</formula>
    </cfRule>
  </conditionalFormatting>
  <conditionalFormatting sqref="R45:R50">
    <cfRule type="containsText" dxfId="0" priority="290" operator="between" text="/">
      <formula>NOT(ISERROR(SEARCH("/",R45)))</formula>
    </cfRule>
  </conditionalFormatting>
  <conditionalFormatting sqref="R51:R53">
    <cfRule type="containsText" dxfId="0" priority="292" operator="between" text="/">
      <formula>NOT(ISERROR(SEARCH("/",R51)))</formula>
    </cfRule>
  </conditionalFormatting>
  <conditionalFormatting sqref="R55:R58">
    <cfRule type="containsText" dxfId="0" priority="266" operator="between" text="未提供">
      <formula>NOT(ISERROR(SEARCH("未提供",R55)))</formula>
    </cfRule>
  </conditionalFormatting>
  <conditionalFormatting sqref="R61:R62">
    <cfRule type="containsText" dxfId="0" priority="242" operator="between" text="未提供">
      <formula>NOT(ISERROR(SEARCH("未提供",R61)))</formula>
    </cfRule>
  </conditionalFormatting>
  <conditionalFormatting sqref="R72:R73">
    <cfRule type="containsText" dxfId="0" priority="170" operator="between" text="未提供">
      <formula>NOT(ISERROR(SEARCH("未提供",R72)))</formula>
    </cfRule>
  </conditionalFormatting>
  <conditionalFormatting sqref="R74:R75">
    <cfRule type="containsText" dxfId="0" priority="148" operator="between" text="未提供">
      <formula>NOT(ISERROR(SEARCH("未提供",R74)))</formula>
    </cfRule>
  </conditionalFormatting>
  <conditionalFormatting sqref="R76:R77">
    <cfRule type="containsText" dxfId="0" priority="150" operator="between" text="未提供">
      <formula>NOT(ISERROR(SEARCH("未提供",R76)))</formula>
    </cfRule>
  </conditionalFormatting>
  <conditionalFormatting sqref="R81:R82">
    <cfRule type="containsText" dxfId="0" priority="114" operator="between" text="未提供">
      <formula>NOT(ISERROR(SEARCH("未提供",R81)))</formula>
    </cfRule>
  </conditionalFormatting>
  <conditionalFormatting sqref="R84:R86">
    <cfRule type="containsText" dxfId="0" priority="88" operator="between" text="未确认/">
      <formula>NOT(ISERROR(SEARCH("未确认/",R84)))</formula>
    </cfRule>
    <cfRule type="containsText" dxfId="0" priority="87" operator="between" text="未确认//">
      <formula>NOT(ISERROR(SEARCH("未确认//",R84)))</formula>
    </cfRule>
    <cfRule type="containsText" dxfId="0" priority="86" operator="between" text="/">
      <formula>NOT(ISERROR(SEARCH("/",R84)))</formula>
    </cfRule>
    <cfRule type="containsText" dxfId="0" priority="85" operator="between" text="未确认">
      <formula>NOT(ISERROR(SEARCH("未确认",R84)))</formula>
    </cfRule>
  </conditionalFormatting>
  <conditionalFormatting sqref="R93:R95">
    <cfRule type="containsText" dxfId="0" priority="43" operator="between" text="未提供">
      <formula>NOT(ISERROR(SEARCH("未提供",R93)))</formula>
    </cfRule>
  </conditionalFormatting>
  <conditionalFormatting sqref="R103:R105">
    <cfRule type="containsText" dxfId="0" priority="11" operator="between" text="未提供">
      <formula>NOT(ISERROR(SEARCH("未提供",R103)))</formula>
    </cfRule>
  </conditionalFormatting>
  <conditionalFormatting sqref="R106:R141">
    <cfRule type="containsText" dxfId="0" priority="3" operator="between" text="未提供">
      <formula>NOT(ISERROR(SEARCH("未提供",R106)))</formula>
    </cfRule>
  </conditionalFormatting>
  <conditionalFormatting sqref="S6:S9">
    <cfRule type="containsText" dxfId="0" priority="485" operator="between" text="/">
      <formula>NOT(ISERROR(SEARCH("/",S6)))</formula>
    </cfRule>
  </conditionalFormatting>
  <conditionalFormatting sqref="S22:S23">
    <cfRule type="containsText" dxfId="0" priority="410" operator="between" text="未提供">
      <formula>NOT(ISERROR(SEARCH("未提供",S22)))</formula>
    </cfRule>
  </conditionalFormatting>
  <conditionalFormatting sqref="S24:S25">
    <cfRule type="containsText" dxfId="0" priority="401" operator="between" text="未确认">
      <formula>NOT(ISERROR(SEARCH("未确认",S24)))</formula>
    </cfRule>
    <cfRule type="containsText" dxfId="0" priority="402" operator="between" text="/">
      <formula>NOT(ISERROR(SEARCH("/",S24)))</formula>
    </cfRule>
    <cfRule type="containsText" dxfId="0" priority="403" operator="between" text="未确认//">
      <formula>NOT(ISERROR(SEARCH("未确认//",S24)))</formula>
    </cfRule>
    <cfRule type="containsText" dxfId="0" priority="404" operator="between" text="未确认/">
      <formula>NOT(ISERROR(SEARCH("未确认/",S24)))</formula>
    </cfRule>
  </conditionalFormatting>
  <conditionalFormatting sqref="S28:S29">
    <cfRule type="containsText" dxfId="0" priority="379" operator="between" text="未确认/">
      <formula>NOT(ISERROR(SEARCH("未确认/",S28)))</formula>
    </cfRule>
    <cfRule type="containsText" dxfId="0" priority="378" operator="between" text="未确认//">
      <formula>NOT(ISERROR(SEARCH("未确认//",S28)))</formula>
    </cfRule>
    <cfRule type="containsText" dxfId="0" priority="377" operator="between" text="/">
      <formula>NOT(ISERROR(SEARCH("/",S28)))</formula>
    </cfRule>
    <cfRule type="containsText" dxfId="0" priority="376" operator="between" text="未确认">
      <formula>NOT(ISERROR(SEARCH("未确认",S28)))</formula>
    </cfRule>
  </conditionalFormatting>
  <conditionalFormatting sqref="S31:S33">
    <cfRule type="containsText" dxfId="0" priority="360" operator="between" text="未确认/">
      <formula>NOT(ISERROR(SEARCH("未确认/",S31)))</formula>
    </cfRule>
    <cfRule type="containsText" dxfId="0" priority="359" operator="between" text="未确认//">
      <formula>NOT(ISERROR(SEARCH("未确认//",S31)))</formula>
    </cfRule>
    <cfRule type="containsText" dxfId="0" priority="358" operator="between" text="/">
      <formula>NOT(ISERROR(SEARCH("/",S31)))</formula>
    </cfRule>
    <cfRule type="containsText" dxfId="0" priority="357" operator="between" text="未确认">
      <formula>NOT(ISERROR(SEARCH("未确认",S31)))</formula>
    </cfRule>
  </conditionalFormatting>
  <conditionalFormatting sqref="S45:S50">
    <cfRule type="containsText" dxfId="0" priority="287" operator="between" text="否">
      <formula>NOT(ISERROR(SEARCH("否",S45)))</formula>
    </cfRule>
    <cfRule type="containsText" dxfId="0" priority="286" operator="between" text="欠">
      <formula>NOT(ISERROR(SEARCH("欠",S45)))</formula>
    </cfRule>
  </conditionalFormatting>
  <conditionalFormatting sqref="S51:S53">
    <cfRule type="containsText" dxfId="0" priority="285" operator="between" text="否">
      <formula>NOT(ISERROR(SEARCH("否",S51)))</formula>
    </cfRule>
    <cfRule type="containsText" dxfId="0" priority="284" operator="between" text="欠">
      <formula>NOT(ISERROR(SEARCH("欠",S51)))</formula>
    </cfRule>
  </conditionalFormatting>
  <conditionalFormatting sqref="S55:S58">
    <cfRule type="containsText" dxfId="0" priority="272" operator="between" text="未确认/">
      <formula>NOT(ISERROR(SEARCH("未确认/",S55)))</formula>
    </cfRule>
    <cfRule type="containsText" dxfId="0" priority="271" operator="between" text="未确认//">
      <formula>NOT(ISERROR(SEARCH("未确认//",S55)))</formula>
    </cfRule>
    <cfRule type="containsText" dxfId="0" priority="270" operator="between" text="/">
      <formula>NOT(ISERROR(SEARCH("/",S55)))</formula>
    </cfRule>
    <cfRule type="containsText" dxfId="0" priority="269" operator="between" text="未确认">
      <formula>NOT(ISERROR(SEARCH("未确认",S55)))</formula>
    </cfRule>
  </conditionalFormatting>
  <conditionalFormatting sqref="S61:S62">
    <cfRule type="containsText" dxfId="0" priority="243" operator="between" text="未确认">
      <formula>NOT(ISERROR(SEARCH("未确认",S61)))</formula>
    </cfRule>
    <cfRule type="containsText" dxfId="0" priority="244" operator="between" text="/">
      <formula>NOT(ISERROR(SEARCH("/",S61)))</formula>
    </cfRule>
    <cfRule type="containsText" dxfId="0" priority="245" operator="between" text="未确认//">
      <formula>NOT(ISERROR(SEARCH("未确认//",S61)))</formula>
    </cfRule>
    <cfRule type="containsText" dxfId="0" priority="246" operator="between" text="未确认/">
      <formula>NOT(ISERROR(SEARCH("未确认/",S61)))</formula>
    </cfRule>
  </conditionalFormatting>
  <conditionalFormatting sqref="S74:S75">
    <cfRule type="containsText" dxfId="0" priority="157" operator="between" text="未确认/">
      <formula>NOT(ISERROR(SEARCH("未确认/",S74)))</formula>
    </cfRule>
    <cfRule type="containsText" dxfId="0" priority="156" operator="between" text="未确认//">
      <formula>NOT(ISERROR(SEARCH("未确认//",S74)))</formula>
    </cfRule>
    <cfRule type="containsText" dxfId="0" priority="155" operator="between" text="/">
      <formula>NOT(ISERROR(SEARCH("/",S74)))</formula>
    </cfRule>
    <cfRule type="containsText" dxfId="0" priority="154" operator="between" text="未确认">
      <formula>NOT(ISERROR(SEARCH("未确认",S74)))</formula>
    </cfRule>
  </conditionalFormatting>
  <conditionalFormatting sqref="S84:S86">
    <cfRule type="containsText" dxfId="0" priority="95" operator="between" text="未确认/">
      <formula>NOT(ISERROR(SEARCH("未确认/",S84)))</formula>
    </cfRule>
    <cfRule type="containsText" dxfId="0" priority="94" operator="between" text="未确认//">
      <formula>NOT(ISERROR(SEARCH("未确认//",S84)))</formula>
    </cfRule>
    <cfRule type="containsText" dxfId="0" priority="93" operator="between" text="/">
      <formula>NOT(ISERROR(SEARCH("/",S84)))</formula>
    </cfRule>
    <cfRule type="containsText" dxfId="0" priority="92" operator="between" text="未确认">
      <formula>NOT(ISERROR(SEARCH("未确认",S84)))</formula>
    </cfRule>
  </conditionalFormatting>
  <conditionalFormatting sqref="S93:S95">
    <cfRule type="containsText" dxfId="0" priority="47" operator="between" text="未确认/">
      <formula>NOT(ISERROR(SEARCH("未确认/",S93)))</formula>
    </cfRule>
    <cfRule type="containsText" dxfId="0" priority="46" operator="between" text="未确认//">
      <formula>NOT(ISERROR(SEARCH("未确认//",S93)))</formula>
    </cfRule>
    <cfRule type="containsText" dxfId="0" priority="45" operator="between" text="/">
      <formula>NOT(ISERROR(SEARCH("/",S93)))</formula>
    </cfRule>
    <cfRule type="containsText" dxfId="0" priority="44" operator="between" text="未确认">
      <formula>NOT(ISERROR(SEARCH("未确认",S93)))</formula>
    </cfRule>
  </conditionalFormatting>
  <conditionalFormatting sqref="S103:S105">
    <cfRule type="containsText" dxfId="0" priority="12" operator="between" text="未确认">
      <formula>NOT(ISERROR(SEARCH("未确认",S103)))</formula>
    </cfRule>
    <cfRule type="containsText" dxfId="0" priority="13" operator="between" text="/">
      <formula>NOT(ISERROR(SEARCH("/",S103)))</formula>
    </cfRule>
    <cfRule type="containsText" dxfId="0" priority="14" operator="between" text="未确认//">
      <formula>NOT(ISERROR(SEARCH("未确认//",S103)))</formula>
    </cfRule>
    <cfRule type="containsText" dxfId="0" priority="15" operator="between" text="未确认/">
      <formula>NOT(ISERROR(SEARCH("未确认/",S103)))</formula>
    </cfRule>
  </conditionalFormatting>
  <conditionalFormatting sqref="S106:S141">
    <cfRule type="containsText" dxfId="0" priority="4" operator="between" text="未确认">
      <formula>NOT(ISERROR(SEARCH("未确认",S106)))</formula>
    </cfRule>
    <cfRule type="containsText" dxfId="0" priority="5" operator="between" text="/">
      <formula>NOT(ISERROR(SEARCH("/",S106)))</formula>
    </cfRule>
    <cfRule type="containsText" dxfId="0" priority="6" operator="between" text="未确认//">
      <formula>NOT(ISERROR(SEARCH("未确认//",S106)))</formula>
    </cfRule>
    <cfRule type="containsText" dxfId="0" priority="7" operator="between" text="未确认/">
      <formula>NOT(ISERROR(SEARCH("未确认/",S106)))</formula>
    </cfRule>
  </conditionalFormatting>
  <conditionalFormatting sqref="T45:T50">
    <cfRule type="containsText" dxfId="0" priority="289" operator="between" text="否">
      <formula>NOT(ISERROR(SEARCH("否",T45)))</formula>
    </cfRule>
    <cfRule type="containsText" dxfId="0" priority="288" operator="between" text="欠">
      <formula>NOT(ISERROR(SEARCH("欠",T45)))</formula>
    </cfRule>
  </conditionalFormatting>
  <conditionalFormatting sqref="T51:T53">
    <cfRule type="containsText" dxfId="0" priority="283" operator="between" text="否">
      <formula>NOT(ISERROR(SEARCH("否",T51)))</formula>
    </cfRule>
    <cfRule type="containsText" dxfId="0" priority="282" operator="between" text="欠">
      <formula>NOT(ISERROR(SEARCH("欠",T51)))</formula>
    </cfRule>
  </conditionalFormatting>
  <conditionalFormatting sqref="T72:T73">
    <cfRule type="containsText" dxfId="0" priority="169" operator="between" text="未提供">
      <formula>NOT(ISERROR(SEARCH("未提供",T72)))</formula>
    </cfRule>
  </conditionalFormatting>
  <conditionalFormatting sqref="T76:T77">
    <cfRule type="containsText" dxfId="0" priority="151" operator="between" text="未提供">
      <formula>NOT(ISERROR(SEARCH("未提供",T76)))</formula>
    </cfRule>
  </conditionalFormatting>
  <conditionalFormatting sqref="T84:T86">
    <cfRule type="containsText" dxfId="0" priority="96" operator="between" text="未提供">
      <formula>NOT(ISERROR(SEARCH("未提供",T84)))</formula>
    </cfRule>
  </conditionalFormatting>
  <conditionalFormatting sqref="U6:U9">
    <cfRule type="containsText" dxfId="0" priority="486" operator="between" text="欠">
      <formula>NOT(ISERROR(SEARCH("欠",U6)))</formula>
    </cfRule>
    <cfRule type="containsText" dxfId="0" priority="487" operator="between" text="否">
      <formula>NOT(ISERROR(SEARCH("否",U6)))</formula>
    </cfRule>
  </conditionalFormatting>
  <conditionalFormatting sqref="U22:U23">
    <cfRule type="containsText" dxfId="0" priority="406" operator="between" text="欠">
      <formula>NOT(ISERROR(SEARCH("欠",U22)))</formula>
    </cfRule>
    <cfRule type="containsText" dxfId="0" priority="407" operator="between" text="否">
      <formula>NOT(ISERROR(SEARCH("否",U22)))</formula>
    </cfRule>
  </conditionalFormatting>
  <conditionalFormatting sqref="U24:U25">
    <cfRule type="containsText" dxfId="0" priority="399" operator="between" text="欠">
      <formula>NOT(ISERROR(SEARCH("欠",U24)))</formula>
    </cfRule>
    <cfRule type="containsText" dxfId="0" priority="400" operator="between" text="否">
      <formula>NOT(ISERROR(SEARCH("否",U24)))</formula>
    </cfRule>
  </conditionalFormatting>
  <conditionalFormatting sqref="U28:U29">
    <cfRule type="containsText" dxfId="0" priority="375" operator="between" text="否">
      <formula>NOT(ISERROR(SEARCH("否",U28)))</formula>
    </cfRule>
    <cfRule type="containsText" dxfId="0" priority="374" operator="between" text="欠">
      <formula>NOT(ISERROR(SEARCH("欠",U28)))</formula>
    </cfRule>
  </conditionalFormatting>
  <conditionalFormatting sqref="U31:U33">
    <cfRule type="containsText" dxfId="0" priority="363" operator="between" text="否">
      <formula>NOT(ISERROR(SEARCH("否",U31)))</formula>
    </cfRule>
    <cfRule type="containsText" dxfId="0" priority="362" operator="between" text="欠">
      <formula>NOT(ISERROR(SEARCH("欠",U31)))</formula>
    </cfRule>
  </conditionalFormatting>
  <conditionalFormatting sqref="U34:U35">
    <cfRule type="containsText" dxfId="0" priority="343" operator="between" text="否">
      <formula>NOT(ISERROR(SEARCH("否",U34)))</formula>
    </cfRule>
    <cfRule type="containsText" dxfId="0" priority="342" operator="between" text="欠">
      <formula>NOT(ISERROR(SEARCH("欠",U34)))</formula>
    </cfRule>
  </conditionalFormatting>
  <conditionalFormatting sqref="U45:U53">
    <cfRule type="containsText" dxfId="0" priority="294" operator="between" text="否">
      <formula>NOT(ISERROR(SEARCH("否",U45)))</formula>
    </cfRule>
    <cfRule type="containsText" dxfId="0" priority="293" operator="between" text="欠">
      <formula>NOT(ISERROR(SEARCH("欠",U45)))</formula>
    </cfRule>
  </conditionalFormatting>
  <conditionalFormatting sqref="U55:U58">
    <cfRule type="containsText" dxfId="0" priority="268" operator="between" text="否">
      <formula>NOT(ISERROR(SEARCH("否",U55)))</formula>
    </cfRule>
    <cfRule type="containsText" dxfId="0" priority="267" operator="between" text="欠">
      <formula>NOT(ISERROR(SEARCH("欠",U55)))</formula>
    </cfRule>
  </conditionalFormatting>
  <conditionalFormatting sqref="U61:U62">
    <cfRule type="containsText" dxfId="0" priority="248" operator="between" text="欠">
      <formula>NOT(ISERROR(SEARCH("欠",U61)))</formula>
    </cfRule>
    <cfRule type="containsText" dxfId="0" priority="249" operator="between" text="否">
      <formula>NOT(ISERROR(SEARCH("否",U61)))</formula>
    </cfRule>
  </conditionalFormatting>
  <conditionalFormatting sqref="U72:U73">
    <cfRule type="containsText" dxfId="0" priority="168" operator="between" text="否">
      <formula>NOT(ISERROR(SEARCH("否",U72)))</formula>
    </cfRule>
    <cfRule type="containsText" dxfId="0" priority="167" operator="between" text="欠">
      <formula>NOT(ISERROR(SEARCH("欠",U72)))</formula>
    </cfRule>
  </conditionalFormatting>
  <conditionalFormatting sqref="U84:U86">
    <cfRule type="containsText" dxfId="0" priority="91" operator="between" text="否">
      <formula>NOT(ISERROR(SEARCH("否",U84)))</formula>
    </cfRule>
    <cfRule type="containsText" dxfId="0" priority="90" operator="between" text="欠">
      <formula>NOT(ISERROR(SEARCH("欠",U84)))</formula>
    </cfRule>
  </conditionalFormatting>
  <conditionalFormatting sqref="U93:U95">
    <cfRule type="containsText" dxfId="0" priority="36" operator="between" text="否">
      <formula>NOT(ISERROR(SEARCH("否",U93)))</formula>
    </cfRule>
    <cfRule type="containsText" dxfId="0" priority="35" operator="between" text="欠">
      <formula>NOT(ISERROR(SEARCH("欠",U93)))</formula>
    </cfRule>
  </conditionalFormatting>
  <conditionalFormatting sqref="U103:U105">
    <cfRule type="containsText" dxfId="0" priority="9" operator="between" text="欠">
      <formula>NOT(ISERROR(SEARCH("欠",U103)))</formula>
    </cfRule>
    <cfRule type="containsText" dxfId="0" priority="10" operator="between" text="否">
      <formula>NOT(ISERROR(SEARCH("否",U103)))</formula>
    </cfRule>
  </conditionalFormatting>
  <conditionalFormatting sqref="U106:U141">
    <cfRule type="containsText" dxfId="0" priority="1" operator="between" text="欠">
      <formula>NOT(ISERROR(SEARCH("欠",U106)))</formula>
    </cfRule>
    <cfRule type="containsText" dxfId="0" priority="2" operator="between" text="否">
      <formula>NOT(ISERROR(SEARCH("否",U106)))</formula>
    </cfRule>
  </conditionalFormatting>
  <conditionalFormatting sqref="T2 Q2">
    <cfRule type="containsText" dxfId="0" priority="513" operator="between" text="未提供">
      <formula>NOT(ISERROR(SEARCH("未提供",Q2)))</formula>
    </cfRule>
  </conditionalFormatting>
  <conditionalFormatting sqref="T3 Q3">
    <cfRule type="containsText" dxfId="0" priority="507" operator="between" text="未提供">
      <formula>NOT(ISERROR(SEARCH("未提供",Q3)))</formula>
    </cfRule>
  </conditionalFormatting>
  <conditionalFormatting sqref="T4 Q4">
    <cfRule type="containsText" dxfId="0" priority="506" operator="between" text="未提供">
      <formula>NOT(ISERROR(SEARCH("未提供",Q4)))</formula>
    </cfRule>
  </conditionalFormatting>
  <conditionalFormatting sqref="T5 Q5">
    <cfRule type="containsText" dxfId="0" priority="505" operator="between" text="未提供">
      <formula>NOT(ISERROR(SEARCH("未提供",Q5)))</formula>
    </cfRule>
  </conditionalFormatting>
  <conditionalFormatting sqref="T6:T9 Q6:Q9">
    <cfRule type="containsText" dxfId="0" priority="489" operator="between" text="未提供">
      <formula>NOT(ISERROR(SEARCH("未提供",Q6)))</formula>
    </cfRule>
  </conditionalFormatting>
  <conditionalFormatting sqref="T10 Q10">
    <cfRule type="containsText" dxfId="0" priority="484" operator="between" text="未提供">
      <formula>NOT(ISERROR(SEARCH("未提供",Q10)))</formula>
    </cfRule>
  </conditionalFormatting>
  <conditionalFormatting sqref="T11 Q11">
    <cfRule type="containsText" dxfId="0" priority="483" operator="between" text="未提供">
      <formula>NOT(ISERROR(SEARCH("未提供",Q11)))</formula>
    </cfRule>
  </conditionalFormatting>
  <conditionalFormatting sqref="T12 Q12">
    <cfRule type="containsText" dxfId="0" priority="482" operator="between" text="未提供">
      <formula>NOT(ISERROR(SEARCH("未提供",Q12)))</formula>
    </cfRule>
  </conditionalFormatting>
  <conditionalFormatting sqref="T13 Q13">
    <cfRule type="containsText" dxfId="0" priority="463" operator="between" text="未提供">
      <formula>NOT(ISERROR(SEARCH("未提供",Q13)))</formula>
    </cfRule>
  </conditionalFormatting>
  <conditionalFormatting sqref="T14 Q14">
    <cfRule type="containsText" dxfId="0" priority="462" operator="between" text="未提供">
      <formula>NOT(ISERROR(SEARCH("未提供",Q14)))</formula>
    </cfRule>
  </conditionalFormatting>
  <conditionalFormatting sqref="T15 Q15">
    <cfRule type="containsText" dxfId="0" priority="461" operator="between" text="未提供">
      <formula>NOT(ISERROR(SEARCH("未提供",Q15)))</formula>
    </cfRule>
  </conditionalFormatting>
  <conditionalFormatting sqref="T16 Q16">
    <cfRule type="containsText" dxfId="0" priority="460" operator="between" text="未提供">
      <formula>NOT(ISERROR(SEARCH("未提供",Q16)))</formula>
    </cfRule>
  </conditionalFormatting>
  <conditionalFormatting sqref="T17 Q17">
    <cfRule type="containsText" dxfId="0" priority="459" operator="between" text="未提供">
      <formula>NOT(ISERROR(SEARCH("未提供",Q17)))</formula>
    </cfRule>
  </conditionalFormatting>
  <conditionalFormatting sqref="T18 Q18">
    <cfRule type="containsText" dxfId="0" priority="458" operator="between" text="未提供">
      <formula>NOT(ISERROR(SEARCH("未提供",Q18)))</formula>
    </cfRule>
  </conditionalFormatting>
  <conditionalFormatting sqref="T19 Q19">
    <cfRule type="containsText" dxfId="0" priority="457" operator="between" text="未提供">
      <formula>NOT(ISERROR(SEARCH("未提供",Q19)))</formula>
    </cfRule>
  </conditionalFormatting>
  <conditionalFormatting sqref="T20 Q20">
    <cfRule type="containsText" dxfId="0" priority="456" operator="between" text="未提供">
      <formula>NOT(ISERROR(SEARCH("未提供",Q20)))</formula>
    </cfRule>
  </conditionalFormatting>
  <conditionalFormatting sqref="T21 Q21">
    <cfRule type="containsText" dxfId="0" priority="417" operator="between" text="未提供">
      <formula>NOT(ISERROR(SEARCH("未提供",Q21)))</formula>
    </cfRule>
  </conditionalFormatting>
  <conditionalFormatting sqref="Q24:Q25 T24:T25">
    <cfRule type="containsText" dxfId="0" priority="405" operator="between" text="未提供">
      <formula>NOT(ISERROR(SEARCH("未提供",Q24)))</formula>
    </cfRule>
  </conditionalFormatting>
  <conditionalFormatting sqref="Q26 T26">
    <cfRule type="containsText" dxfId="0" priority="396" operator="between" text="未提供">
      <formula>NOT(ISERROR(SEARCH("未提供",Q26)))</formula>
    </cfRule>
  </conditionalFormatting>
  <conditionalFormatting sqref="T27 Q27">
    <cfRule type="containsText" dxfId="0" priority="388" operator="between" text="未提供">
      <formula>NOT(ISERROR(SEARCH("未提供",Q27)))</formula>
    </cfRule>
  </conditionalFormatting>
  <conditionalFormatting sqref="T28:T29 Q28:Q29">
    <cfRule type="containsText" dxfId="0" priority="380" operator="between" text="未提供">
      <formula>NOT(ISERROR(SEARCH("未提供",Q28)))</formula>
    </cfRule>
  </conditionalFormatting>
  <conditionalFormatting sqref="Q30 T30">
    <cfRule type="containsText" dxfId="0" priority="372" operator="between" text="未提供">
      <formula>NOT(ISERROR(SEARCH("未提供",Q30)))</formula>
    </cfRule>
  </conditionalFormatting>
  <conditionalFormatting sqref="Q31:Q33 T31:T33">
    <cfRule type="containsText" dxfId="0" priority="364" operator="between" text="未提供">
      <formula>NOT(ISERROR(SEARCH("未提供",Q31)))</formula>
    </cfRule>
  </conditionalFormatting>
  <conditionalFormatting sqref="Q36 T36 Q37 T37 Q38:Q39 T38:T39">
    <cfRule type="containsText" dxfId="0" priority="341" operator="between" text="未提供">
      <formula>NOT(ISERROR(SEARCH("未提供",Q36)))</formula>
    </cfRule>
  </conditionalFormatting>
  <conditionalFormatting sqref="S36 S37 S38:S39">
    <cfRule type="containsText" dxfId="0" priority="339" operator="between" text="未确认/">
      <formula>NOT(ISERROR(SEARCH("未确认/",S36)))</formula>
    </cfRule>
    <cfRule type="containsText" dxfId="0" priority="338" operator="between" text="未确认//">
      <formula>NOT(ISERROR(SEARCH("未确认//",S36)))</formula>
    </cfRule>
    <cfRule type="containsText" dxfId="0" priority="337" operator="between" text="/">
      <formula>NOT(ISERROR(SEARCH("/",S36)))</formula>
    </cfRule>
    <cfRule type="containsText" dxfId="0" priority="336" operator="between" text="未确认">
      <formula>NOT(ISERROR(SEARCH("未确认",S36)))</formula>
    </cfRule>
  </conditionalFormatting>
  <conditionalFormatting sqref="R37 R39">
    <cfRule type="containsText" dxfId="0" priority="340" operator="between" text="/">
      <formula>NOT(ISERROR(SEARCH("/",R37)))</formula>
    </cfRule>
  </conditionalFormatting>
  <conditionalFormatting sqref="U37 U38:U39">
    <cfRule type="containsText" dxfId="0" priority="335" operator="between" text="否">
      <formula>NOT(ISERROR(SEARCH("否",U37)))</formula>
    </cfRule>
    <cfRule type="containsText" dxfId="0" priority="334" operator="between" text="欠">
      <formula>NOT(ISERROR(SEARCH("欠",U37)))</formula>
    </cfRule>
  </conditionalFormatting>
  <conditionalFormatting sqref="T43 Q43">
    <cfRule type="containsText" dxfId="0" priority="311" operator="between" text="未提供">
      <formula>NOT(ISERROR(SEARCH("未提供",Q43)))</formula>
    </cfRule>
  </conditionalFormatting>
  <conditionalFormatting sqref="Q44 T44">
    <cfRule type="containsText" dxfId="0" priority="303" operator="between" text="未提供">
      <formula>NOT(ISERROR(SEARCH("未提供",Q44)))</formula>
    </cfRule>
  </conditionalFormatting>
  <conditionalFormatting sqref="Q54 T54">
    <cfRule type="containsText" dxfId="0" priority="281" operator="between" text="未提供">
      <formula>NOT(ISERROR(SEARCH("未提供",Q54)))</formula>
    </cfRule>
  </conditionalFormatting>
  <conditionalFormatting sqref="Q55:Q58 T55:T58">
    <cfRule type="containsText" dxfId="0" priority="273" operator="between" text="未提供">
      <formula>NOT(ISERROR(SEARCH("未提供",Q55)))</formula>
    </cfRule>
  </conditionalFormatting>
  <conditionalFormatting sqref="T59 Q59">
    <cfRule type="containsText" dxfId="0" priority="263" operator="between" text="未提供">
      <formula>NOT(ISERROR(SEARCH("未提供",Q59)))</formula>
    </cfRule>
  </conditionalFormatting>
  <conditionalFormatting sqref="T60 Q60">
    <cfRule type="containsText" dxfId="0" priority="255" operator="between" text="未提供">
      <formula>NOT(ISERROR(SEARCH("未提供",Q60)))</formula>
    </cfRule>
  </conditionalFormatting>
  <conditionalFormatting sqref="T61:T62 Q61:Q62">
    <cfRule type="containsText" dxfId="0" priority="247" operator="between" text="未提供">
      <formula>NOT(ISERROR(SEARCH("未提供",Q61)))</formula>
    </cfRule>
  </conditionalFormatting>
  <conditionalFormatting sqref="T63 Q63">
    <cfRule type="containsText" dxfId="0" priority="222" operator="between" text="未提供">
      <formula>NOT(ISERROR(SEARCH("未提供",Q63)))</formula>
    </cfRule>
  </conditionalFormatting>
  <conditionalFormatting sqref="T64 Q64">
    <cfRule type="containsText" dxfId="0" priority="221" operator="between" text="未提供">
      <formula>NOT(ISERROR(SEARCH("未提供",Q64)))</formula>
    </cfRule>
  </conditionalFormatting>
  <conditionalFormatting sqref="T65 Q65">
    <cfRule type="containsText" dxfId="0" priority="220" operator="between" text="未提供">
      <formula>NOT(ISERROR(SEARCH("未提供",Q65)))</formula>
    </cfRule>
  </conditionalFormatting>
  <conditionalFormatting sqref="T66 Q66">
    <cfRule type="containsText" dxfId="0" priority="202" operator="between" text="未提供">
      <formula>NOT(ISERROR(SEARCH("未提供",Q66)))</formula>
    </cfRule>
  </conditionalFormatting>
  <conditionalFormatting sqref="T69 Q69">
    <cfRule type="containsText" dxfId="0" priority="184" operator="between" text="未提供">
      <formula>NOT(ISERROR(SEARCH("未提供",Q69)))</formula>
    </cfRule>
  </conditionalFormatting>
  <conditionalFormatting sqref="T71 Q71">
    <cfRule type="containsText" dxfId="0" priority="174" operator="between" text="未提供">
      <formula>NOT(ISERROR(SEARCH("未提供",Q71)))</formula>
    </cfRule>
  </conditionalFormatting>
  <conditionalFormatting sqref="T74:T75 Q74:Q75">
    <cfRule type="containsText" dxfId="0" priority="158" operator="between" text="未提供">
      <formula>NOT(ISERROR(SEARCH("未提供",Q74)))</formula>
    </cfRule>
  </conditionalFormatting>
  <conditionalFormatting sqref="U74:U75 U76:U77">
    <cfRule type="containsText" dxfId="0" priority="153" operator="between" text="否">
      <formula>NOT(ISERROR(SEARCH("否",U74)))</formula>
    </cfRule>
    <cfRule type="containsText" dxfId="0" priority="152" operator="between" text="欠">
      <formula>NOT(ISERROR(SEARCH("欠",U74)))</formula>
    </cfRule>
  </conditionalFormatting>
  <conditionalFormatting sqref="Q83 Q91:Q92">
    <cfRule type="containsText" dxfId="0" priority="97" operator="between" text="未提供">
      <formula>NOT(ISERROR(SEARCH("未提供",Q83)))</formula>
    </cfRule>
  </conditionalFormatting>
  <conditionalFormatting sqref="R83 R91:R92">
    <cfRule type="containsText" dxfId="0" priority="98" operator="between" text="未提供">
      <formula>NOT(ISERROR(SEARCH("未提供",R83)))</formula>
    </cfRule>
  </conditionalFormatting>
  <conditionalFormatting sqref="S83 S91:S92">
    <cfRule type="containsText" dxfId="0" priority="99" operator="between" text="未确认">
      <formula>NOT(ISERROR(SEARCH("未确认",S83)))</formula>
    </cfRule>
    <cfRule type="containsText" dxfId="0" priority="100" operator="between" text="/">
      <formula>NOT(ISERROR(SEARCH("/",S83)))</formula>
    </cfRule>
    <cfRule type="containsText" dxfId="0" priority="101" operator="between" text="未确认//">
      <formula>NOT(ISERROR(SEARCH("未确认//",S83)))</formula>
    </cfRule>
    <cfRule type="containsText" dxfId="0" priority="102" operator="between" text="未确认/">
      <formula>NOT(ISERROR(SEARCH("未确认/",S83)))</formula>
    </cfRule>
  </conditionalFormatting>
  <conditionalFormatting sqref="T83 T91:T92">
    <cfRule type="containsText" dxfId="0" priority="103" operator="between" text="未提供">
      <formula>NOT(ISERROR(SEARCH("未提供",T83)))</formula>
    </cfRule>
  </conditionalFormatting>
  <conditionalFormatting sqref="U83 U91:U92">
    <cfRule type="containsText" dxfId="0" priority="104" operator="between" text="欠">
      <formula>NOT(ISERROR(SEARCH("欠",U83)))</formula>
    </cfRule>
    <cfRule type="containsText" dxfId="0" priority="105" operator="between" text="否">
      <formula>NOT(ISERROR(SEARCH("否",U83)))</formula>
    </cfRule>
  </conditionalFormatting>
  <conditionalFormatting sqref="Q88 T88">
    <cfRule type="containsText" dxfId="0" priority="75" operator="between" text="未提供">
      <formula>NOT(ISERROR(SEARCH("未提供",Q88)))</formula>
    </cfRule>
  </conditionalFormatting>
  <conditionalFormatting sqref="U90 R90">
    <cfRule type="containsText" dxfId="0" priority="58" operator="between" text="未提供">
      <formula>NOT(ISERROR(SEARCH("未提供",R90)))</formula>
    </cfRule>
  </conditionalFormatting>
  <conditionalFormatting sqref="Q93:Q95 T93:T95">
    <cfRule type="containsText" dxfId="0" priority="48" operator="between" text="未提供">
      <formula>NOT(ISERROR(SEARCH("未提供",Q93)))</formula>
    </cfRule>
  </conditionalFormatting>
  <conditionalFormatting sqref="Q96:Q97 T96:T97">
    <cfRule type="containsText" dxfId="0" priority="42" operator="between" text="未提供">
      <formula>NOT(ISERROR(SEARCH("未提供",Q96)))</formula>
    </cfRule>
  </conditionalFormatting>
  <conditionalFormatting sqref="R96:R97 R99:R101 R142">
    <cfRule type="containsText" dxfId="0" priority="37" operator="between" text="未提供">
      <formula>NOT(ISERROR(SEARCH("未提供",R96)))</formula>
    </cfRule>
  </conditionalFormatting>
  <conditionalFormatting sqref="S96:S97 S99:S101 S142">
    <cfRule type="containsText" dxfId="0" priority="38" operator="between" text="未确认">
      <formula>NOT(ISERROR(SEARCH("未确认",S96)))</formula>
    </cfRule>
    <cfRule type="containsText" dxfId="0" priority="39" operator="between" text="/">
      <formula>NOT(ISERROR(SEARCH("/",S96)))</formula>
    </cfRule>
    <cfRule type="containsText" dxfId="0" priority="40" operator="between" text="未确认//">
      <formula>NOT(ISERROR(SEARCH("未确认//",S96)))</formula>
    </cfRule>
    <cfRule type="containsText" dxfId="0" priority="41" operator="between" text="未确认/">
      <formula>NOT(ISERROR(SEARCH("未确认/",S96)))</formula>
    </cfRule>
  </conditionalFormatting>
  <conditionalFormatting sqref="U96:U97 U99:U101 U142">
    <cfRule type="containsText" dxfId="0" priority="33" operator="between" text="欠">
      <formula>NOT(ISERROR(SEARCH("欠",U96)))</formula>
    </cfRule>
    <cfRule type="containsText" dxfId="0" priority="34" operator="between" text="否">
      <formula>NOT(ISERROR(SEARCH("否",U96)))</formula>
    </cfRule>
  </conditionalFormatting>
  <conditionalFormatting sqref="Q98 T98">
    <cfRule type="containsText" dxfId="0" priority="32" operator="between" text="未提供">
      <formula>NOT(ISERROR(SEARCH("未提供",Q98)))</formula>
    </cfRule>
  </conditionalFormatting>
  <conditionalFormatting sqref="Q102 T102">
    <cfRule type="containsText" dxfId="0" priority="24" operator="between" text="未提供">
      <formula>NOT(ISERROR(SEARCH("未提供",Q102)))</formula>
    </cfRule>
  </conditionalFormatting>
  <conditionalFormatting sqref="Q103:Q105 T103:T105">
    <cfRule type="containsText" dxfId="0" priority="16" operator="between" text="未提供">
      <formula>NOT(ISERROR(SEARCH("未提供",Q103)))</formula>
    </cfRule>
  </conditionalFormatting>
  <conditionalFormatting sqref="Q106:Q111 T106:T111">
    <cfRule type="containsText" dxfId="0" priority="8" operator="between" text="未提供">
      <formula>NOT(ISERROR(SEARCH("未提供",Q106)))</formula>
    </cfRule>
  </conditionalFormatting>
  <pageMargins left="0.75" right="0.75" top="1" bottom="1" header="0.5" footer="0.5"/>
  <pageSetup paperSize="9" orientation="portrait"/>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78"/>
  <sheetViews>
    <sheetView workbookViewId="0">
      <pane ySplit="1" topLeftCell="A86" activePane="bottomLeft" state="frozen"/>
      <selection/>
      <selection pane="bottomLeft" activeCell="L93" sqref="L93"/>
    </sheetView>
  </sheetViews>
  <sheetFormatPr defaultColWidth="10" defaultRowHeight="11.25"/>
  <cols>
    <col min="1" max="1" width="15" style="59" customWidth="1"/>
    <col min="2" max="3" width="10" style="52"/>
    <col min="4" max="4" width="21.225" style="52" customWidth="1"/>
    <col min="5" max="5" width="14.4416666666667" style="52" customWidth="1"/>
    <col min="6" max="6" width="10" style="52"/>
    <col min="7" max="7" width="19.3083333333333" style="52" customWidth="1"/>
    <col min="8" max="8" width="8.44166666666667" style="200" customWidth="1"/>
    <col min="9" max="9" width="6.66666666666667" style="200" customWidth="1"/>
    <col min="10" max="10" width="6.55833333333333" style="52" customWidth="1"/>
    <col min="11" max="11" width="14.3333333333333" style="59" customWidth="1"/>
    <col min="12" max="12" width="75.8083333333333" style="201" customWidth="1"/>
    <col min="13" max="13" width="11.2666666666667" style="52" customWidth="1"/>
    <col min="14" max="14" width="15.25" style="52" customWidth="1"/>
    <col min="15" max="16384" width="10" style="52"/>
  </cols>
  <sheetData>
    <row r="1" s="198" customFormat="1" ht="25" customHeight="1" spans="1:14">
      <c r="A1" s="202" t="s">
        <v>659</v>
      </c>
      <c r="B1" s="96" t="s">
        <v>3</v>
      </c>
      <c r="C1" s="96" t="s">
        <v>418</v>
      </c>
      <c r="D1" s="96" t="s">
        <v>2</v>
      </c>
      <c r="E1" s="96" t="s">
        <v>419</v>
      </c>
      <c r="F1" s="96" t="s">
        <v>5</v>
      </c>
      <c r="G1" s="96" t="s">
        <v>6</v>
      </c>
      <c r="H1" s="203" t="s">
        <v>7</v>
      </c>
      <c r="I1" s="203" t="s">
        <v>8</v>
      </c>
      <c r="J1" s="96" t="s">
        <v>9</v>
      </c>
      <c r="K1" s="202" t="s">
        <v>660</v>
      </c>
      <c r="L1" s="204" t="s">
        <v>437</v>
      </c>
      <c r="M1" s="96" t="s">
        <v>661</v>
      </c>
    </row>
    <row r="2" s="199" customFormat="1" ht="25" customHeight="1" spans="1:14">
      <c r="A2" s="205">
        <v>46029</v>
      </c>
      <c r="B2" s="206" t="s">
        <v>79</v>
      </c>
      <c r="C2" s="207" t="s">
        <v>445</v>
      </c>
      <c r="D2" s="206" t="s">
        <v>662</v>
      </c>
      <c r="E2" s="206" t="s">
        <v>663</v>
      </c>
      <c r="F2" s="206" t="s">
        <v>49</v>
      </c>
      <c r="G2" s="206" t="s">
        <v>144</v>
      </c>
      <c r="H2" s="208">
        <v>1044</v>
      </c>
      <c r="I2" s="208">
        <v>4</v>
      </c>
      <c r="J2" s="206">
        <f t="shared" ref="J2:J63" si="0">H2/I2</f>
        <v>261</v>
      </c>
      <c r="K2" s="205">
        <v>46112</v>
      </c>
      <c r="L2" s="128" t="s">
        <v>453</v>
      </c>
      <c r="M2" s="209">
        <v>46042</v>
      </c>
    </row>
    <row r="3" s="88" customFormat="1" ht="25" customHeight="1" spans="1:14">
      <c r="A3" s="97">
        <v>46029</v>
      </c>
      <c r="B3" s="99" t="s">
        <v>79</v>
      </c>
      <c r="C3" s="98" t="s">
        <v>445</v>
      </c>
      <c r="D3" s="99" t="s">
        <v>662</v>
      </c>
      <c r="E3" s="99" t="s">
        <v>663</v>
      </c>
      <c r="F3" s="99" t="s">
        <v>25</v>
      </c>
      <c r="G3" s="99" t="s">
        <v>664</v>
      </c>
      <c r="H3" s="100">
        <v>804</v>
      </c>
      <c r="I3" s="100">
        <v>6</v>
      </c>
      <c r="J3" s="99">
        <f t="shared" si="0"/>
        <v>134</v>
      </c>
      <c r="K3" s="97">
        <v>46119</v>
      </c>
      <c r="L3" s="109" t="s">
        <v>665</v>
      </c>
      <c r="M3" s="99" t="s">
        <v>666</v>
      </c>
    </row>
    <row r="4" s="199" customFormat="1" ht="25" customHeight="1" spans="1:14">
      <c r="A4" s="205">
        <v>46037</v>
      </c>
      <c r="B4" s="206" t="s">
        <v>88</v>
      </c>
      <c r="C4" s="207" t="s">
        <v>445</v>
      </c>
      <c r="D4" s="206" t="s">
        <v>667</v>
      </c>
      <c r="E4" s="206" t="s">
        <v>663</v>
      </c>
      <c r="F4" s="206" t="s">
        <v>49</v>
      </c>
      <c r="G4" s="206" t="s">
        <v>144</v>
      </c>
      <c r="H4" s="208">
        <v>600</v>
      </c>
      <c r="I4" s="208">
        <v>4</v>
      </c>
      <c r="J4" s="206">
        <f t="shared" si="0"/>
        <v>150</v>
      </c>
      <c r="K4" s="205">
        <v>46091</v>
      </c>
      <c r="L4" s="128" t="s">
        <v>668</v>
      </c>
      <c r="M4" s="206"/>
    </row>
    <row r="5" s="199" customFormat="1" ht="25" customHeight="1" spans="1:14">
      <c r="A5" s="205">
        <v>46049</v>
      </c>
      <c r="B5" s="206" t="s">
        <v>241</v>
      </c>
      <c r="C5" s="207" t="s">
        <v>445</v>
      </c>
      <c r="D5" s="206" t="s">
        <v>240</v>
      </c>
      <c r="E5" s="206" t="s">
        <v>663</v>
      </c>
      <c r="F5" s="206" t="s">
        <v>118</v>
      </c>
      <c r="G5" s="206" t="s">
        <v>119</v>
      </c>
      <c r="H5" s="208">
        <v>4920</v>
      </c>
      <c r="I5" s="208">
        <v>6</v>
      </c>
      <c r="J5" s="206">
        <f t="shared" si="0"/>
        <v>820</v>
      </c>
      <c r="K5" s="205">
        <v>46119</v>
      </c>
      <c r="L5" s="128" t="s">
        <v>669</v>
      </c>
      <c r="M5" s="206"/>
    </row>
    <row r="6" s="199" customFormat="1" ht="25" customHeight="1" spans="1:14">
      <c r="A6" s="205">
        <v>46049</v>
      </c>
      <c r="B6" s="206" t="s">
        <v>241</v>
      </c>
      <c r="C6" s="207" t="s">
        <v>445</v>
      </c>
      <c r="D6" s="206" t="s">
        <v>240</v>
      </c>
      <c r="E6" s="206" t="s">
        <v>663</v>
      </c>
      <c r="F6" s="206" t="s">
        <v>49</v>
      </c>
      <c r="G6" s="206" t="s">
        <v>144</v>
      </c>
      <c r="H6" s="208">
        <v>656</v>
      </c>
      <c r="I6" s="208">
        <v>4</v>
      </c>
      <c r="J6" s="206">
        <f t="shared" si="0"/>
        <v>164</v>
      </c>
      <c r="K6" s="205">
        <v>46119</v>
      </c>
      <c r="L6" s="128" t="s">
        <v>670</v>
      </c>
      <c r="M6" s="206"/>
    </row>
    <row r="7" s="199" customFormat="1" ht="25" customHeight="1" spans="1:14">
      <c r="A7" s="205">
        <v>46049</v>
      </c>
      <c r="B7" s="206" t="s">
        <v>79</v>
      </c>
      <c r="C7" s="207" t="s">
        <v>445</v>
      </c>
      <c r="D7" s="206" t="s">
        <v>671</v>
      </c>
      <c r="E7" s="206" t="s">
        <v>663</v>
      </c>
      <c r="F7" s="206" t="s">
        <v>49</v>
      </c>
      <c r="G7" s="206" t="s">
        <v>144</v>
      </c>
      <c r="H7" s="208">
        <v>844</v>
      </c>
      <c r="I7" s="208">
        <v>4</v>
      </c>
      <c r="J7" s="206">
        <f t="shared" si="0"/>
        <v>211</v>
      </c>
      <c r="K7" s="205">
        <v>46126</v>
      </c>
      <c r="L7" s="128" t="s">
        <v>453</v>
      </c>
      <c r="M7" s="209">
        <v>46050</v>
      </c>
    </row>
    <row r="8" s="199" customFormat="1" ht="25" customHeight="1" spans="1:14">
      <c r="A8" s="205">
        <v>46049</v>
      </c>
      <c r="B8" s="206" t="s">
        <v>84</v>
      </c>
      <c r="C8" s="207" t="s">
        <v>445</v>
      </c>
      <c r="D8" s="206" t="s">
        <v>671</v>
      </c>
      <c r="E8" s="206" t="s">
        <v>663</v>
      </c>
      <c r="F8" s="206" t="s">
        <v>49</v>
      </c>
      <c r="G8" s="206" t="s">
        <v>144</v>
      </c>
      <c r="H8" s="208">
        <v>24</v>
      </c>
      <c r="I8" s="208">
        <v>4</v>
      </c>
      <c r="J8" s="206">
        <f t="shared" si="0"/>
        <v>6</v>
      </c>
      <c r="K8" s="205">
        <v>46126</v>
      </c>
      <c r="L8" s="128" t="s">
        <v>453</v>
      </c>
      <c r="M8" s="209">
        <v>46050</v>
      </c>
    </row>
    <row r="9" s="199" customFormat="1" ht="25" customHeight="1" spans="1:14">
      <c r="A9" s="205">
        <v>46050</v>
      </c>
      <c r="B9" s="206" t="s">
        <v>150</v>
      </c>
      <c r="C9" s="207" t="s">
        <v>445</v>
      </c>
      <c r="D9" s="206" t="s">
        <v>149</v>
      </c>
      <c r="E9" s="206" t="s">
        <v>663</v>
      </c>
      <c r="F9" s="206" t="s">
        <v>67</v>
      </c>
      <c r="G9" s="206" t="s">
        <v>152</v>
      </c>
      <c r="H9" s="208">
        <v>2004</v>
      </c>
      <c r="I9" s="208">
        <v>6</v>
      </c>
      <c r="J9" s="206">
        <f t="shared" si="0"/>
        <v>334</v>
      </c>
      <c r="K9" s="205">
        <v>46122</v>
      </c>
      <c r="L9" s="210" t="s">
        <v>672</v>
      </c>
      <c r="M9" s="209">
        <v>46080</v>
      </c>
    </row>
    <row r="10" s="199" customFormat="1" ht="25" customHeight="1" spans="1:14">
      <c r="A10" s="205">
        <v>46052</v>
      </c>
      <c r="B10" s="206" t="s">
        <v>79</v>
      </c>
      <c r="C10" s="207" t="s">
        <v>445</v>
      </c>
      <c r="D10" s="206" t="s">
        <v>78</v>
      </c>
      <c r="E10" s="206" t="s">
        <v>663</v>
      </c>
      <c r="F10" s="206" t="s">
        <v>12</v>
      </c>
      <c r="G10" s="206" t="s">
        <v>121</v>
      </c>
      <c r="H10" s="208">
        <v>1560</v>
      </c>
      <c r="I10" s="208">
        <v>6</v>
      </c>
      <c r="J10" s="206">
        <f t="shared" si="0"/>
        <v>260</v>
      </c>
      <c r="K10" s="205">
        <v>46111</v>
      </c>
      <c r="L10" s="128" t="s">
        <v>673</v>
      </c>
      <c r="M10" s="209">
        <v>46057</v>
      </c>
    </row>
    <row r="11" s="199" customFormat="1" ht="25" customHeight="1" spans="1:14">
      <c r="A11" s="205">
        <v>46052</v>
      </c>
      <c r="B11" s="206" t="s">
        <v>84</v>
      </c>
      <c r="C11" s="207" t="s">
        <v>445</v>
      </c>
      <c r="D11" s="206" t="s">
        <v>78</v>
      </c>
      <c r="E11" s="206" t="s">
        <v>663</v>
      </c>
      <c r="F11" s="206" t="s">
        <v>12</v>
      </c>
      <c r="G11" s="206" t="s">
        <v>121</v>
      </c>
      <c r="H11" s="208">
        <v>240</v>
      </c>
      <c r="I11" s="208">
        <v>6</v>
      </c>
      <c r="J11" s="206">
        <f t="shared" si="0"/>
        <v>40</v>
      </c>
      <c r="K11" s="205">
        <v>46111</v>
      </c>
      <c r="L11" s="128" t="s">
        <v>673</v>
      </c>
      <c r="M11" s="209">
        <v>46057</v>
      </c>
    </row>
    <row r="12" s="199" customFormat="1" ht="25" customHeight="1" spans="1:14">
      <c r="A12" s="205">
        <v>46052</v>
      </c>
      <c r="B12" s="206" t="s">
        <v>79</v>
      </c>
      <c r="C12" s="207" t="s">
        <v>445</v>
      </c>
      <c r="D12" s="206" t="s">
        <v>78</v>
      </c>
      <c r="E12" s="206" t="s">
        <v>663</v>
      </c>
      <c r="F12" s="206" t="s">
        <v>136</v>
      </c>
      <c r="G12" s="206" t="s">
        <v>137</v>
      </c>
      <c r="H12" s="208">
        <v>1500</v>
      </c>
      <c r="I12" s="208">
        <v>6</v>
      </c>
      <c r="J12" s="206">
        <f t="shared" si="0"/>
        <v>250</v>
      </c>
      <c r="K12" s="205">
        <v>46111</v>
      </c>
      <c r="L12" s="128" t="s">
        <v>673</v>
      </c>
      <c r="M12" s="209">
        <v>46057</v>
      </c>
    </row>
    <row r="13" s="199" customFormat="1" ht="25" customHeight="1" spans="1:14">
      <c r="A13" s="205">
        <v>46052</v>
      </c>
      <c r="B13" s="206" t="s">
        <v>84</v>
      </c>
      <c r="C13" s="207" t="s">
        <v>445</v>
      </c>
      <c r="D13" s="206" t="s">
        <v>78</v>
      </c>
      <c r="E13" s="206" t="s">
        <v>663</v>
      </c>
      <c r="F13" s="206" t="s">
        <v>136</v>
      </c>
      <c r="G13" s="206" t="s">
        <v>137</v>
      </c>
      <c r="H13" s="208">
        <v>240</v>
      </c>
      <c r="I13" s="208">
        <v>6</v>
      </c>
      <c r="J13" s="206">
        <f t="shared" si="0"/>
        <v>40</v>
      </c>
      <c r="K13" s="205">
        <v>46111</v>
      </c>
      <c r="L13" s="128" t="s">
        <v>673</v>
      </c>
      <c r="M13" s="209">
        <v>46057</v>
      </c>
    </row>
    <row r="14" s="199" customFormat="1" ht="25" customHeight="1" spans="1:14">
      <c r="A14" s="205">
        <v>46052</v>
      </c>
      <c r="B14" s="206" t="s">
        <v>79</v>
      </c>
      <c r="C14" s="207" t="s">
        <v>445</v>
      </c>
      <c r="D14" s="206" t="s">
        <v>78</v>
      </c>
      <c r="E14" s="206" t="s">
        <v>663</v>
      </c>
      <c r="F14" s="206" t="s">
        <v>12</v>
      </c>
      <c r="G14" s="206" t="s">
        <v>121</v>
      </c>
      <c r="H14" s="208">
        <v>1440</v>
      </c>
      <c r="I14" s="208">
        <v>6</v>
      </c>
      <c r="J14" s="206">
        <f t="shared" si="0"/>
        <v>240</v>
      </c>
      <c r="K14" s="205">
        <v>46125</v>
      </c>
      <c r="L14" s="128" t="s">
        <v>673</v>
      </c>
      <c r="M14" s="209">
        <v>46057</v>
      </c>
      <c r="N14" s="199" t="s">
        <v>674</v>
      </c>
    </row>
    <row r="15" s="199" customFormat="1" ht="25" customHeight="1" spans="1:14">
      <c r="A15" s="205">
        <v>46052</v>
      </c>
      <c r="B15" s="206" t="s">
        <v>84</v>
      </c>
      <c r="C15" s="207" t="s">
        <v>445</v>
      </c>
      <c r="D15" s="206" t="s">
        <v>78</v>
      </c>
      <c r="E15" s="206" t="s">
        <v>663</v>
      </c>
      <c r="F15" s="206" t="s">
        <v>12</v>
      </c>
      <c r="G15" s="206" t="s">
        <v>121</v>
      </c>
      <c r="H15" s="208">
        <v>240</v>
      </c>
      <c r="I15" s="208">
        <v>6</v>
      </c>
      <c r="J15" s="206">
        <f t="shared" si="0"/>
        <v>40</v>
      </c>
      <c r="K15" s="205">
        <v>46125</v>
      </c>
      <c r="L15" s="128" t="s">
        <v>673</v>
      </c>
      <c r="M15" s="209">
        <v>46057</v>
      </c>
      <c r="N15" s="199" t="s">
        <v>674</v>
      </c>
    </row>
    <row r="16" s="199" customFormat="1" ht="25" customHeight="1" spans="1:14">
      <c r="A16" s="205">
        <v>46052</v>
      </c>
      <c r="B16" s="206" t="s">
        <v>79</v>
      </c>
      <c r="C16" s="207" t="s">
        <v>445</v>
      </c>
      <c r="D16" s="206" t="s">
        <v>78</v>
      </c>
      <c r="E16" s="206" t="s">
        <v>663</v>
      </c>
      <c r="F16" s="206" t="s">
        <v>136</v>
      </c>
      <c r="G16" s="206" t="s">
        <v>137</v>
      </c>
      <c r="H16" s="208">
        <v>1260</v>
      </c>
      <c r="I16" s="208">
        <v>6</v>
      </c>
      <c r="J16" s="206">
        <f t="shared" si="0"/>
        <v>210</v>
      </c>
      <c r="K16" s="205">
        <v>46139</v>
      </c>
      <c r="L16" s="128" t="s">
        <v>673</v>
      </c>
      <c r="M16" s="209">
        <v>46057</v>
      </c>
    </row>
    <row r="17" s="199" customFormat="1" ht="25" customHeight="1" spans="1:13">
      <c r="A17" s="205">
        <v>46052</v>
      </c>
      <c r="B17" s="206" t="s">
        <v>84</v>
      </c>
      <c r="C17" s="207" t="s">
        <v>445</v>
      </c>
      <c r="D17" s="206" t="s">
        <v>78</v>
      </c>
      <c r="E17" s="206" t="s">
        <v>663</v>
      </c>
      <c r="F17" s="206" t="s">
        <v>136</v>
      </c>
      <c r="G17" s="206" t="s">
        <v>137</v>
      </c>
      <c r="H17" s="208">
        <v>186</v>
      </c>
      <c r="I17" s="208">
        <v>6</v>
      </c>
      <c r="J17" s="206">
        <f t="shared" si="0"/>
        <v>31</v>
      </c>
      <c r="K17" s="205">
        <v>46139</v>
      </c>
      <c r="L17" s="128" t="s">
        <v>673</v>
      </c>
      <c r="M17" s="209">
        <v>46057</v>
      </c>
    </row>
    <row r="18" s="199" customFormat="1" ht="25" customHeight="1" spans="1:13">
      <c r="A18" s="205">
        <v>46059</v>
      </c>
      <c r="B18" s="206" t="s">
        <v>79</v>
      </c>
      <c r="C18" s="207" t="s">
        <v>445</v>
      </c>
      <c r="D18" s="206" t="s">
        <v>78</v>
      </c>
      <c r="E18" s="206" t="s">
        <v>663</v>
      </c>
      <c r="F18" s="206" t="s">
        <v>49</v>
      </c>
      <c r="G18" s="206" t="s">
        <v>144</v>
      </c>
      <c r="H18" s="208">
        <v>808</v>
      </c>
      <c r="I18" s="208">
        <v>4</v>
      </c>
      <c r="J18" s="206">
        <f t="shared" si="0"/>
        <v>202</v>
      </c>
      <c r="K18" s="205">
        <v>46139</v>
      </c>
      <c r="L18" s="128" t="s">
        <v>675</v>
      </c>
      <c r="M18" s="209">
        <v>46062</v>
      </c>
    </row>
    <row r="19" s="199" customFormat="1" ht="25" customHeight="1" spans="1:13">
      <c r="A19" s="205">
        <v>46059</v>
      </c>
      <c r="B19" s="206" t="s">
        <v>84</v>
      </c>
      <c r="C19" s="207" t="s">
        <v>445</v>
      </c>
      <c r="D19" s="206" t="s">
        <v>78</v>
      </c>
      <c r="E19" s="206" t="s">
        <v>663</v>
      </c>
      <c r="F19" s="206" t="s">
        <v>49</v>
      </c>
      <c r="G19" s="206" t="s">
        <v>144</v>
      </c>
      <c r="H19" s="208">
        <v>60</v>
      </c>
      <c r="I19" s="208">
        <v>4</v>
      </c>
      <c r="J19" s="206">
        <f t="shared" si="0"/>
        <v>15</v>
      </c>
      <c r="K19" s="205">
        <v>46139</v>
      </c>
      <c r="L19" s="128" t="s">
        <v>675</v>
      </c>
      <c r="M19" s="209">
        <v>46062</v>
      </c>
    </row>
    <row r="20" s="199" customFormat="1" ht="25" customHeight="1" spans="1:13">
      <c r="A20" s="205">
        <v>46078</v>
      </c>
      <c r="B20" s="206" t="s">
        <v>79</v>
      </c>
      <c r="C20" s="207" t="s">
        <v>445</v>
      </c>
      <c r="D20" s="206" t="s">
        <v>676</v>
      </c>
      <c r="E20" s="206" t="s">
        <v>663</v>
      </c>
      <c r="F20" s="206" t="s">
        <v>49</v>
      </c>
      <c r="G20" s="206" t="s">
        <v>144</v>
      </c>
      <c r="H20" s="208">
        <v>812</v>
      </c>
      <c r="I20" s="208">
        <v>4</v>
      </c>
      <c r="J20" s="206">
        <f t="shared" si="0"/>
        <v>203</v>
      </c>
      <c r="K20" s="205">
        <v>46147</v>
      </c>
      <c r="L20" s="128" t="s">
        <v>675</v>
      </c>
      <c r="M20" s="209">
        <v>46087</v>
      </c>
    </row>
    <row r="21" s="199" customFormat="1" ht="25" customHeight="1" spans="1:13">
      <c r="A21" s="205">
        <v>46078</v>
      </c>
      <c r="B21" s="206" t="s">
        <v>84</v>
      </c>
      <c r="C21" s="207" t="s">
        <v>445</v>
      </c>
      <c r="D21" s="206" t="s">
        <v>676</v>
      </c>
      <c r="E21" s="206" t="s">
        <v>663</v>
      </c>
      <c r="F21" s="206" t="s">
        <v>49</v>
      </c>
      <c r="G21" s="206" t="s">
        <v>144</v>
      </c>
      <c r="H21" s="208">
        <v>56</v>
      </c>
      <c r="I21" s="208">
        <v>4</v>
      </c>
      <c r="J21" s="206">
        <f t="shared" si="0"/>
        <v>14</v>
      </c>
      <c r="K21" s="205">
        <v>46147</v>
      </c>
      <c r="L21" s="128" t="s">
        <v>675</v>
      </c>
      <c r="M21" s="209">
        <v>46087</v>
      </c>
    </row>
    <row r="22" s="199" customFormat="1" ht="25" customHeight="1" spans="1:13">
      <c r="A22" s="205">
        <v>46086</v>
      </c>
      <c r="B22" s="206" t="s">
        <v>251</v>
      </c>
      <c r="C22" s="207" t="s">
        <v>445</v>
      </c>
      <c r="D22" s="206" t="s">
        <v>250</v>
      </c>
      <c r="E22" s="206" t="s">
        <v>663</v>
      </c>
      <c r="F22" s="206" t="s">
        <v>60</v>
      </c>
      <c r="G22" s="206" t="s">
        <v>253</v>
      </c>
      <c r="H22" s="208">
        <v>600</v>
      </c>
      <c r="I22" s="208">
        <v>6</v>
      </c>
      <c r="J22" s="206">
        <f t="shared" si="0"/>
        <v>100</v>
      </c>
      <c r="K22" s="205">
        <v>46153</v>
      </c>
      <c r="L22" s="128" t="s">
        <v>668</v>
      </c>
      <c r="M22" s="209">
        <v>46112</v>
      </c>
    </row>
    <row r="23" s="199" customFormat="1" ht="25" customHeight="1" spans="1:13">
      <c r="A23" s="205">
        <v>46086</v>
      </c>
      <c r="B23" s="206" t="s">
        <v>251</v>
      </c>
      <c r="C23" s="207" t="s">
        <v>445</v>
      </c>
      <c r="D23" s="206" t="s">
        <v>250</v>
      </c>
      <c r="E23" s="206" t="s">
        <v>663</v>
      </c>
      <c r="F23" s="206" t="s">
        <v>67</v>
      </c>
      <c r="G23" s="206" t="s">
        <v>152</v>
      </c>
      <c r="H23" s="208">
        <v>600</v>
      </c>
      <c r="I23" s="208">
        <v>6</v>
      </c>
      <c r="J23" s="206">
        <f t="shared" si="0"/>
        <v>100</v>
      </c>
      <c r="K23" s="205">
        <v>46153</v>
      </c>
      <c r="L23" s="128" t="s">
        <v>668</v>
      </c>
      <c r="M23" s="209">
        <v>46112</v>
      </c>
    </row>
    <row r="24" s="199" customFormat="1" ht="25" customHeight="1" spans="1:13">
      <c r="A24" s="205">
        <v>46086</v>
      </c>
      <c r="B24" s="206" t="s">
        <v>251</v>
      </c>
      <c r="C24" s="207" t="s">
        <v>445</v>
      </c>
      <c r="D24" s="206" t="s">
        <v>250</v>
      </c>
      <c r="E24" s="206" t="s">
        <v>663</v>
      </c>
      <c r="F24" s="206" t="s">
        <v>49</v>
      </c>
      <c r="G24" s="206" t="s">
        <v>144</v>
      </c>
      <c r="H24" s="208">
        <v>500</v>
      </c>
      <c r="I24" s="208">
        <v>4</v>
      </c>
      <c r="J24" s="206">
        <f t="shared" si="0"/>
        <v>125</v>
      </c>
      <c r="K24" s="205">
        <v>46153</v>
      </c>
      <c r="L24" s="128" t="s">
        <v>668</v>
      </c>
      <c r="M24" s="209">
        <v>46112</v>
      </c>
    </row>
    <row r="25" s="199" customFormat="1" ht="25" customHeight="1" spans="1:13">
      <c r="A25" s="205">
        <v>46099</v>
      </c>
      <c r="B25" s="206" t="s">
        <v>677</v>
      </c>
      <c r="C25" s="207" t="s">
        <v>445</v>
      </c>
      <c r="D25" s="206" t="s">
        <v>678</v>
      </c>
      <c r="E25" s="206" t="s">
        <v>663</v>
      </c>
      <c r="F25" s="206" t="s">
        <v>69</v>
      </c>
      <c r="G25" s="206" t="s">
        <v>325</v>
      </c>
      <c r="H25" s="208">
        <v>5004</v>
      </c>
      <c r="I25" s="208">
        <v>6</v>
      </c>
      <c r="J25" s="206">
        <f t="shared" si="0"/>
        <v>834</v>
      </c>
      <c r="K25" s="205">
        <v>46213</v>
      </c>
      <c r="L25" s="128" t="s">
        <v>679</v>
      </c>
      <c r="M25" s="209">
        <v>46136</v>
      </c>
    </row>
    <row r="26" s="199" customFormat="1" ht="25" customHeight="1" spans="1:13">
      <c r="A26" s="205">
        <v>46099</v>
      </c>
      <c r="B26" s="206" t="s">
        <v>105</v>
      </c>
      <c r="C26" s="207" t="s">
        <v>445</v>
      </c>
      <c r="D26" s="206" t="s">
        <v>200</v>
      </c>
      <c r="E26" s="206" t="s">
        <v>663</v>
      </c>
      <c r="F26" s="206" t="s">
        <v>69</v>
      </c>
      <c r="G26" s="206" t="s">
        <v>325</v>
      </c>
      <c r="H26" s="208">
        <v>10002</v>
      </c>
      <c r="I26" s="208">
        <v>6</v>
      </c>
      <c r="J26" s="206">
        <f t="shared" si="0"/>
        <v>1667</v>
      </c>
      <c r="K26" s="205">
        <v>46213</v>
      </c>
      <c r="L26" s="128" t="s">
        <v>679</v>
      </c>
      <c r="M26" s="209">
        <v>46136</v>
      </c>
    </row>
    <row r="27" s="199" customFormat="1" ht="25" customHeight="1" spans="1:13">
      <c r="A27" s="205">
        <v>46100</v>
      </c>
      <c r="B27" s="206" t="s">
        <v>184</v>
      </c>
      <c r="C27" s="207" t="s">
        <v>445</v>
      </c>
      <c r="D27" s="206" t="s">
        <v>255</v>
      </c>
      <c r="E27" s="206" t="s">
        <v>663</v>
      </c>
      <c r="F27" s="206" t="s">
        <v>67</v>
      </c>
      <c r="G27" s="206" t="s">
        <v>152</v>
      </c>
      <c r="H27" s="208">
        <v>2400</v>
      </c>
      <c r="I27" s="208">
        <v>6</v>
      </c>
      <c r="J27" s="206">
        <f t="shared" si="0"/>
        <v>400</v>
      </c>
      <c r="K27" s="205">
        <v>46233</v>
      </c>
      <c r="L27" s="128" t="s">
        <v>640</v>
      </c>
      <c r="M27" s="209">
        <v>46120</v>
      </c>
    </row>
    <row r="28" s="199" customFormat="1" ht="25" customHeight="1" spans="1:13">
      <c r="A28" s="205">
        <v>46100</v>
      </c>
      <c r="B28" s="206" t="s">
        <v>184</v>
      </c>
      <c r="C28" s="207" t="s">
        <v>445</v>
      </c>
      <c r="D28" s="206" t="s">
        <v>255</v>
      </c>
      <c r="E28" s="206" t="s">
        <v>663</v>
      </c>
      <c r="F28" s="206" t="s">
        <v>680</v>
      </c>
      <c r="G28" s="206"/>
      <c r="H28" s="208">
        <v>2400</v>
      </c>
      <c r="I28" s="208">
        <v>6</v>
      </c>
      <c r="J28" s="206">
        <f t="shared" si="0"/>
        <v>400</v>
      </c>
      <c r="K28" s="205">
        <v>46233</v>
      </c>
      <c r="L28" s="128" t="s">
        <v>640</v>
      </c>
      <c r="M28" s="206" t="s">
        <v>666</v>
      </c>
    </row>
    <row r="29" s="199" customFormat="1" ht="25" customHeight="1" spans="1:13">
      <c r="A29" s="205">
        <v>46100</v>
      </c>
      <c r="B29" s="206" t="s">
        <v>184</v>
      </c>
      <c r="C29" s="207" t="s">
        <v>445</v>
      </c>
      <c r="D29" s="206" t="s">
        <v>255</v>
      </c>
      <c r="E29" s="206" t="s">
        <v>663</v>
      </c>
      <c r="F29" s="206" t="s">
        <v>64</v>
      </c>
      <c r="G29" s="206" t="s">
        <v>681</v>
      </c>
      <c r="H29" s="208">
        <v>1680</v>
      </c>
      <c r="I29" s="208">
        <v>6</v>
      </c>
      <c r="J29" s="206">
        <f t="shared" si="0"/>
        <v>280</v>
      </c>
      <c r="K29" s="205">
        <v>46233</v>
      </c>
      <c r="L29" s="128" t="s">
        <v>640</v>
      </c>
      <c r="M29" s="209">
        <v>46120</v>
      </c>
    </row>
    <row r="30" s="199" customFormat="1" ht="25" customHeight="1" spans="1:13">
      <c r="A30" s="205">
        <v>46100</v>
      </c>
      <c r="B30" s="206" t="s">
        <v>184</v>
      </c>
      <c r="C30" s="207" t="s">
        <v>445</v>
      </c>
      <c r="D30" s="206" t="s">
        <v>255</v>
      </c>
      <c r="E30" s="206" t="s">
        <v>663</v>
      </c>
      <c r="F30" s="206" t="s">
        <v>65</v>
      </c>
      <c r="G30" s="206" t="s">
        <v>260</v>
      </c>
      <c r="H30" s="208">
        <v>2400</v>
      </c>
      <c r="I30" s="208">
        <v>6</v>
      </c>
      <c r="J30" s="206">
        <f t="shared" si="0"/>
        <v>400</v>
      </c>
      <c r="K30" s="205">
        <v>46233</v>
      </c>
      <c r="L30" s="128" t="s">
        <v>682</v>
      </c>
      <c r="M30" s="209">
        <v>46120</v>
      </c>
    </row>
    <row r="31" s="199" customFormat="1" ht="25" customHeight="1" spans="1:13">
      <c r="A31" s="205">
        <v>46100</v>
      </c>
      <c r="B31" s="206" t="s">
        <v>79</v>
      </c>
      <c r="C31" s="207" t="s">
        <v>445</v>
      </c>
      <c r="D31" s="206" t="s">
        <v>671</v>
      </c>
      <c r="E31" s="206" t="s">
        <v>663</v>
      </c>
      <c r="F31" s="206" t="s">
        <v>49</v>
      </c>
      <c r="G31" s="206" t="s">
        <v>144</v>
      </c>
      <c r="H31" s="208">
        <v>868</v>
      </c>
      <c r="I31" s="208">
        <v>4</v>
      </c>
      <c r="J31" s="206">
        <f t="shared" si="0"/>
        <v>217</v>
      </c>
      <c r="K31" s="205">
        <v>46178</v>
      </c>
      <c r="L31" s="128" t="s">
        <v>683</v>
      </c>
      <c r="M31" s="209">
        <v>46101</v>
      </c>
    </row>
    <row r="32" s="199" customFormat="1" ht="25" customHeight="1" spans="1:13">
      <c r="A32" s="205">
        <v>46108</v>
      </c>
      <c r="B32" s="206" t="s">
        <v>321</v>
      </c>
      <c r="C32" s="207" t="s">
        <v>445</v>
      </c>
      <c r="D32" s="206" t="s">
        <v>320</v>
      </c>
      <c r="E32" s="206" t="s">
        <v>663</v>
      </c>
      <c r="F32" s="206" t="s">
        <v>118</v>
      </c>
      <c r="G32" s="206" t="s">
        <v>119</v>
      </c>
      <c r="H32" s="208">
        <v>630</v>
      </c>
      <c r="I32" s="208">
        <v>6</v>
      </c>
      <c r="J32" s="206">
        <f t="shared" si="0"/>
        <v>105</v>
      </c>
      <c r="K32" s="205">
        <v>46170</v>
      </c>
      <c r="L32" s="128" t="s">
        <v>621</v>
      </c>
      <c r="M32" s="209">
        <v>46133</v>
      </c>
    </row>
    <row r="33" s="199" customFormat="1" ht="25" customHeight="1" spans="1:13">
      <c r="A33" s="205">
        <v>46108</v>
      </c>
      <c r="B33" s="206" t="s">
        <v>321</v>
      </c>
      <c r="C33" s="207" t="s">
        <v>445</v>
      </c>
      <c r="D33" s="206" t="s">
        <v>320</v>
      </c>
      <c r="E33" s="206" t="s">
        <v>663</v>
      </c>
      <c r="F33" s="206" t="s">
        <v>66</v>
      </c>
      <c r="G33" s="206" t="s">
        <v>258</v>
      </c>
      <c r="H33" s="208">
        <v>630</v>
      </c>
      <c r="I33" s="208">
        <v>6</v>
      </c>
      <c r="J33" s="206">
        <f t="shared" si="0"/>
        <v>105</v>
      </c>
      <c r="K33" s="205">
        <v>46170</v>
      </c>
      <c r="L33" s="128" t="s">
        <v>621</v>
      </c>
      <c r="M33" s="209">
        <v>46133</v>
      </c>
    </row>
    <row r="34" s="199" customFormat="1" ht="25" customHeight="1" spans="1:13">
      <c r="A34" s="205">
        <v>46108</v>
      </c>
      <c r="B34" s="206" t="s">
        <v>321</v>
      </c>
      <c r="C34" s="207" t="s">
        <v>445</v>
      </c>
      <c r="D34" s="206" t="s">
        <v>320</v>
      </c>
      <c r="E34" s="206" t="s">
        <v>663</v>
      </c>
      <c r="F34" s="206" t="s">
        <v>67</v>
      </c>
      <c r="G34" s="206" t="s">
        <v>684</v>
      </c>
      <c r="H34" s="208">
        <v>630</v>
      </c>
      <c r="I34" s="208">
        <v>6</v>
      </c>
      <c r="J34" s="206">
        <f t="shared" si="0"/>
        <v>105</v>
      </c>
      <c r="K34" s="205">
        <v>46170</v>
      </c>
      <c r="L34" s="128" t="s">
        <v>621</v>
      </c>
      <c r="M34" s="209">
        <v>46133</v>
      </c>
    </row>
    <row r="35" s="199" customFormat="1" ht="25" customHeight="1" spans="1:13">
      <c r="A35" s="205">
        <v>46108</v>
      </c>
      <c r="B35" s="206" t="s">
        <v>321</v>
      </c>
      <c r="C35" s="207" t="s">
        <v>445</v>
      </c>
      <c r="D35" s="206" t="s">
        <v>320</v>
      </c>
      <c r="E35" s="206" t="s">
        <v>663</v>
      </c>
      <c r="F35" s="206" t="s">
        <v>64</v>
      </c>
      <c r="G35" s="206" t="s">
        <v>681</v>
      </c>
      <c r="H35" s="208">
        <v>630</v>
      </c>
      <c r="I35" s="208">
        <v>6</v>
      </c>
      <c r="J35" s="206">
        <f t="shared" si="0"/>
        <v>105</v>
      </c>
      <c r="K35" s="205">
        <v>46170</v>
      </c>
      <c r="L35" s="128" t="s">
        <v>621</v>
      </c>
      <c r="M35" s="209">
        <v>46133</v>
      </c>
    </row>
    <row r="36" s="199" customFormat="1" ht="25" customHeight="1" spans="1:13">
      <c r="A36" s="205">
        <v>46108</v>
      </c>
      <c r="B36" s="206" t="s">
        <v>321</v>
      </c>
      <c r="C36" s="207" t="s">
        <v>445</v>
      </c>
      <c r="D36" s="206" t="s">
        <v>320</v>
      </c>
      <c r="E36" s="206" t="s">
        <v>663</v>
      </c>
      <c r="F36" s="206" t="s">
        <v>270</v>
      </c>
      <c r="G36" s="206" t="s">
        <v>271</v>
      </c>
      <c r="H36" s="208">
        <v>6000</v>
      </c>
      <c r="I36" s="208">
        <v>6</v>
      </c>
      <c r="J36" s="206">
        <f t="shared" si="0"/>
        <v>1000</v>
      </c>
      <c r="K36" s="205">
        <v>46170</v>
      </c>
      <c r="L36" s="128" t="s">
        <v>685</v>
      </c>
      <c r="M36" s="209">
        <v>46133</v>
      </c>
    </row>
    <row r="37" s="199" customFormat="1" ht="25" customHeight="1" spans="1:13">
      <c r="A37" s="205">
        <v>46108</v>
      </c>
      <c r="B37" s="206" t="s">
        <v>188</v>
      </c>
      <c r="C37" s="207" t="s">
        <v>445</v>
      </c>
      <c r="D37" s="206" t="s">
        <v>265</v>
      </c>
      <c r="E37" s="206" t="s">
        <v>663</v>
      </c>
      <c r="F37" s="206" t="s">
        <v>28</v>
      </c>
      <c r="G37" s="206" t="s">
        <v>267</v>
      </c>
      <c r="H37" s="208">
        <v>801</v>
      </c>
      <c r="I37" s="208">
        <v>9</v>
      </c>
      <c r="J37" s="206">
        <f t="shared" si="0"/>
        <v>89</v>
      </c>
      <c r="K37" s="205">
        <v>46170</v>
      </c>
      <c r="L37" s="128" t="s">
        <v>686</v>
      </c>
      <c r="M37" s="209">
        <v>46126</v>
      </c>
    </row>
    <row r="38" s="199" customFormat="1" ht="25" customHeight="1" spans="1:13">
      <c r="A38" s="205">
        <v>46111</v>
      </c>
      <c r="B38" s="206" t="s">
        <v>180</v>
      </c>
      <c r="C38" s="207" t="s">
        <v>445</v>
      </c>
      <c r="D38" s="206" t="s">
        <v>326</v>
      </c>
      <c r="E38" s="206" t="s">
        <v>663</v>
      </c>
      <c r="F38" s="206" t="s">
        <v>10</v>
      </c>
      <c r="G38" s="206" t="s">
        <v>128</v>
      </c>
      <c r="H38" s="208">
        <v>11706</v>
      </c>
      <c r="I38" s="208">
        <v>6</v>
      </c>
      <c r="J38" s="206">
        <f t="shared" si="0"/>
        <v>1951</v>
      </c>
      <c r="K38" s="205">
        <v>46181</v>
      </c>
      <c r="L38" s="128" t="s">
        <v>687</v>
      </c>
      <c r="M38" s="209">
        <v>46139</v>
      </c>
    </row>
    <row r="39" s="199" customFormat="1" ht="25" customHeight="1" spans="1:13">
      <c r="A39" s="205">
        <v>46111</v>
      </c>
      <c r="B39" s="206" t="s">
        <v>180</v>
      </c>
      <c r="C39" s="207" t="s">
        <v>445</v>
      </c>
      <c r="D39" s="206" t="s">
        <v>326</v>
      </c>
      <c r="E39" s="206" t="s">
        <v>663</v>
      </c>
      <c r="F39" s="206" t="s">
        <v>11</v>
      </c>
      <c r="G39" s="206" t="s">
        <v>688</v>
      </c>
      <c r="H39" s="208">
        <v>2100</v>
      </c>
      <c r="I39" s="208">
        <v>6</v>
      </c>
      <c r="J39" s="206">
        <f t="shared" si="0"/>
        <v>350</v>
      </c>
      <c r="K39" s="205">
        <v>46181</v>
      </c>
      <c r="L39" s="128" t="s">
        <v>687</v>
      </c>
      <c r="M39" s="209">
        <v>46139</v>
      </c>
    </row>
    <row r="40" s="199" customFormat="1" ht="25" customHeight="1" spans="1:13">
      <c r="A40" s="205">
        <v>46121</v>
      </c>
      <c r="B40" s="206" t="s">
        <v>262</v>
      </c>
      <c r="C40" s="207" t="s">
        <v>445</v>
      </c>
      <c r="D40" s="206" t="s">
        <v>261</v>
      </c>
      <c r="E40" s="206" t="s">
        <v>663</v>
      </c>
      <c r="F40" s="206" t="s">
        <v>10</v>
      </c>
      <c r="G40" s="206" t="s">
        <v>128</v>
      </c>
      <c r="H40" s="208">
        <v>8004</v>
      </c>
      <c r="I40" s="208">
        <v>6</v>
      </c>
      <c r="J40" s="206">
        <f t="shared" si="0"/>
        <v>1334</v>
      </c>
      <c r="K40" s="205">
        <v>46190</v>
      </c>
      <c r="L40" s="128" t="s">
        <v>689</v>
      </c>
      <c r="M40" s="209">
        <v>46125</v>
      </c>
    </row>
    <row r="41" s="199" customFormat="1" ht="25" customHeight="1" spans="1:13">
      <c r="A41" s="205">
        <v>46122</v>
      </c>
      <c r="B41" s="206" t="s">
        <v>330</v>
      </c>
      <c r="C41" s="207" t="s">
        <v>445</v>
      </c>
      <c r="D41" s="206" t="s">
        <v>329</v>
      </c>
      <c r="E41" s="206" t="s">
        <v>663</v>
      </c>
      <c r="F41" s="206" t="s">
        <v>10</v>
      </c>
      <c r="G41" s="206" t="s">
        <v>128</v>
      </c>
      <c r="H41" s="208">
        <v>1200</v>
      </c>
      <c r="I41" s="208">
        <v>6</v>
      </c>
      <c r="J41" s="206">
        <f t="shared" si="0"/>
        <v>200</v>
      </c>
      <c r="K41" s="205">
        <v>46181</v>
      </c>
      <c r="L41" s="128" t="s">
        <v>682</v>
      </c>
      <c r="M41" s="209">
        <v>46139</v>
      </c>
    </row>
    <row r="42" s="199" customFormat="1" ht="25" customHeight="1" spans="1:13">
      <c r="A42" s="205">
        <v>46122</v>
      </c>
      <c r="B42" s="206" t="s">
        <v>330</v>
      </c>
      <c r="C42" s="207" t="s">
        <v>445</v>
      </c>
      <c r="D42" s="206" t="s">
        <v>329</v>
      </c>
      <c r="E42" s="206" t="s">
        <v>663</v>
      </c>
      <c r="F42" s="206" t="s">
        <v>11</v>
      </c>
      <c r="G42" s="206" t="s">
        <v>688</v>
      </c>
      <c r="H42" s="208">
        <v>1200</v>
      </c>
      <c r="I42" s="208">
        <v>6</v>
      </c>
      <c r="J42" s="206">
        <f t="shared" si="0"/>
        <v>200</v>
      </c>
      <c r="K42" s="205">
        <v>46181</v>
      </c>
      <c r="L42" s="128" t="s">
        <v>682</v>
      </c>
      <c r="M42" s="209">
        <v>46139</v>
      </c>
    </row>
    <row r="43" s="199" customFormat="1" ht="25" customHeight="1" spans="1:13">
      <c r="A43" s="205">
        <v>46122</v>
      </c>
      <c r="B43" s="206" t="s">
        <v>330</v>
      </c>
      <c r="C43" s="207" t="s">
        <v>445</v>
      </c>
      <c r="D43" s="206" t="s">
        <v>329</v>
      </c>
      <c r="E43" s="206" t="s">
        <v>663</v>
      </c>
      <c r="F43" s="206" t="s">
        <v>67</v>
      </c>
      <c r="G43" s="206" t="s">
        <v>684</v>
      </c>
      <c r="H43" s="208">
        <v>1002</v>
      </c>
      <c r="I43" s="208">
        <v>6</v>
      </c>
      <c r="J43" s="206">
        <f t="shared" si="0"/>
        <v>167</v>
      </c>
      <c r="K43" s="205">
        <v>46181</v>
      </c>
      <c r="L43" s="128" t="s">
        <v>640</v>
      </c>
      <c r="M43" s="209">
        <v>46139</v>
      </c>
    </row>
    <row r="44" s="199" customFormat="1" ht="25" customHeight="1" spans="1:13">
      <c r="A44" s="205">
        <v>46128</v>
      </c>
      <c r="B44" s="206" t="s">
        <v>337</v>
      </c>
      <c r="C44" s="207" t="s">
        <v>445</v>
      </c>
      <c r="D44" s="206" t="s">
        <v>336</v>
      </c>
      <c r="E44" s="206" t="s">
        <v>663</v>
      </c>
      <c r="F44" s="206" t="s">
        <v>19</v>
      </c>
      <c r="G44" s="206" t="s">
        <v>116</v>
      </c>
      <c r="H44" s="208">
        <v>3600</v>
      </c>
      <c r="I44" s="208">
        <v>12</v>
      </c>
      <c r="J44" s="206">
        <f t="shared" si="0"/>
        <v>300</v>
      </c>
      <c r="K44" s="205">
        <v>46238</v>
      </c>
      <c r="L44" s="128" t="s">
        <v>690</v>
      </c>
      <c r="M44" s="209">
        <v>46147</v>
      </c>
    </row>
    <row r="45" s="199" customFormat="1" ht="25" customHeight="1" spans="1:13">
      <c r="A45" s="205">
        <v>46128</v>
      </c>
      <c r="B45" s="206" t="s">
        <v>337</v>
      </c>
      <c r="C45" s="207" t="s">
        <v>445</v>
      </c>
      <c r="D45" s="206" t="s">
        <v>336</v>
      </c>
      <c r="E45" s="206" t="s">
        <v>663</v>
      </c>
      <c r="F45" s="206" t="s">
        <v>46</v>
      </c>
      <c r="G45" s="206" t="s">
        <v>111</v>
      </c>
      <c r="H45" s="208">
        <v>3600</v>
      </c>
      <c r="I45" s="208">
        <v>6</v>
      </c>
      <c r="J45" s="206">
        <f t="shared" si="0"/>
        <v>600</v>
      </c>
      <c r="K45" s="205">
        <v>46238</v>
      </c>
      <c r="L45" s="128" t="s">
        <v>691</v>
      </c>
      <c r="M45" s="209">
        <v>46147</v>
      </c>
    </row>
    <row r="46" s="199" customFormat="1" ht="25" customHeight="1" spans="1:13">
      <c r="A46" s="205">
        <v>46128</v>
      </c>
      <c r="B46" s="206" t="s">
        <v>337</v>
      </c>
      <c r="C46" s="207" t="s">
        <v>445</v>
      </c>
      <c r="D46" s="206" t="s">
        <v>336</v>
      </c>
      <c r="E46" s="206" t="s">
        <v>663</v>
      </c>
      <c r="F46" s="206" t="s">
        <v>70</v>
      </c>
      <c r="G46" s="206" t="s">
        <v>339</v>
      </c>
      <c r="H46" s="208">
        <v>2004</v>
      </c>
      <c r="I46" s="208">
        <v>6</v>
      </c>
      <c r="J46" s="206">
        <f t="shared" si="0"/>
        <v>334</v>
      </c>
      <c r="K46" s="205">
        <v>46238</v>
      </c>
      <c r="L46" s="128" t="s">
        <v>691</v>
      </c>
      <c r="M46" s="209">
        <v>46147</v>
      </c>
    </row>
    <row r="47" s="199" customFormat="1" ht="25" customHeight="1" spans="1:13">
      <c r="A47" s="205">
        <v>46128</v>
      </c>
      <c r="B47" s="206" t="s">
        <v>337</v>
      </c>
      <c r="C47" s="207" t="s">
        <v>445</v>
      </c>
      <c r="D47" s="206" t="s">
        <v>336</v>
      </c>
      <c r="E47" s="206" t="s">
        <v>663</v>
      </c>
      <c r="F47" s="206" t="s">
        <v>69</v>
      </c>
      <c r="G47" s="206" t="s">
        <v>325</v>
      </c>
      <c r="H47" s="208">
        <v>2004</v>
      </c>
      <c r="I47" s="208">
        <v>6</v>
      </c>
      <c r="J47" s="206">
        <f t="shared" si="0"/>
        <v>334</v>
      </c>
      <c r="K47" s="205">
        <v>46238</v>
      </c>
      <c r="L47" s="128" t="s">
        <v>691</v>
      </c>
      <c r="M47" s="209">
        <v>46147</v>
      </c>
    </row>
    <row r="48" s="199" customFormat="1" ht="25" customHeight="1" spans="1:13">
      <c r="A48" s="205">
        <v>46134</v>
      </c>
      <c r="B48" s="206" t="s">
        <v>692</v>
      </c>
      <c r="C48" s="207" t="s">
        <v>445</v>
      </c>
      <c r="D48" s="206" t="s">
        <v>693</v>
      </c>
      <c r="E48" s="206" t="s">
        <v>663</v>
      </c>
      <c r="F48" s="206" t="s">
        <v>165</v>
      </c>
      <c r="G48" s="206" t="s">
        <v>166</v>
      </c>
      <c r="H48" s="208">
        <v>1002</v>
      </c>
      <c r="I48" s="208">
        <v>6</v>
      </c>
      <c r="J48" s="206">
        <f t="shared" si="0"/>
        <v>167</v>
      </c>
      <c r="K48" s="205">
        <v>46199</v>
      </c>
      <c r="L48" s="128" t="s">
        <v>694</v>
      </c>
      <c r="M48" s="209"/>
    </row>
    <row r="49" s="199" customFormat="1" ht="25" customHeight="1" spans="1:13">
      <c r="A49" s="205">
        <v>46141</v>
      </c>
      <c r="B49" s="206" t="s">
        <v>131</v>
      </c>
      <c r="C49" s="207" t="s">
        <v>445</v>
      </c>
      <c r="D49" s="206" t="s">
        <v>340</v>
      </c>
      <c r="E49" s="206" t="s">
        <v>663</v>
      </c>
      <c r="F49" s="206" t="s">
        <v>69</v>
      </c>
      <c r="G49" s="211" t="s">
        <v>325</v>
      </c>
      <c r="H49" s="208">
        <v>8154</v>
      </c>
      <c r="I49" s="208">
        <v>6</v>
      </c>
      <c r="J49" s="206">
        <f t="shared" si="0"/>
        <v>1359</v>
      </c>
      <c r="K49" s="205">
        <v>46218</v>
      </c>
      <c r="L49" s="128" t="s">
        <v>695</v>
      </c>
      <c r="M49" s="209">
        <v>46149</v>
      </c>
    </row>
    <row r="50" s="199" customFormat="1" ht="25" customHeight="1" spans="1:13">
      <c r="A50" s="205">
        <v>46141</v>
      </c>
      <c r="B50" s="206" t="s">
        <v>131</v>
      </c>
      <c r="C50" s="207" t="s">
        <v>445</v>
      </c>
      <c r="D50" s="206" t="s">
        <v>340</v>
      </c>
      <c r="E50" s="206" t="s">
        <v>663</v>
      </c>
      <c r="F50" s="206" t="s">
        <v>69</v>
      </c>
      <c r="G50" s="211" t="s">
        <v>325</v>
      </c>
      <c r="H50" s="208">
        <v>2250</v>
      </c>
      <c r="I50" s="208">
        <v>6</v>
      </c>
      <c r="J50" s="206">
        <f t="shared" si="0"/>
        <v>375</v>
      </c>
      <c r="K50" s="205">
        <v>46218</v>
      </c>
      <c r="L50" s="128" t="s">
        <v>695</v>
      </c>
      <c r="M50" s="209">
        <v>46149</v>
      </c>
    </row>
    <row r="51" s="199" customFormat="1" ht="25" customHeight="1" spans="1:13">
      <c r="A51" s="205">
        <v>46141</v>
      </c>
      <c r="B51" s="206" t="s">
        <v>344</v>
      </c>
      <c r="C51" s="207" t="s">
        <v>445</v>
      </c>
      <c r="D51" s="206" t="s">
        <v>343</v>
      </c>
      <c r="E51" s="206" t="s">
        <v>663</v>
      </c>
      <c r="F51" s="206" t="s">
        <v>165</v>
      </c>
      <c r="G51" s="211" t="s">
        <v>166</v>
      </c>
      <c r="H51" s="208">
        <v>1200</v>
      </c>
      <c r="I51" s="208">
        <v>6</v>
      </c>
      <c r="J51" s="206">
        <f t="shared" si="0"/>
        <v>200</v>
      </c>
      <c r="K51" s="205">
        <v>46213</v>
      </c>
      <c r="L51" s="128" t="s">
        <v>685</v>
      </c>
      <c r="M51" s="209">
        <v>46153</v>
      </c>
    </row>
    <row r="52" s="199" customFormat="1" ht="25" customHeight="1" spans="1:13">
      <c r="A52" s="205">
        <v>46141</v>
      </c>
      <c r="B52" s="206" t="s">
        <v>155</v>
      </c>
      <c r="C52" s="207" t="s">
        <v>445</v>
      </c>
      <c r="D52" s="206" t="s">
        <v>154</v>
      </c>
      <c r="E52" s="206" t="s">
        <v>663</v>
      </c>
      <c r="F52" s="206" t="s">
        <v>71</v>
      </c>
      <c r="G52" s="211" t="s">
        <v>348</v>
      </c>
      <c r="H52" s="208">
        <v>10728</v>
      </c>
      <c r="I52" s="208">
        <v>12</v>
      </c>
      <c r="J52" s="206">
        <f t="shared" si="0"/>
        <v>894</v>
      </c>
      <c r="K52" s="114">
        <v>46223</v>
      </c>
      <c r="L52" s="128" t="s">
        <v>552</v>
      </c>
      <c r="M52" s="209">
        <v>46156</v>
      </c>
    </row>
    <row r="53" s="199" customFormat="1" ht="25" customHeight="1" spans="1:13">
      <c r="A53" s="205">
        <v>46141</v>
      </c>
      <c r="B53" s="206" t="s">
        <v>155</v>
      </c>
      <c r="C53" s="207" t="s">
        <v>445</v>
      </c>
      <c r="D53" s="206" t="s">
        <v>154</v>
      </c>
      <c r="E53" s="206" t="s">
        <v>663</v>
      </c>
      <c r="F53" s="206" t="s">
        <v>69</v>
      </c>
      <c r="G53" s="211" t="s">
        <v>325</v>
      </c>
      <c r="H53" s="208">
        <v>7002</v>
      </c>
      <c r="I53" s="208">
        <v>6</v>
      </c>
      <c r="J53" s="206">
        <f t="shared" si="0"/>
        <v>1167</v>
      </c>
      <c r="K53" s="114">
        <v>46223</v>
      </c>
      <c r="L53" s="128" t="s">
        <v>696</v>
      </c>
      <c r="M53" s="209">
        <v>46156</v>
      </c>
    </row>
    <row r="54" s="199" customFormat="1" ht="25" customHeight="1" spans="1:13">
      <c r="A54" s="205">
        <v>46141</v>
      </c>
      <c r="B54" s="206" t="s">
        <v>351</v>
      </c>
      <c r="C54" s="207" t="s">
        <v>445</v>
      </c>
      <c r="D54" s="206" t="s">
        <v>697</v>
      </c>
      <c r="E54" s="206" t="s">
        <v>663</v>
      </c>
      <c r="F54" s="206" t="s">
        <v>71</v>
      </c>
      <c r="G54" s="211" t="s">
        <v>348</v>
      </c>
      <c r="H54" s="208">
        <v>2400</v>
      </c>
      <c r="I54" s="208">
        <v>12</v>
      </c>
      <c r="J54" s="206">
        <f t="shared" si="0"/>
        <v>200</v>
      </c>
      <c r="K54" s="114">
        <v>46223</v>
      </c>
      <c r="L54" s="128" t="s">
        <v>696</v>
      </c>
      <c r="M54" s="209">
        <v>46156</v>
      </c>
    </row>
    <row r="55" s="199" customFormat="1" ht="25" customHeight="1" spans="1:13">
      <c r="A55" s="205">
        <v>46141</v>
      </c>
      <c r="B55" s="206" t="s">
        <v>351</v>
      </c>
      <c r="C55" s="207" t="s">
        <v>445</v>
      </c>
      <c r="D55" s="206" t="s">
        <v>697</v>
      </c>
      <c r="E55" s="206" t="s">
        <v>663</v>
      </c>
      <c r="F55" s="206" t="s">
        <v>10</v>
      </c>
      <c r="G55" s="206" t="s">
        <v>128</v>
      </c>
      <c r="H55" s="208">
        <v>1800</v>
      </c>
      <c r="I55" s="208">
        <v>6</v>
      </c>
      <c r="J55" s="206">
        <f t="shared" si="0"/>
        <v>300</v>
      </c>
      <c r="K55" s="114">
        <v>46223</v>
      </c>
      <c r="L55" s="128" t="s">
        <v>552</v>
      </c>
      <c r="M55" s="209">
        <v>46156</v>
      </c>
    </row>
    <row r="56" s="199" customFormat="1" ht="25" customHeight="1" spans="1:13">
      <c r="A56" s="205">
        <v>46141</v>
      </c>
      <c r="B56" s="206" t="s">
        <v>351</v>
      </c>
      <c r="C56" s="207" t="s">
        <v>445</v>
      </c>
      <c r="D56" s="206" t="s">
        <v>697</v>
      </c>
      <c r="E56" s="206" t="s">
        <v>663</v>
      </c>
      <c r="F56" s="206" t="s">
        <v>14</v>
      </c>
      <c r="G56" s="211" t="s">
        <v>112</v>
      </c>
      <c r="H56" s="208">
        <v>1800</v>
      </c>
      <c r="I56" s="208">
        <v>6</v>
      </c>
      <c r="J56" s="206">
        <f t="shared" si="0"/>
        <v>300</v>
      </c>
      <c r="K56" s="114">
        <v>46223</v>
      </c>
      <c r="L56" s="128" t="s">
        <v>696</v>
      </c>
      <c r="M56" s="209"/>
    </row>
    <row r="57" s="199" customFormat="1" ht="25" customHeight="1" spans="1:13">
      <c r="A57" s="205">
        <v>46141</v>
      </c>
      <c r="B57" s="206" t="s">
        <v>351</v>
      </c>
      <c r="C57" s="207" t="s">
        <v>445</v>
      </c>
      <c r="D57" s="206" t="s">
        <v>697</v>
      </c>
      <c r="E57" s="206" t="s">
        <v>663</v>
      </c>
      <c r="F57" s="206" t="s">
        <v>69</v>
      </c>
      <c r="G57" s="211" t="s">
        <v>325</v>
      </c>
      <c r="H57" s="208">
        <v>4800</v>
      </c>
      <c r="I57" s="208">
        <v>6</v>
      </c>
      <c r="J57" s="206">
        <f t="shared" si="0"/>
        <v>800</v>
      </c>
      <c r="K57" s="114">
        <v>46223</v>
      </c>
      <c r="L57" s="128" t="s">
        <v>696</v>
      </c>
      <c r="M57" s="209">
        <v>46156</v>
      </c>
    </row>
    <row r="58" s="199" customFormat="1" ht="25" customHeight="1" spans="1:13">
      <c r="A58" s="205">
        <v>46141</v>
      </c>
      <c r="B58" s="206" t="s">
        <v>155</v>
      </c>
      <c r="C58" s="207" t="s">
        <v>445</v>
      </c>
      <c r="D58" s="206" t="s">
        <v>154</v>
      </c>
      <c r="E58" s="206" t="s">
        <v>663</v>
      </c>
      <c r="F58" s="206" t="s">
        <v>698</v>
      </c>
      <c r="G58" s="211"/>
      <c r="H58" s="208">
        <v>7000</v>
      </c>
      <c r="I58" s="208">
        <v>6</v>
      </c>
      <c r="J58" s="206">
        <f t="shared" si="0"/>
        <v>1166.66666666667</v>
      </c>
      <c r="K58" s="205">
        <v>46209</v>
      </c>
      <c r="L58" s="128" t="s">
        <v>696</v>
      </c>
      <c r="M58" s="206"/>
    </row>
    <row r="59" s="199" customFormat="1" ht="25" customHeight="1" spans="1:13">
      <c r="A59" s="205">
        <v>46141</v>
      </c>
      <c r="B59" s="206" t="s">
        <v>358</v>
      </c>
      <c r="C59" s="207" t="s">
        <v>445</v>
      </c>
      <c r="D59" s="206" t="s">
        <v>357</v>
      </c>
      <c r="E59" s="206" t="s">
        <v>663</v>
      </c>
      <c r="F59" s="206" t="s">
        <v>46</v>
      </c>
      <c r="G59" s="211" t="s">
        <v>111</v>
      </c>
      <c r="H59" s="208">
        <v>3000</v>
      </c>
      <c r="I59" s="208">
        <v>6</v>
      </c>
      <c r="J59" s="206">
        <f t="shared" si="0"/>
        <v>500</v>
      </c>
      <c r="K59" s="205">
        <v>46238</v>
      </c>
      <c r="L59" s="128" t="s">
        <v>691</v>
      </c>
      <c r="M59" s="209">
        <v>46169</v>
      </c>
    </row>
    <row r="60" s="199" customFormat="1" ht="25" customHeight="1" spans="1:13">
      <c r="A60" s="205">
        <v>46141</v>
      </c>
      <c r="B60" s="206" t="s">
        <v>358</v>
      </c>
      <c r="C60" s="207" t="s">
        <v>445</v>
      </c>
      <c r="D60" s="206" t="s">
        <v>357</v>
      </c>
      <c r="E60" s="206" t="s">
        <v>663</v>
      </c>
      <c r="F60" s="206" t="s">
        <v>70</v>
      </c>
      <c r="G60" s="206" t="s">
        <v>339</v>
      </c>
      <c r="H60" s="208">
        <v>2220</v>
      </c>
      <c r="I60" s="208">
        <v>6</v>
      </c>
      <c r="J60" s="206">
        <f t="shared" si="0"/>
        <v>370</v>
      </c>
      <c r="K60" s="205">
        <v>46238</v>
      </c>
      <c r="L60" s="128" t="s">
        <v>691</v>
      </c>
      <c r="M60" s="209">
        <v>46169</v>
      </c>
    </row>
    <row r="61" s="199" customFormat="1" ht="25" customHeight="1" spans="1:13">
      <c r="A61" s="205">
        <v>46141</v>
      </c>
      <c r="B61" s="206" t="s">
        <v>358</v>
      </c>
      <c r="C61" s="207" t="s">
        <v>445</v>
      </c>
      <c r="D61" s="206" t="s">
        <v>357</v>
      </c>
      <c r="E61" s="206" t="s">
        <v>663</v>
      </c>
      <c r="F61" s="206" t="s">
        <v>69</v>
      </c>
      <c r="G61" s="211" t="s">
        <v>325</v>
      </c>
      <c r="H61" s="208">
        <v>1500</v>
      </c>
      <c r="I61" s="208">
        <v>6</v>
      </c>
      <c r="J61" s="206">
        <f t="shared" si="0"/>
        <v>250</v>
      </c>
      <c r="K61" s="205">
        <v>46238</v>
      </c>
      <c r="L61" s="128" t="s">
        <v>691</v>
      </c>
      <c r="M61" s="209">
        <v>46169</v>
      </c>
    </row>
    <row r="62" s="199" customFormat="1" ht="25" customHeight="1" spans="1:13">
      <c r="A62" s="205">
        <v>46141</v>
      </c>
      <c r="B62" s="206" t="s">
        <v>358</v>
      </c>
      <c r="C62" s="207" t="s">
        <v>445</v>
      </c>
      <c r="D62" s="206" t="s">
        <v>357</v>
      </c>
      <c r="E62" s="206" t="s">
        <v>663</v>
      </c>
      <c r="F62" s="206" t="s">
        <v>107</v>
      </c>
      <c r="G62" s="206" t="s">
        <v>108</v>
      </c>
      <c r="H62" s="208">
        <v>2004</v>
      </c>
      <c r="I62" s="208">
        <v>12</v>
      </c>
      <c r="J62" s="206">
        <f t="shared" si="0"/>
        <v>167</v>
      </c>
      <c r="K62" s="205">
        <v>46238</v>
      </c>
      <c r="L62" s="128" t="s">
        <v>699</v>
      </c>
      <c r="M62" s="209">
        <v>46169</v>
      </c>
    </row>
    <row r="63" s="199" customFormat="1" ht="25" customHeight="1" spans="1:13">
      <c r="A63" s="205">
        <v>46148</v>
      </c>
      <c r="B63" s="206" t="s">
        <v>351</v>
      </c>
      <c r="C63" s="207" t="s">
        <v>445</v>
      </c>
      <c r="D63" s="206" t="s">
        <v>697</v>
      </c>
      <c r="E63" s="206" t="s">
        <v>663</v>
      </c>
      <c r="F63" s="206" t="s">
        <v>165</v>
      </c>
      <c r="G63" s="206" t="s">
        <v>166</v>
      </c>
      <c r="H63" s="208">
        <v>2004</v>
      </c>
      <c r="I63" s="208">
        <v>6</v>
      </c>
      <c r="J63" s="206">
        <f t="shared" si="0"/>
        <v>334</v>
      </c>
      <c r="K63" s="205">
        <v>46209</v>
      </c>
      <c r="L63" s="128" t="s">
        <v>700</v>
      </c>
      <c r="M63" s="209">
        <v>46156</v>
      </c>
    </row>
    <row r="64" s="199" customFormat="1" ht="25" customHeight="1" spans="1:13">
      <c r="A64" s="205">
        <v>46155</v>
      </c>
      <c r="B64" s="206" t="s">
        <v>701</v>
      </c>
      <c r="C64" s="207" t="s">
        <v>445</v>
      </c>
      <c r="D64" s="206" t="s">
        <v>702</v>
      </c>
      <c r="E64" s="206" t="s">
        <v>663</v>
      </c>
      <c r="F64" s="206" t="s">
        <v>118</v>
      </c>
      <c r="G64" s="206" t="s">
        <v>119</v>
      </c>
      <c r="H64" s="208">
        <v>360</v>
      </c>
      <c r="I64" s="208">
        <v>6</v>
      </c>
      <c r="J64" s="206">
        <f t="shared" ref="J64:J74" si="1">H64/I64</f>
        <v>60</v>
      </c>
      <c r="K64" s="205">
        <v>46231</v>
      </c>
      <c r="L64" s="128" t="s">
        <v>640</v>
      </c>
      <c r="M64" s="206"/>
    </row>
    <row r="65" s="199" customFormat="1" ht="25" customHeight="1" spans="1:13">
      <c r="A65" s="205">
        <v>46155</v>
      </c>
      <c r="B65" s="206" t="s">
        <v>701</v>
      </c>
      <c r="C65" s="207" t="s">
        <v>445</v>
      </c>
      <c r="D65" s="206" t="s">
        <v>702</v>
      </c>
      <c r="E65" s="206" t="s">
        <v>663</v>
      </c>
      <c r="F65" s="206" t="s">
        <v>66</v>
      </c>
      <c r="G65" s="206" t="s">
        <v>258</v>
      </c>
      <c r="H65" s="208">
        <v>360</v>
      </c>
      <c r="I65" s="208">
        <v>6</v>
      </c>
      <c r="J65" s="206">
        <f t="shared" si="1"/>
        <v>60</v>
      </c>
      <c r="K65" s="205">
        <v>46231</v>
      </c>
      <c r="L65" s="128" t="s">
        <v>640</v>
      </c>
      <c r="M65" s="206"/>
    </row>
    <row r="66" s="199" customFormat="1" ht="25" customHeight="1" spans="1:13">
      <c r="A66" s="205">
        <v>46155</v>
      </c>
      <c r="B66" s="206" t="s">
        <v>701</v>
      </c>
      <c r="C66" s="207" t="s">
        <v>445</v>
      </c>
      <c r="D66" s="206" t="s">
        <v>702</v>
      </c>
      <c r="E66" s="206" t="s">
        <v>663</v>
      </c>
      <c r="F66" s="206" t="s">
        <v>67</v>
      </c>
      <c r="G66" s="206" t="s">
        <v>152</v>
      </c>
      <c r="H66" s="208">
        <v>360</v>
      </c>
      <c r="I66" s="208">
        <v>6</v>
      </c>
      <c r="J66" s="206">
        <f t="shared" si="1"/>
        <v>60</v>
      </c>
      <c r="K66" s="205">
        <v>46231</v>
      </c>
      <c r="L66" s="128" t="s">
        <v>640</v>
      </c>
      <c r="M66" s="206"/>
    </row>
    <row r="67" s="199" customFormat="1" ht="25" customHeight="1" spans="1:13">
      <c r="A67" s="205">
        <v>46155</v>
      </c>
      <c r="B67" s="206" t="s">
        <v>701</v>
      </c>
      <c r="C67" s="207" t="s">
        <v>445</v>
      </c>
      <c r="D67" s="206" t="s">
        <v>702</v>
      </c>
      <c r="E67" s="206" t="s">
        <v>663</v>
      </c>
      <c r="F67" s="206" t="s">
        <v>64</v>
      </c>
      <c r="G67" s="206" t="s">
        <v>703</v>
      </c>
      <c r="H67" s="208">
        <v>360</v>
      </c>
      <c r="I67" s="208">
        <v>6</v>
      </c>
      <c r="J67" s="206">
        <f t="shared" si="1"/>
        <v>60</v>
      </c>
      <c r="K67" s="205">
        <v>46231</v>
      </c>
      <c r="L67" s="128" t="s">
        <v>640</v>
      </c>
      <c r="M67" s="206"/>
    </row>
    <row r="68" s="199" customFormat="1" ht="25" customHeight="1" spans="1:13">
      <c r="A68" s="205">
        <v>46155</v>
      </c>
      <c r="B68" s="206" t="s">
        <v>701</v>
      </c>
      <c r="C68" s="207" t="s">
        <v>445</v>
      </c>
      <c r="D68" s="206" t="s">
        <v>702</v>
      </c>
      <c r="E68" s="206" t="s">
        <v>663</v>
      </c>
      <c r="F68" s="206" t="s">
        <v>133</v>
      </c>
      <c r="G68" s="206" t="s">
        <v>72</v>
      </c>
      <c r="H68" s="208">
        <v>12</v>
      </c>
      <c r="I68" s="208">
        <v>6</v>
      </c>
      <c r="J68" s="206">
        <f t="shared" si="1"/>
        <v>2</v>
      </c>
      <c r="K68" s="205">
        <v>46231</v>
      </c>
      <c r="L68" s="128" t="s">
        <v>704</v>
      </c>
      <c r="M68" s="206"/>
    </row>
    <row r="69" s="199" customFormat="1" ht="25" customHeight="1" spans="1:13">
      <c r="A69" s="205">
        <v>46155</v>
      </c>
      <c r="B69" s="206" t="s">
        <v>701</v>
      </c>
      <c r="C69" s="207" t="s">
        <v>445</v>
      </c>
      <c r="D69" s="206" t="s">
        <v>702</v>
      </c>
      <c r="E69" s="206" t="s">
        <v>663</v>
      </c>
      <c r="F69" s="206" t="s">
        <v>25</v>
      </c>
      <c r="G69" s="206" t="s">
        <v>705</v>
      </c>
      <c r="H69" s="208">
        <v>480</v>
      </c>
      <c r="I69" s="208">
        <v>6</v>
      </c>
      <c r="J69" s="206">
        <f t="shared" si="1"/>
        <v>80</v>
      </c>
      <c r="K69" s="205">
        <v>46231</v>
      </c>
      <c r="L69" s="128" t="s">
        <v>704</v>
      </c>
      <c r="M69" s="206"/>
    </row>
    <row r="70" s="199" customFormat="1" ht="25" customHeight="1" spans="1:13">
      <c r="A70" s="205">
        <v>46155</v>
      </c>
      <c r="B70" s="206" t="s">
        <v>701</v>
      </c>
      <c r="C70" s="207" t="s">
        <v>445</v>
      </c>
      <c r="D70" s="206" t="s">
        <v>702</v>
      </c>
      <c r="E70" s="206" t="s">
        <v>663</v>
      </c>
      <c r="F70" s="206" t="s">
        <v>15</v>
      </c>
      <c r="G70" s="206" t="s">
        <v>706</v>
      </c>
      <c r="H70" s="208">
        <v>360</v>
      </c>
      <c r="I70" s="208">
        <v>6</v>
      </c>
      <c r="J70" s="206">
        <f t="shared" si="1"/>
        <v>60</v>
      </c>
      <c r="K70" s="205">
        <v>46231</v>
      </c>
      <c r="L70" s="128" t="s">
        <v>707</v>
      </c>
      <c r="M70" s="206"/>
    </row>
    <row r="71" s="199" customFormat="1" ht="25" customHeight="1" spans="1:13">
      <c r="A71" s="205">
        <v>46155</v>
      </c>
      <c r="B71" s="206" t="s">
        <v>701</v>
      </c>
      <c r="C71" s="207" t="s">
        <v>445</v>
      </c>
      <c r="D71" s="206" t="s">
        <v>702</v>
      </c>
      <c r="E71" s="206" t="s">
        <v>663</v>
      </c>
      <c r="F71" s="206" t="s">
        <v>16</v>
      </c>
      <c r="G71" s="206" t="s">
        <v>81</v>
      </c>
      <c r="H71" s="208">
        <v>360</v>
      </c>
      <c r="I71" s="208">
        <v>6</v>
      </c>
      <c r="J71" s="206">
        <f t="shared" si="1"/>
        <v>60</v>
      </c>
      <c r="K71" s="205">
        <v>46231</v>
      </c>
      <c r="L71" s="128" t="s">
        <v>707</v>
      </c>
      <c r="M71" s="206"/>
    </row>
    <row r="72" s="199" customFormat="1" ht="25" customHeight="1" spans="1:13">
      <c r="A72" s="205">
        <v>46155</v>
      </c>
      <c r="B72" s="206" t="s">
        <v>701</v>
      </c>
      <c r="C72" s="207" t="s">
        <v>445</v>
      </c>
      <c r="D72" s="206" t="s">
        <v>702</v>
      </c>
      <c r="E72" s="206" t="s">
        <v>663</v>
      </c>
      <c r="F72" s="206" t="s">
        <v>10</v>
      </c>
      <c r="G72" s="206" t="s">
        <v>128</v>
      </c>
      <c r="H72" s="208">
        <v>360</v>
      </c>
      <c r="I72" s="208">
        <v>6</v>
      </c>
      <c r="J72" s="206">
        <f t="shared" si="1"/>
        <v>60</v>
      </c>
      <c r="K72" s="205">
        <v>46231</v>
      </c>
      <c r="L72" s="128" t="s">
        <v>707</v>
      </c>
      <c r="M72" s="206"/>
    </row>
    <row r="73" s="199" customFormat="1" ht="25" customHeight="1" spans="1:13">
      <c r="A73" s="205">
        <v>46155</v>
      </c>
      <c r="B73" s="206" t="s">
        <v>701</v>
      </c>
      <c r="C73" s="207" t="s">
        <v>445</v>
      </c>
      <c r="D73" s="206" t="s">
        <v>702</v>
      </c>
      <c r="E73" s="206" t="s">
        <v>663</v>
      </c>
      <c r="F73" s="206" t="s">
        <v>69</v>
      </c>
      <c r="G73" s="211" t="s">
        <v>325</v>
      </c>
      <c r="H73" s="208">
        <v>360</v>
      </c>
      <c r="I73" s="208">
        <v>6</v>
      </c>
      <c r="J73" s="206">
        <f t="shared" si="1"/>
        <v>60</v>
      </c>
      <c r="K73" s="205">
        <v>46231</v>
      </c>
      <c r="L73" s="128" t="s">
        <v>707</v>
      </c>
      <c r="M73" s="206"/>
    </row>
    <row r="74" s="199" customFormat="1" ht="25" customHeight="1" spans="1:13">
      <c r="A74" s="205">
        <v>46155</v>
      </c>
      <c r="B74" s="206" t="s">
        <v>369</v>
      </c>
      <c r="C74" s="207" t="s">
        <v>445</v>
      </c>
      <c r="D74" s="206" t="s">
        <v>368</v>
      </c>
      <c r="E74" s="206" t="s">
        <v>663</v>
      </c>
      <c r="F74" s="206" t="s">
        <v>69</v>
      </c>
      <c r="G74" s="211" t="s">
        <v>325</v>
      </c>
      <c r="H74" s="208">
        <v>3504</v>
      </c>
      <c r="I74" s="208">
        <v>6</v>
      </c>
      <c r="J74" s="206">
        <f t="shared" si="1"/>
        <v>584</v>
      </c>
      <c r="K74" s="205">
        <v>46218</v>
      </c>
      <c r="L74" s="128" t="s">
        <v>695</v>
      </c>
      <c r="M74" s="206"/>
    </row>
    <row r="75" s="199" customFormat="1" ht="25" customHeight="1" spans="1:13">
      <c r="A75" s="205">
        <v>46164</v>
      </c>
      <c r="B75" s="206" t="s">
        <v>708</v>
      </c>
      <c r="C75" s="207" t="s">
        <v>445</v>
      </c>
      <c r="D75" s="206" t="s">
        <v>709</v>
      </c>
      <c r="E75" s="206" t="s">
        <v>663</v>
      </c>
      <c r="F75" s="206" t="s">
        <v>70</v>
      </c>
      <c r="G75" s="206" t="s">
        <v>339</v>
      </c>
      <c r="H75" s="208">
        <v>108</v>
      </c>
      <c r="I75" s="208">
        <v>6</v>
      </c>
      <c r="J75" s="206">
        <f t="shared" ref="J75:J82" si="2">H75/I75</f>
        <v>18</v>
      </c>
      <c r="K75" s="205">
        <v>46258</v>
      </c>
      <c r="L75" s="128" t="s">
        <v>691</v>
      </c>
      <c r="M75" s="206"/>
    </row>
    <row r="76" s="199" customFormat="1" ht="25" customHeight="1" spans="1:13">
      <c r="A76" s="205">
        <v>46164</v>
      </c>
      <c r="B76" s="206" t="s">
        <v>708</v>
      </c>
      <c r="C76" s="207" t="s">
        <v>445</v>
      </c>
      <c r="D76" s="206" t="s">
        <v>709</v>
      </c>
      <c r="E76" s="206" t="s">
        <v>663</v>
      </c>
      <c r="F76" s="206" t="s">
        <v>70</v>
      </c>
      <c r="G76" s="206" t="s">
        <v>339</v>
      </c>
      <c r="H76" s="208">
        <v>36</v>
      </c>
      <c r="I76" s="208">
        <v>6</v>
      </c>
      <c r="J76" s="206">
        <f t="shared" si="2"/>
        <v>6</v>
      </c>
      <c r="K76" s="205">
        <v>46258</v>
      </c>
      <c r="L76" s="128" t="s">
        <v>691</v>
      </c>
      <c r="M76" s="206"/>
    </row>
    <row r="77" s="199" customFormat="1" ht="25" customHeight="1" spans="1:13">
      <c r="A77" s="205">
        <v>46164</v>
      </c>
      <c r="B77" s="206" t="s">
        <v>708</v>
      </c>
      <c r="C77" s="207" t="s">
        <v>445</v>
      </c>
      <c r="D77" s="206" t="s">
        <v>709</v>
      </c>
      <c r="E77" s="206" t="s">
        <v>663</v>
      </c>
      <c r="F77" s="206" t="s">
        <v>70</v>
      </c>
      <c r="G77" s="206" t="s">
        <v>339</v>
      </c>
      <c r="H77" s="208">
        <v>72</v>
      </c>
      <c r="I77" s="208">
        <v>6</v>
      </c>
      <c r="J77" s="206">
        <f t="shared" si="2"/>
        <v>12</v>
      </c>
      <c r="K77" s="205">
        <v>46345</v>
      </c>
      <c r="L77" s="128" t="s">
        <v>691</v>
      </c>
      <c r="M77" s="206"/>
    </row>
    <row r="78" s="199" customFormat="1" ht="25" customHeight="1" spans="1:13">
      <c r="A78" s="205">
        <v>46164</v>
      </c>
      <c r="B78" s="206" t="s">
        <v>708</v>
      </c>
      <c r="C78" s="207" t="s">
        <v>445</v>
      </c>
      <c r="D78" s="206" t="s">
        <v>709</v>
      </c>
      <c r="E78" s="206" t="s">
        <v>663</v>
      </c>
      <c r="F78" s="206" t="s">
        <v>70</v>
      </c>
      <c r="G78" s="206" t="s">
        <v>339</v>
      </c>
      <c r="H78" s="208">
        <v>24</v>
      </c>
      <c r="I78" s="208">
        <v>6</v>
      </c>
      <c r="J78" s="206">
        <f t="shared" si="2"/>
        <v>4</v>
      </c>
      <c r="K78" s="205">
        <v>46345</v>
      </c>
      <c r="L78" s="128" t="s">
        <v>691</v>
      </c>
      <c r="M78" s="206"/>
    </row>
    <row r="79" s="199" customFormat="1" ht="25" customHeight="1" spans="1:13">
      <c r="A79" s="205">
        <v>46164</v>
      </c>
      <c r="B79" s="206" t="s">
        <v>708</v>
      </c>
      <c r="C79" s="207" t="s">
        <v>445</v>
      </c>
      <c r="D79" s="206" t="s">
        <v>709</v>
      </c>
      <c r="E79" s="206" t="s">
        <v>663</v>
      </c>
      <c r="F79" s="206" t="s">
        <v>69</v>
      </c>
      <c r="G79" s="206" t="s">
        <v>325</v>
      </c>
      <c r="H79" s="208">
        <v>108</v>
      </c>
      <c r="I79" s="208">
        <v>6</v>
      </c>
      <c r="J79" s="206">
        <f t="shared" si="2"/>
        <v>18</v>
      </c>
      <c r="K79" s="205">
        <v>46258</v>
      </c>
      <c r="L79" s="128" t="s">
        <v>691</v>
      </c>
      <c r="M79" s="206"/>
    </row>
    <row r="80" s="199" customFormat="1" ht="25" customHeight="1" spans="1:13">
      <c r="A80" s="205">
        <v>46164</v>
      </c>
      <c r="B80" s="206" t="s">
        <v>708</v>
      </c>
      <c r="C80" s="207" t="s">
        <v>445</v>
      </c>
      <c r="D80" s="206" t="s">
        <v>709</v>
      </c>
      <c r="E80" s="206" t="s">
        <v>663</v>
      </c>
      <c r="F80" s="206" t="s">
        <v>69</v>
      </c>
      <c r="G80" s="206" t="s">
        <v>325</v>
      </c>
      <c r="H80" s="208">
        <v>36</v>
      </c>
      <c r="I80" s="208">
        <v>6</v>
      </c>
      <c r="J80" s="206">
        <f t="shared" si="2"/>
        <v>6</v>
      </c>
      <c r="K80" s="205">
        <v>46258</v>
      </c>
      <c r="L80" s="128" t="s">
        <v>691</v>
      </c>
      <c r="M80" s="206"/>
    </row>
    <row r="81" s="199" customFormat="1" ht="25" customHeight="1" spans="1:13">
      <c r="A81" s="205">
        <v>46164</v>
      </c>
      <c r="B81" s="206" t="s">
        <v>708</v>
      </c>
      <c r="C81" s="207" t="s">
        <v>445</v>
      </c>
      <c r="D81" s="206" t="s">
        <v>709</v>
      </c>
      <c r="E81" s="206" t="s">
        <v>663</v>
      </c>
      <c r="F81" s="206" t="s">
        <v>69</v>
      </c>
      <c r="G81" s="206" t="s">
        <v>325</v>
      </c>
      <c r="H81" s="208">
        <v>72</v>
      </c>
      <c r="I81" s="208">
        <v>6</v>
      </c>
      <c r="J81" s="206">
        <f t="shared" si="2"/>
        <v>12</v>
      </c>
      <c r="K81" s="205">
        <v>46345</v>
      </c>
      <c r="L81" s="128" t="s">
        <v>691</v>
      </c>
      <c r="M81" s="206"/>
    </row>
    <row r="82" s="199" customFormat="1" ht="25" customHeight="1" spans="1:13">
      <c r="A82" s="205">
        <v>46164</v>
      </c>
      <c r="B82" s="206" t="s">
        <v>708</v>
      </c>
      <c r="C82" s="207" t="s">
        <v>445</v>
      </c>
      <c r="D82" s="206" t="s">
        <v>709</v>
      </c>
      <c r="E82" s="206" t="s">
        <v>663</v>
      </c>
      <c r="F82" s="206" t="s">
        <v>69</v>
      </c>
      <c r="G82" s="206" t="s">
        <v>325</v>
      </c>
      <c r="H82" s="208">
        <v>24</v>
      </c>
      <c r="I82" s="208">
        <v>6</v>
      </c>
      <c r="J82" s="206">
        <f t="shared" si="2"/>
        <v>4</v>
      </c>
      <c r="K82" s="205">
        <v>46345</v>
      </c>
      <c r="L82" s="128" t="s">
        <v>691</v>
      </c>
      <c r="M82" s="209"/>
    </row>
    <row r="83" s="199" customFormat="1" ht="25" customHeight="1" spans="1:13">
      <c r="A83" s="205">
        <v>46164</v>
      </c>
      <c r="B83" s="206" t="s">
        <v>251</v>
      </c>
      <c r="C83" s="207" t="s">
        <v>445</v>
      </c>
      <c r="D83" s="206" t="s">
        <v>365</v>
      </c>
      <c r="E83" s="206" t="s">
        <v>663</v>
      </c>
      <c r="F83" s="206" t="s">
        <v>270</v>
      </c>
      <c r="G83" s="206" t="s">
        <v>271</v>
      </c>
      <c r="H83" s="208">
        <v>1440</v>
      </c>
      <c r="I83" s="208">
        <v>6</v>
      </c>
      <c r="J83" s="206">
        <f t="shared" ref="J83:J93" si="3">H83/I83</f>
        <v>240</v>
      </c>
      <c r="K83" s="205">
        <v>46238</v>
      </c>
      <c r="L83" s="128" t="s">
        <v>710</v>
      </c>
      <c r="M83" s="209">
        <v>46174</v>
      </c>
    </row>
    <row r="84" s="199" customFormat="1" ht="25" customHeight="1" spans="1:13">
      <c r="A84" s="205">
        <v>46164</v>
      </c>
      <c r="B84" s="206" t="s">
        <v>251</v>
      </c>
      <c r="C84" s="207" t="s">
        <v>445</v>
      </c>
      <c r="D84" s="206" t="s">
        <v>365</v>
      </c>
      <c r="E84" s="206" t="s">
        <v>663</v>
      </c>
      <c r="F84" s="206" t="s">
        <v>45</v>
      </c>
      <c r="G84" s="206" t="s">
        <v>287</v>
      </c>
      <c r="H84" s="208">
        <v>1440</v>
      </c>
      <c r="I84" s="208">
        <v>6</v>
      </c>
      <c r="J84" s="206">
        <f t="shared" si="3"/>
        <v>240</v>
      </c>
      <c r="K84" s="205">
        <v>46238</v>
      </c>
      <c r="L84" s="128" t="s">
        <v>710</v>
      </c>
      <c r="M84" s="209">
        <v>46174</v>
      </c>
    </row>
    <row r="85" s="199" customFormat="1" ht="25" customHeight="1" spans="1:13">
      <c r="A85" s="205">
        <v>46164</v>
      </c>
      <c r="B85" s="206" t="s">
        <v>251</v>
      </c>
      <c r="C85" s="207" t="s">
        <v>445</v>
      </c>
      <c r="D85" s="206" t="s">
        <v>365</v>
      </c>
      <c r="E85" s="206" t="s">
        <v>663</v>
      </c>
      <c r="F85" s="206" t="s">
        <v>270</v>
      </c>
      <c r="G85" s="206" t="s">
        <v>271</v>
      </c>
      <c r="H85" s="208">
        <v>1902</v>
      </c>
      <c r="I85" s="208">
        <v>6</v>
      </c>
      <c r="J85" s="206">
        <f t="shared" si="3"/>
        <v>317</v>
      </c>
      <c r="K85" s="205">
        <v>46265</v>
      </c>
      <c r="L85" s="128" t="s">
        <v>710</v>
      </c>
      <c r="M85" s="209">
        <v>46178</v>
      </c>
    </row>
    <row r="86" s="199" customFormat="1" ht="25" customHeight="1" spans="1:13">
      <c r="A86" s="205">
        <v>46164</v>
      </c>
      <c r="B86" s="206" t="s">
        <v>79</v>
      </c>
      <c r="C86" s="207" t="s">
        <v>445</v>
      </c>
      <c r="D86" s="206" t="s">
        <v>363</v>
      </c>
      <c r="E86" s="206" t="s">
        <v>663</v>
      </c>
      <c r="F86" s="206" t="s">
        <v>49</v>
      </c>
      <c r="G86" s="206" t="s">
        <v>144</v>
      </c>
      <c r="H86" s="208">
        <v>3984</v>
      </c>
      <c r="I86" s="208">
        <v>4</v>
      </c>
      <c r="J86" s="206">
        <f t="shared" si="3"/>
        <v>996</v>
      </c>
      <c r="K86" s="205">
        <v>46238</v>
      </c>
      <c r="L86" s="128" t="s">
        <v>453</v>
      </c>
      <c r="M86" s="209">
        <v>46172</v>
      </c>
    </row>
    <row r="87" s="199" customFormat="1" ht="25" customHeight="1" spans="1:13">
      <c r="A87" s="205">
        <v>46175</v>
      </c>
      <c r="B87" s="206" t="s">
        <v>378</v>
      </c>
      <c r="C87" s="207" t="s">
        <v>445</v>
      </c>
      <c r="D87" s="206" t="s">
        <v>711</v>
      </c>
      <c r="E87" s="206" t="s">
        <v>663</v>
      </c>
      <c r="F87" s="206" t="s">
        <v>66</v>
      </c>
      <c r="G87" s="206" t="s">
        <v>258</v>
      </c>
      <c r="H87" s="208">
        <v>360</v>
      </c>
      <c r="I87" s="208">
        <v>6</v>
      </c>
      <c r="J87" s="206">
        <f t="shared" si="3"/>
        <v>60</v>
      </c>
      <c r="K87" s="205">
        <v>46443</v>
      </c>
      <c r="L87" s="128" t="s">
        <v>621</v>
      </c>
      <c r="M87" s="209"/>
    </row>
    <row r="88" s="199" customFormat="1" ht="25" customHeight="1" spans="1:13">
      <c r="A88" s="205">
        <v>46175</v>
      </c>
      <c r="B88" s="206" t="s">
        <v>372</v>
      </c>
      <c r="C88" s="207" t="s">
        <v>445</v>
      </c>
      <c r="D88" s="206" t="s">
        <v>711</v>
      </c>
      <c r="E88" s="206" t="s">
        <v>663</v>
      </c>
      <c r="F88" s="206" t="s">
        <v>66</v>
      </c>
      <c r="G88" s="206" t="s">
        <v>258</v>
      </c>
      <c r="H88" s="208">
        <v>60</v>
      </c>
      <c r="I88" s="208">
        <v>6</v>
      </c>
      <c r="J88" s="206">
        <f t="shared" si="3"/>
        <v>10</v>
      </c>
      <c r="K88" s="205">
        <v>46443</v>
      </c>
      <c r="L88" s="128" t="s">
        <v>621</v>
      </c>
      <c r="M88" s="209"/>
    </row>
    <row r="89" s="199" customFormat="1" ht="25" customHeight="1" spans="1:13">
      <c r="A89" s="205">
        <v>46175</v>
      </c>
      <c r="B89" s="206" t="s">
        <v>380</v>
      </c>
      <c r="C89" s="207" t="s">
        <v>445</v>
      </c>
      <c r="D89" s="206" t="s">
        <v>711</v>
      </c>
      <c r="E89" s="206" t="s">
        <v>663</v>
      </c>
      <c r="F89" s="206" t="s">
        <v>66</v>
      </c>
      <c r="G89" s="206" t="s">
        <v>258</v>
      </c>
      <c r="H89" s="208">
        <v>360</v>
      </c>
      <c r="I89" s="208">
        <v>6</v>
      </c>
      <c r="J89" s="206">
        <f t="shared" si="3"/>
        <v>60</v>
      </c>
      <c r="K89" s="205">
        <v>46443</v>
      </c>
      <c r="L89" s="128" t="s">
        <v>621</v>
      </c>
      <c r="M89" s="209"/>
    </row>
    <row r="90" s="199" customFormat="1" ht="25" customHeight="1" spans="1:13">
      <c r="A90" s="205">
        <v>46175</v>
      </c>
      <c r="B90" s="206" t="s">
        <v>712</v>
      </c>
      <c r="C90" s="207" t="s">
        <v>445</v>
      </c>
      <c r="D90" s="206" t="s">
        <v>711</v>
      </c>
      <c r="E90" s="206" t="s">
        <v>663</v>
      </c>
      <c r="F90" s="206" t="s">
        <v>66</v>
      </c>
      <c r="G90" s="206" t="s">
        <v>258</v>
      </c>
      <c r="H90" s="208">
        <v>480</v>
      </c>
      <c r="I90" s="208">
        <v>6</v>
      </c>
      <c r="J90" s="206">
        <f t="shared" si="3"/>
        <v>80</v>
      </c>
      <c r="K90" s="205">
        <v>46443</v>
      </c>
      <c r="L90" s="128" t="s">
        <v>621</v>
      </c>
      <c r="M90" s="209"/>
    </row>
    <row r="91" s="199" customFormat="1" ht="25" customHeight="1" spans="1:13">
      <c r="A91" s="205">
        <v>46175</v>
      </c>
      <c r="B91" s="206" t="s">
        <v>713</v>
      </c>
      <c r="C91" s="207" t="s">
        <v>445</v>
      </c>
      <c r="D91" s="206" t="s">
        <v>711</v>
      </c>
      <c r="E91" s="206" t="s">
        <v>663</v>
      </c>
      <c r="F91" s="206" t="s">
        <v>66</v>
      </c>
      <c r="G91" s="206" t="s">
        <v>258</v>
      </c>
      <c r="H91" s="208">
        <v>360</v>
      </c>
      <c r="I91" s="208">
        <v>6</v>
      </c>
      <c r="J91" s="206">
        <f t="shared" si="3"/>
        <v>60</v>
      </c>
      <c r="K91" s="205">
        <v>46443</v>
      </c>
      <c r="L91" s="128" t="s">
        <v>621</v>
      </c>
      <c r="M91" s="209"/>
    </row>
    <row r="92" s="199" customFormat="1" ht="25" customHeight="1" spans="1:13">
      <c r="A92" s="205">
        <v>46176</v>
      </c>
      <c r="B92" s="206" t="s">
        <v>79</v>
      </c>
      <c r="C92" s="207" t="s">
        <v>65</v>
      </c>
      <c r="D92" s="206" t="s">
        <v>78</v>
      </c>
      <c r="E92" s="206" t="s">
        <v>663</v>
      </c>
      <c r="F92" s="206" t="s">
        <v>65</v>
      </c>
      <c r="G92" s="206" t="s">
        <v>260</v>
      </c>
      <c r="H92" s="208">
        <v>3000</v>
      </c>
      <c r="I92" s="208">
        <v>6</v>
      </c>
      <c r="J92" s="206">
        <f t="shared" si="3"/>
        <v>500</v>
      </c>
      <c r="K92" s="205">
        <v>46252</v>
      </c>
      <c r="L92" s="128" t="s">
        <v>714</v>
      </c>
      <c r="M92" s="209"/>
    </row>
    <row r="93" s="199" customFormat="1" ht="25" customHeight="1" spans="1:13">
      <c r="A93" s="205">
        <v>46176</v>
      </c>
      <c r="B93" s="206" t="s">
        <v>84</v>
      </c>
      <c r="C93" s="207" t="s">
        <v>65</v>
      </c>
      <c r="D93" s="206" t="s">
        <v>78</v>
      </c>
      <c r="E93" s="206" t="s">
        <v>663</v>
      </c>
      <c r="F93" s="206" t="s">
        <v>65</v>
      </c>
      <c r="G93" s="206" t="s">
        <v>260</v>
      </c>
      <c r="H93" s="208">
        <v>300</v>
      </c>
      <c r="I93" s="208">
        <v>6</v>
      </c>
      <c r="J93" s="206">
        <f t="shared" si="3"/>
        <v>50</v>
      </c>
      <c r="K93" s="205">
        <v>46252</v>
      </c>
      <c r="L93" s="128" t="s">
        <v>714</v>
      </c>
      <c r="M93" s="209"/>
    </row>
    <row r="94" s="199" customFormat="1" ht="25" customHeight="1" spans="1:13">
      <c r="A94" s="205"/>
      <c r="B94" s="206"/>
      <c r="C94" s="207"/>
      <c r="D94" s="206"/>
      <c r="E94" s="206"/>
      <c r="F94" s="206"/>
      <c r="G94" s="206"/>
      <c r="H94" s="208"/>
      <c r="I94" s="208"/>
      <c r="J94" s="206"/>
      <c r="K94" s="205"/>
      <c r="L94" s="128"/>
      <c r="M94" s="209"/>
    </row>
    <row r="95" s="199" customFormat="1" ht="25" customHeight="1" spans="1:13">
      <c r="A95" s="205"/>
      <c r="B95" s="206"/>
      <c r="C95" s="207"/>
      <c r="D95" s="206"/>
      <c r="E95" s="206"/>
      <c r="F95" s="206"/>
      <c r="G95" s="206"/>
      <c r="H95" s="208"/>
      <c r="I95" s="208"/>
      <c r="J95" s="206"/>
      <c r="K95" s="205"/>
      <c r="L95" s="128"/>
      <c r="M95" s="209"/>
    </row>
    <row r="96" s="199" customFormat="1" ht="25" customHeight="1" spans="1:13">
      <c r="A96" s="205"/>
      <c r="B96" s="206"/>
      <c r="C96" s="207"/>
      <c r="D96" s="206"/>
      <c r="E96" s="206"/>
      <c r="F96" s="206"/>
      <c r="G96" s="206"/>
      <c r="H96" s="208"/>
      <c r="I96" s="208"/>
      <c r="J96" s="206"/>
      <c r="K96" s="205"/>
      <c r="L96" s="128"/>
      <c r="M96" s="209"/>
    </row>
    <row r="97" s="199" customFormat="1" ht="25" customHeight="1" spans="1:13">
      <c r="A97" s="205"/>
      <c r="B97" s="206"/>
      <c r="C97" s="207"/>
      <c r="D97" s="206"/>
      <c r="E97" s="206"/>
      <c r="F97" s="206"/>
      <c r="G97" s="206"/>
      <c r="H97" s="208"/>
      <c r="I97" s="208"/>
      <c r="J97" s="206"/>
      <c r="K97" s="205"/>
      <c r="L97" s="128"/>
      <c r="M97" s="209"/>
    </row>
    <row r="98" s="199" customFormat="1" ht="25" customHeight="1" spans="1:13">
      <c r="A98" s="205"/>
      <c r="B98" s="206"/>
      <c r="C98" s="207"/>
      <c r="D98" s="206"/>
      <c r="E98" s="206"/>
      <c r="F98" s="206"/>
      <c r="G98" s="206"/>
      <c r="H98" s="208">
        <f>SUM(H2:H97)</f>
        <v>171399</v>
      </c>
      <c r="I98" s="208"/>
      <c r="J98" s="206"/>
      <c r="K98" s="205"/>
      <c r="L98" s="128"/>
      <c r="M98" s="209"/>
    </row>
    <row r="99" s="52" customFormat="1" ht="25" customHeight="1" spans="1:13">
      <c r="A99" s="59"/>
      <c r="H99" s="200"/>
      <c r="I99" s="200"/>
      <c r="K99" s="59"/>
      <c r="L99" s="201"/>
    </row>
    <row r="100" s="52" customFormat="1" ht="25" customHeight="1" spans="1:13">
      <c r="A100" s="59"/>
      <c r="H100" s="200"/>
      <c r="I100" s="200"/>
      <c r="K100" s="59"/>
      <c r="L100" s="201"/>
    </row>
    <row r="101" s="52" customFormat="1" ht="25" customHeight="1" spans="1:13">
      <c r="A101" s="59"/>
      <c r="H101" s="200"/>
      <c r="I101" s="200"/>
      <c r="K101" s="59"/>
      <c r="L101" s="201"/>
    </row>
    <row r="102" s="52" customFormat="1" ht="25" customHeight="1" spans="1:13">
      <c r="A102" s="59"/>
      <c r="H102" s="200"/>
      <c r="I102" s="200"/>
      <c r="K102" s="59"/>
      <c r="L102" s="201"/>
    </row>
    <row r="103" s="52" customFormat="1" ht="25" customHeight="1" spans="1:13">
      <c r="A103" s="59"/>
      <c r="H103" s="200"/>
      <c r="I103" s="200"/>
      <c r="K103" s="59"/>
      <c r="L103" s="201"/>
    </row>
    <row r="104" s="52" customFormat="1" ht="25" customHeight="1" spans="1:13">
      <c r="A104" s="59"/>
      <c r="H104" s="200"/>
      <c r="I104" s="200"/>
      <c r="K104" s="59"/>
      <c r="L104" s="201"/>
    </row>
    <row r="105" s="52" customFormat="1" ht="25" customHeight="1" spans="1:13">
      <c r="A105" s="59"/>
      <c r="H105" s="200"/>
      <c r="I105" s="200"/>
      <c r="K105" s="59"/>
      <c r="L105" s="201"/>
    </row>
    <row r="106" s="52" customFormat="1" ht="25" customHeight="1" spans="1:13">
      <c r="A106" s="59"/>
      <c r="H106" s="200"/>
      <c r="I106" s="200"/>
      <c r="K106" s="59"/>
      <c r="L106" s="201"/>
    </row>
    <row r="107" s="52" customFormat="1" ht="25" customHeight="1" spans="1:13">
      <c r="A107" s="59"/>
      <c r="H107" s="200"/>
      <c r="I107" s="200"/>
      <c r="K107" s="59"/>
      <c r="L107" s="201"/>
    </row>
    <row r="108" s="52" customFormat="1" ht="25" customHeight="1" spans="1:13">
      <c r="A108" s="59"/>
      <c r="H108" s="200"/>
      <c r="I108" s="200"/>
      <c r="K108" s="59"/>
      <c r="L108" s="201"/>
    </row>
    <row r="109" ht="25" customHeight="1"/>
    <row r="110" ht="25" customHeight="1"/>
    <row r="111" ht="25" customHeight="1"/>
    <row r="112" ht="25" customHeight="1"/>
    <row r="113" ht="25" customHeight="1"/>
    <row r="114" ht="25" customHeight="1"/>
    <row r="115" ht="25" customHeight="1"/>
    <row r="116" ht="25" customHeight="1"/>
    <row r="117" ht="25" customHeight="1"/>
    <row r="118" ht="25" customHeight="1"/>
    <row r="119" ht="25" customHeight="1"/>
    <row r="120" ht="25" customHeight="1"/>
    <row r="121" ht="25" customHeight="1"/>
    <row r="122" ht="25" customHeight="1"/>
    <row r="123" ht="25" customHeight="1"/>
    <row r="124" ht="25" customHeight="1"/>
    <row r="125" ht="25" customHeight="1"/>
    <row r="126" ht="25" customHeight="1"/>
    <row r="127" ht="25" customHeight="1"/>
    <row r="128" ht="25" customHeight="1"/>
    <row r="129" ht="25" customHeight="1"/>
    <row r="130" ht="25" customHeight="1"/>
    <row r="131" ht="25" customHeight="1"/>
    <row r="132" ht="25" customHeight="1"/>
    <row r="133" ht="25" customHeight="1"/>
    <row r="134" ht="25" customHeight="1"/>
    <row r="135" ht="25" customHeight="1"/>
    <row r="136" ht="25" customHeight="1"/>
    <row r="137" ht="25" customHeight="1"/>
    <row r="138" ht="25" customHeight="1"/>
    <row r="139" ht="25" customHeight="1"/>
    <row r="140" ht="25" customHeight="1"/>
    <row r="141" ht="25" customHeight="1"/>
    <row r="142" ht="25" customHeight="1"/>
    <row r="143" ht="25" customHeight="1"/>
    <row r="144" ht="25" customHeight="1"/>
    <row r="145" ht="25" customHeight="1"/>
    <row r="146" ht="25" customHeight="1"/>
    <row r="147" ht="25" customHeight="1"/>
    <row r="148" ht="25" customHeight="1"/>
    <row r="149" ht="25" customHeight="1"/>
    <row r="150" ht="25" customHeight="1"/>
    <row r="151" ht="25" customHeight="1"/>
    <row r="152" ht="25" customHeight="1"/>
    <row r="153" ht="25" customHeight="1"/>
    <row r="154" ht="25" customHeight="1"/>
    <row r="155" ht="25" customHeight="1"/>
    <row r="156" ht="25" customHeight="1"/>
    <row r="157" ht="25" customHeight="1"/>
    <row r="158" ht="25" customHeight="1"/>
    <row r="159" ht="25" customHeight="1"/>
    <row r="160" ht="25" customHeight="1"/>
    <row r="161" ht="25" customHeight="1"/>
    <row r="162" ht="25" customHeight="1"/>
    <row r="163" ht="25" customHeight="1"/>
    <row r="164" ht="25" customHeight="1"/>
    <row r="165" ht="25" customHeight="1"/>
    <row r="166" ht="25" customHeight="1"/>
    <row r="167" ht="25" customHeight="1"/>
    <row r="168" ht="25" customHeight="1"/>
    <row r="169" ht="25" customHeight="1"/>
    <row r="170" ht="25" customHeight="1"/>
    <row r="171" ht="25" customHeight="1"/>
    <row r="172" ht="25" customHeight="1"/>
    <row r="173" ht="25" customHeight="1"/>
    <row r="174" ht="25" customHeight="1"/>
    <row r="175" ht="25" customHeight="1"/>
    <row r="176" ht="25" customHeight="1"/>
    <row r="177" ht="25" customHeight="1"/>
    <row r="178" ht="25" customHeight="1"/>
    <row r="179" ht="25" customHeight="1"/>
    <row r="180" ht="25" customHeight="1"/>
    <row r="181" ht="25" customHeight="1"/>
    <row r="182" ht="25" customHeight="1"/>
    <row r="183" ht="25" customHeight="1"/>
    <row r="184" ht="25" customHeight="1"/>
    <row r="185" ht="25" customHeight="1"/>
    <row r="186" ht="25" customHeight="1"/>
    <row r="187" ht="25" customHeight="1"/>
    <row r="188" ht="25" customHeight="1"/>
    <row r="189" ht="25" customHeight="1"/>
    <row r="190" ht="25" customHeight="1"/>
    <row r="191" ht="25" customHeight="1"/>
    <row r="192" ht="25" customHeight="1"/>
    <row r="193" ht="25" customHeight="1"/>
    <row r="194" ht="25" customHeight="1"/>
    <row r="195" ht="25" customHeight="1"/>
    <row r="196" ht="25" customHeight="1"/>
    <row r="197" ht="25" customHeight="1"/>
    <row r="198" ht="25" customHeight="1"/>
    <row r="199" ht="25" customHeight="1"/>
    <row r="200" ht="25" customHeight="1"/>
    <row r="201" ht="25" customHeight="1"/>
    <row r="202" ht="25" customHeight="1"/>
    <row r="203" ht="25" customHeight="1"/>
    <row r="204" ht="25" customHeight="1"/>
    <row r="205" ht="25" customHeight="1"/>
    <row r="206" ht="25" customHeight="1"/>
    <row r="207" ht="25" customHeight="1"/>
    <row r="208" ht="25" customHeight="1"/>
    <row r="209" ht="25" customHeight="1"/>
    <row r="210" ht="25" customHeight="1"/>
    <row r="211" ht="25" customHeight="1"/>
    <row r="212" ht="25" customHeight="1"/>
    <row r="213" ht="25" customHeight="1"/>
    <row r="214" ht="25" customHeight="1"/>
    <row r="215" ht="25" customHeight="1"/>
    <row r="216" ht="25" customHeight="1"/>
    <row r="217" ht="25" customHeight="1"/>
    <row r="218" ht="25" customHeight="1"/>
    <row r="219" ht="25" customHeight="1"/>
    <row r="220" ht="25" customHeight="1"/>
    <row r="221" ht="25" customHeight="1"/>
    <row r="222" ht="25" customHeight="1"/>
    <row r="223" ht="25" customHeight="1"/>
    <row r="224" ht="25" customHeight="1"/>
    <row r="225" ht="25" customHeight="1"/>
    <row r="226" ht="25" customHeight="1"/>
    <row r="227" ht="25" customHeight="1"/>
    <row r="228" ht="25" customHeight="1"/>
    <row r="229" ht="25" customHeight="1"/>
    <row r="230" ht="25" customHeight="1"/>
    <row r="231" ht="25" customHeight="1"/>
    <row r="232" ht="25" customHeight="1"/>
    <row r="233" ht="25" customHeight="1"/>
    <row r="234" ht="25" customHeight="1"/>
    <row r="235" ht="25" customHeight="1"/>
    <row r="236" ht="25" customHeight="1"/>
    <row r="237" ht="25" customHeight="1"/>
    <row r="238" ht="25" customHeight="1"/>
    <row r="239" ht="25" customHeight="1"/>
    <row r="240" ht="25" customHeight="1"/>
    <row r="241" ht="25" customHeight="1"/>
    <row r="242" ht="25" customHeight="1"/>
    <row r="243" ht="25" customHeight="1"/>
    <row r="244" ht="25" customHeight="1"/>
    <row r="245" ht="25" customHeight="1"/>
    <row r="246" ht="25" customHeight="1"/>
    <row r="247" ht="25" customHeight="1"/>
    <row r="248" ht="25" customHeight="1"/>
    <row r="249" ht="25" customHeight="1"/>
    <row r="250" ht="25" customHeight="1"/>
    <row r="251" ht="25" customHeight="1"/>
    <row r="252" ht="25" customHeight="1"/>
    <row r="253" ht="25" customHeight="1"/>
    <row r="254" ht="25" customHeight="1"/>
    <row r="255" ht="25" customHeight="1"/>
    <row r="256" ht="25" customHeight="1"/>
    <row r="257" ht="25" customHeight="1"/>
    <row r="258" ht="25" customHeight="1"/>
    <row r="259" ht="25" customHeight="1"/>
    <row r="260" ht="25" customHeight="1"/>
    <row r="261" ht="25" customHeight="1"/>
    <row r="262" ht="25" customHeight="1"/>
    <row r="263" ht="25" customHeight="1"/>
    <row r="264" ht="25" customHeight="1"/>
    <row r="265" ht="25" customHeight="1"/>
    <row r="266" ht="25" customHeight="1"/>
    <row r="267" ht="25" customHeight="1"/>
    <row r="268" ht="25" customHeight="1"/>
    <row r="269" ht="25" customHeight="1"/>
    <row r="270" ht="25" customHeight="1"/>
    <row r="271" ht="25" customHeight="1"/>
    <row r="272" ht="25" customHeight="1"/>
    <row r="273" ht="25" customHeight="1"/>
    <row r="274" ht="25" customHeight="1"/>
    <row r="275" ht="25" customHeight="1"/>
    <row r="276" ht="25" customHeight="1"/>
    <row r="277" ht="25" customHeight="1"/>
    <row r="278" ht="25" customHeight="1"/>
    <row r="279" ht="25" customHeight="1"/>
    <row r="280" ht="25" customHeight="1"/>
    <row r="281" ht="25" customHeight="1"/>
    <row r="282" ht="25" customHeight="1"/>
    <row r="283" ht="25" customHeight="1"/>
    <row r="284" ht="25" customHeight="1"/>
    <row r="285" ht="25" customHeight="1"/>
    <row r="286" ht="25" customHeight="1"/>
    <row r="287" ht="25" customHeight="1"/>
    <row r="288" ht="25" customHeight="1"/>
    <row r="289" ht="25" customHeight="1"/>
    <row r="290" ht="25" customHeight="1"/>
    <row r="291" ht="25" customHeight="1"/>
    <row r="292" ht="25" customHeight="1"/>
    <row r="293" ht="25" customHeight="1"/>
    <row r="294" ht="25" customHeight="1"/>
    <row r="295" ht="25" customHeight="1"/>
    <row r="296" ht="25" customHeight="1"/>
    <row r="297" ht="25" customHeight="1"/>
    <row r="298" ht="25" customHeight="1"/>
    <row r="299" ht="25" customHeight="1"/>
    <row r="300" ht="25" customHeight="1"/>
    <row r="301" ht="25" customHeight="1"/>
    <row r="302" ht="25" customHeight="1"/>
    <row r="303" ht="25" customHeight="1"/>
    <row r="304" ht="25" customHeight="1"/>
    <row r="305" ht="25" customHeight="1"/>
    <row r="306" ht="25" customHeight="1"/>
    <row r="307" ht="25" customHeight="1"/>
    <row r="308" ht="25" customHeight="1"/>
    <row r="309" ht="25" customHeight="1"/>
    <row r="310" ht="25" customHeight="1"/>
    <row r="311" ht="25" customHeight="1"/>
    <row r="312" ht="25" customHeight="1"/>
    <row r="313" ht="25" customHeight="1"/>
    <row r="314" ht="25" customHeight="1"/>
    <row r="315" ht="25" customHeight="1"/>
    <row r="316" ht="25" customHeight="1"/>
    <row r="317" ht="25" customHeight="1"/>
    <row r="318" ht="25" customHeight="1"/>
    <row r="319" ht="25" customHeight="1"/>
    <row r="320" ht="25" customHeight="1"/>
    <row r="321" ht="25" customHeight="1"/>
    <row r="322" ht="25" customHeight="1"/>
    <row r="323" ht="25" customHeight="1"/>
    <row r="324" ht="25" customHeight="1"/>
    <row r="325" ht="25" customHeight="1"/>
    <row r="326" ht="25" customHeight="1"/>
    <row r="327" ht="25" customHeight="1"/>
    <row r="328" ht="25" customHeight="1"/>
    <row r="329" ht="25" customHeight="1"/>
    <row r="330" ht="25" customHeight="1"/>
    <row r="331" ht="25" customHeight="1"/>
    <row r="332" ht="25" customHeight="1"/>
    <row r="333" ht="25" customHeight="1"/>
    <row r="334" ht="25" customHeight="1"/>
    <row r="335" ht="25" customHeight="1"/>
    <row r="336" ht="25" customHeight="1"/>
    <row r="337" ht="25" customHeight="1"/>
    <row r="338" ht="25" customHeight="1"/>
    <row r="339" ht="25" customHeight="1"/>
    <row r="340" ht="25" customHeight="1"/>
    <row r="341" ht="25" customHeight="1"/>
    <row r="342" ht="25" customHeight="1"/>
    <row r="343" ht="25" customHeight="1"/>
    <row r="344" ht="25" customHeight="1"/>
    <row r="345" ht="25" customHeight="1"/>
    <row r="346" ht="25" customHeight="1"/>
    <row r="347" ht="25" customHeight="1"/>
    <row r="348" ht="25" customHeight="1"/>
    <row r="349" ht="25" customHeight="1"/>
    <row r="350" ht="25" customHeight="1"/>
    <row r="351" ht="25" customHeight="1"/>
    <row r="352" ht="25" customHeight="1"/>
    <row r="353" ht="25" customHeight="1"/>
    <row r="354" ht="25" customHeight="1"/>
    <row r="355" ht="25" customHeight="1"/>
    <row r="356" ht="25" customHeight="1"/>
    <row r="357" ht="25" customHeight="1"/>
    <row r="358" ht="25" customHeight="1"/>
    <row r="359" ht="25" customHeight="1"/>
    <row r="360" ht="25" customHeight="1"/>
    <row r="361" ht="25" customHeight="1"/>
    <row r="362" ht="25" customHeight="1"/>
    <row r="363" ht="25" customHeight="1"/>
    <row r="364" ht="25" customHeight="1"/>
    <row r="365" ht="25" customHeight="1"/>
    <row r="366" ht="25" customHeight="1"/>
    <row r="367" ht="25" customHeight="1"/>
    <row r="368" ht="25" customHeight="1"/>
    <row r="369" ht="25" customHeight="1"/>
    <row r="370" ht="25" customHeight="1"/>
    <row r="371" ht="25" customHeight="1"/>
    <row r="372" ht="25" customHeight="1"/>
    <row r="373" ht="25" customHeight="1"/>
    <row r="374" ht="25" customHeight="1"/>
    <row r="375" ht="25" customHeight="1"/>
    <row r="376" ht="25" customHeight="1"/>
    <row r="377" ht="25" customHeight="1"/>
    <row r="378" ht="25" customHeight="1"/>
  </sheetData>
  <sheetProtection formatCells="0" formatColumns="0" formatRows="0" insertRows="0" insertColumns="0" insertHyperlinks="0" deleteColumns="0" deleteRows="0" sort="0" autoFilter="0" pivotTables="0"/>
  <autoFilter xmlns:etc="http://www.wps.cn/officeDocument/2017/etCustomData" ref="A1:N93" etc:filterBottomFollowUsedRange="0">
    <extLst/>
  </autoFilter>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39"/>
  <sheetViews>
    <sheetView zoomScale="70" zoomScaleNormal="70" workbookViewId="0">
      <pane xSplit="3" ySplit="3" topLeftCell="D100" activePane="bottomRight" state="frozenSplit"/>
      <selection/>
      <selection pane="topRight"/>
      <selection pane="bottomLeft"/>
      <selection pane="bottomRight" activeCell="E105" sqref="E105"/>
    </sheetView>
  </sheetViews>
  <sheetFormatPr defaultColWidth="9.775" defaultRowHeight="15"/>
  <cols>
    <col min="1" max="1" width="17.4416666666667" style="148" customWidth="1"/>
    <col min="2" max="2" width="20.6666666666667" style="148" customWidth="1"/>
    <col min="3" max="3" width="17.4416666666667" style="148" customWidth="1"/>
    <col min="4" max="4" width="18.5583333333333" style="148" customWidth="1"/>
    <col min="5" max="5" width="23.975" style="148" customWidth="1"/>
    <col min="6" max="7" width="17.4416666666667" style="148" customWidth="1"/>
    <col min="8" max="8" width="17.4416666666667" style="151" customWidth="1"/>
    <col min="9" max="9" width="17.4416666666667" style="152" customWidth="1"/>
    <col min="10" max="10" width="18.5583333333333" style="148" customWidth="1"/>
    <col min="11" max="12" width="22.6666666666667" style="148" customWidth="1"/>
    <col min="13" max="13" width="36.0166666666667" style="148" customWidth="1"/>
    <col min="14" max="14" width="18.5583333333333" style="148" customWidth="1"/>
    <col min="15" max="16384" width="9.775" style="148"/>
  </cols>
  <sheetData>
    <row r="1" ht="22" customHeight="1" spans="1:14">
      <c r="A1" s="153" t="s">
        <v>715</v>
      </c>
      <c r="B1" s="154"/>
      <c r="C1" s="154"/>
      <c r="D1" s="154"/>
      <c r="E1" s="154"/>
      <c r="F1" s="154"/>
      <c r="G1" s="154"/>
      <c r="H1" s="154"/>
      <c r="I1" s="154"/>
      <c r="J1" s="154"/>
      <c r="K1" s="154"/>
      <c r="L1" s="154"/>
      <c r="M1" s="155" t="s">
        <v>716</v>
      </c>
      <c r="N1" s="156" t="s">
        <v>717</v>
      </c>
    </row>
    <row r="2" ht="32" customHeight="1" spans="1:14">
      <c r="A2" s="157"/>
      <c r="B2" s="158"/>
      <c r="C2" s="158"/>
      <c r="D2" s="158"/>
      <c r="E2" s="158"/>
      <c r="F2" s="158"/>
      <c r="G2" s="158"/>
      <c r="H2" s="158"/>
      <c r="I2" s="158"/>
      <c r="J2" s="158"/>
      <c r="K2" s="158"/>
      <c r="L2" s="158"/>
      <c r="M2" s="159"/>
      <c r="N2" s="160">
        <v>46155</v>
      </c>
    </row>
    <row r="3" s="148" customFormat="1" ht="32" customHeight="1" spans="1:14">
      <c r="A3" s="161" t="s">
        <v>718</v>
      </c>
      <c r="B3" s="162" t="s">
        <v>719</v>
      </c>
      <c r="C3" s="162" t="s">
        <v>720</v>
      </c>
      <c r="D3" s="161" t="s">
        <v>721</v>
      </c>
      <c r="E3" s="162" t="s">
        <v>722</v>
      </c>
      <c r="F3" s="162" t="s">
        <v>723</v>
      </c>
      <c r="G3" s="162" t="s">
        <v>724</v>
      </c>
      <c r="H3" s="163" t="s">
        <v>725</v>
      </c>
      <c r="I3" s="164" t="s">
        <v>726</v>
      </c>
      <c r="J3" s="161" t="s">
        <v>727</v>
      </c>
      <c r="K3" s="162" t="s">
        <v>728</v>
      </c>
      <c r="L3" s="5" t="s">
        <v>729</v>
      </c>
      <c r="M3" s="162" t="s">
        <v>730</v>
      </c>
      <c r="N3" s="162" t="s">
        <v>731</v>
      </c>
    </row>
    <row r="4" s="148" customFormat="1" ht="32" customHeight="1" spans="1:14">
      <c r="A4" s="165" t="s">
        <v>732</v>
      </c>
      <c r="B4" s="166" t="s">
        <v>733</v>
      </c>
      <c r="C4" s="5" t="s">
        <v>734</v>
      </c>
      <c r="D4" s="167">
        <f>30000+30000+30000+30000</f>
        <v>120000</v>
      </c>
      <c r="E4" s="168" t="s">
        <v>735</v>
      </c>
      <c r="F4" s="167">
        <f>600+4800+4956+2004+3528+72+192+3408+2004+9000+15312+19008+3384+480+3120+1800+636+2964+3600+804+12000+5004+2808+2848+7008+4752</f>
        <v>116092</v>
      </c>
      <c r="G4" s="167">
        <v>1</v>
      </c>
      <c r="H4" s="169">
        <f t="shared" ref="H4:H6" si="0">D4-(F4*G4)</f>
        <v>3908</v>
      </c>
      <c r="I4" s="170" t="s">
        <v>736</v>
      </c>
      <c r="J4" s="171">
        <f t="shared" ref="J4:J37" si="1">D4*I4</f>
        <v>76080</v>
      </c>
      <c r="K4" s="171">
        <f t="shared" ref="K4:K37" si="2">H4*I4</f>
        <v>2477.672</v>
      </c>
      <c r="L4" s="171"/>
      <c r="M4" s="163"/>
      <c r="N4" s="162"/>
    </row>
    <row r="5" s="148" customFormat="1" ht="32" customHeight="1" spans="1:14">
      <c r="A5" s="172"/>
      <c r="B5" s="173"/>
      <c r="C5" s="5" t="s">
        <v>737</v>
      </c>
      <c r="D5" s="167">
        <f t="shared" ref="D5:D9" si="3">5000</f>
        <v>5000</v>
      </c>
      <c r="E5" s="168" t="s">
        <v>738</v>
      </c>
      <c r="F5" s="167">
        <f t="shared" ref="F5:F7" si="4">2808+7008</f>
        <v>9816</v>
      </c>
      <c r="G5" s="167">
        <v>1</v>
      </c>
      <c r="H5" s="169">
        <f>D5-(F5*G5)+4816</f>
        <v>0</v>
      </c>
      <c r="I5" s="170">
        <v>0.057</v>
      </c>
      <c r="J5" s="171">
        <f t="shared" si="1"/>
        <v>285</v>
      </c>
      <c r="K5" s="171">
        <f t="shared" si="2"/>
        <v>0</v>
      </c>
      <c r="L5" s="163" t="s">
        <v>739</v>
      </c>
      <c r="M5" s="163"/>
      <c r="N5" s="162"/>
    </row>
    <row r="6" s="148" customFormat="1" ht="32" customHeight="1" spans="1:14">
      <c r="A6" s="172"/>
      <c r="B6" s="173"/>
      <c r="C6" s="5" t="s">
        <v>740</v>
      </c>
      <c r="D6" s="167">
        <f t="shared" si="3"/>
        <v>5000</v>
      </c>
      <c r="E6" s="168" t="s">
        <v>738</v>
      </c>
      <c r="F6" s="167">
        <f t="shared" si="4"/>
        <v>9816</v>
      </c>
      <c r="G6" s="167">
        <v>1</v>
      </c>
      <c r="H6" s="169">
        <f>D6-(F6*G6)+4816</f>
        <v>0</v>
      </c>
      <c r="I6" s="170">
        <v>0.03</v>
      </c>
      <c r="J6" s="171">
        <f t="shared" si="1"/>
        <v>150</v>
      </c>
      <c r="K6" s="171">
        <f t="shared" si="2"/>
        <v>0</v>
      </c>
      <c r="L6" s="163" t="s">
        <v>739</v>
      </c>
      <c r="M6" s="163"/>
      <c r="N6" s="162"/>
    </row>
    <row r="7" s="148" customFormat="1" ht="32" customHeight="1" spans="1:14">
      <c r="A7" s="172"/>
      <c r="B7" s="173"/>
      <c r="C7" s="5" t="s">
        <v>741</v>
      </c>
      <c r="D7" s="167">
        <f>1000</f>
        <v>1000</v>
      </c>
      <c r="E7" s="168" t="s">
        <v>742</v>
      </c>
      <c r="F7" s="167">
        <f>2808+7008+4752</f>
        <v>14568</v>
      </c>
      <c r="G7" s="167">
        <v>12</v>
      </c>
      <c r="H7" s="169">
        <f>D7-(F7/G7)+214</f>
        <v>0</v>
      </c>
      <c r="I7" s="170">
        <v>0.541</v>
      </c>
      <c r="J7" s="171">
        <f t="shared" si="1"/>
        <v>541</v>
      </c>
      <c r="K7" s="171">
        <f t="shared" si="2"/>
        <v>0</v>
      </c>
      <c r="L7" s="163" t="s">
        <v>739</v>
      </c>
      <c r="M7" s="163"/>
      <c r="N7" s="162"/>
    </row>
    <row r="8" s="148" customFormat="1" ht="32" customHeight="1" spans="1:14">
      <c r="A8" s="172"/>
      <c r="B8" s="173"/>
      <c r="C8" s="5" t="s">
        <v>737</v>
      </c>
      <c r="D8" s="167">
        <f t="shared" si="3"/>
        <v>5000</v>
      </c>
      <c r="E8" s="168" t="s">
        <v>743</v>
      </c>
      <c r="F8" s="167">
        <f t="shared" ref="F8:F10" si="5">3600</f>
        <v>3600</v>
      </c>
      <c r="G8" s="167">
        <v>1</v>
      </c>
      <c r="H8" s="169">
        <f t="shared" ref="H8:H12" si="6">D8-(F8*G8)</f>
        <v>1400</v>
      </c>
      <c r="I8" s="170">
        <v>0.057</v>
      </c>
      <c r="J8" s="171">
        <f t="shared" si="1"/>
        <v>285</v>
      </c>
      <c r="K8" s="171">
        <f t="shared" si="2"/>
        <v>79.8</v>
      </c>
      <c r="L8" s="163" t="s">
        <v>449</v>
      </c>
      <c r="M8" s="163"/>
      <c r="N8" s="162"/>
    </row>
    <row r="9" s="148" customFormat="1" ht="32" customHeight="1" spans="1:14">
      <c r="A9" s="172"/>
      <c r="B9" s="173"/>
      <c r="C9" s="5" t="s">
        <v>740</v>
      </c>
      <c r="D9" s="167">
        <f t="shared" si="3"/>
        <v>5000</v>
      </c>
      <c r="E9" s="168" t="s">
        <v>743</v>
      </c>
      <c r="F9" s="167">
        <f t="shared" si="5"/>
        <v>3600</v>
      </c>
      <c r="G9" s="167">
        <v>1</v>
      </c>
      <c r="H9" s="169">
        <f t="shared" si="6"/>
        <v>1400</v>
      </c>
      <c r="I9" s="170">
        <v>0.03</v>
      </c>
      <c r="J9" s="171">
        <f t="shared" si="1"/>
        <v>150</v>
      </c>
      <c r="K9" s="171">
        <f t="shared" si="2"/>
        <v>42</v>
      </c>
      <c r="L9" s="163" t="s">
        <v>449</v>
      </c>
      <c r="M9" s="163"/>
      <c r="N9" s="162"/>
    </row>
    <row r="10" s="148" customFormat="1" ht="32" customHeight="1" spans="1:14">
      <c r="A10" s="172"/>
      <c r="B10" s="173"/>
      <c r="C10" s="5" t="s">
        <v>741</v>
      </c>
      <c r="D10" s="167">
        <f>1000</f>
        <v>1000</v>
      </c>
      <c r="E10" s="168" t="s">
        <v>744</v>
      </c>
      <c r="F10" s="167">
        <f t="shared" si="5"/>
        <v>3600</v>
      </c>
      <c r="G10" s="167">
        <v>12</v>
      </c>
      <c r="H10" s="169">
        <f>D10-(F10/G10)</f>
        <v>700</v>
      </c>
      <c r="I10" s="170">
        <v>0.541</v>
      </c>
      <c r="J10" s="171">
        <f t="shared" si="1"/>
        <v>541</v>
      </c>
      <c r="K10" s="171">
        <f t="shared" si="2"/>
        <v>378.7</v>
      </c>
      <c r="L10" s="163" t="s">
        <v>449</v>
      </c>
      <c r="M10" s="163"/>
      <c r="N10" s="162"/>
    </row>
    <row r="11" s="148" customFormat="1" ht="32" customHeight="1" spans="1:14">
      <c r="A11" s="172"/>
      <c r="B11" s="173"/>
      <c r="C11" s="5" t="s">
        <v>737</v>
      </c>
      <c r="D11" s="167">
        <f>5000</f>
        <v>5000</v>
      </c>
      <c r="E11" s="168" t="s">
        <v>745</v>
      </c>
      <c r="F11" s="167">
        <f t="shared" ref="F11:F13" si="7">2848</f>
        <v>2848</v>
      </c>
      <c r="G11" s="167">
        <v>1</v>
      </c>
      <c r="H11" s="169">
        <f t="shared" si="6"/>
        <v>2152</v>
      </c>
      <c r="I11" s="170">
        <v>0.057</v>
      </c>
      <c r="J11" s="171">
        <f t="shared" si="1"/>
        <v>285</v>
      </c>
      <c r="K11" s="171">
        <f t="shared" si="2"/>
        <v>122.664</v>
      </c>
      <c r="L11" s="163" t="s">
        <v>746</v>
      </c>
      <c r="M11" s="163"/>
      <c r="N11" s="162"/>
    </row>
    <row r="12" s="148" customFormat="1" ht="32" customHeight="1" spans="1:14">
      <c r="A12" s="172"/>
      <c r="B12" s="173"/>
      <c r="C12" s="5" t="s">
        <v>740</v>
      </c>
      <c r="D12" s="167">
        <f>5000</f>
        <v>5000</v>
      </c>
      <c r="E12" s="168" t="s">
        <v>745</v>
      </c>
      <c r="F12" s="167">
        <f t="shared" si="7"/>
        <v>2848</v>
      </c>
      <c r="G12" s="167">
        <v>1</v>
      </c>
      <c r="H12" s="169">
        <f t="shared" si="6"/>
        <v>2152</v>
      </c>
      <c r="I12" s="170">
        <v>0.03</v>
      </c>
      <c r="J12" s="171">
        <f t="shared" si="1"/>
        <v>150</v>
      </c>
      <c r="K12" s="171">
        <f t="shared" si="2"/>
        <v>64.56</v>
      </c>
      <c r="L12" s="163" t="s">
        <v>746</v>
      </c>
      <c r="M12" s="163"/>
      <c r="N12" s="162"/>
    </row>
    <row r="13" s="148" customFormat="1" ht="32" customHeight="1" spans="1:14">
      <c r="A13" s="172"/>
      <c r="B13" s="173"/>
      <c r="C13" s="5" t="s">
        <v>741</v>
      </c>
      <c r="D13" s="167">
        <f>1000</f>
        <v>1000</v>
      </c>
      <c r="E13" s="168" t="s">
        <v>747</v>
      </c>
      <c r="F13" s="167">
        <f t="shared" si="7"/>
        <v>2848</v>
      </c>
      <c r="G13" s="167">
        <v>16</v>
      </c>
      <c r="H13" s="169">
        <f>D13-(F13/G13)</f>
        <v>822</v>
      </c>
      <c r="I13" s="170">
        <v>0.541</v>
      </c>
      <c r="J13" s="171">
        <f t="shared" si="1"/>
        <v>541</v>
      </c>
      <c r="K13" s="171">
        <f t="shared" si="2"/>
        <v>444.702</v>
      </c>
      <c r="L13" s="163" t="s">
        <v>746</v>
      </c>
      <c r="M13" s="163"/>
      <c r="N13" s="162"/>
    </row>
    <row r="14" s="148" customFormat="1" ht="32" customHeight="1" spans="1:14">
      <c r="A14" s="165" t="s">
        <v>748</v>
      </c>
      <c r="B14" s="174" t="s">
        <v>110</v>
      </c>
      <c r="C14" s="5" t="s">
        <v>734</v>
      </c>
      <c r="D14" s="167">
        <f>30000+30000+30000+30000</f>
        <v>120000</v>
      </c>
      <c r="E14" s="168" t="s">
        <v>749</v>
      </c>
      <c r="F14" s="167">
        <f>19626+19626+2400+2400+240+66+1938+1902+5400+11502+4698+1980+804+9600+3000+2346+150+1908+96+2322+144+1860+1920+84+1872+132+276+1728+2202+3300+2004+4110+6360+1728+276</f>
        <v>120000</v>
      </c>
      <c r="G14" s="167">
        <v>1</v>
      </c>
      <c r="H14" s="169">
        <f t="shared" ref="H14:H20" si="8">D14-(F14*G14)</f>
        <v>0</v>
      </c>
      <c r="I14" s="175">
        <v>1.794</v>
      </c>
      <c r="J14" s="171">
        <f t="shared" si="1"/>
        <v>215280</v>
      </c>
      <c r="K14" s="171">
        <f t="shared" si="2"/>
        <v>0</v>
      </c>
      <c r="L14" s="171"/>
      <c r="M14" s="176" t="s">
        <v>750</v>
      </c>
      <c r="N14" s="162"/>
    </row>
    <row r="15" s="148" customFormat="1" ht="32" customHeight="1" spans="1:14">
      <c r="A15" s="172"/>
      <c r="B15" s="177"/>
      <c r="C15" s="5" t="s">
        <v>751</v>
      </c>
      <c r="D15" s="167">
        <f>20000+20000+20000</f>
        <v>60000</v>
      </c>
      <c r="E15" s="168" t="s">
        <v>752</v>
      </c>
      <c r="F15" s="167">
        <f>2400+1902+1980+5400+4698+804+11502+9600+2322+3000+2202+2004+4110+6360</f>
        <v>58284</v>
      </c>
      <c r="G15" s="167">
        <v>1</v>
      </c>
      <c r="H15" s="169">
        <f t="shared" si="8"/>
        <v>1716</v>
      </c>
      <c r="I15" s="170">
        <v>0.071</v>
      </c>
      <c r="J15" s="171">
        <f t="shared" si="1"/>
        <v>4260</v>
      </c>
      <c r="K15" s="171">
        <f t="shared" si="2"/>
        <v>121.836</v>
      </c>
      <c r="L15" s="171" t="s">
        <v>739</v>
      </c>
      <c r="M15" s="163"/>
      <c r="N15" s="162"/>
    </row>
    <row r="16" s="148" customFormat="1" ht="32" customHeight="1" spans="1:14">
      <c r="A16" s="172"/>
      <c r="B16" s="177"/>
      <c r="C16" s="5" t="s">
        <v>740</v>
      </c>
      <c r="D16" s="167">
        <f>5000+5000+5000+5000</f>
        <v>20000</v>
      </c>
      <c r="E16" s="168" t="s">
        <v>753</v>
      </c>
      <c r="F16" s="167">
        <f>2400+1902+1980+804+9600+2322+3000+2202+2004+4110+6360</f>
        <v>36684</v>
      </c>
      <c r="G16" s="167">
        <v>1</v>
      </c>
      <c r="H16" s="169">
        <f>D16-(F16*G16)+6214+4110+6360</f>
        <v>0</v>
      </c>
      <c r="I16" s="170">
        <v>0.047</v>
      </c>
      <c r="J16" s="171">
        <f t="shared" si="1"/>
        <v>940</v>
      </c>
      <c r="K16" s="171">
        <f t="shared" si="2"/>
        <v>0</v>
      </c>
      <c r="L16" s="171" t="s">
        <v>739</v>
      </c>
      <c r="M16" s="163"/>
      <c r="N16" s="162"/>
    </row>
    <row r="17" s="148" customFormat="1" ht="32" customHeight="1" spans="1:14">
      <c r="A17" s="172"/>
      <c r="B17" s="177"/>
      <c r="C17" s="5" t="s">
        <v>754</v>
      </c>
      <c r="D17" s="167">
        <f>5000+5000+5000+5000</f>
        <v>20000</v>
      </c>
      <c r="E17" s="168" t="s">
        <v>755</v>
      </c>
      <c r="F17" s="167">
        <f>19626+2400+240+2400+19626+1938+66+1902+804+9600+2322+3000+2346+150+1908+96+1920+84+1872+132+1860+144+276+1728+2202+3300+2004+4110+6360+1728+276</f>
        <v>96420</v>
      </c>
      <c r="G17" s="167">
        <v>1</v>
      </c>
      <c r="H17" s="169">
        <f>D17-(F17*G17)+68946+1114+6360</f>
        <v>0</v>
      </c>
      <c r="I17" s="170">
        <v>0.029</v>
      </c>
      <c r="J17" s="171">
        <f t="shared" si="1"/>
        <v>580</v>
      </c>
      <c r="K17" s="171">
        <f t="shared" si="2"/>
        <v>0</v>
      </c>
      <c r="L17" s="171" t="s">
        <v>739</v>
      </c>
      <c r="M17" s="163"/>
      <c r="N17" s="162"/>
    </row>
    <row r="18" s="148" customFormat="1" ht="32" customHeight="1" spans="1:14">
      <c r="A18" s="172"/>
      <c r="B18" s="177"/>
      <c r="C18" s="5" t="s">
        <v>741</v>
      </c>
      <c r="D18" s="167">
        <f>1000+1000+1000+1000</f>
        <v>4000</v>
      </c>
      <c r="E18" s="168" t="s">
        <v>756</v>
      </c>
      <c r="F18" s="167">
        <f>2400+1902+1980+5400+4698+804+11502+9600+2322+3000+2202+2004+4110+6360</f>
        <v>58284</v>
      </c>
      <c r="G18" s="167">
        <v>6</v>
      </c>
      <c r="H18" s="169">
        <f>D18-(F18/G18)+5714</f>
        <v>0</v>
      </c>
      <c r="I18" s="170">
        <v>0.111</v>
      </c>
      <c r="J18" s="171">
        <f t="shared" si="1"/>
        <v>444</v>
      </c>
      <c r="K18" s="171">
        <f t="shared" si="2"/>
        <v>0</v>
      </c>
      <c r="L18" s="171" t="s">
        <v>739</v>
      </c>
      <c r="M18" s="163"/>
      <c r="N18" s="162"/>
    </row>
    <row r="19" s="148" customFormat="1" ht="32" customHeight="1" spans="1:14">
      <c r="A19" s="172"/>
      <c r="B19" s="177"/>
      <c r="C19" s="5" t="s">
        <v>751</v>
      </c>
      <c r="D19" s="167">
        <f t="shared" ref="D19:D24" si="9">20000</f>
        <v>20000</v>
      </c>
      <c r="E19" s="168" t="s">
        <v>757</v>
      </c>
      <c r="F19" s="167">
        <f>2400+240+1938+66+2346+150+1908+96+1920+84+1872+132+1860+144+276+1728</f>
        <v>17160</v>
      </c>
      <c r="G19" s="167">
        <v>1</v>
      </c>
      <c r="H19" s="169">
        <f t="shared" si="8"/>
        <v>2840</v>
      </c>
      <c r="I19" s="170">
        <v>0.071</v>
      </c>
      <c r="J19" s="171">
        <f t="shared" si="1"/>
        <v>1420</v>
      </c>
      <c r="K19" s="171">
        <f t="shared" si="2"/>
        <v>201.64</v>
      </c>
      <c r="L19" s="171" t="s">
        <v>449</v>
      </c>
      <c r="M19" s="163"/>
      <c r="N19" s="162"/>
    </row>
    <row r="20" s="148" customFormat="1" ht="32" customHeight="1" spans="1:14">
      <c r="A20" s="165" t="s">
        <v>758</v>
      </c>
      <c r="B20" s="174" t="s">
        <v>112</v>
      </c>
      <c r="C20" s="5" t="s">
        <v>734</v>
      </c>
      <c r="D20" s="167">
        <f>30000+30000+30000</f>
        <v>90000</v>
      </c>
      <c r="E20" s="168" t="s">
        <v>759</v>
      </c>
      <c r="F20" s="167">
        <f>4800+300+2400+2400+300+2004+3678+2004+5016+7200+11106+14496+3000+1800+294+2706+300+2700+804+3000+2490+510+1500+738+2262+2694+306+828+2172+2400+1020+360+162+504+504+522+120</f>
        <v>89400</v>
      </c>
      <c r="G20" s="167">
        <v>1</v>
      </c>
      <c r="H20" s="169">
        <f t="shared" si="8"/>
        <v>600</v>
      </c>
      <c r="I20" s="170">
        <v>1.802</v>
      </c>
      <c r="J20" s="171">
        <f t="shared" si="1"/>
        <v>162180</v>
      </c>
      <c r="K20" s="171">
        <f t="shared" si="2"/>
        <v>1081.2</v>
      </c>
      <c r="L20" s="171"/>
      <c r="M20" s="176" t="s">
        <v>750</v>
      </c>
      <c r="N20" s="162"/>
    </row>
    <row r="21" s="148" customFormat="1" ht="32" customHeight="1" spans="1:14">
      <c r="A21" s="172"/>
      <c r="B21" s="177"/>
      <c r="C21" s="5" t="s">
        <v>751</v>
      </c>
      <c r="D21" s="167">
        <f t="shared" si="9"/>
        <v>20000</v>
      </c>
      <c r="E21" s="168" t="s">
        <v>760</v>
      </c>
      <c r="F21" s="167">
        <f>2004+2004+11106+3678+7200+1800+804+1500+3000+2400+1020+360+162+504+504+522+120</f>
        <v>38688</v>
      </c>
      <c r="G21" s="167">
        <v>1</v>
      </c>
      <c r="H21" s="169">
        <f>D21-(F21*G21)+27792</f>
        <v>9104</v>
      </c>
      <c r="I21" s="170">
        <v>0.071</v>
      </c>
      <c r="J21" s="171">
        <f t="shared" si="1"/>
        <v>1420</v>
      </c>
      <c r="K21" s="171">
        <f t="shared" si="2"/>
        <v>646.384</v>
      </c>
      <c r="L21" s="171" t="s">
        <v>739</v>
      </c>
      <c r="M21" s="163"/>
      <c r="N21" s="162"/>
    </row>
    <row r="22" s="148" customFormat="1" ht="32" customHeight="1" spans="1:14">
      <c r="A22" s="172"/>
      <c r="B22" s="177"/>
      <c r="C22" s="5" t="s">
        <v>754</v>
      </c>
      <c r="D22" s="167">
        <f>5000+5000+5000+5000</f>
        <v>20000</v>
      </c>
      <c r="E22" s="168" t="s">
        <v>761</v>
      </c>
      <c r="F22" s="167">
        <f>2004+2004+3678+7200+3000+1800+2706+294+2700+300+804+1500+3000+2490+510+738+2262+2694+306+828+2172+2400+360+162+504+504+522+120</f>
        <v>47562</v>
      </c>
      <c r="G22" s="167">
        <v>1</v>
      </c>
      <c r="H22" s="169">
        <f>D22-(F22*G22)+25750</f>
        <v>-1812</v>
      </c>
      <c r="I22" s="170">
        <v>0.029</v>
      </c>
      <c r="J22" s="171">
        <f t="shared" si="1"/>
        <v>580</v>
      </c>
      <c r="K22" s="171">
        <f t="shared" si="2"/>
        <v>-52.548</v>
      </c>
      <c r="L22" s="171" t="s">
        <v>739</v>
      </c>
      <c r="M22" s="163"/>
      <c r="N22" s="162"/>
    </row>
    <row r="23" s="148" customFormat="1" ht="32" customHeight="1" spans="1:14">
      <c r="A23" s="172"/>
      <c r="B23" s="177"/>
      <c r="C23" s="5" t="s">
        <v>741</v>
      </c>
      <c r="D23" s="167">
        <f>1000+1000</f>
        <v>2000</v>
      </c>
      <c r="E23" s="168" t="s">
        <v>762</v>
      </c>
      <c r="F23" s="167">
        <f>2004+2004+11106+3678+7200+1800+804+1500+3000+2400+1020+360+162+504+504+522+120</f>
        <v>38688</v>
      </c>
      <c r="G23" s="167">
        <v>6</v>
      </c>
      <c r="H23" s="169">
        <f>D23-(F23/G23)+4802</f>
        <v>354</v>
      </c>
      <c r="I23" s="170">
        <v>0.667</v>
      </c>
      <c r="J23" s="171">
        <f t="shared" si="1"/>
        <v>1334</v>
      </c>
      <c r="K23" s="171">
        <f t="shared" si="2"/>
        <v>236.118</v>
      </c>
      <c r="L23" s="171" t="s">
        <v>739</v>
      </c>
      <c r="M23" s="163"/>
      <c r="N23" s="162"/>
    </row>
    <row r="24" s="148" customFormat="1" ht="32" customHeight="1" spans="1:14">
      <c r="A24" s="172"/>
      <c r="B24" s="177"/>
      <c r="C24" s="5" t="s">
        <v>751</v>
      </c>
      <c r="D24" s="167">
        <f t="shared" si="9"/>
        <v>20000</v>
      </c>
      <c r="E24" s="168" t="s">
        <v>760</v>
      </c>
      <c r="F24" s="167">
        <f>3000+2706+294+2700+300+2490+510+738+2262+2694+306+828+2172</f>
        <v>21000</v>
      </c>
      <c r="G24" s="167">
        <v>1</v>
      </c>
      <c r="H24" s="169">
        <f>D24-(F24*G24)+3000</f>
        <v>2000</v>
      </c>
      <c r="I24" s="170">
        <v>0.071</v>
      </c>
      <c r="J24" s="171">
        <f t="shared" si="1"/>
        <v>1420</v>
      </c>
      <c r="K24" s="171">
        <f t="shared" si="2"/>
        <v>142</v>
      </c>
      <c r="L24" s="171" t="s">
        <v>449</v>
      </c>
      <c r="M24" s="163"/>
      <c r="N24" s="162"/>
    </row>
    <row r="25" s="148" customFormat="1" ht="32" customHeight="1" spans="1:14">
      <c r="A25" s="172"/>
      <c r="B25" s="177"/>
      <c r="C25" s="5" t="s">
        <v>741</v>
      </c>
      <c r="D25" s="167">
        <f>1000+1000</f>
        <v>2000</v>
      </c>
      <c r="E25" s="168" t="s">
        <v>763</v>
      </c>
      <c r="F25" s="167">
        <f>3000+2706+294+2700+300+2490+510+738+2262+2694+306+828+2172</f>
        <v>21000</v>
      </c>
      <c r="G25" s="167">
        <v>6</v>
      </c>
      <c r="H25" s="169">
        <f>D25-(F25/G25)+500</f>
        <v>-1000</v>
      </c>
      <c r="I25" s="170">
        <v>0.667</v>
      </c>
      <c r="J25" s="171">
        <f t="shared" si="1"/>
        <v>1334</v>
      </c>
      <c r="K25" s="171">
        <f t="shared" si="2"/>
        <v>-667</v>
      </c>
      <c r="L25" s="171" t="s">
        <v>449</v>
      </c>
      <c r="M25" s="163"/>
      <c r="N25" s="162"/>
    </row>
    <row r="26" s="148" customFormat="1" ht="32" customHeight="1" spans="1:14">
      <c r="A26" s="161" t="s">
        <v>764</v>
      </c>
      <c r="B26" s="178" t="s">
        <v>765</v>
      </c>
      <c r="C26" s="5" t="s">
        <v>766</v>
      </c>
      <c r="D26" s="167">
        <f>30000</f>
        <v>30000</v>
      </c>
      <c r="E26" s="168" t="s">
        <v>767</v>
      </c>
      <c r="F26" s="167">
        <f>14004+3600</f>
        <v>17604</v>
      </c>
      <c r="G26" s="167">
        <v>1</v>
      </c>
      <c r="H26" s="169">
        <f>D26-(F26*G26)</f>
        <v>12396</v>
      </c>
      <c r="I26" s="170">
        <v>0.578</v>
      </c>
      <c r="J26" s="171">
        <f t="shared" si="1"/>
        <v>17340</v>
      </c>
      <c r="K26" s="171">
        <f t="shared" si="2"/>
        <v>7164.888</v>
      </c>
      <c r="L26" s="171"/>
      <c r="M26" s="163"/>
      <c r="N26" s="162"/>
    </row>
    <row r="27" s="148" customFormat="1" ht="32" customHeight="1" spans="1:14">
      <c r="A27" s="161"/>
      <c r="B27" s="178"/>
      <c r="C27" s="5" t="s">
        <v>741</v>
      </c>
      <c r="D27" s="167">
        <v>500</v>
      </c>
      <c r="E27" s="168" t="s">
        <v>768</v>
      </c>
      <c r="F27" s="167">
        <f>3600</f>
        <v>3600</v>
      </c>
      <c r="G27" s="167">
        <v>12</v>
      </c>
      <c r="H27" s="169">
        <f>D27-(F27/G27)</f>
        <v>200</v>
      </c>
      <c r="I27" s="170">
        <v>0.66</v>
      </c>
      <c r="J27" s="171">
        <f t="shared" si="1"/>
        <v>330</v>
      </c>
      <c r="K27" s="171">
        <f t="shared" si="2"/>
        <v>132</v>
      </c>
      <c r="L27" s="171" t="s">
        <v>739</v>
      </c>
      <c r="M27" s="163"/>
      <c r="N27" s="162"/>
    </row>
    <row r="28" s="148" customFormat="1" ht="32" customHeight="1" spans="1:14">
      <c r="A28" s="161"/>
      <c r="B28" s="178"/>
      <c r="C28" s="162" t="s">
        <v>740</v>
      </c>
      <c r="D28" s="167">
        <v>5000</v>
      </c>
      <c r="E28" s="168" t="s">
        <v>769</v>
      </c>
      <c r="F28" s="167">
        <f>3600</f>
        <v>3600</v>
      </c>
      <c r="G28" s="167">
        <v>1</v>
      </c>
      <c r="H28" s="169">
        <f>D28-(F28*G28)</f>
        <v>1400</v>
      </c>
      <c r="I28" s="170">
        <v>0.0454193548387097</v>
      </c>
      <c r="J28" s="171">
        <f t="shared" si="1"/>
        <v>227.096774193548</v>
      </c>
      <c r="K28" s="171">
        <f t="shared" si="2"/>
        <v>63.5870967741936</v>
      </c>
      <c r="L28" s="171" t="s">
        <v>739</v>
      </c>
      <c r="M28" s="163"/>
      <c r="N28" s="162"/>
    </row>
    <row r="29" s="148" customFormat="1" ht="32" customHeight="1" spans="1:14">
      <c r="A29" s="161"/>
      <c r="B29" s="178"/>
      <c r="C29" s="5" t="s">
        <v>754</v>
      </c>
      <c r="D29" s="167">
        <v>5000</v>
      </c>
      <c r="E29" s="168" t="s">
        <v>769</v>
      </c>
      <c r="F29" s="167">
        <f>3600</f>
        <v>3600</v>
      </c>
      <c r="G29" s="167">
        <v>1</v>
      </c>
      <c r="H29" s="169">
        <f>D29-(F29*G29)</f>
        <v>1400</v>
      </c>
      <c r="I29" s="170">
        <v>0.029</v>
      </c>
      <c r="J29" s="171">
        <f t="shared" si="1"/>
        <v>145</v>
      </c>
      <c r="K29" s="171">
        <f t="shared" si="2"/>
        <v>40.6</v>
      </c>
      <c r="L29" s="171" t="s">
        <v>770</v>
      </c>
      <c r="M29" s="163"/>
      <c r="N29" s="162"/>
    </row>
    <row r="30" s="148" customFormat="1" ht="32" customHeight="1" spans="1:14">
      <c r="A30" s="161"/>
      <c r="B30" s="178"/>
      <c r="C30" s="5" t="s">
        <v>771</v>
      </c>
      <c r="D30" s="167">
        <v>20000</v>
      </c>
      <c r="E30" s="168" t="s">
        <v>772</v>
      </c>
      <c r="F30" s="167">
        <f>14004+3600</f>
        <v>17604</v>
      </c>
      <c r="G30" s="167">
        <v>1</v>
      </c>
      <c r="H30" s="169">
        <f>D30-(F30*G30)</f>
        <v>2396</v>
      </c>
      <c r="I30" s="170">
        <v>0.01</v>
      </c>
      <c r="J30" s="171">
        <f t="shared" si="1"/>
        <v>200</v>
      </c>
      <c r="K30" s="171">
        <f t="shared" si="2"/>
        <v>23.96</v>
      </c>
      <c r="L30" s="171"/>
      <c r="M30" s="163"/>
      <c r="N30" s="162"/>
    </row>
    <row r="31" s="148" customFormat="1" ht="32" customHeight="1" spans="1:14">
      <c r="A31" s="172" t="s">
        <v>773</v>
      </c>
      <c r="B31" s="179" t="s">
        <v>163</v>
      </c>
      <c r="C31" s="5" t="s">
        <v>734</v>
      </c>
      <c r="D31" s="167">
        <f>5000+5000+5000+5000</f>
        <v>20000</v>
      </c>
      <c r="E31" s="168" t="s">
        <v>774</v>
      </c>
      <c r="F31" s="167">
        <f>1200+1800+180+28+980+600+1000+4600+1240+600+1444+96+960+48+52+956+1604+1212+76+84+924+300</f>
        <v>19984</v>
      </c>
      <c r="G31" s="167">
        <v>1</v>
      </c>
      <c r="H31" s="169">
        <f t="shared" ref="H31:H37" si="10">D31-(F31*G31)</f>
        <v>16</v>
      </c>
      <c r="I31" s="170">
        <v>2.346</v>
      </c>
      <c r="J31" s="171">
        <f t="shared" si="1"/>
        <v>46920</v>
      </c>
      <c r="K31" s="171">
        <f t="shared" si="2"/>
        <v>37.536</v>
      </c>
      <c r="L31" s="171"/>
      <c r="M31" s="163" t="s">
        <v>750</v>
      </c>
      <c r="N31" s="162"/>
    </row>
    <row r="32" s="148" customFormat="1" ht="32" customHeight="1" spans="1:14">
      <c r="A32" s="172"/>
      <c r="B32" s="179"/>
      <c r="C32" s="5" t="s">
        <v>775</v>
      </c>
      <c r="D32" s="167">
        <f>5000+5000</f>
        <v>10000</v>
      </c>
      <c r="E32" s="168" t="s">
        <v>776</v>
      </c>
      <c r="F32" s="167">
        <f>1200+600+1000+1240+600+4600+1604+300</f>
        <v>11144</v>
      </c>
      <c r="G32" s="167">
        <v>1</v>
      </c>
      <c r="H32" s="169">
        <f>D32-(F32*G32)+4240</f>
        <v>3096</v>
      </c>
      <c r="I32" s="170">
        <v>0.432</v>
      </c>
      <c r="J32" s="171">
        <f t="shared" si="1"/>
        <v>4320</v>
      </c>
      <c r="K32" s="171">
        <f t="shared" si="2"/>
        <v>1337.472</v>
      </c>
      <c r="L32" s="171" t="s">
        <v>739</v>
      </c>
      <c r="M32" s="163"/>
      <c r="N32" s="162"/>
    </row>
    <row r="33" s="148" customFormat="1" ht="32" customHeight="1" spans="1:14">
      <c r="A33" s="172"/>
      <c r="B33" s="179"/>
      <c r="C33" s="5" t="s">
        <v>740</v>
      </c>
      <c r="D33" s="167">
        <f>5000</f>
        <v>5000</v>
      </c>
      <c r="E33" s="168" t="s">
        <v>777</v>
      </c>
      <c r="F33" s="167">
        <f>1200+600+600+300</f>
        <v>2700</v>
      </c>
      <c r="G33" s="167">
        <v>1</v>
      </c>
      <c r="H33" s="169">
        <f t="shared" si="10"/>
        <v>2300</v>
      </c>
      <c r="I33" s="170">
        <v>0.03</v>
      </c>
      <c r="J33" s="171">
        <f t="shared" si="1"/>
        <v>150</v>
      </c>
      <c r="K33" s="171">
        <f t="shared" si="2"/>
        <v>69</v>
      </c>
      <c r="L33" s="171" t="s">
        <v>739</v>
      </c>
      <c r="M33" s="163"/>
      <c r="N33" s="162"/>
    </row>
    <row r="34" s="148" customFormat="1" ht="32" customHeight="1" spans="1:14">
      <c r="A34" s="172"/>
      <c r="B34" s="179"/>
      <c r="C34" s="5" t="s">
        <v>775</v>
      </c>
      <c r="D34" s="167">
        <f>5000</f>
        <v>5000</v>
      </c>
      <c r="E34" s="168" t="s">
        <v>778</v>
      </c>
      <c r="F34" s="167">
        <f>1800+180+980+28+1444+96+960+48+956+52+1212+76+84+924</f>
        <v>8840</v>
      </c>
      <c r="G34" s="167">
        <v>1</v>
      </c>
      <c r="H34" s="169">
        <f>D34-(F34*G34)+5220</f>
        <v>1380</v>
      </c>
      <c r="I34" s="170">
        <v>0.432</v>
      </c>
      <c r="J34" s="171">
        <f t="shared" si="1"/>
        <v>2160</v>
      </c>
      <c r="K34" s="171">
        <f t="shared" si="2"/>
        <v>596.16</v>
      </c>
      <c r="L34" s="171" t="s">
        <v>449</v>
      </c>
      <c r="M34" s="163"/>
      <c r="N34" s="162"/>
    </row>
    <row r="35" s="148" customFormat="1" ht="32" customHeight="1" spans="1:14">
      <c r="A35" s="172"/>
      <c r="B35" s="179"/>
      <c r="C35" s="5" t="s">
        <v>740</v>
      </c>
      <c r="D35" s="167">
        <f>5000</f>
        <v>5000</v>
      </c>
      <c r="E35" s="168" t="s">
        <v>778</v>
      </c>
      <c r="F35" s="167">
        <f>1604</f>
        <v>1604</v>
      </c>
      <c r="G35" s="167">
        <v>1</v>
      </c>
      <c r="H35" s="169">
        <f>D35-(F35*G35)+5220</f>
        <v>8616</v>
      </c>
      <c r="I35" s="170">
        <v>0.03</v>
      </c>
      <c r="J35" s="171">
        <f t="shared" si="1"/>
        <v>150</v>
      </c>
      <c r="K35" s="171">
        <f t="shared" si="2"/>
        <v>258.48</v>
      </c>
      <c r="L35" s="171" t="s">
        <v>779</v>
      </c>
      <c r="M35" s="163"/>
      <c r="N35" s="162"/>
    </row>
    <row r="36" s="148" customFormat="1" ht="32" customHeight="1" spans="1:14">
      <c r="A36" s="172"/>
      <c r="B36" s="179"/>
      <c r="C36" s="5" t="s">
        <v>780</v>
      </c>
      <c r="D36" s="167">
        <v>360000</v>
      </c>
      <c r="E36" s="168" t="s">
        <v>781</v>
      </c>
      <c r="F36" s="167">
        <v>359712</v>
      </c>
      <c r="G36" s="167">
        <v>1</v>
      </c>
      <c r="H36" s="169">
        <f t="shared" si="10"/>
        <v>288</v>
      </c>
      <c r="I36" s="170"/>
      <c r="J36" s="171">
        <f t="shared" si="1"/>
        <v>0</v>
      </c>
      <c r="K36" s="171">
        <f t="shared" si="2"/>
        <v>0</v>
      </c>
      <c r="L36" s="171"/>
      <c r="M36" s="163"/>
      <c r="N36" s="162"/>
    </row>
    <row r="37" s="148" customFormat="1" ht="32" customHeight="1" spans="1:14">
      <c r="A37" s="165" t="s">
        <v>782</v>
      </c>
      <c r="B37" s="174" t="s">
        <v>706</v>
      </c>
      <c r="C37" s="162" t="s">
        <v>734</v>
      </c>
      <c r="D37" s="167">
        <f>20000+5000+15224+17640+5000+10000</f>
        <v>72864</v>
      </c>
      <c r="E37" s="168" t="s">
        <v>783</v>
      </c>
      <c r="F37" s="167">
        <f>300+2700+84+2916+3600+3852+6000+2850+150+17640+2772+228+7488+384+5346+3300</f>
        <v>59610</v>
      </c>
      <c r="G37" s="167">
        <v>1</v>
      </c>
      <c r="H37" s="169">
        <f t="shared" si="10"/>
        <v>13254</v>
      </c>
      <c r="I37" s="170">
        <v>1.66</v>
      </c>
      <c r="J37" s="171">
        <f t="shared" ref="J37:J44" si="11">D37*I37</f>
        <v>120954.24</v>
      </c>
      <c r="K37" s="171">
        <f t="shared" ref="K37:K44" si="12">H37*I37</f>
        <v>22001.64</v>
      </c>
      <c r="L37" s="171"/>
      <c r="M37" s="163" t="s">
        <v>750</v>
      </c>
      <c r="N37" s="162"/>
    </row>
    <row r="38" s="148" customFormat="1" ht="32" customHeight="1" spans="1:14">
      <c r="A38" s="172"/>
      <c r="B38" s="177"/>
      <c r="C38" s="5" t="s">
        <v>754</v>
      </c>
      <c r="D38" s="167">
        <f>5000</f>
        <v>5000</v>
      </c>
      <c r="E38" s="168" t="s">
        <v>784</v>
      </c>
      <c r="F38" s="167">
        <f t="shared" ref="F38:F40" si="13">3600+3852+6000</f>
        <v>13452</v>
      </c>
      <c r="G38" s="167">
        <v>1</v>
      </c>
      <c r="H38" s="169">
        <f t="shared" ref="H38:H40" si="14">D38-(F38*G38)+8452</f>
        <v>0</v>
      </c>
      <c r="I38" s="170">
        <v>0.029</v>
      </c>
      <c r="J38" s="171">
        <f t="shared" si="11"/>
        <v>145</v>
      </c>
      <c r="K38" s="171">
        <f t="shared" si="12"/>
        <v>0</v>
      </c>
      <c r="L38" s="171" t="s">
        <v>739</v>
      </c>
      <c r="M38" s="163"/>
      <c r="N38" s="162"/>
    </row>
    <row r="39" s="148" customFormat="1" ht="32" customHeight="1" spans="1:14">
      <c r="A39" s="172"/>
      <c r="B39" s="177"/>
      <c r="C39" s="162" t="s">
        <v>740</v>
      </c>
      <c r="D39" s="167">
        <f>5000</f>
        <v>5000</v>
      </c>
      <c r="E39" s="168" t="s">
        <v>784</v>
      </c>
      <c r="F39" s="167">
        <f t="shared" si="13"/>
        <v>13452</v>
      </c>
      <c r="G39" s="167">
        <v>1</v>
      </c>
      <c r="H39" s="169">
        <f t="shared" si="14"/>
        <v>0</v>
      </c>
      <c r="I39" s="170">
        <v>0.03</v>
      </c>
      <c r="J39" s="171">
        <f t="shared" si="11"/>
        <v>150</v>
      </c>
      <c r="K39" s="171">
        <f t="shared" si="12"/>
        <v>0</v>
      </c>
      <c r="L39" s="171" t="s">
        <v>739</v>
      </c>
      <c r="M39" s="163"/>
      <c r="N39" s="162"/>
    </row>
    <row r="40" s="148" customFormat="1" ht="32" customHeight="1" spans="1:14">
      <c r="A40" s="172"/>
      <c r="B40" s="177"/>
      <c r="C40" s="162" t="s">
        <v>751</v>
      </c>
      <c r="D40" s="167">
        <f>20000</f>
        <v>20000</v>
      </c>
      <c r="E40" s="168" t="s">
        <v>785</v>
      </c>
      <c r="F40" s="167">
        <f t="shared" si="13"/>
        <v>13452</v>
      </c>
      <c r="G40" s="167">
        <v>1</v>
      </c>
      <c r="H40" s="169">
        <f>D40-(F40*G40)</f>
        <v>6548</v>
      </c>
      <c r="I40" s="170">
        <v>0.0457</v>
      </c>
      <c r="J40" s="171">
        <f t="shared" si="11"/>
        <v>914</v>
      </c>
      <c r="K40" s="171">
        <f t="shared" si="12"/>
        <v>299.2436</v>
      </c>
      <c r="L40" s="171" t="s">
        <v>739</v>
      </c>
      <c r="M40" s="163"/>
      <c r="N40" s="162"/>
    </row>
    <row r="41" s="148" customFormat="1" ht="32" customHeight="1" spans="1:14">
      <c r="A41" s="172"/>
      <c r="B41" s="177"/>
      <c r="C41" s="162" t="s">
        <v>741</v>
      </c>
      <c r="D41" s="167">
        <f>1000+1000</f>
        <v>2000</v>
      </c>
      <c r="E41" s="168" t="s">
        <v>786</v>
      </c>
      <c r="F41" s="167">
        <f>300+2700+2916+84+3600+3852+6000+2850+250+17640+384+5346+7488+2772+228+3300</f>
        <v>59710</v>
      </c>
      <c r="G41" s="167">
        <v>6</v>
      </c>
      <c r="H41" s="169">
        <f>D41-(F41/G41)+7952</f>
        <v>0.33333333333394</v>
      </c>
      <c r="I41" s="170">
        <v>0.119</v>
      </c>
      <c r="J41" s="171">
        <f t="shared" si="11"/>
        <v>238</v>
      </c>
      <c r="K41" s="171">
        <f t="shared" si="12"/>
        <v>0.0396666666667388</v>
      </c>
      <c r="L41" s="171" t="s">
        <v>787</v>
      </c>
      <c r="M41" s="163"/>
      <c r="N41" s="162"/>
    </row>
    <row r="42" s="148" customFormat="1" ht="32" customHeight="1" spans="1:14">
      <c r="A42" s="172"/>
      <c r="B42" s="177"/>
      <c r="C42" s="5" t="s">
        <v>754</v>
      </c>
      <c r="D42" s="167">
        <f>5000</f>
        <v>5000</v>
      </c>
      <c r="E42" s="168" t="s">
        <v>778</v>
      </c>
      <c r="F42" s="167">
        <f>300+2700+2916+84+2850+150+17640+384+5346+2772+228</f>
        <v>35370</v>
      </c>
      <c r="G42" s="167">
        <v>1</v>
      </c>
      <c r="H42" s="169">
        <f>D42-(F42*G42)+30370</f>
        <v>0</v>
      </c>
      <c r="I42" s="170">
        <v>0.029</v>
      </c>
      <c r="J42" s="171">
        <f t="shared" si="11"/>
        <v>145</v>
      </c>
      <c r="K42" s="171">
        <f t="shared" si="12"/>
        <v>0</v>
      </c>
      <c r="L42" s="171" t="s">
        <v>449</v>
      </c>
      <c r="M42" s="163"/>
      <c r="N42" s="162"/>
    </row>
    <row r="43" s="148" customFormat="1" ht="32" customHeight="1" spans="1:14">
      <c r="A43" s="172"/>
      <c r="B43" s="177"/>
      <c r="C43" s="162" t="s">
        <v>740</v>
      </c>
      <c r="D43" s="167">
        <f>5000</f>
        <v>5000</v>
      </c>
      <c r="E43" s="168" t="s">
        <v>778</v>
      </c>
      <c r="F43" s="167">
        <f>300+2700+2916+84+2850+150+384+5346+2772+228</f>
        <v>17730</v>
      </c>
      <c r="G43" s="167">
        <v>1</v>
      </c>
      <c r="H43" s="169">
        <f>D43-(F43*G43)+12730</f>
        <v>0</v>
      </c>
      <c r="I43" s="170">
        <v>0.03</v>
      </c>
      <c r="J43" s="171">
        <f t="shared" si="11"/>
        <v>150</v>
      </c>
      <c r="K43" s="171">
        <f t="shared" si="12"/>
        <v>0</v>
      </c>
      <c r="L43" s="171" t="s">
        <v>449</v>
      </c>
      <c r="M43" s="163"/>
      <c r="N43" s="162"/>
    </row>
    <row r="44" s="148" customFormat="1" ht="32" customHeight="1" spans="1:14">
      <c r="A44" s="172"/>
      <c r="B44" s="177"/>
      <c r="C44" s="162" t="s">
        <v>751</v>
      </c>
      <c r="D44" s="167">
        <f t="shared" ref="D44:D50" si="15">20000</f>
        <v>20000</v>
      </c>
      <c r="E44" s="168" t="s">
        <v>788</v>
      </c>
      <c r="F44" s="167">
        <f>300+2700+2916+84+2850+150+17640+384+5346+2772+228</f>
        <v>35370</v>
      </c>
      <c r="G44" s="167">
        <v>1</v>
      </c>
      <c r="H44" s="169">
        <f>D44-(F44*G44)+15370</f>
        <v>0</v>
      </c>
      <c r="I44" s="170">
        <v>0.0457</v>
      </c>
      <c r="J44" s="171">
        <f t="shared" si="11"/>
        <v>914</v>
      </c>
      <c r="K44" s="171">
        <f t="shared" si="12"/>
        <v>0</v>
      </c>
      <c r="L44" s="171" t="s">
        <v>449</v>
      </c>
      <c r="M44" s="163"/>
      <c r="N44" s="162"/>
    </row>
    <row r="45" s="148" customFormat="1" ht="32" customHeight="1" spans="1:14">
      <c r="A45" s="165" t="s">
        <v>789</v>
      </c>
      <c r="B45" s="174" t="s">
        <v>111</v>
      </c>
      <c r="C45" s="5" t="s">
        <v>766</v>
      </c>
      <c r="D45" s="167">
        <f t="shared" si="15"/>
        <v>20000</v>
      </c>
      <c r="E45" s="168" t="s">
        <v>790</v>
      </c>
      <c r="F45" s="167">
        <f>3198+6000+3600</f>
        <v>12798</v>
      </c>
      <c r="G45" s="167">
        <v>1</v>
      </c>
      <c r="H45" s="169">
        <f t="shared" ref="H45:H50" si="16">D45-(F45*G45)</f>
        <v>7202</v>
      </c>
      <c r="I45" s="170">
        <v>1.218</v>
      </c>
      <c r="J45" s="171">
        <f t="shared" ref="J45:J69" si="17">D45*I45</f>
        <v>24360</v>
      </c>
      <c r="K45" s="171">
        <f t="shared" ref="K45:K69" si="18">H45*I45</f>
        <v>8772.036</v>
      </c>
      <c r="L45" s="171"/>
      <c r="M45" s="176" t="s">
        <v>791</v>
      </c>
      <c r="N45" s="162"/>
    </row>
    <row r="46" s="148" customFormat="1" ht="32" customHeight="1" spans="1:14">
      <c r="A46" s="172"/>
      <c r="B46" s="177"/>
      <c r="C46" s="5" t="s">
        <v>792</v>
      </c>
      <c r="D46" s="167">
        <v>20000</v>
      </c>
      <c r="E46" s="168" t="s">
        <v>793</v>
      </c>
      <c r="F46" s="167">
        <f>3198+6000+3600</f>
        <v>12798</v>
      </c>
      <c r="G46" s="167">
        <v>1</v>
      </c>
      <c r="H46" s="169">
        <f t="shared" si="16"/>
        <v>7202</v>
      </c>
      <c r="I46" s="170">
        <v>0.343</v>
      </c>
      <c r="J46" s="171">
        <f t="shared" si="17"/>
        <v>6860</v>
      </c>
      <c r="K46" s="171">
        <f t="shared" si="18"/>
        <v>2470.286</v>
      </c>
      <c r="L46" s="171"/>
      <c r="M46" s="176"/>
      <c r="N46" s="162"/>
    </row>
    <row r="47" s="148" customFormat="1" ht="32" customHeight="1" spans="1:14">
      <c r="A47" s="172"/>
      <c r="B47" s="177"/>
      <c r="C47" s="5" t="s">
        <v>794</v>
      </c>
      <c r="D47" s="167">
        <v>30000</v>
      </c>
      <c r="E47" s="168" t="s">
        <v>795</v>
      </c>
      <c r="F47" s="167">
        <f>3198+6000+3600</f>
        <v>12798</v>
      </c>
      <c r="G47" s="167">
        <v>1</v>
      </c>
      <c r="H47" s="169">
        <f t="shared" si="16"/>
        <v>17202</v>
      </c>
      <c r="I47" s="170">
        <v>0.052</v>
      </c>
      <c r="J47" s="171">
        <f t="shared" si="17"/>
        <v>1560</v>
      </c>
      <c r="K47" s="171">
        <f t="shared" si="18"/>
        <v>894.504</v>
      </c>
      <c r="L47" s="171"/>
      <c r="M47" s="176"/>
      <c r="N47" s="162"/>
    </row>
    <row r="48" s="148" customFormat="1" ht="32" customHeight="1" spans="1:14">
      <c r="A48" s="172"/>
      <c r="B48" s="177"/>
      <c r="C48" s="5" t="s">
        <v>796</v>
      </c>
      <c r="D48" s="167">
        <v>30000</v>
      </c>
      <c r="E48" s="168" t="s">
        <v>795</v>
      </c>
      <c r="F48" s="167">
        <f>3198+6000+3600</f>
        <v>12798</v>
      </c>
      <c r="G48" s="167">
        <v>1</v>
      </c>
      <c r="H48" s="169">
        <f t="shared" si="16"/>
        <v>17202</v>
      </c>
      <c r="I48" s="170">
        <v>0.045</v>
      </c>
      <c r="J48" s="171">
        <f t="shared" si="17"/>
        <v>1350</v>
      </c>
      <c r="K48" s="171">
        <f t="shared" si="18"/>
        <v>774.09</v>
      </c>
      <c r="L48" s="171"/>
      <c r="M48" s="176"/>
      <c r="N48" s="162"/>
    </row>
    <row r="49" s="148" customFormat="1" ht="32" customHeight="1" spans="1:14">
      <c r="A49" s="172"/>
      <c r="B49" s="177"/>
      <c r="C49" s="5" t="s">
        <v>771</v>
      </c>
      <c r="D49" s="167">
        <f t="shared" si="15"/>
        <v>20000</v>
      </c>
      <c r="E49" s="168" t="s">
        <v>772</v>
      </c>
      <c r="F49" s="167">
        <f>3198+6000+3600</f>
        <v>12798</v>
      </c>
      <c r="G49" s="167">
        <v>1</v>
      </c>
      <c r="H49" s="169">
        <f t="shared" si="16"/>
        <v>7202</v>
      </c>
      <c r="I49" s="170">
        <v>0.01</v>
      </c>
      <c r="J49" s="171">
        <f t="shared" si="17"/>
        <v>200</v>
      </c>
      <c r="K49" s="171">
        <f t="shared" si="18"/>
        <v>72.02</v>
      </c>
      <c r="L49" s="171"/>
      <c r="M49" s="176"/>
      <c r="N49" s="162"/>
    </row>
    <row r="50" s="148" customFormat="1" ht="32" customHeight="1" spans="1:14">
      <c r="A50" s="172"/>
      <c r="B50" s="177"/>
      <c r="C50" s="162" t="s">
        <v>751</v>
      </c>
      <c r="D50" s="167">
        <f t="shared" si="15"/>
        <v>20000</v>
      </c>
      <c r="E50" s="168" t="s">
        <v>793</v>
      </c>
      <c r="F50" s="167">
        <f>3198+3600</f>
        <v>6798</v>
      </c>
      <c r="G50" s="167">
        <v>1</v>
      </c>
      <c r="H50" s="169">
        <f t="shared" si="16"/>
        <v>13202</v>
      </c>
      <c r="I50" s="170">
        <v>0.071</v>
      </c>
      <c r="J50" s="171">
        <f t="shared" si="17"/>
        <v>1420</v>
      </c>
      <c r="K50" s="171">
        <f t="shared" si="18"/>
        <v>937.342</v>
      </c>
      <c r="L50" s="171" t="s">
        <v>739</v>
      </c>
      <c r="M50" s="176"/>
      <c r="N50" s="162"/>
    </row>
    <row r="51" s="148" customFormat="1" ht="32" customHeight="1" spans="1:14">
      <c r="A51" s="172"/>
      <c r="B51" s="177"/>
      <c r="C51" s="162" t="s">
        <v>741</v>
      </c>
      <c r="D51" s="167">
        <f>1000+1000</f>
        <v>2000</v>
      </c>
      <c r="E51" s="168" t="s">
        <v>797</v>
      </c>
      <c r="F51" s="167">
        <f>3198+3600</f>
        <v>6798</v>
      </c>
      <c r="G51" s="167">
        <v>6</v>
      </c>
      <c r="H51" s="169">
        <f>D51-(F51/G51)</f>
        <v>867</v>
      </c>
      <c r="I51" s="170">
        <v>0.667</v>
      </c>
      <c r="J51" s="171">
        <f t="shared" si="17"/>
        <v>1334</v>
      </c>
      <c r="K51" s="171">
        <f t="shared" si="18"/>
        <v>578.289</v>
      </c>
      <c r="L51" s="171" t="s">
        <v>739</v>
      </c>
      <c r="M51" s="176"/>
      <c r="N51" s="162"/>
    </row>
    <row r="52" s="148" customFormat="1" ht="32" customHeight="1" spans="1:14">
      <c r="A52" s="172"/>
      <c r="B52" s="177"/>
      <c r="C52" s="162" t="s">
        <v>442</v>
      </c>
      <c r="D52" s="167">
        <v>5000</v>
      </c>
      <c r="E52" s="168" t="s">
        <v>798</v>
      </c>
      <c r="F52" s="167">
        <f>3198+6000</f>
        <v>9198</v>
      </c>
      <c r="G52" s="167">
        <v>1</v>
      </c>
      <c r="H52" s="169">
        <f>D52-(F52*G52)+4198</f>
        <v>0</v>
      </c>
      <c r="I52" s="170">
        <v>0.0457</v>
      </c>
      <c r="J52" s="171">
        <f t="shared" si="17"/>
        <v>228.5</v>
      </c>
      <c r="K52" s="171">
        <f t="shared" si="18"/>
        <v>0</v>
      </c>
      <c r="L52" s="171" t="s">
        <v>739</v>
      </c>
      <c r="M52" s="176"/>
      <c r="N52" s="162"/>
    </row>
    <row r="53" s="148" customFormat="1" ht="32" customHeight="1" spans="1:14">
      <c r="A53" s="172"/>
      <c r="B53" s="177"/>
      <c r="C53" s="162" t="s">
        <v>799</v>
      </c>
      <c r="D53" s="167">
        <v>5000</v>
      </c>
      <c r="E53" s="168" t="s">
        <v>800</v>
      </c>
      <c r="F53" s="167">
        <f>3198+6000</f>
        <v>9198</v>
      </c>
      <c r="G53" s="167">
        <v>1</v>
      </c>
      <c r="H53" s="169">
        <f>D53-(F53*G53)+4198</f>
        <v>0</v>
      </c>
      <c r="I53" s="170">
        <v>0.0288</v>
      </c>
      <c r="J53" s="171">
        <f t="shared" si="17"/>
        <v>144</v>
      </c>
      <c r="K53" s="171">
        <f t="shared" si="18"/>
        <v>0</v>
      </c>
      <c r="L53" s="171" t="s">
        <v>739</v>
      </c>
      <c r="M53" s="176"/>
      <c r="N53" s="162"/>
    </row>
    <row r="54" s="148" customFormat="1" ht="32" customHeight="1" spans="1:14">
      <c r="A54" s="172"/>
      <c r="B54" s="177"/>
      <c r="C54" s="162" t="s">
        <v>799</v>
      </c>
      <c r="D54" s="167">
        <v>5000</v>
      </c>
      <c r="E54" s="168" t="s">
        <v>801</v>
      </c>
      <c r="F54" s="167">
        <f>3600</f>
        <v>3600</v>
      </c>
      <c r="G54" s="167">
        <v>1</v>
      </c>
      <c r="H54" s="169">
        <f>D54-(F54*G54)+4198</f>
        <v>5598</v>
      </c>
      <c r="I54" s="170">
        <v>0.0288</v>
      </c>
      <c r="J54" s="171">
        <f t="shared" si="17"/>
        <v>144</v>
      </c>
      <c r="K54" s="171">
        <f t="shared" si="18"/>
        <v>161.2224</v>
      </c>
      <c r="L54" s="171" t="s">
        <v>802</v>
      </c>
      <c r="M54" s="176"/>
      <c r="N54" s="162"/>
    </row>
    <row r="55" s="148" customFormat="1" ht="32" customHeight="1" spans="1:14">
      <c r="A55" s="172"/>
      <c r="B55" s="177"/>
      <c r="C55" s="162" t="s">
        <v>740</v>
      </c>
      <c r="D55" s="167">
        <f>5000+5000</f>
        <v>10000</v>
      </c>
      <c r="E55" s="168" t="s">
        <v>803</v>
      </c>
      <c r="F55" s="167">
        <f>3198+3600</f>
        <v>6798</v>
      </c>
      <c r="G55" s="167">
        <v>1</v>
      </c>
      <c r="H55" s="169">
        <f>D55-(F55*G55)</f>
        <v>3202</v>
      </c>
      <c r="I55" s="170">
        <v>0.0564</v>
      </c>
      <c r="J55" s="171">
        <f t="shared" si="17"/>
        <v>564</v>
      </c>
      <c r="K55" s="171">
        <f t="shared" si="18"/>
        <v>180.5928</v>
      </c>
      <c r="L55" s="171" t="s">
        <v>739</v>
      </c>
      <c r="M55" s="176"/>
      <c r="N55" s="162"/>
    </row>
    <row r="56" s="148" customFormat="1" ht="32" customHeight="1" spans="1:14">
      <c r="A56" s="165" t="s">
        <v>804</v>
      </c>
      <c r="B56" s="174" t="s">
        <v>81</v>
      </c>
      <c r="C56" s="162" t="s">
        <v>734</v>
      </c>
      <c r="D56" s="167">
        <f>5000+5000</f>
        <v>10000</v>
      </c>
      <c r="E56" s="168" t="s">
        <v>805</v>
      </c>
      <c r="F56" s="167">
        <f>2700+300+1914+90+2952+48</f>
        <v>8004</v>
      </c>
      <c r="G56" s="167">
        <v>1</v>
      </c>
      <c r="H56" s="169">
        <f t="shared" ref="H56:H62" si="19">D56-(F56*G56)</f>
        <v>1996</v>
      </c>
      <c r="I56" s="170">
        <v>1.778</v>
      </c>
      <c r="J56" s="171">
        <f t="shared" si="17"/>
        <v>17780</v>
      </c>
      <c r="K56" s="171">
        <f t="shared" si="18"/>
        <v>3548.888</v>
      </c>
      <c r="L56" s="171"/>
      <c r="M56" s="163"/>
      <c r="N56" s="162"/>
    </row>
    <row r="57" s="148" customFormat="1" ht="32" customHeight="1" spans="1:14">
      <c r="A57" s="172"/>
      <c r="B57" s="177"/>
      <c r="C57" s="162" t="s">
        <v>751</v>
      </c>
      <c r="D57" s="167">
        <f>20000</f>
        <v>20000</v>
      </c>
      <c r="E57" s="168" t="s">
        <v>806</v>
      </c>
      <c r="F57" s="167">
        <f t="shared" ref="F56:F59" si="20">2700+300+1914+90+48+2952</f>
        <v>8004</v>
      </c>
      <c r="G57" s="167">
        <v>1</v>
      </c>
      <c r="H57" s="169">
        <f t="shared" si="19"/>
        <v>11996</v>
      </c>
      <c r="I57" s="170">
        <v>0.071</v>
      </c>
      <c r="J57" s="171">
        <f t="shared" si="17"/>
        <v>1420</v>
      </c>
      <c r="K57" s="171">
        <f t="shared" si="18"/>
        <v>851.716</v>
      </c>
      <c r="L57" s="171" t="s">
        <v>449</v>
      </c>
      <c r="M57" s="163"/>
      <c r="N57" s="162"/>
    </row>
    <row r="58" s="148" customFormat="1" ht="32" customHeight="1" spans="1:14">
      <c r="A58" s="172"/>
      <c r="B58" s="177"/>
      <c r="C58" s="162" t="s">
        <v>740</v>
      </c>
      <c r="D58" s="167">
        <v>5000</v>
      </c>
      <c r="E58" s="168" t="s">
        <v>807</v>
      </c>
      <c r="F58" s="167">
        <f t="shared" si="20"/>
        <v>8004</v>
      </c>
      <c r="G58" s="167">
        <v>1</v>
      </c>
      <c r="H58" s="169">
        <f t="shared" si="19"/>
        <v>-3004</v>
      </c>
      <c r="I58" s="170">
        <v>0.03</v>
      </c>
      <c r="J58" s="171">
        <f t="shared" si="17"/>
        <v>150</v>
      </c>
      <c r="K58" s="171">
        <f t="shared" si="18"/>
        <v>-90.12</v>
      </c>
      <c r="L58" s="171" t="s">
        <v>449</v>
      </c>
      <c r="M58" s="163"/>
      <c r="N58" s="162"/>
    </row>
    <row r="59" s="148" customFormat="1" ht="32" customHeight="1" spans="1:14">
      <c r="A59" s="172"/>
      <c r="B59" s="177"/>
      <c r="C59" s="162" t="s">
        <v>741</v>
      </c>
      <c r="D59" s="167">
        <v>1000</v>
      </c>
      <c r="E59" s="168" t="s">
        <v>808</v>
      </c>
      <c r="F59" s="167">
        <f t="shared" si="20"/>
        <v>8004</v>
      </c>
      <c r="G59" s="167">
        <v>6</v>
      </c>
      <c r="H59" s="169">
        <f>D59-(F59/G59)</f>
        <v>-334</v>
      </c>
      <c r="I59" s="170">
        <v>0.111</v>
      </c>
      <c r="J59" s="171">
        <f t="shared" si="17"/>
        <v>111</v>
      </c>
      <c r="K59" s="171">
        <f t="shared" si="18"/>
        <v>-37.074</v>
      </c>
      <c r="L59" s="171" t="s">
        <v>449</v>
      </c>
      <c r="M59" s="163"/>
      <c r="N59" s="162"/>
    </row>
    <row r="60" s="148" customFormat="1" ht="32" customHeight="1" spans="1:14">
      <c r="A60" s="165" t="s">
        <v>809</v>
      </c>
      <c r="B60" s="174" t="s">
        <v>128</v>
      </c>
      <c r="C60" s="162" t="s">
        <v>734</v>
      </c>
      <c r="D60" s="167">
        <f>30000</f>
        <v>30000</v>
      </c>
      <c r="E60" s="168" t="s">
        <v>810</v>
      </c>
      <c r="F60" s="167">
        <f>4110+204+804+804+654+150+8004+11706+384+1200+1800</f>
        <v>29820</v>
      </c>
      <c r="G60" s="167">
        <v>1</v>
      </c>
      <c r="H60" s="169">
        <f t="shared" si="19"/>
        <v>180</v>
      </c>
      <c r="I60" s="170">
        <v>2.003</v>
      </c>
      <c r="J60" s="171">
        <f t="shared" si="17"/>
        <v>60090</v>
      </c>
      <c r="K60" s="171">
        <f t="shared" si="18"/>
        <v>360.54</v>
      </c>
      <c r="L60" s="171"/>
      <c r="M60" s="176" t="s">
        <v>750</v>
      </c>
      <c r="N60" s="162"/>
    </row>
    <row r="61" s="148" customFormat="1" ht="32" customHeight="1" spans="1:14">
      <c r="A61" s="172"/>
      <c r="B61" s="177"/>
      <c r="C61" s="162" t="s">
        <v>751</v>
      </c>
      <c r="D61" s="167">
        <v>20000</v>
      </c>
      <c r="E61" s="168" t="s">
        <v>790</v>
      </c>
      <c r="F61" s="167">
        <f>4110+204+804+804+654+150+11706+384+1200+1800</f>
        <v>21816</v>
      </c>
      <c r="G61" s="167">
        <v>1</v>
      </c>
      <c r="H61" s="169">
        <f t="shared" si="19"/>
        <v>-1816</v>
      </c>
      <c r="I61" s="170">
        <v>0.0457</v>
      </c>
      <c r="J61" s="171">
        <f t="shared" si="17"/>
        <v>914</v>
      </c>
      <c r="K61" s="171">
        <f t="shared" si="18"/>
        <v>-82.9912</v>
      </c>
      <c r="L61" s="171" t="s">
        <v>739</v>
      </c>
      <c r="M61" s="176"/>
      <c r="N61" s="162"/>
    </row>
    <row r="62" s="148" customFormat="1" ht="32" customHeight="1" spans="1:14">
      <c r="A62" s="172"/>
      <c r="B62" s="177"/>
      <c r="C62" s="162" t="s">
        <v>799</v>
      </c>
      <c r="D62" s="167">
        <v>5000</v>
      </c>
      <c r="E62" s="168" t="s">
        <v>811</v>
      </c>
      <c r="F62" s="167">
        <f>4110+204+804+804+654+150+384+1200+1800</f>
        <v>10110</v>
      </c>
      <c r="G62" s="167">
        <v>1</v>
      </c>
      <c r="H62" s="169">
        <f>D62-(F62*G62)+1726</f>
        <v>-3384</v>
      </c>
      <c r="I62" s="170">
        <v>0.0288</v>
      </c>
      <c r="J62" s="171">
        <f t="shared" si="17"/>
        <v>144</v>
      </c>
      <c r="K62" s="171">
        <f t="shared" si="18"/>
        <v>-97.4592</v>
      </c>
      <c r="L62" s="171" t="s">
        <v>739</v>
      </c>
      <c r="M62" s="176"/>
      <c r="N62" s="162"/>
    </row>
    <row r="63" s="148" customFormat="1" ht="32" customHeight="1" spans="1:14">
      <c r="A63" s="172"/>
      <c r="B63" s="177"/>
      <c r="C63" s="162" t="s">
        <v>741</v>
      </c>
      <c r="D63" s="167">
        <v>5000</v>
      </c>
      <c r="E63" s="168" t="s">
        <v>811</v>
      </c>
      <c r="F63" s="167">
        <f>4110+204+804+804+654+150+384+1200+1800</f>
        <v>10110</v>
      </c>
      <c r="G63" s="167">
        <v>6</v>
      </c>
      <c r="H63" s="169">
        <f>D63-(F63/G63)</f>
        <v>3315</v>
      </c>
      <c r="I63" s="170">
        <v>0.667</v>
      </c>
      <c r="J63" s="171">
        <f t="shared" si="17"/>
        <v>3335</v>
      </c>
      <c r="K63" s="171">
        <f t="shared" si="18"/>
        <v>2211.105</v>
      </c>
      <c r="L63" s="171" t="s">
        <v>739</v>
      </c>
      <c r="M63" s="176"/>
      <c r="N63" s="162"/>
    </row>
    <row r="64" s="148" customFormat="1" ht="32" customHeight="1" spans="1:14">
      <c r="A64" s="172"/>
      <c r="B64" s="177"/>
      <c r="C64" s="162" t="s">
        <v>442</v>
      </c>
      <c r="D64" s="167">
        <v>5000</v>
      </c>
      <c r="E64" s="168" t="s">
        <v>811</v>
      </c>
      <c r="F64" s="167">
        <f>4110+204+804+804+654+150</f>
        <v>6726</v>
      </c>
      <c r="G64" s="167">
        <v>1</v>
      </c>
      <c r="H64" s="169">
        <f>D64-(F64*G64)+1726</f>
        <v>0</v>
      </c>
      <c r="I64" s="170">
        <v>0.0457</v>
      </c>
      <c r="J64" s="171">
        <f t="shared" si="17"/>
        <v>228.5</v>
      </c>
      <c r="K64" s="171">
        <f t="shared" si="18"/>
        <v>0</v>
      </c>
      <c r="L64" s="171" t="s">
        <v>739</v>
      </c>
      <c r="M64" s="176"/>
      <c r="N64" s="162"/>
    </row>
    <row r="65" s="148" customFormat="1" ht="32" customHeight="1" spans="1:14">
      <c r="A65" s="165" t="s">
        <v>812</v>
      </c>
      <c r="B65" s="165" t="s">
        <v>178</v>
      </c>
      <c r="C65" s="162" t="s">
        <v>734</v>
      </c>
      <c r="D65" s="167">
        <f>30000</f>
        <v>30000</v>
      </c>
      <c r="E65" s="168" t="s">
        <v>813</v>
      </c>
      <c r="F65" s="167">
        <f>162+504+504+522+120+2100+384+1200</f>
        <v>5496</v>
      </c>
      <c r="G65" s="167">
        <v>1</v>
      </c>
      <c r="H65" s="169">
        <f>D65-(F65*G65)</f>
        <v>24504</v>
      </c>
      <c r="I65" s="170">
        <v>1.746</v>
      </c>
      <c r="J65" s="171">
        <f t="shared" si="17"/>
        <v>52380</v>
      </c>
      <c r="K65" s="171">
        <f t="shared" si="18"/>
        <v>42783.984</v>
      </c>
      <c r="L65" s="171"/>
      <c r="M65" s="163"/>
      <c r="N65" s="162"/>
    </row>
    <row r="66" s="148" customFormat="1" ht="32" customHeight="1" spans="1:14">
      <c r="A66" s="172"/>
      <c r="B66" s="172"/>
      <c r="C66" s="162" t="s">
        <v>751</v>
      </c>
      <c r="D66" s="167">
        <f>20000</f>
        <v>20000</v>
      </c>
      <c r="E66" s="168" t="s">
        <v>814</v>
      </c>
      <c r="F66" s="167">
        <f>504+2100+384+1200+522+120+162+504</f>
        <v>5496</v>
      </c>
      <c r="G66" s="167">
        <v>1</v>
      </c>
      <c r="H66" s="169">
        <f>D66-(F66*G66)</f>
        <v>14504</v>
      </c>
      <c r="I66" s="170">
        <v>0.0457</v>
      </c>
      <c r="J66" s="171">
        <f t="shared" si="17"/>
        <v>914</v>
      </c>
      <c r="K66" s="171">
        <f t="shared" si="18"/>
        <v>662.8328</v>
      </c>
      <c r="L66" s="171" t="s">
        <v>739</v>
      </c>
      <c r="M66" s="163"/>
      <c r="N66" s="162"/>
    </row>
    <row r="67" s="148" customFormat="1" ht="32" customHeight="1" spans="1:14">
      <c r="A67" s="172"/>
      <c r="B67" s="172"/>
      <c r="C67" s="162" t="s">
        <v>741</v>
      </c>
      <c r="D67" s="167">
        <v>1000</v>
      </c>
      <c r="E67" s="168" t="s">
        <v>815</v>
      </c>
      <c r="F67" s="167">
        <f>2100+384+1200+504+522+120+162+504</f>
        <v>5496</v>
      </c>
      <c r="G67" s="167">
        <v>6</v>
      </c>
      <c r="H67" s="169">
        <f>D67-(F67/G67)</f>
        <v>84</v>
      </c>
      <c r="I67" s="170">
        <v>0.667</v>
      </c>
      <c r="J67" s="171">
        <f t="shared" si="17"/>
        <v>667</v>
      </c>
      <c r="K67" s="171">
        <f t="shared" si="18"/>
        <v>56.028</v>
      </c>
      <c r="L67" s="171" t="s">
        <v>739</v>
      </c>
      <c r="M67" s="163"/>
      <c r="N67" s="162"/>
    </row>
    <row r="68" s="148" customFormat="1" ht="32" customHeight="1" spans="1:14">
      <c r="A68" s="172"/>
      <c r="B68" s="172"/>
      <c r="C68" s="5" t="s">
        <v>816</v>
      </c>
      <c r="D68" s="167">
        <v>5000</v>
      </c>
      <c r="E68" s="168" t="s">
        <v>817</v>
      </c>
      <c r="F68" s="167">
        <f>2100+384+1200+522+120+162+504+504</f>
        <v>5496</v>
      </c>
      <c r="G68" s="167">
        <v>1</v>
      </c>
      <c r="H68" s="169">
        <f>D68-(F68*G68)</f>
        <v>-496</v>
      </c>
      <c r="I68" s="170">
        <v>0.0457</v>
      </c>
      <c r="J68" s="171">
        <f t="shared" si="17"/>
        <v>228.5</v>
      </c>
      <c r="K68" s="171">
        <f t="shared" si="18"/>
        <v>-22.6672</v>
      </c>
      <c r="L68" s="171" t="s">
        <v>739</v>
      </c>
      <c r="M68" s="163"/>
      <c r="N68" s="162"/>
    </row>
    <row r="69" s="148" customFormat="1" ht="32" customHeight="1" spans="1:14">
      <c r="A69" s="172"/>
      <c r="B69" s="172"/>
      <c r="C69" s="5" t="s">
        <v>799</v>
      </c>
      <c r="D69" s="167">
        <v>5000</v>
      </c>
      <c r="E69" s="168" t="s">
        <v>817</v>
      </c>
      <c r="F69" s="167">
        <f>2100+384+1200+522+120+162+504+504</f>
        <v>5496</v>
      </c>
      <c r="G69" s="167">
        <v>1</v>
      </c>
      <c r="H69" s="169">
        <f>D69-(F69*G69)</f>
        <v>-496</v>
      </c>
      <c r="I69" s="170">
        <v>0.0457</v>
      </c>
      <c r="J69" s="171">
        <f t="shared" si="17"/>
        <v>228.5</v>
      </c>
      <c r="K69" s="171">
        <f t="shared" si="18"/>
        <v>-22.6672</v>
      </c>
      <c r="L69" s="171" t="s">
        <v>739</v>
      </c>
      <c r="M69" s="163"/>
      <c r="N69" s="162"/>
    </row>
    <row r="70" s="148" customFormat="1" ht="32" customHeight="1" spans="1:14">
      <c r="A70" s="165" t="s">
        <v>818</v>
      </c>
      <c r="B70" s="165" t="s">
        <v>339</v>
      </c>
      <c r="C70" s="5" t="s">
        <v>819</v>
      </c>
      <c r="D70" s="167">
        <f>30000</f>
        <v>30000</v>
      </c>
      <c r="E70" s="168" t="s">
        <v>820</v>
      </c>
      <c r="F70" s="167">
        <f>2004+1200</f>
        <v>3204</v>
      </c>
      <c r="G70" s="167">
        <v>1</v>
      </c>
      <c r="H70" s="169">
        <f>D70-(F70*G70)</f>
        <v>26796</v>
      </c>
      <c r="I70" s="170">
        <v>1.677</v>
      </c>
      <c r="J70" s="171">
        <f t="shared" ref="J70:J89" si="21">D70*I70</f>
        <v>50310</v>
      </c>
      <c r="K70" s="171">
        <f t="shared" ref="K70:K89" si="22">H70*I70</f>
        <v>44936.892</v>
      </c>
      <c r="L70" s="171"/>
      <c r="M70" s="163"/>
      <c r="N70" s="162"/>
    </row>
    <row r="71" s="149" customFormat="1" ht="32" customHeight="1" spans="1:14">
      <c r="A71" s="172"/>
      <c r="B71" s="172"/>
      <c r="C71" s="162" t="s">
        <v>741</v>
      </c>
      <c r="D71" s="167">
        <v>1000</v>
      </c>
      <c r="E71" s="168" t="s">
        <v>821</v>
      </c>
      <c r="F71" s="167">
        <f>2004</f>
        <v>2004</v>
      </c>
      <c r="G71" s="167">
        <v>6</v>
      </c>
      <c r="H71" s="169">
        <f>D71-(F71/G71)</f>
        <v>666</v>
      </c>
      <c r="I71" s="170">
        <v>0.667</v>
      </c>
      <c r="J71" s="171">
        <f t="shared" si="21"/>
        <v>667</v>
      </c>
      <c r="K71" s="171">
        <f t="shared" si="22"/>
        <v>444.222</v>
      </c>
      <c r="L71" s="171" t="s">
        <v>739</v>
      </c>
      <c r="M71" s="163"/>
      <c r="N71" s="162"/>
    </row>
    <row r="72" s="149" customFormat="1" ht="32" customHeight="1" spans="1:14">
      <c r="A72" s="172"/>
      <c r="B72" s="172"/>
      <c r="C72" s="5" t="s">
        <v>816</v>
      </c>
      <c r="D72" s="167">
        <v>5000</v>
      </c>
      <c r="E72" s="168" t="s">
        <v>769</v>
      </c>
      <c r="F72" s="167">
        <f>2004+1200</f>
        <v>3204</v>
      </c>
      <c r="G72" s="167">
        <v>1</v>
      </c>
      <c r="H72" s="169">
        <f>D72-(F72*G72)</f>
        <v>1796</v>
      </c>
      <c r="I72" s="170">
        <v>0.0457</v>
      </c>
      <c r="J72" s="171">
        <f t="shared" si="21"/>
        <v>228.5</v>
      </c>
      <c r="K72" s="171">
        <f t="shared" si="22"/>
        <v>82.0772</v>
      </c>
      <c r="L72" s="171" t="s">
        <v>739</v>
      </c>
      <c r="M72" s="163"/>
      <c r="N72" s="162"/>
    </row>
    <row r="73" s="149" customFormat="1" ht="32" customHeight="1" spans="1:14">
      <c r="A73" s="172"/>
      <c r="B73" s="172"/>
      <c r="C73" s="5" t="s">
        <v>799</v>
      </c>
      <c r="D73" s="167">
        <v>5000</v>
      </c>
      <c r="E73" s="168" t="s">
        <v>769</v>
      </c>
      <c r="F73" s="167">
        <f>2004+1200</f>
        <v>3204</v>
      </c>
      <c r="G73" s="167">
        <v>1</v>
      </c>
      <c r="H73" s="169">
        <f>D73-(F73*G73)</f>
        <v>1796</v>
      </c>
      <c r="I73" s="170">
        <v>0.0457</v>
      </c>
      <c r="J73" s="171">
        <f t="shared" si="21"/>
        <v>228.5</v>
      </c>
      <c r="K73" s="171">
        <f t="shared" si="22"/>
        <v>82.0772</v>
      </c>
      <c r="L73" s="171" t="s">
        <v>802</v>
      </c>
      <c r="M73" s="163"/>
      <c r="N73" s="162"/>
    </row>
    <row r="74" s="149" customFormat="1" ht="32" customHeight="1" spans="1:14">
      <c r="A74" s="172"/>
      <c r="B74" s="172"/>
      <c r="C74" s="5" t="s">
        <v>740</v>
      </c>
      <c r="D74" s="167">
        <v>5000</v>
      </c>
      <c r="E74" s="168" t="s">
        <v>769</v>
      </c>
      <c r="F74" s="167">
        <f>2004+1200</f>
        <v>3204</v>
      </c>
      <c r="G74" s="167">
        <v>1</v>
      </c>
      <c r="H74" s="169">
        <f t="shared" ref="H74:H81" si="23">D74-(F74*G74)</f>
        <v>1796</v>
      </c>
      <c r="I74" s="170">
        <v>0.0457</v>
      </c>
      <c r="J74" s="171">
        <f t="shared" si="21"/>
        <v>228.5</v>
      </c>
      <c r="K74" s="171">
        <f t="shared" si="22"/>
        <v>82.0772</v>
      </c>
      <c r="L74" s="171" t="s">
        <v>739</v>
      </c>
      <c r="M74" s="163"/>
      <c r="N74" s="162"/>
    </row>
    <row r="75" s="149" customFormat="1" ht="32" customHeight="1" spans="1:14">
      <c r="A75" s="172"/>
      <c r="B75" s="172"/>
      <c r="C75" s="5" t="s">
        <v>822</v>
      </c>
      <c r="D75" s="167">
        <v>20000</v>
      </c>
      <c r="E75" s="168" t="s">
        <v>823</v>
      </c>
      <c r="F75" s="167">
        <f>668+668+400+400</f>
        <v>2136</v>
      </c>
      <c r="G75" s="167">
        <v>1</v>
      </c>
      <c r="H75" s="169">
        <f t="shared" si="23"/>
        <v>17864</v>
      </c>
      <c r="I75" s="170">
        <v>0.0709677419354839</v>
      </c>
      <c r="J75" s="171">
        <f t="shared" si="21"/>
        <v>1419.35483870968</v>
      </c>
      <c r="K75" s="171">
        <f t="shared" si="22"/>
        <v>1267.76774193548</v>
      </c>
      <c r="L75" s="171" t="s">
        <v>739</v>
      </c>
      <c r="M75" s="163" t="s">
        <v>824</v>
      </c>
      <c r="N75" s="162"/>
    </row>
    <row r="76" s="149" customFormat="1" ht="32" customHeight="1" spans="1:14">
      <c r="A76" s="172"/>
      <c r="B76" s="172"/>
      <c r="C76" s="5" t="s">
        <v>825</v>
      </c>
      <c r="D76" s="167">
        <v>20000</v>
      </c>
      <c r="E76" s="168" t="s">
        <v>823</v>
      </c>
      <c r="F76" s="167">
        <f>400+334+334</f>
        <v>1068</v>
      </c>
      <c r="G76" s="167">
        <v>1</v>
      </c>
      <c r="H76" s="169">
        <f t="shared" si="23"/>
        <v>18932</v>
      </c>
      <c r="I76" s="170">
        <v>0.0709677419354839</v>
      </c>
      <c r="J76" s="171">
        <f t="shared" si="21"/>
        <v>1419.35483870968</v>
      </c>
      <c r="K76" s="171">
        <f t="shared" si="22"/>
        <v>1343.56129032258</v>
      </c>
      <c r="L76" s="171" t="s">
        <v>739</v>
      </c>
      <c r="M76" s="163" t="s">
        <v>826</v>
      </c>
      <c r="N76" s="162"/>
    </row>
    <row r="77" s="148" customFormat="1" ht="32" customHeight="1" spans="1:14">
      <c r="A77" s="165" t="s">
        <v>827</v>
      </c>
      <c r="B77" s="180" t="s">
        <v>325</v>
      </c>
      <c r="C77" s="5" t="s">
        <v>819</v>
      </c>
      <c r="D77" s="167">
        <f>30000+30000</f>
        <v>60000</v>
      </c>
      <c r="E77" s="168" t="s">
        <v>828</v>
      </c>
      <c r="F77" s="167">
        <f>16608+2004+2400+8154+360+7002+6600</f>
        <v>43128</v>
      </c>
      <c r="G77" s="167">
        <v>1</v>
      </c>
      <c r="H77" s="169">
        <f t="shared" si="23"/>
        <v>16872</v>
      </c>
      <c r="I77" s="170">
        <v>0.864</v>
      </c>
      <c r="J77" s="171">
        <f t="shared" si="21"/>
        <v>51840</v>
      </c>
      <c r="K77" s="171">
        <f t="shared" si="22"/>
        <v>14577.408</v>
      </c>
      <c r="L77" s="171"/>
      <c r="M77" s="163"/>
      <c r="N77" s="162"/>
    </row>
    <row r="78" s="148" customFormat="1" ht="32" customHeight="1" spans="1:14">
      <c r="A78" s="172"/>
      <c r="B78" s="172"/>
      <c r="C78" s="162" t="s">
        <v>741</v>
      </c>
      <c r="D78" s="167">
        <v>1000</v>
      </c>
      <c r="E78" s="168" t="s">
        <v>821</v>
      </c>
      <c r="F78" s="167">
        <f>2004</f>
        <v>2004</v>
      </c>
      <c r="G78" s="167">
        <v>6</v>
      </c>
      <c r="H78" s="169">
        <f>D78-(F78/G78)</f>
        <v>666</v>
      </c>
      <c r="I78" s="170">
        <v>0.667</v>
      </c>
      <c r="J78" s="171">
        <f t="shared" si="21"/>
        <v>667</v>
      </c>
      <c r="K78" s="171">
        <f t="shared" si="22"/>
        <v>444.222</v>
      </c>
      <c r="L78" s="171" t="s">
        <v>739</v>
      </c>
      <c r="M78" s="163"/>
      <c r="N78" s="162"/>
    </row>
    <row r="79" s="148" customFormat="1" ht="32" customHeight="1" spans="1:14">
      <c r="A79" s="172"/>
      <c r="B79" s="172"/>
      <c r="C79" s="5" t="s">
        <v>816</v>
      </c>
      <c r="D79" s="167">
        <v>5000</v>
      </c>
      <c r="E79" s="168" t="s">
        <v>769</v>
      </c>
      <c r="F79" s="167">
        <f>2004+1200</f>
        <v>3204</v>
      </c>
      <c r="G79" s="167">
        <v>1</v>
      </c>
      <c r="H79" s="169">
        <f t="shared" si="23"/>
        <v>1796</v>
      </c>
      <c r="I79" s="170">
        <v>0.0457</v>
      </c>
      <c r="J79" s="171">
        <f t="shared" si="21"/>
        <v>228.5</v>
      </c>
      <c r="K79" s="171">
        <f t="shared" si="22"/>
        <v>82.0772</v>
      </c>
      <c r="L79" s="171" t="s">
        <v>739</v>
      </c>
      <c r="M79" s="163"/>
      <c r="N79" s="162"/>
    </row>
    <row r="80" s="148" customFormat="1" ht="32" customHeight="1" spans="1:14">
      <c r="A80" s="172"/>
      <c r="B80" s="172"/>
      <c r="C80" s="5" t="s">
        <v>799</v>
      </c>
      <c r="D80" s="167">
        <v>5000</v>
      </c>
      <c r="E80" s="168" t="s">
        <v>769</v>
      </c>
      <c r="F80" s="167">
        <f>2004+1200</f>
        <v>3204</v>
      </c>
      <c r="G80" s="167">
        <v>1</v>
      </c>
      <c r="H80" s="169">
        <f t="shared" si="23"/>
        <v>1796</v>
      </c>
      <c r="I80" s="170">
        <v>0.0457</v>
      </c>
      <c r="J80" s="171">
        <f t="shared" si="21"/>
        <v>228.5</v>
      </c>
      <c r="K80" s="171">
        <f t="shared" si="22"/>
        <v>82.0772</v>
      </c>
      <c r="L80" s="171" t="s">
        <v>802</v>
      </c>
      <c r="M80" s="163"/>
      <c r="N80" s="162"/>
    </row>
    <row r="81" s="148" customFormat="1" ht="32" customHeight="1" spans="1:14">
      <c r="A81" s="172"/>
      <c r="B81" s="172"/>
      <c r="C81" s="5" t="s">
        <v>740</v>
      </c>
      <c r="D81" s="167">
        <v>5000</v>
      </c>
      <c r="E81" s="168" t="s">
        <v>769</v>
      </c>
      <c r="F81" s="167">
        <f>2004+1200</f>
        <v>3204</v>
      </c>
      <c r="G81" s="167">
        <v>1</v>
      </c>
      <c r="H81" s="169">
        <f t="shared" si="23"/>
        <v>1796</v>
      </c>
      <c r="I81" s="170">
        <v>0.0457</v>
      </c>
      <c r="J81" s="171">
        <f t="shared" si="21"/>
        <v>228.5</v>
      </c>
      <c r="K81" s="171">
        <f t="shared" si="22"/>
        <v>82.0772</v>
      </c>
      <c r="L81" s="171" t="s">
        <v>739</v>
      </c>
      <c r="M81" s="163"/>
      <c r="N81" s="162"/>
    </row>
    <row r="82" s="148" customFormat="1" ht="32" customHeight="1" spans="1:14">
      <c r="A82" s="172"/>
      <c r="B82" s="172"/>
      <c r="C82" s="5" t="s">
        <v>822</v>
      </c>
      <c r="D82" s="167">
        <v>20000</v>
      </c>
      <c r="E82" s="168" t="s">
        <v>823</v>
      </c>
      <c r="F82" s="167">
        <v>6002</v>
      </c>
      <c r="G82" s="167">
        <v>1</v>
      </c>
      <c r="H82" s="169">
        <f t="shared" ref="H82:H89" si="24">D82-(F82*G82)</f>
        <v>13998</v>
      </c>
      <c r="I82" s="170">
        <v>0.0709677419354839</v>
      </c>
      <c r="J82" s="171">
        <f t="shared" si="21"/>
        <v>1419.35483870968</v>
      </c>
      <c r="K82" s="171">
        <f t="shared" si="22"/>
        <v>993.406451612904</v>
      </c>
      <c r="L82" s="171" t="s">
        <v>739</v>
      </c>
      <c r="M82" s="163" t="s">
        <v>824</v>
      </c>
      <c r="N82" s="162"/>
    </row>
    <row r="83" s="149" customFormat="1" ht="32" customHeight="1" spans="1:14">
      <c r="A83" s="181"/>
      <c r="B83" s="172"/>
      <c r="C83" s="5" t="s">
        <v>825</v>
      </c>
      <c r="D83" s="167">
        <v>20000</v>
      </c>
      <c r="E83" s="168" t="s">
        <v>823</v>
      </c>
      <c r="F83" s="167">
        <v>10804</v>
      </c>
      <c r="G83" s="167">
        <v>1</v>
      </c>
      <c r="H83" s="169">
        <f t="shared" si="24"/>
        <v>9196</v>
      </c>
      <c r="I83" s="170">
        <v>0.0709677419354839</v>
      </c>
      <c r="J83" s="171">
        <f t="shared" si="21"/>
        <v>1419.35483870968</v>
      </c>
      <c r="K83" s="171">
        <f t="shared" si="22"/>
        <v>652.61935483871</v>
      </c>
      <c r="L83" s="171" t="s">
        <v>739</v>
      </c>
      <c r="M83" s="163" t="s">
        <v>826</v>
      </c>
      <c r="N83" s="162"/>
    </row>
    <row r="84" s="149" customFormat="1" ht="32" customHeight="1" spans="1:14">
      <c r="A84" s="161" t="s">
        <v>829</v>
      </c>
      <c r="B84" s="161" t="s">
        <v>260</v>
      </c>
      <c r="C84" s="5" t="s">
        <v>741</v>
      </c>
      <c r="D84" s="167">
        <v>1000</v>
      </c>
      <c r="E84" s="168" t="s">
        <v>830</v>
      </c>
      <c r="F84" s="167">
        <f>2400</f>
        <v>2400</v>
      </c>
      <c r="G84" s="167">
        <v>6</v>
      </c>
      <c r="H84" s="169">
        <f>D84-(F84/G84)</f>
        <v>600</v>
      </c>
      <c r="I84" s="170">
        <v>0.0709677419354839</v>
      </c>
      <c r="J84" s="171">
        <f t="shared" si="21"/>
        <v>70.9677419354839</v>
      </c>
      <c r="K84" s="171">
        <f t="shared" si="22"/>
        <v>42.5806451612903</v>
      </c>
      <c r="L84" s="171" t="s">
        <v>739</v>
      </c>
      <c r="M84" s="163"/>
      <c r="N84" s="162"/>
    </row>
    <row r="85" s="148" customFormat="1" ht="32" customHeight="1" spans="1:14">
      <c r="A85" s="165" t="s">
        <v>831</v>
      </c>
      <c r="B85" s="182" t="s">
        <v>832</v>
      </c>
      <c r="C85" s="162" t="s">
        <v>833</v>
      </c>
      <c r="D85" s="167">
        <f>10000+10000</f>
        <v>20000</v>
      </c>
      <c r="E85" s="168" t="s">
        <v>834</v>
      </c>
      <c r="F85" s="167">
        <f>2730+906+1200+1200+306</f>
        <v>6342</v>
      </c>
      <c r="G85" s="167">
        <v>1</v>
      </c>
      <c r="H85" s="169">
        <f t="shared" si="24"/>
        <v>13658</v>
      </c>
      <c r="I85" s="170">
        <v>2.002</v>
      </c>
      <c r="J85" s="171">
        <f t="shared" si="21"/>
        <v>40040</v>
      </c>
      <c r="K85" s="171">
        <f t="shared" si="22"/>
        <v>27343.316</v>
      </c>
      <c r="L85" s="171"/>
      <c r="M85" s="163" t="s">
        <v>835</v>
      </c>
      <c r="N85" s="162"/>
    </row>
    <row r="86" s="148" customFormat="1" ht="32" customHeight="1" spans="1:14">
      <c r="A86" s="172"/>
      <c r="B86" s="183"/>
      <c r="C86" s="162" t="s">
        <v>836</v>
      </c>
      <c r="D86" s="167">
        <f t="shared" ref="D86:D89" si="25">5000</f>
        <v>5000</v>
      </c>
      <c r="E86" s="168" t="s">
        <v>837</v>
      </c>
      <c r="F86" s="167">
        <f>2730+906+1200</f>
        <v>4836</v>
      </c>
      <c r="G86" s="167">
        <v>1</v>
      </c>
      <c r="H86" s="169">
        <f t="shared" si="24"/>
        <v>164</v>
      </c>
      <c r="I86" s="170">
        <v>0.354</v>
      </c>
      <c r="J86" s="171">
        <f t="shared" si="21"/>
        <v>1770</v>
      </c>
      <c r="K86" s="171">
        <f t="shared" si="22"/>
        <v>58.056</v>
      </c>
      <c r="L86" s="171"/>
      <c r="M86" s="163"/>
      <c r="N86" s="162"/>
    </row>
    <row r="87" s="148" customFormat="1" ht="32" customHeight="1" spans="1:14">
      <c r="A87" s="172"/>
      <c r="B87" s="183"/>
      <c r="C87" s="162" t="s">
        <v>836</v>
      </c>
      <c r="D87" s="167">
        <f t="shared" si="25"/>
        <v>5000</v>
      </c>
      <c r="E87" s="168" t="s">
        <v>838</v>
      </c>
      <c r="F87" s="167">
        <f>1200+306</f>
        <v>1506</v>
      </c>
      <c r="G87" s="167">
        <v>1</v>
      </c>
      <c r="H87" s="169">
        <f t="shared" si="24"/>
        <v>3494</v>
      </c>
      <c r="I87" s="170">
        <v>0.354</v>
      </c>
      <c r="J87" s="171">
        <f t="shared" si="21"/>
        <v>1770</v>
      </c>
      <c r="K87" s="171">
        <f t="shared" si="22"/>
        <v>1236.876</v>
      </c>
      <c r="L87" s="171"/>
      <c r="M87" s="163"/>
      <c r="N87" s="162"/>
    </row>
    <row r="88" s="148" customFormat="1" ht="32" customHeight="1" spans="1:14">
      <c r="A88" s="172"/>
      <c r="B88" s="183"/>
      <c r="C88" s="162" t="s">
        <v>775</v>
      </c>
      <c r="D88" s="167">
        <f t="shared" si="25"/>
        <v>5000</v>
      </c>
      <c r="E88" s="168" t="s">
        <v>839</v>
      </c>
      <c r="F88" s="167">
        <f>306</f>
        <v>306</v>
      </c>
      <c r="G88" s="167">
        <v>1</v>
      </c>
      <c r="H88" s="169">
        <f t="shared" si="24"/>
        <v>4694</v>
      </c>
      <c r="I88" s="170">
        <v>0.075</v>
      </c>
      <c r="J88" s="171">
        <f t="shared" si="21"/>
        <v>375</v>
      </c>
      <c r="K88" s="171">
        <f t="shared" si="22"/>
        <v>352.05</v>
      </c>
      <c r="L88" s="171" t="s">
        <v>739</v>
      </c>
      <c r="M88" s="163"/>
      <c r="N88" s="162"/>
    </row>
    <row r="89" s="148" customFormat="1" ht="32" customHeight="1" spans="1:14">
      <c r="A89" s="172"/>
      <c r="B89" s="183"/>
      <c r="C89" s="162" t="s">
        <v>737</v>
      </c>
      <c r="D89" s="167">
        <f t="shared" si="25"/>
        <v>5000</v>
      </c>
      <c r="E89" s="168" t="s">
        <v>839</v>
      </c>
      <c r="F89" s="167">
        <f>306</f>
        <v>306</v>
      </c>
      <c r="G89" s="167">
        <v>1</v>
      </c>
      <c r="H89" s="169">
        <f t="shared" si="24"/>
        <v>4694</v>
      </c>
      <c r="I89" s="170">
        <v>0.046</v>
      </c>
      <c r="J89" s="171">
        <f t="shared" si="21"/>
        <v>230</v>
      </c>
      <c r="K89" s="171">
        <f t="shared" si="22"/>
        <v>215.924</v>
      </c>
      <c r="L89" s="171" t="s">
        <v>739</v>
      </c>
      <c r="M89" s="163"/>
      <c r="N89" s="162"/>
    </row>
    <row r="90" s="148" customFormat="1" ht="32" customHeight="1" spans="1:14">
      <c r="A90" s="165" t="s">
        <v>840</v>
      </c>
      <c r="B90" s="182" t="s">
        <v>841</v>
      </c>
      <c r="C90" s="184" t="s">
        <v>842</v>
      </c>
      <c r="D90" s="167">
        <f>10000</f>
        <v>10000</v>
      </c>
      <c r="E90" s="168" t="s">
        <v>843</v>
      </c>
      <c r="F90" s="167">
        <f>1200+600+1782</f>
        <v>3582</v>
      </c>
      <c r="G90" s="167">
        <v>1</v>
      </c>
      <c r="H90" s="169">
        <f t="shared" ref="H90:H92" si="26">D90-(F90*G90)</f>
        <v>6418</v>
      </c>
      <c r="I90" s="170">
        <v>2.184</v>
      </c>
      <c r="J90" s="171">
        <f t="shared" ref="J90:J105" si="27">D90*I90</f>
        <v>21840</v>
      </c>
      <c r="K90" s="171">
        <f t="shared" ref="K90:K105" si="28">H90*I90</f>
        <v>14016.912</v>
      </c>
      <c r="L90" s="171"/>
      <c r="M90" s="163"/>
      <c r="N90" s="162"/>
    </row>
    <row r="91" s="148" customFormat="1" ht="32" customHeight="1" spans="1:14">
      <c r="A91" s="172"/>
      <c r="B91" s="183"/>
      <c r="C91" s="162" t="s">
        <v>836</v>
      </c>
      <c r="D91" s="167">
        <f>10000</f>
        <v>10000</v>
      </c>
      <c r="E91" s="168" t="s">
        <v>843</v>
      </c>
      <c r="F91" s="167">
        <f>1200+600+1782</f>
        <v>3582</v>
      </c>
      <c r="G91" s="167">
        <v>1</v>
      </c>
      <c r="H91" s="169">
        <f t="shared" si="26"/>
        <v>6418</v>
      </c>
      <c r="I91" s="185">
        <v>0.354</v>
      </c>
      <c r="J91" s="171">
        <f t="shared" si="27"/>
        <v>3540</v>
      </c>
      <c r="K91" s="171">
        <f t="shared" si="28"/>
        <v>2271.972</v>
      </c>
      <c r="L91" s="171"/>
      <c r="M91" s="163"/>
      <c r="N91" s="162"/>
    </row>
    <row r="92" s="148" customFormat="1" ht="32" customHeight="1" spans="1:14">
      <c r="A92" s="172"/>
      <c r="B92" s="183"/>
      <c r="C92" s="162" t="s">
        <v>737</v>
      </c>
      <c r="D92" s="167">
        <v>10000</v>
      </c>
      <c r="E92" s="168" t="s">
        <v>843</v>
      </c>
      <c r="F92" s="167">
        <f>600+1200+1782</f>
        <v>3582</v>
      </c>
      <c r="G92" s="167">
        <v>1</v>
      </c>
      <c r="H92" s="169">
        <f t="shared" si="26"/>
        <v>6418</v>
      </c>
      <c r="I92" s="170">
        <v>0.04</v>
      </c>
      <c r="J92" s="171">
        <f t="shared" si="27"/>
        <v>400</v>
      </c>
      <c r="K92" s="171">
        <f t="shared" si="28"/>
        <v>256.72</v>
      </c>
      <c r="L92" s="171" t="s">
        <v>739</v>
      </c>
      <c r="M92" s="163"/>
      <c r="N92" s="162"/>
    </row>
    <row r="93" s="148" customFormat="1" ht="32" customHeight="1" spans="1:14">
      <c r="A93" s="172"/>
      <c r="B93" s="183"/>
      <c r="C93" s="162" t="s">
        <v>741</v>
      </c>
      <c r="D93" s="167">
        <f>5000</f>
        <v>5000</v>
      </c>
      <c r="E93" s="168" t="s">
        <v>844</v>
      </c>
      <c r="F93" s="167">
        <f>1782</f>
        <v>1782</v>
      </c>
      <c r="G93" s="167">
        <v>6</v>
      </c>
      <c r="H93" s="169">
        <f>D93-(F93/G93)</f>
        <v>4703</v>
      </c>
      <c r="I93" s="170">
        <v>0.04</v>
      </c>
      <c r="J93" s="171">
        <f t="shared" si="27"/>
        <v>200</v>
      </c>
      <c r="K93" s="171">
        <f t="shared" si="28"/>
        <v>188.12</v>
      </c>
      <c r="L93" s="171" t="s">
        <v>739</v>
      </c>
      <c r="M93" s="163"/>
      <c r="N93" s="162"/>
    </row>
    <row r="94" s="148" customFormat="1" ht="32" customHeight="1" spans="1:14">
      <c r="A94" s="165" t="s">
        <v>845</v>
      </c>
      <c r="B94" s="186" t="s">
        <v>846</v>
      </c>
      <c r="C94" s="184" t="s">
        <v>833</v>
      </c>
      <c r="D94" s="167">
        <f>30000+5000</f>
        <v>35000</v>
      </c>
      <c r="E94" s="168" t="s">
        <v>847</v>
      </c>
      <c r="F94" s="167">
        <f>4998+84+1368+804+300+2400+4500+168+636+3852+2196+(660+144+714+3996+48+756+90+804)/2</f>
        <v>24912</v>
      </c>
      <c r="G94" s="167">
        <v>1</v>
      </c>
      <c r="H94" s="169">
        <f>D94-(F94*G94)</f>
        <v>10088</v>
      </c>
      <c r="I94" s="185">
        <v>2.331</v>
      </c>
      <c r="J94" s="171">
        <f t="shared" si="27"/>
        <v>81585</v>
      </c>
      <c r="K94" s="171">
        <f t="shared" si="28"/>
        <v>23515.128</v>
      </c>
      <c r="L94" s="171"/>
      <c r="M94" s="176" t="s">
        <v>848</v>
      </c>
      <c r="N94" s="162"/>
    </row>
    <row r="95" s="148" customFormat="1" ht="32" customHeight="1" spans="1:14">
      <c r="A95" s="172"/>
      <c r="B95" s="187"/>
      <c r="C95" s="162" t="s">
        <v>836</v>
      </c>
      <c r="D95" s="167">
        <f>19110+3000+2802</f>
        <v>24912</v>
      </c>
      <c r="E95" s="168" t="s">
        <v>849</v>
      </c>
      <c r="F95" s="167">
        <f>4998+84+1368+804+300+2400+4500+168+636+3852+2196+(660+144+714+3996+48+756+90+804)/2</f>
        <v>24912</v>
      </c>
      <c r="G95" s="167">
        <v>1</v>
      </c>
      <c r="H95" s="169">
        <f>D95-(F95*G95)</f>
        <v>0</v>
      </c>
      <c r="I95" s="185">
        <v>0.34</v>
      </c>
      <c r="J95" s="171">
        <f t="shared" si="27"/>
        <v>8470.08</v>
      </c>
      <c r="K95" s="171">
        <f t="shared" si="28"/>
        <v>0</v>
      </c>
      <c r="L95" s="171"/>
      <c r="M95" s="163"/>
      <c r="N95" s="162"/>
    </row>
    <row r="96" s="148" customFormat="1" ht="32" customHeight="1" spans="1:14">
      <c r="A96" s="172"/>
      <c r="B96" s="187"/>
      <c r="C96" s="162" t="s">
        <v>741</v>
      </c>
      <c r="D96" s="167">
        <f>5000</f>
        <v>5000</v>
      </c>
      <c r="E96" s="168" t="s">
        <v>850</v>
      </c>
      <c r="F96" s="167">
        <f>2196+3996+660+144+714+90+756+48+804</f>
        <v>9408</v>
      </c>
      <c r="G96" s="167">
        <v>6</v>
      </c>
      <c r="H96" s="169">
        <f>D96-(F96/G96)</f>
        <v>3432</v>
      </c>
      <c r="I96" s="170">
        <v>0.667</v>
      </c>
      <c r="J96" s="171">
        <f t="shared" si="27"/>
        <v>3335</v>
      </c>
      <c r="K96" s="171">
        <f t="shared" si="28"/>
        <v>2289.144</v>
      </c>
      <c r="L96" s="171" t="s">
        <v>449</v>
      </c>
      <c r="M96" s="163" t="s">
        <v>851</v>
      </c>
      <c r="N96" s="162"/>
    </row>
    <row r="97" s="148" customFormat="1" ht="32" customHeight="1" spans="1:14">
      <c r="A97" s="165" t="s">
        <v>852</v>
      </c>
      <c r="B97" s="186" t="s">
        <v>853</v>
      </c>
      <c r="C97" s="184" t="s">
        <v>833</v>
      </c>
      <c r="D97" s="167">
        <f>4704+5000</f>
        <v>9704</v>
      </c>
      <c r="E97" s="168" t="s">
        <v>854</v>
      </c>
      <c r="F97" s="167">
        <f>(660+144+714+3996+48+756+90+804)/2</f>
        <v>3606</v>
      </c>
      <c r="G97" s="167">
        <v>1</v>
      </c>
      <c r="H97" s="169">
        <f>D97-(F97*G97)</f>
        <v>6098</v>
      </c>
      <c r="I97" s="185">
        <v>3.05</v>
      </c>
      <c r="J97" s="171">
        <f t="shared" si="27"/>
        <v>29597.2</v>
      </c>
      <c r="K97" s="171">
        <f t="shared" si="28"/>
        <v>18598.9</v>
      </c>
      <c r="L97" s="171"/>
      <c r="M97" s="163"/>
      <c r="N97" s="162"/>
    </row>
    <row r="98" s="148" customFormat="1" ht="32" customHeight="1" spans="1:14">
      <c r="A98" s="181"/>
      <c r="B98" s="188"/>
      <c r="C98" s="162" t="s">
        <v>836</v>
      </c>
      <c r="D98" s="167">
        <f>5000</f>
        <v>5000</v>
      </c>
      <c r="E98" s="168" t="s">
        <v>855</v>
      </c>
      <c r="F98" s="167">
        <f>(660+144+714+3996+48+756+90+804)/2</f>
        <v>3606</v>
      </c>
      <c r="G98" s="167">
        <v>1</v>
      </c>
      <c r="H98" s="169">
        <f>D98-(F98*G98)</f>
        <v>1394</v>
      </c>
      <c r="I98" s="185">
        <v>0.354</v>
      </c>
      <c r="J98" s="171">
        <f t="shared" si="27"/>
        <v>1770</v>
      </c>
      <c r="K98" s="171">
        <f t="shared" si="28"/>
        <v>493.476</v>
      </c>
      <c r="L98" s="171"/>
      <c r="M98" s="163"/>
      <c r="N98" s="162"/>
    </row>
    <row r="99" s="148" customFormat="1" ht="32" customHeight="1" spans="1:14">
      <c r="A99" s="165" t="s">
        <v>856</v>
      </c>
      <c r="B99" s="186" t="s">
        <v>857</v>
      </c>
      <c r="C99" s="162" t="s">
        <v>741</v>
      </c>
      <c r="D99" s="167">
        <v>1000</v>
      </c>
      <c r="E99" s="168" t="s">
        <v>858</v>
      </c>
      <c r="F99" s="169">
        <f>4452</f>
        <v>4452</v>
      </c>
      <c r="G99" s="167">
        <v>6</v>
      </c>
      <c r="H99" s="169">
        <f>D99-(F99/G99)</f>
        <v>258</v>
      </c>
      <c r="I99" s="189">
        <v>0.39741935483871</v>
      </c>
      <c r="J99" s="171">
        <f t="shared" si="27"/>
        <v>397.41935483871</v>
      </c>
      <c r="K99" s="171">
        <f t="shared" si="28"/>
        <v>102.534193548387</v>
      </c>
      <c r="L99" s="171" t="s">
        <v>739</v>
      </c>
      <c r="M99" s="163"/>
      <c r="N99" s="162"/>
    </row>
    <row r="100" s="148" customFormat="1" ht="32" customHeight="1" spans="1:14">
      <c r="A100" s="172"/>
      <c r="B100" s="183" t="s">
        <v>119</v>
      </c>
      <c r="C100" s="162" t="s">
        <v>737</v>
      </c>
      <c r="D100" s="167">
        <v>5000</v>
      </c>
      <c r="E100" s="168" t="s">
        <v>859</v>
      </c>
      <c r="F100" s="169">
        <f>1254+4920</f>
        <v>6174</v>
      </c>
      <c r="G100" s="167">
        <v>1</v>
      </c>
      <c r="H100" s="169">
        <f>D100-(F100*G100)</f>
        <v>-1174</v>
      </c>
      <c r="I100" s="190">
        <v>0.039741935483871</v>
      </c>
      <c r="J100" s="171">
        <f t="shared" si="27"/>
        <v>198.709677419355</v>
      </c>
      <c r="K100" s="171">
        <f t="shared" si="28"/>
        <v>-46.6570322580646</v>
      </c>
      <c r="L100" s="171" t="s">
        <v>739</v>
      </c>
      <c r="M100" s="163"/>
      <c r="N100" s="162"/>
    </row>
    <row r="101" s="148" customFormat="1" ht="32" customHeight="1" spans="1:14">
      <c r="A101" s="161" t="s">
        <v>860</v>
      </c>
      <c r="B101" s="176" t="s">
        <v>703</v>
      </c>
      <c r="C101" s="184" t="s">
        <v>833</v>
      </c>
      <c r="D101" s="167">
        <f>15000</f>
        <v>15000</v>
      </c>
      <c r="E101" s="168" t="s">
        <v>861</v>
      </c>
      <c r="F101" s="167">
        <f>(16*3*120)+1680+1254+306+1200+4116</f>
        <v>14316</v>
      </c>
      <c r="G101" s="167">
        <v>1</v>
      </c>
      <c r="H101" s="169">
        <f>D101-(F101*G101)</f>
        <v>684</v>
      </c>
      <c r="I101" s="185">
        <f>2.83-0.505</f>
        <v>2.325</v>
      </c>
      <c r="J101" s="171">
        <f t="shared" si="27"/>
        <v>34875</v>
      </c>
      <c r="K101" s="171">
        <f t="shared" si="28"/>
        <v>1590.3</v>
      </c>
      <c r="L101" s="171"/>
      <c r="M101" s="176" t="s">
        <v>862</v>
      </c>
      <c r="N101" s="162"/>
    </row>
    <row r="102" s="148" customFormat="1" ht="32" customHeight="1" spans="1:14">
      <c r="A102" s="161"/>
      <c r="B102" s="176"/>
      <c r="C102" s="184" t="s">
        <v>737</v>
      </c>
      <c r="D102" s="167">
        <f t="shared" ref="D102:D105" si="29">5000+5000</f>
        <v>10000</v>
      </c>
      <c r="E102" s="168" t="s">
        <v>863</v>
      </c>
      <c r="F102" s="167">
        <f>1680+1254+306</f>
        <v>3240</v>
      </c>
      <c r="G102" s="167">
        <v>1</v>
      </c>
      <c r="H102" s="169">
        <f>D102-(F102*G102)</f>
        <v>6760</v>
      </c>
      <c r="I102" s="185">
        <v>0.04</v>
      </c>
      <c r="J102" s="171">
        <f t="shared" si="27"/>
        <v>400</v>
      </c>
      <c r="K102" s="171">
        <f t="shared" si="28"/>
        <v>270.4</v>
      </c>
      <c r="L102" s="171" t="s">
        <v>739</v>
      </c>
      <c r="M102" s="176"/>
      <c r="N102" s="162"/>
    </row>
    <row r="103" s="148" customFormat="1" ht="32" customHeight="1" spans="1:14">
      <c r="A103" s="165" t="s">
        <v>864</v>
      </c>
      <c r="B103" s="165" t="s">
        <v>152</v>
      </c>
      <c r="C103" s="184" t="s">
        <v>833</v>
      </c>
      <c r="D103" s="167">
        <f>15000+15000</f>
        <v>30000</v>
      </c>
      <c r="E103" s="168" t="s">
        <v>865</v>
      </c>
      <c r="F103" s="167">
        <f>(16*3*120)+5004+2004+306+1002+600+2400+1254</f>
        <v>18330</v>
      </c>
      <c r="G103" s="167">
        <v>1</v>
      </c>
      <c r="H103" s="169">
        <f>D103-(F103*G103)</f>
        <v>11670</v>
      </c>
      <c r="I103" s="185">
        <f>2.66-0.505</f>
        <v>2.155</v>
      </c>
      <c r="J103" s="171">
        <f t="shared" si="27"/>
        <v>64650</v>
      </c>
      <c r="K103" s="171">
        <f t="shared" si="28"/>
        <v>25148.85</v>
      </c>
      <c r="L103" s="171"/>
      <c r="M103" s="176" t="s">
        <v>862</v>
      </c>
      <c r="N103" s="162"/>
    </row>
    <row r="104" s="148" customFormat="1" ht="32" customHeight="1" spans="1:14">
      <c r="A104" s="172"/>
      <c r="B104" s="172"/>
      <c r="C104" s="184" t="s">
        <v>737</v>
      </c>
      <c r="D104" s="167">
        <f t="shared" si="29"/>
        <v>10000</v>
      </c>
      <c r="E104" s="168" t="s">
        <v>866</v>
      </c>
      <c r="F104" s="167">
        <f>600+2400+1254+306+1002</f>
        <v>5562</v>
      </c>
      <c r="G104" s="167">
        <v>1</v>
      </c>
      <c r="H104" s="169">
        <f>D104-(F104*G104)</f>
        <v>4438</v>
      </c>
      <c r="I104" s="185">
        <v>0.04</v>
      </c>
      <c r="J104" s="171">
        <f t="shared" si="27"/>
        <v>400</v>
      </c>
      <c r="K104" s="171">
        <f t="shared" si="28"/>
        <v>177.52</v>
      </c>
      <c r="L104" s="171" t="s">
        <v>739</v>
      </c>
      <c r="M104" s="176"/>
      <c r="N104" s="162"/>
    </row>
    <row r="105" s="148" customFormat="1" ht="32" customHeight="1" spans="1:14">
      <c r="A105" s="172"/>
      <c r="B105" s="172"/>
      <c r="C105" s="184" t="s">
        <v>741</v>
      </c>
      <c r="D105" s="167">
        <v>1000</v>
      </c>
      <c r="E105" s="168" t="s">
        <v>867</v>
      </c>
      <c r="F105" s="167">
        <f>306+306+306+1002+108</f>
        <v>2028</v>
      </c>
      <c r="G105" s="167">
        <v>6</v>
      </c>
      <c r="H105" s="169">
        <f>D105-(F105/G105)</f>
        <v>662</v>
      </c>
      <c r="I105" s="185">
        <v>0.667</v>
      </c>
      <c r="J105" s="171">
        <f t="shared" si="27"/>
        <v>667</v>
      </c>
      <c r="K105" s="171">
        <f t="shared" si="28"/>
        <v>441.554</v>
      </c>
      <c r="L105" s="171" t="s">
        <v>739</v>
      </c>
      <c r="M105" s="176"/>
      <c r="N105" s="162"/>
    </row>
    <row r="106" s="148" customFormat="1" ht="32" customHeight="1" spans="1:14">
      <c r="A106" s="165" t="s">
        <v>868</v>
      </c>
      <c r="B106" s="163" t="s">
        <v>869</v>
      </c>
      <c r="C106" s="162" t="s">
        <v>741</v>
      </c>
      <c r="D106" s="167">
        <v>1000</v>
      </c>
      <c r="E106" s="168" t="s">
        <v>858</v>
      </c>
      <c r="F106" s="169">
        <v>0</v>
      </c>
      <c r="G106" s="167">
        <v>6</v>
      </c>
      <c r="H106" s="169">
        <f>D106-(F106/G106)</f>
        <v>1000</v>
      </c>
      <c r="I106" s="189">
        <v>0.39741935483871</v>
      </c>
      <c r="J106" s="171">
        <f t="shared" ref="J106:J112" si="30">D106*I106</f>
        <v>397.41935483871</v>
      </c>
      <c r="K106" s="171">
        <f t="shared" ref="K106:K112" si="31">H106*I106</f>
        <v>397.41935483871</v>
      </c>
      <c r="L106" s="171" t="s">
        <v>739</v>
      </c>
      <c r="M106" s="176"/>
      <c r="N106" s="162"/>
    </row>
    <row r="107" s="148" customFormat="1" ht="32" customHeight="1" spans="1:14">
      <c r="A107" s="181"/>
      <c r="B107" s="163" t="s">
        <v>258</v>
      </c>
      <c r="C107" s="162" t="s">
        <v>737</v>
      </c>
      <c r="D107" s="167">
        <v>5000</v>
      </c>
      <c r="E107" s="168" t="s">
        <v>859</v>
      </c>
      <c r="F107" s="169">
        <f>2400+1254+384</f>
        <v>4038</v>
      </c>
      <c r="G107" s="167">
        <v>1</v>
      </c>
      <c r="H107" s="169">
        <f t="shared" ref="H106:H112" si="32">D107-(F107*G107)</f>
        <v>962</v>
      </c>
      <c r="I107" s="190">
        <v>0.039741935483871</v>
      </c>
      <c r="J107" s="171">
        <f t="shared" si="30"/>
        <v>198.709677419355</v>
      </c>
      <c r="K107" s="171">
        <f t="shared" si="31"/>
        <v>38.2317419354839</v>
      </c>
      <c r="L107" s="171" t="s">
        <v>739</v>
      </c>
      <c r="M107" s="176"/>
      <c r="N107" s="162"/>
    </row>
    <row r="108" s="148" customFormat="1" ht="32" customHeight="1" spans="1:14">
      <c r="A108" s="165" t="s">
        <v>870</v>
      </c>
      <c r="B108" s="182" t="s">
        <v>871</v>
      </c>
      <c r="C108" s="184" t="s">
        <v>833</v>
      </c>
      <c r="D108" s="167">
        <f>15000</f>
        <v>15000</v>
      </c>
      <c r="E108" s="168" t="s">
        <v>861</v>
      </c>
      <c r="F108" s="167">
        <f>(16*3*120)+600</f>
        <v>6360</v>
      </c>
      <c r="G108" s="167">
        <v>1</v>
      </c>
      <c r="H108" s="169">
        <f t="shared" si="32"/>
        <v>8640</v>
      </c>
      <c r="I108" s="185">
        <f>2.744-0.505</f>
        <v>2.239</v>
      </c>
      <c r="J108" s="171">
        <f t="shared" si="30"/>
        <v>33585</v>
      </c>
      <c r="K108" s="171">
        <f t="shared" si="31"/>
        <v>19344.96</v>
      </c>
      <c r="L108" s="171"/>
      <c r="M108" s="176" t="s">
        <v>862</v>
      </c>
      <c r="N108" s="162"/>
    </row>
    <row r="109" s="148" customFormat="1" ht="32" customHeight="1" spans="1:14">
      <c r="A109" s="172"/>
      <c r="B109" s="183"/>
      <c r="C109" s="184" t="s">
        <v>737</v>
      </c>
      <c r="D109" s="167">
        <v>5000</v>
      </c>
      <c r="E109" s="168" t="s">
        <v>872</v>
      </c>
      <c r="F109" s="167">
        <f>600</f>
        <v>600</v>
      </c>
      <c r="G109" s="167">
        <v>1</v>
      </c>
      <c r="H109" s="169">
        <f t="shared" si="32"/>
        <v>4400</v>
      </c>
      <c r="I109" s="185">
        <v>0.04</v>
      </c>
      <c r="J109" s="171">
        <f t="shared" si="30"/>
        <v>200</v>
      </c>
      <c r="K109" s="171">
        <f t="shared" si="31"/>
        <v>176</v>
      </c>
      <c r="L109" s="171" t="s">
        <v>739</v>
      </c>
      <c r="M109" s="176"/>
      <c r="N109" s="162"/>
    </row>
    <row r="110" s="148" customFormat="1" ht="32" customHeight="1" spans="1:14">
      <c r="A110" s="165" t="s">
        <v>873</v>
      </c>
      <c r="B110" s="186" t="s">
        <v>874</v>
      </c>
      <c r="C110" s="184" t="s">
        <v>833</v>
      </c>
      <c r="D110" s="167">
        <f>15000</f>
        <v>15000</v>
      </c>
      <c r="E110" s="168" t="s">
        <v>861</v>
      </c>
      <c r="F110" s="167">
        <f>(16*3*160)</f>
        <v>7680</v>
      </c>
      <c r="G110" s="167">
        <v>1</v>
      </c>
      <c r="H110" s="169">
        <f t="shared" si="32"/>
        <v>7320</v>
      </c>
      <c r="I110" s="185">
        <f>2.833-0.505</f>
        <v>2.328</v>
      </c>
      <c r="J110" s="171">
        <f t="shared" si="30"/>
        <v>34920</v>
      </c>
      <c r="K110" s="171">
        <f t="shared" si="31"/>
        <v>17040.96</v>
      </c>
      <c r="L110" s="171"/>
      <c r="M110" s="176" t="s">
        <v>862</v>
      </c>
      <c r="N110" s="162"/>
    </row>
    <row r="111" s="148" customFormat="1" ht="32" customHeight="1" spans="1:14">
      <c r="A111" s="165" t="s">
        <v>875</v>
      </c>
      <c r="B111" s="186" t="s">
        <v>72</v>
      </c>
      <c r="C111" s="184" t="s">
        <v>876</v>
      </c>
      <c r="D111" s="167">
        <v>960</v>
      </c>
      <c r="E111" s="191" t="s">
        <v>877</v>
      </c>
      <c r="F111" s="169">
        <f>2400+1254+384+1254+468</f>
        <v>5760</v>
      </c>
      <c r="G111" s="167">
        <v>6</v>
      </c>
      <c r="H111" s="169">
        <f>D111-(F111/G111)</f>
        <v>0</v>
      </c>
      <c r="I111" s="185">
        <v>0.2697</v>
      </c>
      <c r="J111" s="171">
        <f t="shared" si="30"/>
        <v>258.912</v>
      </c>
      <c r="K111" s="171">
        <f t="shared" si="31"/>
        <v>0</v>
      </c>
      <c r="L111" s="171" t="s">
        <v>739</v>
      </c>
      <c r="M111" s="192" t="s">
        <v>878</v>
      </c>
      <c r="N111" s="162"/>
    </row>
    <row r="112" s="148" customFormat="1" ht="32" customHeight="1" spans="1:14">
      <c r="A112" s="172"/>
      <c r="B112" s="187"/>
      <c r="C112" s="184" t="s">
        <v>879</v>
      </c>
      <c r="D112" s="167">
        <v>1280</v>
      </c>
      <c r="E112" s="191" t="s">
        <v>880</v>
      </c>
      <c r="F112" s="167">
        <f>600+600+2400+1680+1254+1146</f>
        <v>7680</v>
      </c>
      <c r="G112" s="167">
        <v>6</v>
      </c>
      <c r="H112" s="169">
        <f>D112-(F112/G112)</f>
        <v>0</v>
      </c>
      <c r="I112" s="185">
        <v>0.667</v>
      </c>
      <c r="J112" s="171">
        <f t="shared" si="30"/>
        <v>853.76</v>
      </c>
      <c r="K112" s="171">
        <f t="shared" si="31"/>
        <v>0</v>
      </c>
      <c r="L112" s="171" t="s">
        <v>739</v>
      </c>
      <c r="M112" s="192" t="s">
        <v>881</v>
      </c>
      <c r="N112" s="162"/>
    </row>
    <row r="113" s="148" customFormat="1" ht="32" customHeight="1" spans="1:14">
      <c r="A113" s="165" t="s">
        <v>882</v>
      </c>
      <c r="B113" s="186" t="s">
        <v>267</v>
      </c>
      <c r="C113" s="184" t="s">
        <v>766</v>
      </c>
      <c r="D113" s="167">
        <f>15000+15000</f>
        <v>30000</v>
      </c>
      <c r="E113" s="168" t="s">
        <v>883</v>
      </c>
      <c r="F113" s="167">
        <f>3150+1098+1008+603+2700+810+2808+1602+1800+198+1638+162+1686+114+90+1710+1560+240+801</f>
        <v>23778</v>
      </c>
      <c r="G113" s="167">
        <v>1</v>
      </c>
      <c r="H113" s="169">
        <f>D113-(F113*G113)</f>
        <v>6222</v>
      </c>
      <c r="I113" s="185">
        <v>1.607</v>
      </c>
      <c r="J113" s="171">
        <f t="shared" ref="J113:J118" si="33">D113*I113</f>
        <v>48210</v>
      </c>
      <c r="K113" s="171">
        <f t="shared" ref="K113:K118" si="34">H113*I113</f>
        <v>9998.754</v>
      </c>
      <c r="L113" s="171"/>
      <c r="M113" s="176"/>
      <c r="N113" s="162"/>
    </row>
    <row r="114" s="148" customFormat="1" ht="32" customHeight="1" spans="1:14">
      <c r="A114" s="172"/>
      <c r="B114" s="187"/>
      <c r="C114" s="184" t="s">
        <v>771</v>
      </c>
      <c r="D114" s="167">
        <f>20000+20000+20000</f>
        <v>60000</v>
      </c>
      <c r="E114" s="168" t="s">
        <v>884</v>
      </c>
      <c r="F114" s="167">
        <f>3150+1098+603+1008+2700+2808+810+1602+198+1638+162+1800+1686+114+90+1710+1560+240+801</f>
        <v>23778</v>
      </c>
      <c r="G114" s="167">
        <v>1</v>
      </c>
      <c r="H114" s="169">
        <f>D114-(F114*G114)</f>
        <v>36222</v>
      </c>
      <c r="I114" s="185">
        <v>0.009</v>
      </c>
      <c r="J114" s="171">
        <f t="shared" si="33"/>
        <v>540</v>
      </c>
      <c r="K114" s="171">
        <f t="shared" si="34"/>
        <v>325.998</v>
      </c>
      <c r="L114" s="171" t="s">
        <v>885</v>
      </c>
      <c r="M114" s="176"/>
      <c r="N114" s="162"/>
    </row>
    <row r="115" s="148" customFormat="1" ht="32" customHeight="1" spans="1:14">
      <c r="A115" s="172"/>
      <c r="B115" s="187"/>
      <c r="C115" s="184" t="s">
        <v>816</v>
      </c>
      <c r="D115" s="167">
        <f>5000+5000+5000+5000</f>
        <v>20000</v>
      </c>
      <c r="E115" s="168" t="s">
        <v>886</v>
      </c>
      <c r="F115" s="167">
        <f>3150+1098+603+1008+2700+2808+810+1602+198+1638+162+1800+1686+114+90+1710+1560+240+801</f>
        <v>23778</v>
      </c>
      <c r="G115" s="167">
        <v>1</v>
      </c>
      <c r="H115" s="169">
        <f>D115-(F115*G115)+7177</f>
        <v>3399</v>
      </c>
      <c r="I115" s="185" t="s">
        <v>887</v>
      </c>
      <c r="J115" s="171">
        <f t="shared" si="33"/>
        <v>580</v>
      </c>
      <c r="K115" s="171">
        <f t="shared" si="34"/>
        <v>98.571</v>
      </c>
      <c r="L115" s="171" t="s">
        <v>885</v>
      </c>
      <c r="M115" s="176"/>
      <c r="N115" s="162"/>
    </row>
    <row r="116" s="148" customFormat="1" ht="32" customHeight="1" spans="1:14">
      <c r="A116" s="172"/>
      <c r="B116" s="187"/>
      <c r="C116" s="184" t="s">
        <v>888</v>
      </c>
      <c r="D116" s="167">
        <f>1000+1000+1000</f>
        <v>3000</v>
      </c>
      <c r="E116" s="168" t="s">
        <v>889</v>
      </c>
      <c r="F116" s="167">
        <f>3150+1098+603+1008+2700+2808+810</f>
        <v>12177</v>
      </c>
      <c r="G116" s="167">
        <v>9</v>
      </c>
      <c r="H116" s="169">
        <f t="shared" ref="H116:H120" si="35">D116-(F116/G116)</f>
        <v>1647</v>
      </c>
      <c r="I116" s="185">
        <v>0.94</v>
      </c>
      <c r="J116" s="171">
        <f t="shared" si="33"/>
        <v>2820</v>
      </c>
      <c r="K116" s="171">
        <f t="shared" si="34"/>
        <v>1548.18</v>
      </c>
      <c r="L116" s="171" t="s">
        <v>739</v>
      </c>
      <c r="M116" s="176"/>
      <c r="N116" s="162"/>
    </row>
    <row r="117" s="148" customFormat="1" ht="32" customHeight="1" spans="1:14">
      <c r="A117" s="172"/>
      <c r="B117" s="187"/>
      <c r="C117" s="184" t="s">
        <v>751</v>
      </c>
      <c r="D117" s="167">
        <f>20000+20000</f>
        <v>40000</v>
      </c>
      <c r="E117" s="168" t="s">
        <v>890</v>
      </c>
      <c r="F117" s="167">
        <f>3150+1098+603+1008+2700+2808+810+1602+198+1638+162+1800+1686+114+90+1710+1560+240+801</f>
        <v>23778</v>
      </c>
      <c r="G117" s="167">
        <v>1</v>
      </c>
      <c r="H117" s="169">
        <f>D117-(F117*G117)</f>
        <v>16222</v>
      </c>
      <c r="I117" s="185" t="s">
        <v>891</v>
      </c>
      <c r="J117" s="171">
        <f t="shared" si="33"/>
        <v>1840</v>
      </c>
      <c r="K117" s="171">
        <f t="shared" si="34"/>
        <v>746.212</v>
      </c>
      <c r="L117" s="171" t="s">
        <v>885</v>
      </c>
      <c r="M117" s="176"/>
      <c r="N117" s="162"/>
    </row>
    <row r="118" s="148" customFormat="1" ht="32" customHeight="1" spans="1:14">
      <c r="A118" s="172"/>
      <c r="B118" s="187"/>
      <c r="C118" s="184" t="s">
        <v>892</v>
      </c>
      <c r="D118" s="167">
        <f>1000+1000</f>
        <v>2000</v>
      </c>
      <c r="E118" s="168" t="s">
        <v>893</v>
      </c>
      <c r="F118" s="167">
        <f>1602+198+1638+162+1800+1686+114+90+1710+1560+240</f>
        <v>10800</v>
      </c>
      <c r="G118" s="167">
        <v>6</v>
      </c>
      <c r="H118" s="169">
        <f t="shared" si="35"/>
        <v>200</v>
      </c>
      <c r="I118" s="185">
        <v>0.94</v>
      </c>
      <c r="J118" s="171">
        <f t="shared" si="33"/>
        <v>1880</v>
      </c>
      <c r="K118" s="171">
        <f t="shared" si="34"/>
        <v>188</v>
      </c>
      <c r="L118" s="171" t="s">
        <v>449</v>
      </c>
      <c r="M118" s="176"/>
      <c r="N118" s="162"/>
    </row>
    <row r="119" s="148" customFormat="1" ht="32" customHeight="1" spans="1:14">
      <c r="A119" s="165" t="s">
        <v>894</v>
      </c>
      <c r="B119" s="186" t="s">
        <v>895</v>
      </c>
      <c r="C119" s="184" t="s">
        <v>766</v>
      </c>
      <c r="D119" s="167">
        <f>15000+15000+15000+15000+15000</f>
        <v>75000</v>
      </c>
      <c r="E119" s="168" t="s">
        <v>896</v>
      </c>
      <c r="F119" s="167">
        <f>180+1800+2727+5382+900+1680+120+3006+180+3276+3600+1098+2403+2700+2574+144+1656+810+16020+2964+120+132+1668+120+1680+1284+498+36+306+1500+240+1440+240+1260+186</f>
        <v>63930</v>
      </c>
      <c r="G119" s="167">
        <v>1</v>
      </c>
      <c r="H119" s="169">
        <f>D119-(F119*G119)</f>
        <v>11070</v>
      </c>
      <c r="I119" s="185">
        <v>1.571</v>
      </c>
      <c r="J119" s="171">
        <f t="shared" ref="J119:J137" si="36">D119*I119</f>
        <v>117825</v>
      </c>
      <c r="K119" s="171">
        <f t="shared" ref="K119:K137" si="37">H119*I119</f>
        <v>17390.97</v>
      </c>
      <c r="L119" s="171"/>
      <c r="M119" s="176" t="s">
        <v>897</v>
      </c>
      <c r="N119" s="162"/>
    </row>
    <row r="120" s="148" customFormat="1" ht="32" customHeight="1" spans="1:14">
      <c r="A120" s="172"/>
      <c r="B120" s="187"/>
      <c r="C120" s="184" t="s">
        <v>892</v>
      </c>
      <c r="D120" s="167">
        <f>1000+1000</f>
        <v>2000</v>
      </c>
      <c r="E120" s="168" t="s">
        <v>898</v>
      </c>
      <c r="F120" s="167">
        <f>1800+180+1680+120+180+3276+144+1656+2964+120+132+1668+1680+120+498+36+1500+240+1440+240+1260+186</f>
        <v>21120</v>
      </c>
      <c r="G120" s="167">
        <v>6</v>
      </c>
      <c r="H120" s="169">
        <f>D120-(F120/G120)+1206</f>
        <v>-314</v>
      </c>
      <c r="I120" s="185">
        <v>1.015</v>
      </c>
      <c r="J120" s="171">
        <f t="shared" si="36"/>
        <v>2030</v>
      </c>
      <c r="K120" s="171">
        <f t="shared" si="37"/>
        <v>-318.71</v>
      </c>
      <c r="L120" s="171" t="s">
        <v>449</v>
      </c>
      <c r="M120" s="176"/>
      <c r="N120" s="162"/>
    </row>
    <row r="121" s="148" customFormat="1" ht="32" customHeight="1" spans="1:14">
      <c r="A121" s="172"/>
      <c r="B121" s="187"/>
      <c r="C121" s="184" t="s">
        <v>751</v>
      </c>
      <c r="D121" s="167">
        <f>20000+20000+20000</f>
        <v>60000</v>
      </c>
      <c r="E121" s="168" t="s">
        <v>899</v>
      </c>
      <c r="F121" s="167">
        <f>900+3006+1800+180+1680+120+5382+180+3276+3600+1098+2403+2700+810+2574+144+1656+2964+120+132+1668+1680+120+498+36+306+1500+240+1440+240+1260+186</f>
        <v>43899</v>
      </c>
      <c r="G121" s="167">
        <v>1</v>
      </c>
      <c r="H121" s="169">
        <f>D121-(F121*G121)-2421</f>
        <v>13680</v>
      </c>
      <c r="I121" s="185">
        <v>1.889</v>
      </c>
      <c r="J121" s="171">
        <f t="shared" si="36"/>
        <v>113340</v>
      </c>
      <c r="K121" s="171">
        <f t="shared" si="37"/>
        <v>25841.52</v>
      </c>
      <c r="L121" s="171" t="s">
        <v>885</v>
      </c>
      <c r="M121" s="176"/>
      <c r="N121" s="162"/>
    </row>
    <row r="122" s="148" customFormat="1" ht="32" customHeight="1" spans="1:14">
      <c r="A122" s="172"/>
      <c r="B122" s="187"/>
      <c r="C122" s="184" t="s">
        <v>816</v>
      </c>
      <c r="D122" s="167">
        <f>5000+5000</f>
        <v>10000</v>
      </c>
      <c r="E122" s="168" t="s">
        <v>900</v>
      </c>
      <c r="F122" s="167">
        <f>900+3006+1800+180+1680+120+5382+180+3276+1098+2403+2700+810+144+1656+2964+120+132+1668+1680+120+498+36+306+1500+240+1440+240+1260+186</f>
        <v>37725</v>
      </c>
      <c r="G122" s="167">
        <v>1</v>
      </c>
      <c r="H122" s="169">
        <f>D122-(F122*G122)+27019</f>
        <v>-706</v>
      </c>
      <c r="I122" s="185" t="s">
        <v>887</v>
      </c>
      <c r="J122" s="171">
        <f t="shared" si="36"/>
        <v>290</v>
      </c>
      <c r="K122" s="171">
        <f t="shared" si="37"/>
        <v>-20.474</v>
      </c>
      <c r="L122" s="171" t="s">
        <v>885</v>
      </c>
      <c r="M122" s="176"/>
      <c r="N122" s="162"/>
    </row>
    <row r="123" s="148" customFormat="1" ht="32" customHeight="1" spans="1:14">
      <c r="A123" s="172"/>
      <c r="B123" s="187"/>
      <c r="C123" s="184" t="s">
        <v>888</v>
      </c>
      <c r="D123" s="167">
        <f>1000+1000</f>
        <v>2000</v>
      </c>
      <c r="E123" s="168" t="s">
        <v>901</v>
      </c>
      <c r="F123" s="167">
        <f>900+3006+5382+3600+1098+2403+2700+810+2574+306</f>
        <v>22779</v>
      </c>
      <c r="G123" s="167">
        <v>9</v>
      </c>
      <c r="H123" s="169">
        <f>D123-(F123/G123)+1066</f>
        <v>535</v>
      </c>
      <c r="I123" s="185">
        <v>1.015</v>
      </c>
      <c r="J123" s="171">
        <f t="shared" si="36"/>
        <v>2030</v>
      </c>
      <c r="K123" s="171">
        <f t="shared" si="37"/>
        <v>543.025</v>
      </c>
      <c r="L123" s="171" t="s">
        <v>739</v>
      </c>
      <c r="M123" s="176"/>
      <c r="N123" s="162"/>
    </row>
    <row r="124" s="148" customFormat="1" ht="32" customHeight="1" spans="1:14">
      <c r="A124" s="172"/>
      <c r="B124" s="187"/>
      <c r="C124" s="184" t="s">
        <v>771</v>
      </c>
      <c r="D124" s="167">
        <f>20000+20000+20000+20000</f>
        <v>80000</v>
      </c>
      <c r="E124" s="168" t="s">
        <v>902</v>
      </c>
      <c r="F124" s="167">
        <f>180+1800+2727+5382+900+1680+120+3006+180+3276+3600+1098+2403+2700+2574+144+1656+810+16020+2964+120+132+1668+120+1680+1284+498+36+306+1500+240+1440+240+1260+186</f>
        <v>63930</v>
      </c>
      <c r="G124" s="167">
        <v>1</v>
      </c>
      <c r="H124" s="169">
        <f t="shared" ref="H124:H137" si="38">D124-(F124*G124)</f>
        <v>16070</v>
      </c>
      <c r="I124" s="185" t="s">
        <v>903</v>
      </c>
      <c r="J124" s="171">
        <f t="shared" si="36"/>
        <v>800</v>
      </c>
      <c r="K124" s="171">
        <f t="shared" si="37"/>
        <v>160.7</v>
      </c>
      <c r="L124" s="171" t="s">
        <v>885</v>
      </c>
      <c r="M124" s="176"/>
      <c r="N124" s="162"/>
    </row>
    <row r="125" s="148" customFormat="1" ht="32" customHeight="1" spans="1:14">
      <c r="A125" s="172"/>
      <c r="B125" s="187"/>
      <c r="C125" s="184" t="s">
        <v>751</v>
      </c>
      <c r="D125" s="167">
        <f>20000</f>
        <v>20000</v>
      </c>
      <c r="E125" s="168" t="s">
        <v>904</v>
      </c>
      <c r="F125" s="167">
        <f t="shared" ref="F125:F127" si="39">1284</f>
        <v>1284</v>
      </c>
      <c r="G125" s="167">
        <v>1</v>
      </c>
      <c r="H125" s="169">
        <f t="shared" si="38"/>
        <v>18716</v>
      </c>
      <c r="I125" s="185">
        <v>0.046</v>
      </c>
      <c r="J125" s="171">
        <f t="shared" si="36"/>
        <v>920</v>
      </c>
      <c r="K125" s="171">
        <f t="shared" si="37"/>
        <v>860.936</v>
      </c>
      <c r="L125" s="171" t="s">
        <v>746</v>
      </c>
      <c r="M125" s="176"/>
      <c r="N125" s="162"/>
    </row>
    <row r="126" s="148" customFormat="1" ht="32" customHeight="1" spans="1:14">
      <c r="A126" s="172"/>
      <c r="B126" s="187"/>
      <c r="C126" s="184" t="s">
        <v>816</v>
      </c>
      <c r="D126" s="167">
        <f t="shared" ref="D126:D130" si="40">5000</f>
        <v>5000</v>
      </c>
      <c r="E126" s="168" t="s">
        <v>905</v>
      </c>
      <c r="F126" s="167">
        <f t="shared" si="39"/>
        <v>1284</v>
      </c>
      <c r="G126" s="167">
        <v>1</v>
      </c>
      <c r="H126" s="169">
        <f t="shared" si="38"/>
        <v>3716</v>
      </c>
      <c r="I126" s="185" t="s">
        <v>887</v>
      </c>
      <c r="J126" s="171">
        <f t="shared" si="36"/>
        <v>145</v>
      </c>
      <c r="K126" s="171">
        <f t="shared" si="37"/>
        <v>107.764</v>
      </c>
      <c r="L126" s="171" t="s">
        <v>746</v>
      </c>
      <c r="M126" s="176"/>
      <c r="N126" s="162"/>
    </row>
    <row r="127" s="148" customFormat="1" ht="32" customHeight="1" spans="1:14">
      <c r="A127" s="172"/>
      <c r="B127" s="187"/>
      <c r="C127" s="184" t="s">
        <v>892</v>
      </c>
      <c r="D127" s="167">
        <f>1000</f>
        <v>1000</v>
      </c>
      <c r="E127" s="168" t="s">
        <v>906</v>
      </c>
      <c r="F127" s="167">
        <f t="shared" si="39"/>
        <v>1284</v>
      </c>
      <c r="G127" s="167">
        <v>6</v>
      </c>
      <c r="H127" s="169">
        <f>D127-(F127/G127)</f>
        <v>786</v>
      </c>
      <c r="I127" s="185">
        <v>1.015</v>
      </c>
      <c r="J127" s="171">
        <f t="shared" si="36"/>
        <v>1015</v>
      </c>
      <c r="K127" s="171">
        <f t="shared" si="37"/>
        <v>797.79</v>
      </c>
      <c r="L127" s="171" t="s">
        <v>746</v>
      </c>
      <c r="M127" s="176"/>
      <c r="N127" s="162"/>
    </row>
    <row r="128" s="148" customFormat="1" ht="32" customHeight="1" spans="1:14">
      <c r="A128" s="165" t="s">
        <v>907</v>
      </c>
      <c r="B128" s="186" t="s">
        <v>144</v>
      </c>
      <c r="C128" s="184" t="s">
        <v>766</v>
      </c>
      <c r="D128" s="167">
        <f>7424+5604+7480+9452+248+5000</f>
        <v>35208</v>
      </c>
      <c r="E128" s="168" t="s">
        <v>908</v>
      </c>
      <c r="F128" s="167">
        <f>5604+4944+2240+240+2144+252+1868+232+6000+1200+120+2652+332+1900+480+1400+500</f>
        <v>32108</v>
      </c>
      <c r="G128" s="167">
        <v>1</v>
      </c>
      <c r="H128" s="169">
        <f t="shared" si="38"/>
        <v>3100</v>
      </c>
      <c r="I128" s="185">
        <v>2.672</v>
      </c>
      <c r="J128" s="171">
        <f t="shared" si="36"/>
        <v>94075.776</v>
      </c>
      <c r="K128" s="171">
        <f t="shared" si="37"/>
        <v>8283.2</v>
      </c>
      <c r="L128" s="171"/>
      <c r="M128" s="176"/>
      <c r="N128" s="162"/>
    </row>
    <row r="129" s="148" customFormat="1" ht="32" customHeight="1" spans="1:14">
      <c r="A129" s="172"/>
      <c r="B129" s="187"/>
      <c r="C129" s="184" t="s">
        <v>816</v>
      </c>
      <c r="D129" s="167">
        <f t="shared" si="40"/>
        <v>5000</v>
      </c>
      <c r="E129" s="168" t="s">
        <v>909</v>
      </c>
      <c r="F129" s="167">
        <f>1400+500</f>
        <v>1900</v>
      </c>
      <c r="G129" s="167">
        <v>1</v>
      </c>
      <c r="H129" s="169">
        <f t="shared" si="38"/>
        <v>3100</v>
      </c>
      <c r="I129" s="185">
        <v>0.021</v>
      </c>
      <c r="J129" s="171">
        <f t="shared" si="36"/>
        <v>105</v>
      </c>
      <c r="K129" s="171">
        <f t="shared" si="37"/>
        <v>65.1</v>
      </c>
      <c r="L129" s="171" t="s">
        <v>739</v>
      </c>
      <c r="M129" s="176"/>
      <c r="N129" s="162"/>
    </row>
    <row r="130" s="148" customFormat="1" ht="32" customHeight="1" spans="1:14">
      <c r="A130" s="172"/>
      <c r="B130" s="187"/>
      <c r="C130" s="184" t="s">
        <v>910</v>
      </c>
      <c r="D130" s="167">
        <f t="shared" si="40"/>
        <v>5000</v>
      </c>
      <c r="E130" s="168" t="s">
        <v>909</v>
      </c>
      <c r="F130" s="167">
        <f>1400+500</f>
        <v>1900</v>
      </c>
      <c r="G130" s="167">
        <v>1</v>
      </c>
      <c r="H130" s="169">
        <f t="shared" si="38"/>
        <v>3100</v>
      </c>
      <c r="I130" s="185">
        <v>0.629</v>
      </c>
      <c r="J130" s="171">
        <f t="shared" si="36"/>
        <v>3145</v>
      </c>
      <c r="K130" s="171">
        <f t="shared" si="37"/>
        <v>1949.9</v>
      </c>
      <c r="L130" s="171" t="s">
        <v>739</v>
      </c>
      <c r="M130" s="192"/>
      <c r="N130" s="162"/>
    </row>
    <row r="131" s="148" customFormat="1" ht="32" customHeight="1" spans="1:14">
      <c r="A131" s="172"/>
      <c r="B131" s="187"/>
      <c r="C131" s="184" t="s">
        <v>816</v>
      </c>
      <c r="D131" s="167">
        <f t="shared" ref="D131:D133" si="41">5000+5000</f>
        <v>10000</v>
      </c>
      <c r="E131" s="168" t="s">
        <v>911</v>
      </c>
      <c r="F131" s="167">
        <f>480+800+68+712+80+1044+844+24+808+60+56+812+868+868+1712+24</f>
        <v>9260</v>
      </c>
      <c r="G131" s="167">
        <v>1</v>
      </c>
      <c r="H131" s="169">
        <f t="shared" si="38"/>
        <v>740</v>
      </c>
      <c r="I131" s="185">
        <v>0.021</v>
      </c>
      <c r="J131" s="171">
        <f t="shared" si="36"/>
        <v>210</v>
      </c>
      <c r="K131" s="171">
        <f t="shared" si="37"/>
        <v>15.54</v>
      </c>
      <c r="L131" s="171" t="s">
        <v>449</v>
      </c>
      <c r="M131" s="176"/>
      <c r="N131" s="162"/>
    </row>
    <row r="132" s="148" customFormat="1" ht="32" customHeight="1" spans="1:14">
      <c r="A132" s="172"/>
      <c r="B132" s="187"/>
      <c r="C132" s="184" t="s">
        <v>910</v>
      </c>
      <c r="D132" s="167">
        <f t="shared" si="41"/>
        <v>10000</v>
      </c>
      <c r="E132" s="168" t="s">
        <v>911</v>
      </c>
      <c r="F132" s="167">
        <f>480+800+68+712+80+1044+844+24+808+60+56+812+868+868+1712+24</f>
        <v>9260</v>
      </c>
      <c r="G132" s="167">
        <v>1</v>
      </c>
      <c r="H132" s="169">
        <f t="shared" si="38"/>
        <v>740</v>
      </c>
      <c r="I132" s="185">
        <v>0.629</v>
      </c>
      <c r="J132" s="171">
        <f t="shared" si="36"/>
        <v>6290</v>
      </c>
      <c r="K132" s="171">
        <f t="shared" si="37"/>
        <v>465.46</v>
      </c>
      <c r="L132" s="171" t="s">
        <v>449</v>
      </c>
      <c r="M132" s="192" t="s">
        <v>912</v>
      </c>
      <c r="N132" s="162"/>
    </row>
    <row r="133" s="148" customFormat="1" ht="32" customHeight="1" spans="1:14">
      <c r="A133" s="172"/>
      <c r="B133" s="187"/>
      <c r="C133" s="184" t="s">
        <v>766</v>
      </c>
      <c r="D133" s="167">
        <f t="shared" si="41"/>
        <v>10000</v>
      </c>
      <c r="E133" s="168" t="s">
        <v>911</v>
      </c>
      <c r="F133" s="167">
        <f>480+800+68+712+80+1044+844+24+808+60+56+812+868+868+1712+24</f>
        <v>9260</v>
      </c>
      <c r="G133" s="167">
        <v>1</v>
      </c>
      <c r="H133" s="169">
        <f t="shared" si="38"/>
        <v>740</v>
      </c>
      <c r="I133" s="185">
        <v>2.672</v>
      </c>
      <c r="J133" s="171">
        <f t="shared" si="36"/>
        <v>26720</v>
      </c>
      <c r="K133" s="171">
        <f t="shared" si="37"/>
        <v>1977.28</v>
      </c>
      <c r="L133" s="171" t="s">
        <v>449</v>
      </c>
      <c r="M133" s="176" t="s">
        <v>913</v>
      </c>
      <c r="N133" s="162"/>
    </row>
    <row r="134" s="148" customFormat="1" ht="32" customHeight="1" spans="1:14">
      <c r="A134" s="172"/>
      <c r="B134" s="187"/>
      <c r="C134" s="184" t="s">
        <v>914</v>
      </c>
      <c r="D134" s="167">
        <v>5800</v>
      </c>
      <c r="E134" s="168" t="s">
        <v>915</v>
      </c>
      <c r="F134" s="167">
        <f>5800</f>
        <v>5800</v>
      </c>
      <c r="G134" s="167">
        <v>1</v>
      </c>
      <c r="H134" s="169">
        <f t="shared" si="38"/>
        <v>0</v>
      </c>
      <c r="I134" s="185">
        <v>3.077</v>
      </c>
      <c r="J134" s="171">
        <f t="shared" si="36"/>
        <v>17846.6</v>
      </c>
      <c r="K134" s="171">
        <f t="shared" si="37"/>
        <v>0</v>
      </c>
      <c r="L134" s="171"/>
      <c r="M134" s="176" t="s">
        <v>916</v>
      </c>
      <c r="N134" s="162"/>
    </row>
    <row r="135" s="148" customFormat="1" ht="32" customHeight="1" spans="1:14">
      <c r="A135" s="165" t="s">
        <v>917</v>
      </c>
      <c r="B135" s="166" t="s">
        <v>166</v>
      </c>
      <c r="C135" s="162" t="s">
        <v>918</v>
      </c>
      <c r="D135" s="167">
        <f>100000+100000+100000+100000+100000+41170+50000+50000+50000+50000+50044</f>
        <v>791214</v>
      </c>
      <c r="E135" s="168" t="s">
        <v>919</v>
      </c>
      <c r="F135" s="167">
        <f>25200+42000+45000+22950+2796+4998+4668+2550+7002+4500+10002+8304+600+2004+5016+10200+8004+5004+9000+300+500+12702+2502+7200+1002+6000+1098+300+3948+300</f>
        <v>255650</v>
      </c>
      <c r="G135" s="167">
        <v>3</v>
      </c>
      <c r="H135" s="169">
        <f t="shared" si="38"/>
        <v>24264</v>
      </c>
      <c r="I135" s="170" t="s">
        <v>920</v>
      </c>
      <c r="J135" s="171">
        <f t="shared" si="36"/>
        <v>0</v>
      </c>
      <c r="K135" s="171">
        <f t="shared" si="37"/>
        <v>0</v>
      </c>
      <c r="L135" s="171"/>
      <c r="M135" s="163" t="s">
        <v>921</v>
      </c>
      <c r="N135" s="162"/>
    </row>
    <row r="136" s="150" customFormat="1" ht="32" customHeight="1" spans="1:14">
      <c r="A136" s="172"/>
      <c r="B136" s="173"/>
      <c r="C136" s="5" t="s">
        <v>922</v>
      </c>
      <c r="D136" s="167">
        <v>30000</v>
      </c>
      <c r="E136" s="168" t="s">
        <v>923</v>
      </c>
      <c r="F136" s="167">
        <f>3000+1200+2004</f>
        <v>6204</v>
      </c>
      <c r="G136" s="167">
        <v>3</v>
      </c>
      <c r="H136" s="169">
        <f t="shared" si="38"/>
        <v>11388</v>
      </c>
      <c r="I136" s="170"/>
      <c r="J136" s="171">
        <f t="shared" si="36"/>
        <v>0</v>
      </c>
      <c r="K136" s="171">
        <f t="shared" si="37"/>
        <v>0</v>
      </c>
      <c r="L136" s="171"/>
      <c r="M136" s="163" t="s">
        <v>924</v>
      </c>
      <c r="N136" s="162"/>
    </row>
    <row r="137" s="148" customFormat="1" ht="32" customHeight="1" spans="1:14">
      <c r="A137" s="172"/>
      <c r="B137" s="173"/>
      <c r="C137" s="162" t="s">
        <v>910</v>
      </c>
      <c r="D137" s="167">
        <v>5000</v>
      </c>
      <c r="E137" s="168" t="s">
        <v>925</v>
      </c>
      <c r="F137" s="169">
        <f>2004+1200</f>
        <v>3204</v>
      </c>
      <c r="G137" s="167">
        <v>1</v>
      </c>
      <c r="H137" s="169">
        <f t="shared" si="38"/>
        <v>1796</v>
      </c>
      <c r="I137" s="185">
        <v>0.0185897435897436</v>
      </c>
      <c r="J137" s="171">
        <f t="shared" si="36"/>
        <v>92.948717948718</v>
      </c>
      <c r="K137" s="171">
        <f t="shared" si="37"/>
        <v>33.3871794871795</v>
      </c>
      <c r="L137" s="171" t="s">
        <v>739</v>
      </c>
      <c r="M137" s="192"/>
      <c r="N137" s="162"/>
    </row>
    <row r="138" ht="34.5" spans="1:14">
      <c r="A138" s="162"/>
      <c r="B138" s="162"/>
      <c r="C138" s="162"/>
      <c r="D138" s="162"/>
      <c r="E138" s="162"/>
      <c r="F138" s="162"/>
      <c r="G138" s="162"/>
      <c r="H138" s="178"/>
      <c r="I138" s="193"/>
      <c r="J138" s="178" t="s">
        <v>926</v>
      </c>
      <c r="K138" s="178" t="s">
        <v>927</v>
      </c>
      <c r="L138" s="194" t="s">
        <v>928</v>
      </c>
      <c r="M138" s="162"/>
      <c r="N138" s="162"/>
    </row>
    <row r="139" ht="31.2" customHeight="1" spans="1:14">
      <c r="A139" s="162"/>
      <c r="B139" s="162"/>
      <c r="C139" s="162"/>
      <c r="D139" s="162"/>
      <c r="E139" s="162"/>
      <c r="F139" s="162"/>
      <c r="G139" s="162"/>
      <c r="H139" s="195"/>
      <c r="I139" s="196"/>
      <c r="J139" s="197">
        <f>SUM(J135:J135)</f>
        <v>0</v>
      </c>
      <c r="K139" s="197">
        <f>SUM(K4:K137)</f>
        <v>394079.743684864</v>
      </c>
      <c r="L139" s="197">
        <f>K139*7.75/10000</f>
        <v>305.411801355769</v>
      </c>
      <c r="M139" s="162"/>
      <c r="N139" s="162"/>
    </row>
  </sheetData>
  <sheetProtection formatCells="0" formatColumns="0" formatRows="0" insertRows="0" insertColumns="0" insertHyperlinks="0" deleteColumns="0" deleteRows="0" sort="0" autoFilter="0" pivotTables="0"/>
  <autoFilter xmlns:etc="http://www.wps.cn/officeDocument/2017/etCustomData" ref="A3:N139" etc:filterBottomFollowUsedRange="0">
    <extLst/>
  </autoFilter>
  <mergeCells count="52">
    <mergeCell ref="A4:A13"/>
    <mergeCell ref="A14:A19"/>
    <mergeCell ref="A20:A25"/>
    <mergeCell ref="A26:A30"/>
    <mergeCell ref="A31:A36"/>
    <mergeCell ref="A37:A44"/>
    <mergeCell ref="A45:A55"/>
    <mergeCell ref="A56:A59"/>
    <mergeCell ref="A60:A64"/>
    <mergeCell ref="A65:A69"/>
    <mergeCell ref="A70:A76"/>
    <mergeCell ref="A77:A83"/>
    <mergeCell ref="A85:A89"/>
    <mergeCell ref="A90:A93"/>
    <mergeCell ref="A94:A96"/>
    <mergeCell ref="A97:A98"/>
    <mergeCell ref="A99:A100"/>
    <mergeCell ref="A101:A102"/>
    <mergeCell ref="A103:A105"/>
    <mergeCell ref="A106:A107"/>
    <mergeCell ref="A108:A109"/>
    <mergeCell ref="A111:A112"/>
    <mergeCell ref="A113:A118"/>
    <mergeCell ref="A119:A127"/>
    <mergeCell ref="A128:A134"/>
    <mergeCell ref="A135:A137"/>
    <mergeCell ref="B4:B13"/>
    <mergeCell ref="B14:B19"/>
    <mergeCell ref="B20:B25"/>
    <mergeCell ref="B26:B30"/>
    <mergeCell ref="B31:B36"/>
    <mergeCell ref="B37:B44"/>
    <mergeCell ref="B45:B55"/>
    <mergeCell ref="B56:B59"/>
    <mergeCell ref="B60:B64"/>
    <mergeCell ref="B65:B69"/>
    <mergeCell ref="B70:B76"/>
    <mergeCell ref="B77:B83"/>
    <mergeCell ref="B85:B89"/>
    <mergeCell ref="B90:B93"/>
    <mergeCell ref="B94:B96"/>
    <mergeCell ref="B97:B98"/>
    <mergeCell ref="B99:B100"/>
    <mergeCell ref="B101:B102"/>
    <mergeCell ref="B103:B105"/>
    <mergeCell ref="B108:B109"/>
    <mergeCell ref="B111:B112"/>
    <mergeCell ref="B113:B118"/>
    <mergeCell ref="B119:B127"/>
    <mergeCell ref="B128:B134"/>
    <mergeCell ref="B135:B137"/>
    <mergeCell ref="A1:K2"/>
  </mergeCells>
  <pageMargins left="0.75" right="0.75" top="1" bottom="1" header="0.5" footer="0.5"/>
  <pageSetup paperSize="9" orientation="portrait"/>
  <headerFooter/>
  <ignoredErrors>
    <ignoredError sqref="H27" formula="1"/>
  </ignoredError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65491"/>
  <sheetViews>
    <sheetView workbookViewId="0">
      <pane xSplit="11" ySplit="1" topLeftCell="AG2" activePane="bottomRight" state="frozenSplit"/>
      <selection/>
      <selection pane="topRight"/>
      <selection pane="bottomLeft"/>
      <selection pane="bottomRight" activeCell="M53" sqref="M53"/>
    </sheetView>
  </sheetViews>
  <sheetFormatPr defaultColWidth="10" defaultRowHeight="14.25"/>
  <cols>
    <col min="1" max="1" width="15" style="11" customWidth="1"/>
    <col min="2" max="2" width="10" style="4"/>
    <col min="3" max="3" width="10" style="3"/>
    <col min="4" max="4" width="21.225" style="12" customWidth="1"/>
    <col min="5" max="6" width="14.4416666666667" style="4" customWidth="1"/>
    <col min="7" max="7" width="10" style="4"/>
    <col min="8" max="8" width="20.2583333333333" style="4" customWidth="1"/>
    <col min="9" max="9" width="8.44166666666667" style="13" customWidth="1"/>
    <col min="10" max="10" width="6.66666666666667" style="13" customWidth="1"/>
    <col min="11" max="11" width="6.55833333333333" style="3" customWidth="1"/>
    <col min="12" max="12" width="14.3333333333333" style="89" customWidth="1"/>
    <col min="13" max="13" width="14.225" style="89" customWidth="1"/>
    <col min="14" max="14" width="12.5583333333333" style="90" customWidth="1"/>
    <col min="15" max="15" width="16.225" style="91" customWidth="1"/>
    <col min="16" max="16" width="14.1666666666667" style="3" customWidth="1"/>
    <col min="17" max="17" width="10" style="3"/>
    <col min="18" max="18" width="10" style="4"/>
    <col min="19" max="19" width="11.8916666666667" style="4" customWidth="1"/>
    <col min="20" max="20" width="10" style="3"/>
    <col min="21" max="22" width="10" style="3" customWidth="1"/>
    <col min="23" max="24" width="12" style="3" customWidth="1"/>
    <col min="25" max="25" width="9.58333333333333" style="92" customWidth="1"/>
    <col min="26" max="26" width="10" style="3"/>
    <col min="27" max="27" width="14" style="18" customWidth="1"/>
    <col min="28" max="28" width="14.225" style="3"/>
    <col min="29" max="29" width="13.775" style="52" customWidth="1"/>
    <col min="30" max="30" width="12.575" style="3" customWidth="1"/>
    <col min="31" max="32" width="10" style="3"/>
    <col min="33" max="33" width="9.58333333333333" style="3" customWidth="1"/>
    <col min="34" max="34" width="10" style="3"/>
    <col min="35" max="35" width="10" style="93"/>
    <col min="36" max="36" width="11.2666666666667" style="3" customWidth="1"/>
    <col min="37" max="16384" width="10" style="3"/>
  </cols>
  <sheetData>
    <row r="1" s="4" customFormat="1" ht="25" customHeight="1" spans="1:44">
      <c r="A1" s="19" t="s">
        <v>0</v>
      </c>
      <c r="B1" s="20" t="s">
        <v>3</v>
      </c>
      <c r="C1" s="20" t="s">
        <v>418</v>
      </c>
      <c r="D1" s="21" t="s">
        <v>2</v>
      </c>
      <c r="E1" s="20" t="s">
        <v>419</v>
      </c>
      <c r="F1" s="20"/>
      <c r="G1" s="20" t="s">
        <v>5</v>
      </c>
      <c r="H1" s="20" t="s">
        <v>6</v>
      </c>
      <c r="I1" s="24" t="s">
        <v>7</v>
      </c>
      <c r="J1" s="24" t="s">
        <v>8</v>
      </c>
      <c r="K1" s="20" t="s">
        <v>9</v>
      </c>
      <c r="L1" s="19" t="s">
        <v>1</v>
      </c>
      <c r="M1" s="19" t="s">
        <v>420</v>
      </c>
      <c r="N1" s="23" t="s">
        <v>421</v>
      </c>
      <c r="O1" s="23" t="s">
        <v>422</v>
      </c>
      <c r="P1" s="23" t="s">
        <v>423</v>
      </c>
      <c r="Q1" s="20" t="s">
        <v>424</v>
      </c>
      <c r="R1" s="20" t="s">
        <v>425</v>
      </c>
      <c r="S1" s="23" t="s">
        <v>426</v>
      </c>
      <c r="T1" s="23" t="s">
        <v>427</v>
      </c>
      <c r="U1" s="20" t="s">
        <v>504</v>
      </c>
      <c r="V1" s="20"/>
      <c r="W1" s="20" t="s">
        <v>929</v>
      </c>
      <c r="X1" s="23" t="s">
        <v>430</v>
      </c>
      <c r="Y1" s="23" t="s">
        <v>431</v>
      </c>
      <c r="Z1" s="20" t="s">
        <v>433</v>
      </c>
      <c r="AA1" s="20" t="s">
        <v>434</v>
      </c>
      <c r="AB1" s="20" t="s">
        <v>435</v>
      </c>
      <c r="AC1" s="20" t="s">
        <v>436</v>
      </c>
      <c r="AD1" s="94" t="s">
        <v>437</v>
      </c>
      <c r="AE1" s="94" t="s">
        <v>73</v>
      </c>
      <c r="AF1" s="94" t="s">
        <v>74</v>
      </c>
      <c r="AG1" s="94" t="s">
        <v>75</v>
      </c>
      <c r="AH1" s="95" t="s">
        <v>438</v>
      </c>
      <c r="AI1" s="96" t="s">
        <v>439</v>
      </c>
      <c r="AJ1" s="96" t="s">
        <v>440</v>
      </c>
      <c r="AK1" s="96" t="s">
        <v>441</v>
      </c>
      <c r="AL1" s="96" t="s">
        <v>442</v>
      </c>
      <c r="AM1" s="96" t="s">
        <v>443</v>
      </c>
      <c r="AN1" s="96" t="s">
        <v>444</v>
      </c>
      <c r="AO1" s="96" t="s">
        <v>930</v>
      </c>
      <c r="AP1" s="96"/>
      <c r="AQ1" s="96"/>
    </row>
    <row r="2" s="88" customFormat="1" ht="25" customHeight="1" spans="1:44">
      <c r="A2" s="97">
        <v>46169</v>
      </c>
      <c r="B2" s="97" t="s">
        <v>358</v>
      </c>
      <c r="C2" s="98" t="s">
        <v>445</v>
      </c>
      <c r="D2" s="99" t="s">
        <v>357</v>
      </c>
      <c r="E2" s="99" t="s">
        <v>931</v>
      </c>
      <c r="F2" s="99"/>
      <c r="G2" s="99" t="s">
        <v>69</v>
      </c>
      <c r="H2" s="100" t="s">
        <v>325</v>
      </c>
      <c r="I2" s="100">
        <v>180</v>
      </c>
      <c r="J2" s="100">
        <v>6</v>
      </c>
      <c r="K2" s="99">
        <f>I2/J2</f>
        <v>30</v>
      </c>
      <c r="L2" s="97">
        <v>46227</v>
      </c>
      <c r="M2" s="97">
        <v>46227</v>
      </c>
      <c r="N2" s="97">
        <v>46227</v>
      </c>
      <c r="O2" s="99"/>
      <c r="P2" s="101"/>
      <c r="Q2" s="102">
        <v>46183</v>
      </c>
      <c r="R2" s="102">
        <v>46183</v>
      </c>
      <c r="S2" s="102">
        <v>46183</v>
      </c>
      <c r="T2" s="103">
        <v>46197</v>
      </c>
      <c r="U2" s="104" t="s">
        <v>448</v>
      </c>
      <c r="V2" s="105" t="s">
        <v>458</v>
      </c>
      <c r="W2" s="103" t="s">
        <v>459</v>
      </c>
      <c r="X2" s="106" t="str">
        <f t="array" ref="X2">INDEX(系统货号!C:C,MATCH(1,(系统货号!A:A=G2)*(系统货号!B:B=V2),0))</f>
        <v>BS086D6</v>
      </c>
      <c r="Y2" s="107"/>
      <c r="Z2" s="103"/>
      <c r="AA2" s="103"/>
      <c r="AB2" s="105" t="s">
        <v>463</v>
      </c>
      <c r="AC2" s="108" t="s">
        <v>474</v>
      </c>
      <c r="AD2" s="109" t="s">
        <v>475</v>
      </c>
      <c r="AE2" s="80">
        <v>3.542</v>
      </c>
      <c r="AF2" s="110">
        <f>I2*AE2</f>
        <v>637.56</v>
      </c>
      <c r="AG2" s="110">
        <f>AF2*7.75</f>
        <v>4941.09</v>
      </c>
      <c r="AH2" s="111">
        <v>46170</v>
      </c>
      <c r="AI2" s="112" t="s">
        <v>462</v>
      </c>
      <c r="AJ2" s="98" t="s">
        <v>454</v>
      </c>
      <c r="AK2" s="99"/>
      <c r="AL2" s="99"/>
      <c r="AM2" s="99"/>
      <c r="AN2" s="99"/>
      <c r="AO2" s="113"/>
      <c r="AP2" s="113"/>
      <c r="AQ2" s="113"/>
    </row>
    <row r="3" s="4" customFormat="1" ht="25" customHeight="1" spans="1:44">
      <c r="A3" s="114"/>
      <c r="B3" s="115"/>
      <c r="C3" s="116"/>
      <c r="D3" s="117"/>
      <c r="E3" s="115"/>
      <c r="F3" s="115"/>
      <c r="G3" s="115"/>
      <c r="H3" s="117"/>
      <c r="I3" s="118"/>
      <c r="J3" s="118"/>
      <c r="K3" s="115"/>
      <c r="L3" s="119"/>
      <c r="M3" s="119"/>
      <c r="N3" s="119"/>
      <c r="O3" s="120"/>
      <c r="P3" s="121"/>
      <c r="Q3" s="122"/>
      <c r="R3" s="123"/>
      <c r="S3" s="124"/>
      <c r="T3" s="125"/>
      <c r="U3" s="126"/>
      <c r="V3" s="126"/>
      <c r="W3" s="127"/>
      <c r="X3" s="127"/>
      <c r="Y3" s="128"/>
      <c r="Z3" s="129"/>
      <c r="AA3" s="42"/>
      <c r="AB3" s="43"/>
      <c r="AC3" s="34"/>
      <c r="AD3" s="31"/>
      <c r="AE3" s="31"/>
      <c r="AF3" s="31"/>
      <c r="AG3" s="31"/>
      <c r="AH3" s="31"/>
      <c r="AI3" s="31"/>
      <c r="AJ3" s="5"/>
      <c r="AK3" s="5"/>
      <c r="AL3" s="5"/>
      <c r="AM3" s="5"/>
      <c r="AN3" s="5"/>
      <c r="AO3" s="5"/>
      <c r="AP3" s="5"/>
      <c r="AQ3" s="130"/>
      <c r="AR3" s="131"/>
    </row>
    <row r="4" s="4" customFormat="1" ht="25" customHeight="1" spans="1:44">
      <c r="A4" s="114"/>
      <c r="B4" s="115"/>
      <c r="C4" s="116"/>
      <c r="D4" s="117"/>
      <c r="E4" s="115"/>
      <c r="F4" s="115"/>
      <c r="G4" s="115"/>
      <c r="H4" s="117"/>
      <c r="I4" s="118"/>
      <c r="J4" s="118"/>
      <c r="K4" s="115"/>
      <c r="L4" s="119"/>
      <c r="M4" s="119"/>
      <c r="N4" s="119"/>
      <c r="O4" s="120"/>
      <c r="P4" s="121"/>
      <c r="Q4" s="122"/>
      <c r="R4" s="123"/>
      <c r="S4" s="124"/>
      <c r="T4" s="125"/>
      <c r="U4" s="126"/>
      <c r="V4" s="126"/>
      <c r="W4" s="127"/>
      <c r="X4" s="127"/>
      <c r="Y4" s="128"/>
      <c r="Z4" s="129"/>
      <c r="AA4" s="42"/>
      <c r="AB4" s="43"/>
      <c r="AC4" s="34"/>
      <c r="AD4" s="31"/>
      <c r="AE4" s="31"/>
      <c r="AF4" s="31"/>
      <c r="AG4" s="31"/>
      <c r="AH4" s="31"/>
      <c r="AI4" s="31"/>
      <c r="AJ4" s="5"/>
      <c r="AK4" s="5"/>
      <c r="AL4" s="5"/>
      <c r="AM4" s="5"/>
      <c r="AN4" s="5"/>
      <c r="AO4" s="5"/>
      <c r="AP4" s="5"/>
      <c r="AQ4" s="130"/>
      <c r="AR4" s="131"/>
    </row>
    <row r="5" s="4" customFormat="1" ht="25" customHeight="1" spans="1:44">
      <c r="A5" s="114"/>
      <c r="B5" s="115"/>
      <c r="C5" s="116"/>
      <c r="D5" s="117"/>
      <c r="E5" s="115"/>
      <c r="F5" s="115"/>
      <c r="G5" s="115"/>
      <c r="H5" s="117"/>
      <c r="I5" s="118"/>
      <c r="J5" s="118"/>
      <c r="K5" s="115"/>
      <c r="L5" s="119"/>
      <c r="M5" s="119"/>
      <c r="N5" s="119"/>
      <c r="O5" s="120"/>
      <c r="P5" s="121"/>
      <c r="Q5" s="122"/>
      <c r="R5" s="123"/>
      <c r="S5" s="124"/>
      <c r="T5" s="125"/>
      <c r="U5" s="126"/>
      <c r="V5" s="126"/>
      <c r="W5" s="127"/>
      <c r="X5" s="127"/>
      <c r="Y5" s="128"/>
      <c r="Z5" s="129"/>
      <c r="AA5" s="42"/>
      <c r="AB5" s="43"/>
      <c r="AC5" s="34"/>
      <c r="AD5" s="31"/>
      <c r="AE5" s="31"/>
      <c r="AF5" s="31"/>
      <c r="AG5" s="31"/>
      <c r="AH5" s="31"/>
      <c r="AI5" s="31"/>
      <c r="AJ5" s="5"/>
      <c r="AK5" s="5"/>
      <c r="AL5" s="5"/>
      <c r="AM5" s="5"/>
      <c r="AN5" s="5"/>
      <c r="AO5" s="5"/>
      <c r="AP5" s="5"/>
      <c r="AQ5" s="130"/>
      <c r="AR5" s="131"/>
    </row>
    <row r="6" s="4" customFormat="1" ht="25" customHeight="1" spans="1:44">
      <c r="A6" s="114"/>
      <c r="B6" s="115"/>
      <c r="C6" s="116"/>
      <c r="D6" s="117"/>
      <c r="E6" s="115"/>
      <c r="F6" s="115"/>
      <c r="G6" s="115"/>
      <c r="H6" s="117"/>
      <c r="I6" s="118"/>
      <c r="J6" s="118"/>
      <c r="K6" s="115"/>
      <c r="L6" s="119"/>
      <c r="M6" s="119"/>
      <c r="N6" s="119"/>
      <c r="O6" s="120"/>
      <c r="P6" s="121"/>
      <c r="Q6" s="122"/>
      <c r="R6" s="123"/>
      <c r="S6" s="124"/>
      <c r="T6" s="125"/>
      <c r="U6" s="126"/>
      <c r="V6" s="126"/>
      <c r="W6" s="127"/>
      <c r="X6" s="127"/>
      <c r="Y6" s="128"/>
      <c r="Z6" s="129"/>
      <c r="AA6" s="42"/>
      <c r="AB6" s="43"/>
      <c r="AC6" s="34"/>
      <c r="AD6" s="31"/>
      <c r="AE6" s="31"/>
      <c r="AF6" s="31"/>
      <c r="AG6" s="31"/>
      <c r="AH6" s="31"/>
      <c r="AI6" s="31"/>
      <c r="AJ6" s="5"/>
      <c r="AK6" s="5"/>
      <c r="AL6" s="5"/>
      <c r="AM6" s="5"/>
      <c r="AN6" s="5"/>
      <c r="AO6" s="5"/>
      <c r="AP6" s="5"/>
      <c r="AQ6" s="130"/>
      <c r="AR6" s="131"/>
    </row>
    <row r="7" s="4" customFormat="1" ht="25" customHeight="1" spans="1:44">
      <c r="A7" s="114"/>
      <c r="B7" s="115"/>
      <c r="C7" s="116"/>
      <c r="D7" s="117"/>
      <c r="E7" s="115"/>
      <c r="F7" s="115"/>
      <c r="G7" s="115"/>
      <c r="H7" s="117"/>
      <c r="I7" s="118"/>
      <c r="J7" s="118"/>
      <c r="K7" s="115"/>
      <c r="L7" s="119"/>
      <c r="M7" s="119"/>
      <c r="N7" s="119"/>
      <c r="O7" s="120"/>
      <c r="P7" s="121"/>
      <c r="Q7" s="122"/>
      <c r="R7" s="123"/>
      <c r="S7" s="124"/>
      <c r="T7" s="125"/>
      <c r="U7" s="126"/>
      <c r="V7" s="126"/>
      <c r="W7" s="127"/>
      <c r="X7" s="127"/>
      <c r="Y7" s="128"/>
      <c r="Z7" s="129"/>
      <c r="AA7" s="42"/>
      <c r="AB7" s="43"/>
      <c r="AC7" s="34"/>
      <c r="AD7" s="31"/>
      <c r="AE7" s="31"/>
      <c r="AF7" s="31"/>
      <c r="AG7" s="31"/>
      <c r="AH7" s="31"/>
      <c r="AI7" s="31"/>
      <c r="AJ7" s="5"/>
      <c r="AK7" s="5"/>
      <c r="AL7" s="5"/>
      <c r="AM7" s="5"/>
      <c r="AN7" s="5"/>
      <c r="AO7" s="5"/>
      <c r="AP7" s="5"/>
      <c r="AQ7" s="130"/>
      <c r="AR7" s="131"/>
    </row>
    <row r="8" s="4" customFormat="1" ht="25" customHeight="1" spans="1:44">
      <c r="A8" s="114"/>
      <c r="B8" s="115"/>
      <c r="C8" s="116"/>
      <c r="D8" s="117"/>
      <c r="E8" s="115"/>
      <c r="F8" s="115"/>
      <c r="G8" s="115"/>
      <c r="H8" s="117"/>
      <c r="I8" s="118"/>
      <c r="J8" s="118"/>
      <c r="K8" s="115"/>
      <c r="L8" s="119"/>
      <c r="M8" s="119"/>
      <c r="N8" s="119"/>
      <c r="O8" s="120"/>
      <c r="P8" s="121"/>
      <c r="Q8" s="122"/>
      <c r="R8" s="123"/>
      <c r="S8" s="124"/>
      <c r="T8" s="125"/>
      <c r="U8" s="126"/>
      <c r="V8" s="126"/>
      <c r="W8" s="127"/>
      <c r="X8" s="127"/>
      <c r="Y8" s="128"/>
      <c r="Z8" s="129"/>
      <c r="AA8" s="42"/>
      <c r="AB8" s="43"/>
      <c r="AC8" s="34"/>
      <c r="AD8" s="31"/>
      <c r="AE8" s="31"/>
      <c r="AF8" s="31"/>
      <c r="AG8" s="31"/>
      <c r="AH8" s="31"/>
      <c r="AI8" s="31"/>
      <c r="AJ8" s="5"/>
      <c r="AK8" s="5"/>
      <c r="AL8" s="5"/>
      <c r="AM8" s="5"/>
      <c r="AN8" s="5"/>
      <c r="AO8" s="5"/>
      <c r="AP8" s="5"/>
      <c r="AQ8" s="130"/>
      <c r="AR8" s="131"/>
    </row>
    <row r="9" s="4" customFormat="1" ht="25" customHeight="1" spans="1:44">
      <c r="A9" s="114"/>
      <c r="B9" s="115"/>
      <c r="C9" s="116"/>
      <c r="D9" s="117"/>
      <c r="E9" s="115"/>
      <c r="F9" s="115"/>
      <c r="G9" s="115"/>
      <c r="H9" s="117"/>
      <c r="I9" s="118"/>
      <c r="J9" s="118"/>
      <c r="K9" s="115"/>
      <c r="L9" s="119"/>
      <c r="M9" s="119"/>
      <c r="N9" s="119"/>
      <c r="O9" s="120"/>
      <c r="P9" s="121"/>
      <c r="Q9" s="122"/>
      <c r="R9" s="123"/>
      <c r="S9" s="124"/>
      <c r="T9" s="125"/>
      <c r="U9" s="126"/>
      <c r="V9" s="126"/>
      <c r="W9" s="127"/>
      <c r="X9" s="127"/>
      <c r="Y9" s="128"/>
      <c r="Z9" s="129"/>
      <c r="AA9" s="42"/>
      <c r="AB9" s="43"/>
      <c r="AC9" s="34"/>
      <c r="AD9" s="31"/>
      <c r="AE9" s="31"/>
      <c r="AF9" s="31"/>
      <c r="AG9" s="31"/>
      <c r="AH9" s="31"/>
      <c r="AI9" s="31"/>
      <c r="AJ9" s="5"/>
      <c r="AK9" s="5"/>
      <c r="AL9" s="5"/>
      <c r="AM9" s="5"/>
      <c r="AN9" s="5"/>
      <c r="AO9" s="5"/>
      <c r="AP9" s="5"/>
      <c r="AQ9" s="130"/>
      <c r="AR9" s="131"/>
    </row>
    <row r="10" s="4" customFormat="1" ht="25" customHeight="1" spans="1:44">
      <c r="A10" s="114"/>
      <c r="B10" s="115"/>
      <c r="C10" s="116"/>
      <c r="D10" s="117"/>
      <c r="E10" s="115"/>
      <c r="F10" s="115"/>
      <c r="G10" s="115"/>
      <c r="H10" s="117"/>
      <c r="I10" s="118"/>
      <c r="J10" s="118"/>
      <c r="K10" s="115"/>
      <c r="L10" s="119"/>
      <c r="M10" s="119"/>
      <c r="N10" s="119"/>
      <c r="O10" s="120"/>
      <c r="P10" s="121"/>
      <c r="Q10" s="122"/>
      <c r="R10" s="123"/>
      <c r="S10" s="124"/>
      <c r="T10" s="125"/>
      <c r="U10" s="126"/>
      <c r="V10" s="126"/>
      <c r="W10" s="127"/>
      <c r="X10" s="127"/>
      <c r="Y10" s="128"/>
      <c r="Z10" s="129"/>
      <c r="AA10" s="42"/>
      <c r="AB10" s="43"/>
      <c r="AC10" s="34"/>
      <c r="AD10" s="31"/>
      <c r="AE10" s="31"/>
      <c r="AF10" s="31"/>
      <c r="AG10" s="31"/>
      <c r="AH10" s="31"/>
      <c r="AI10" s="31"/>
      <c r="AJ10" s="5"/>
      <c r="AK10" s="5"/>
      <c r="AL10" s="5"/>
      <c r="AM10" s="5"/>
      <c r="AN10" s="5"/>
      <c r="AO10" s="5"/>
      <c r="AP10" s="5"/>
      <c r="AQ10" s="130"/>
      <c r="AR10" s="131"/>
    </row>
    <row r="11" s="4" customFormat="1" ht="25" customHeight="1" spans="1:44">
      <c r="A11" s="114"/>
      <c r="B11" s="115"/>
      <c r="C11" s="116"/>
      <c r="D11" s="117"/>
      <c r="E11" s="115"/>
      <c r="F11" s="115"/>
      <c r="G11" s="115"/>
      <c r="H11" s="117"/>
      <c r="I11" s="118"/>
      <c r="J11" s="118"/>
      <c r="K11" s="115"/>
      <c r="L11" s="119"/>
      <c r="M11" s="119"/>
      <c r="N11" s="119"/>
      <c r="O11" s="120"/>
      <c r="P11" s="121"/>
      <c r="Q11" s="122"/>
      <c r="R11" s="123"/>
      <c r="S11" s="124"/>
      <c r="T11" s="125"/>
      <c r="U11" s="126"/>
      <c r="V11" s="126"/>
      <c r="W11" s="127"/>
      <c r="X11" s="127"/>
      <c r="Y11" s="128"/>
      <c r="Z11" s="129"/>
      <c r="AA11" s="42"/>
      <c r="AB11" s="43"/>
      <c r="AC11" s="34"/>
      <c r="AD11" s="31"/>
      <c r="AE11" s="31"/>
      <c r="AF11" s="31"/>
      <c r="AG11" s="31"/>
      <c r="AH11" s="31"/>
      <c r="AI11" s="31"/>
      <c r="AJ11" s="5"/>
      <c r="AK11" s="5"/>
      <c r="AL11" s="5"/>
      <c r="AM11" s="5"/>
      <c r="AN11" s="5"/>
      <c r="AO11" s="5"/>
      <c r="AP11" s="5"/>
      <c r="AQ11" s="130"/>
      <c r="AR11" s="131"/>
    </row>
    <row r="12" s="4" customFormat="1" ht="25" customHeight="1" spans="1:44">
      <c r="A12" s="114"/>
      <c r="B12" s="115"/>
      <c r="C12" s="116"/>
      <c r="D12" s="117"/>
      <c r="E12" s="115"/>
      <c r="F12" s="115"/>
      <c r="G12" s="115"/>
      <c r="H12" s="117"/>
      <c r="I12" s="118"/>
      <c r="J12" s="118"/>
      <c r="K12" s="115"/>
      <c r="L12" s="119"/>
      <c r="M12" s="119"/>
      <c r="N12" s="119"/>
      <c r="O12" s="120"/>
      <c r="P12" s="121"/>
      <c r="Q12" s="122"/>
      <c r="R12" s="123"/>
      <c r="S12" s="124"/>
      <c r="T12" s="125"/>
      <c r="U12" s="126"/>
      <c r="V12" s="126"/>
      <c r="W12" s="127"/>
      <c r="X12" s="127"/>
      <c r="Y12" s="128"/>
      <c r="Z12" s="129"/>
      <c r="AA12" s="42"/>
      <c r="AB12" s="43"/>
      <c r="AC12" s="34"/>
      <c r="AD12" s="31"/>
      <c r="AE12" s="31"/>
      <c r="AF12" s="31"/>
      <c r="AG12" s="31"/>
      <c r="AH12" s="31"/>
      <c r="AI12" s="31"/>
      <c r="AJ12" s="5"/>
      <c r="AK12" s="5"/>
      <c r="AL12" s="5"/>
      <c r="AM12" s="5"/>
      <c r="AN12" s="5"/>
      <c r="AO12" s="5"/>
      <c r="AP12" s="5"/>
      <c r="AQ12" s="130"/>
      <c r="AR12" s="131"/>
    </row>
    <row r="13" s="4" customFormat="1" ht="25" customHeight="1" spans="1:44">
      <c r="A13" s="114"/>
      <c r="B13" s="115"/>
      <c r="C13" s="116"/>
      <c r="D13" s="117"/>
      <c r="E13" s="115"/>
      <c r="F13" s="115"/>
      <c r="G13" s="115"/>
      <c r="H13" s="117"/>
      <c r="I13" s="118"/>
      <c r="J13" s="118"/>
      <c r="K13" s="115"/>
      <c r="L13" s="119"/>
      <c r="M13" s="119"/>
      <c r="N13" s="119"/>
      <c r="O13" s="120"/>
      <c r="P13" s="121"/>
      <c r="Q13" s="122"/>
      <c r="R13" s="123"/>
      <c r="S13" s="124"/>
      <c r="T13" s="125"/>
      <c r="U13" s="126"/>
      <c r="V13" s="126"/>
      <c r="W13" s="127"/>
      <c r="X13" s="127"/>
      <c r="Y13" s="128"/>
      <c r="Z13" s="129"/>
      <c r="AA13" s="42"/>
      <c r="AB13" s="43"/>
      <c r="AC13" s="34"/>
      <c r="AD13" s="31"/>
      <c r="AE13" s="31"/>
      <c r="AF13" s="31"/>
      <c r="AG13" s="31"/>
      <c r="AH13" s="31"/>
      <c r="AI13" s="31"/>
      <c r="AJ13" s="5"/>
      <c r="AK13" s="5"/>
      <c r="AL13" s="5"/>
      <c r="AM13" s="5"/>
      <c r="AN13" s="5"/>
      <c r="AO13" s="5"/>
      <c r="AP13" s="5"/>
      <c r="AQ13" s="130"/>
      <c r="AR13" s="131"/>
    </row>
    <row r="14" ht="25" customHeight="1" spans="1:44">
      <c r="O14" s="132"/>
    </row>
    <row r="15" ht="25" customHeight="1" spans="1:44">
      <c r="O15" s="132"/>
    </row>
    <row r="16" ht="25" customHeight="1" spans="1:44">
      <c r="O16" s="132"/>
    </row>
    <row r="17" ht="25" customHeight="1" spans="15:15">
      <c r="O17" s="132"/>
    </row>
    <row r="18" ht="25" customHeight="1" spans="15:15">
      <c r="O18" s="132"/>
    </row>
    <row r="19" ht="25" customHeight="1" spans="15:15">
      <c r="O19" s="132"/>
    </row>
    <row r="20" ht="25" customHeight="1" spans="15:15">
      <c r="O20" s="132"/>
    </row>
    <row r="21" ht="25" customHeight="1" spans="15:15">
      <c r="O21" s="132"/>
    </row>
    <row r="22" ht="25" customHeight="1" spans="15:15">
      <c r="O22" s="132"/>
    </row>
    <row r="23" ht="25" customHeight="1"/>
    <row r="24" ht="25" customHeight="1"/>
    <row r="25" ht="25" customHeight="1"/>
    <row r="26" ht="25" customHeight="1"/>
    <row r="27" ht="25" customHeight="1"/>
    <row r="28" ht="25" customHeight="1"/>
    <row r="29" ht="25" customHeight="1"/>
    <row r="30" ht="25" customHeight="1"/>
    <row r="31" ht="25" customHeight="1"/>
    <row r="32" ht="25" customHeight="1"/>
    <row r="33" ht="25" customHeight="1"/>
    <row r="65471" s="4" customFormat="1" ht="25" customHeight="1" spans="1:35">
      <c r="A65471" s="19"/>
      <c r="B65471" s="20"/>
      <c r="C65471" s="20"/>
      <c r="D65471" s="21"/>
      <c r="E65471" s="20"/>
      <c r="F65471" s="20"/>
      <c r="G65471" s="20"/>
      <c r="H65471" s="20"/>
      <c r="I65471" s="24"/>
      <c r="J65471" s="24"/>
      <c r="K65471" s="20"/>
      <c r="L65471" s="19"/>
      <c r="M65471" s="19"/>
      <c r="N65471" s="133"/>
      <c r="O65471" s="23"/>
      <c r="P65471" s="29"/>
      <c r="Q65471" s="20"/>
      <c r="R65471" s="20"/>
      <c r="S65471" s="23"/>
      <c r="T65471" s="23"/>
      <c r="U65471" s="20"/>
      <c r="V65471" s="20"/>
      <c r="W65471" s="20"/>
      <c r="X65471" s="23"/>
      <c r="Y65471" s="23"/>
      <c r="Z65471" s="20"/>
      <c r="AA65471" s="20"/>
      <c r="AB65471" s="20"/>
      <c r="AC65471" s="20"/>
      <c r="AD65471" s="94"/>
      <c r="AE65471" s="94"/>
      <c r="AF65471" s="94"/>
      <c r="AG65471" s="94"/>
      <c r="AH65471" s="95"/>
      <c r="AI65471" s="134"/>
    </row>
    <row r="65472" s="4" customFormat="1" ht="25" customHeight="1" spans="1:35">
      <c r="A65472" s="30"/>
      <c r="B65472" s="31"/>
      <c r="C65472" s="32"/>
      <c r="D65472" s="33"/>
      <c r="E65472" s="31"/>
      <c r="F65472" s="31"/>
      <c r="G65472" s="31"/>
      <c r="H65472" s="31"/>
      <c r="I65472" s="35"/>
      <c r="J65472" s="31"/>
      <c r="K65472" s="31"/>
      <c r="L65472" s="121"/>
      <c r="M65472" s="121"/>
      <c r="N65472" s="114"/>
      <c r="O65472" s="120"/>
      <c r="P65472" s="121"/>
      <c r="Q65472" s="135"/>
      <c r="R65472" s="127"/>
      <c r="S65472" s="120"/>
      <c r="T65472" s="5"/>
      <c r="U65472" s="120"/>
      <c r="V65472" s="120"/>
      <c r="W65472" s="127"/>
      <c r="X65472" s="127"/>
      <c r="Y65472" s="136"/>
      <c r="Z65472" s="137"/>
      <c r="AA65472" s="42"/>
      <c r="AB65472" s="43"/>
      <c r="AC65472" s="34"/>
      <c r="AD65472" s="31"/>
      <c r="AE65472" s="31"/>
      <c r="AF65472" s="31"/>
      <c r="AG65472" s="31"/>
      <c r="AH65472" s="31"/>
      <c r="AI65472" s="138"/>
    </row>
    <row r="65473" s="4" customFormat="1" ht="25" customHeight="1" spans="1:35">
      <c r="A65473" s="30"/>
      <c r="B65473" s="31"/>
      <c r="C65473" s="32"/>
      <c r="D65473" s="33"/>
      <c r="E65473" s="31"/>
      <c r="F65473" s="31"/>
      <c r="G65473" s="31"/>
      <c r="H65473" s="31"/>
      <c r="I65473" s="35"/>
      <c r="J65473" s="31"/>
      <c r="K65473" s="31"/>
      <c r="L65473" s="121"/>
      <c r="M65473" s="121"/>
      <c r="N65473" s="114"/>
      <c r="O65473" s="120"/>
      <c r="P65473" s="121"/>
      <c r="Q65473" s="135"/>
      <c r="R65473" s="127"/>
      <c r="S65473" s="120"/>
      <c r="T65473" s="5"/>
      <c r="U65473" s="120"/>
      <c r="V65473" s="120"/>
      <c r="W65473" s="127"/>
      <c r="X65473" s="127"/>
      <c r="Y65473" s="136"/>
      <c r="Z65473" s="137"/>
      <c r="AA65473" s="42"/>
      <c r="AB65473" s="43"/>
      <c r="AC65473" s="34"/>
      <c r="AD65473" s="31"/>
      <c r="AE65473" s="31"/>
      <c r="AF65473" s="31"/>
      <c r="AG65473" s="31"/>
      <c r="AH65473" s="31"/>
      <c r="AI65473" s="138"/>
    </row>
    <row r="65474" s="4" customFormat="1" ht="25" customHeight="1" spans="1:35">
      <c r="A65474" s="30"/>
      <c r="B65474" s="31"/>
      <c r="C65474" s="32"/>
      <c r="D65474" s="33"/>
      <c r="E65474" s="31"/>
      <c r="F65474" s="31"/>
      <c r="G65474" s="31"/>
      <c r="H65474" s="31"/>
      <c r="I65474" s="35"/>
      <c r="J65474" s="31"/>
      <c r="K65474" s="31"/>
      <c r="L65474" s="121"/>
      <c r="M65474" s="121"/>
      <c r="N65474" s="30"/>
      <c r="O65474" s="30"/>
      <c r="P65474" s="121"/>
      <c r="Q65474" s="135"/>
      <c r="R65474" s="127"/>
      <c r="S65474" s="120"/>
      <c r="T65474" s="5"/>
      <c r="U65474" s="120"/>
      <c r="V65474" s="120"/>
      <c r="W65474" s="127"/>
      <c r="X65474" s="127"/>
      <c r="Y65474" s="136"/>
      <c r="Z65474" s="137"/>
      <c r="AA65474" s="42"/>
      <c r="AB65474" s="43"/>
      <c r="AC65474" s="34"/>
      <c r="AD65474" s="31"/>
      <c r="AE65474" s="31"/>
      <c r="AF65474" s="31"/>
      <c r="AG65474" s="31"/>
      <c r="AH65474" s="31"/>
      <c r="AI65474" s="138"/>
    </row>
    <row r="65475" s="4" customFormat="1" ht="25" customHeight="1" spans="1:35">
      <c r="A65475" s="30"/>
      <c r="B65475" s="31"/>
      <c r="C65475" s="32"/>
      <c r="D65475" s="33"/>
      <c r="E65475" s="31"/>
      <c r="F65475" s="31"/>
      <c r="G65475" s="31"/>
      <c r="H65475" s="31"/>
      <c r="I65475" s="35"/>
      <c r="J65475" s="31"/>
      <c r="K65475" s="31"/>
      <c r="L65475" s="121"/>
      <c r="M65475" s="121"/>
      <c r="N65475" s="30"/>
      <c r="O65475" s="30"/>
      <c r="P65475" s="121"/>
      <c r="Q65475" s="135"/>
      <c r="R65475" s="127"/>
      <c r="S65475" s="120"/>
      <c r="T65475" s="5"/>
      <c r="U65475" s="120"/>
      <c r="V65475" s="120"/>
      <c r="W65475" s="127"/>
      <c r="X65475" s="127"/>
      <c r="Y65475" s="136"/>
      <c r="Z65475" s="137"/>
      <c r="AA65475" s="42"/>
      <c r="AB65475" s="43"/>
      <c r="AC65475" s="34"/>
      <c r="AD65475" s="31"/>
      <c r="AE65475" s="31"/>
      <c r="AF65475" s="31"/>
      <c r="AG65475" s="31"/>
      <c r="AH65475" s="31"/>
      <c r="AI65475" s="138"/>
    </row>
    <row r="65476" s="4" customFormat="1" ht="25" customHeight="1" spans="1:35">
      <c r="A65476" s="30"/>
      <c r="B65476" s="31"/>
      <c r="C65476" s="32"/>
      <c r="D65476" s="33"/>
      <c r="E65476" s="31"/>
      <c r="F65476" s="31"/>
      <c r="G65476" s="31"/>
      <c r="H65476" s="31"/>
      <c r="I65476" s="35"/>
      <c r="J65476" s="31"/>
      <c r="K65476" s="31"/>
      <c r="L65476" s="121"/>
      <c r="M65476" s="121"/>
      <c r="N65476" s="30"/>
      <c r="O65476" s="30"/>
      <c r="P65476" s="121"/>
      <c r="Q65476" s="135"/>
      <c r="R65476" s="127"/>
      <c r="S65476" s="120"/>
      <c r="T65476" s="5"/>
      <c r="U65476" s="120"/>
      <c r="V65476" s="120"/>
      <c r="W65476" s="127"/>
      <c r="X65476" s="127"/>
      <c r="Y65476" s="139"/>
      <c r="Z65476" s="137"/>
      <c r="AA65476" s="42"/>
      <c r="AB65476" s="43"/>
      <c r="AC65476" s="34"/>
      <c r="AD65476" s="31"/>
      <c r="AE65476" s="31"/>
      <c r="AF65476" s="31"/>
      <c r="AG65476" s="31"/>
      <c r="AH65476" s="31"/>
      <c r="AI65476" s="138"/>
    </row>
    <row r="65477" s="4" customFormat="1" ht="25" customHeight="1" spans="1:35">
      <c r="A65477" s="30"/>
      <c r="B65477" s="31"/>
      <c r="C65477" s="32"/>
      <c r="D65477" s="33"/>
      <c r="E65477" s="31"/>
      <c r="F65477" s="31"/>
      <c r="G65477" s="31"/>
      <c r="H65477" s="31"/>
      <c r="I65477" s="35"/>
      <c r="J65477" s="31"/>
      <c r="K65477" s="31"/>
      <c r="L65477" s="121"/>
      <c r="M65477" s="121"/>
      <c r="N65477" s="30"/>
      <c r="O65477" s="30"/>
      <c r="P65477" s="121"/>
      <c r="Q65477" s="135"/>
      <c r="R65477" s="127"/>
      <c r="S65477" s="120"/>
      <c r="T65477" s="5"/>
      <c r="U65477" s="120"/>
      <c r="V65477" s="120"/>
      <c r="W65477" s="127"/>
      <c r="X65477" s="127"/>
      <c r="Y65477" s="139"/>
      <c r="Z65477" s="137"/>
      <c r="AA65477" s="42"/>
      <c r="AB65477" s="43"/>
      <c r="AC65477" s="34"/>
      <c r="AD65477" s="31"/>
      <c r="AE65477" s="31"/>
      <c r="AF65477" s="31"/>
      <c r="AG65477" s="31"/>
      <c r="AH65477" s="31"/>
      <c r="AI65477" s="138"/>
    </row>
    <row r="65478" s="4" customFormat="1" ht="25" customHeight="1" spans="1:35">
      <c r="A65478" s="30"/>
      <c r="B65478" s="115"/>
      <c r="C65478" s="32"/>
      <c r="D65478" s="33"/>
      <c r="E65478" s="31"/>
      <c r="F65478" s="31"/>
      <c r="G65478" s="31"/>
      <c r="H65478" s="31"/>
      <c r="I65478" s="35"/>
      <c r="J65478" s="31"/>
      <c r="K65478" s="31"/>
      <c r="L65478" s="121"/>
      <c r="M65478" s="121"/>
      <c r="N65478" s="140"/>
      <c r="O65478" s="120"/>
      <c r="P65478" s="141"/>
      <c r="Q65478" s="135"/>
      <c r="R65478" s="127"/>
      <c r="S65478" s="127"/>
      <c r="T65478" s="5"/>
      <c r="U65478" s="120"/>
      <c r="V65478" s="120"/>
      <c r="W65478" s="127"/>
      <c r="X65478" s="127"/>
      <c r="Y65478" s="142"/>
      <c r="Z65478" s="137"/>
      <c r="AA65478" s="42"/>
      <c r="AB65478" s="43"/>
      <c r="AC65478" s="34"/>
      <c r="AD65478" s="31"/>
      <c r="AE65478" s="31"/>
      <c r="AF65478" s="31"/>
      <c r="AG65478" s="31"/>
      <c r="AH65478" s="31"/>
      <c r="AI65478" s="138"/>
    </row>
    <row r="65479" s="4" customFormat="1" ht="25" customHeight="1" spans="1:35">
      <c r="A65479" s="114"/>
      <c r="B65479" s="115"/>
      <c r="C65479" s="32"/>
      <c r="D65479" s="143"/>
      <c r="E65479" s="115"/>
      <c r="F65479" s="115"/>
      <c r="G65479" s="115"/>
      <c r="H65479" s="115"/>
      <c r="I65479" s="144"/>
      <c r="J65479" s="31"/>
      <c r="K65479" s="31"/>
      <c r="L65479" s="121"/>
      <c r="M65479" s="121"/>
      <c r="N65479" s="140"/>
      <c r="O65479" s="120"/>
      <c r="P65479" s="141"/>
      <c r="Q65479" s="122"/>
      <c r="R65479" s="127"/>
      <c r="S65479" s="145"/>
      <c r="T65479" s="5"/>
      <c r="U65479" s="120"/>
      <c r="V65479" s="120"/>
      <c r="W65479" s="127"/>
      <c r="X65479" s="127"/>
      <c r="Y65479" s="146"/>
      <c r="Z65479" s="129"/>
      <c r="AA65479" s="42"/>
      <c r="AB65479" s="43"/>
      <c r="AC65479" s="34"/>
      <c r="AD65479" s="31"/>
      <c r="AE65479" s="31"/>
      <c r="AF65479" s="31"/>
      <c r="AG65479" s="31"/>
      <c r="AH65479" s="31"/>
      <c r="AI65479" s="138"/>
    </row>
    <row r="65480" s="3" customFormat="1"/>
    <row r="65481" s="4" customFormat="1" ht="25" customHeight="1" spans="1:35">
      <c r="A65481" s="114"/>
      <c r="B65481" s="115"/>
      <c r="C65481" s="116"/>
      <c r="D65481" s="117"/>
      <c r="E65481" s="115"/>
      <c r="F65481" s="115"/>
      <c r="G65481" s="115"/>
      <c r="H65481" s="117"/>
      <c r="I65481" s="118"/>
      <c r="J65481" s="118"/>
      <c r="K65481" s="115"/>
      <c r="L65481" s="119"/>
      <c r="M65481" s="119"/>
      <c r="N65481" s="119"/>
      <c r="O65481" s="120"/>
      <c r="P65481" s="141"/>
      <c r="Q65481" s="122"/>
      <c r="R65481" s="123"/>
      <c r="S65481" s="124"/>
      <c r="T65481" s="125"/>
      <c r="U65481" s="126"/>
      <c r="V65481" s="126"/>
      <c r="W65481" s="127"/>
      <c r="X65481" s="127"/>
      <c r="Y65481" s="147"/>
      <c r="Z65481" s="129"/>
      <c r="AA65481" s="42"/>
      <c r="AB65481" s="43"/>
      <c r="AC65481" s="34"/>
      <c r="AD65481" s="31"/>
      <c r="AE65481" s="31"/>
      <c r="AF65481" s="31"/>
      <c r="AG65481" s="31"/>
      <c r="AH65481" s="31"/>
      <c r="AI65481" s="138"/>
    </row>
    <row r="65482" ht="25" customHeight="1" spans="1:35">
      <c r="O65482" s="132"/>
    </row>
    <row r="65483" ht="25" customHeight="1" spans="1:35">
      <c r="O65483" s="132"/>
    </row>
    <row r="65484" ht="25" customHeight="1" spans="1:35">
      <c r="O65484" s="132"/>
    </row>
    <row r="65485" ht="25" customHeight="1" spans="1:35">
      <c r="O65485" s="132"/>
    </row>
    <row r="65486" ht="25" customHeight="1" spans="1:35">
      <c r="O65486" s="132"/>
    </row>
    <row r="65487" ht="25" customHeight="1" spans="1:35">
      <c r="H65487" s="87"/>
      <c r="O65487" s="132"/>
    </row>
    <row r="65488" ht="25" customHeight="1" spans="1:35">
      <c r="O65488" s="132"/>
    </row>
    <row r="65489" ht="25" customHeight="1" spans="15:15">
      <c r="O65489" s="132"/>
    </row>
    <row r="65490" ht="25" customHeight="1" spans="15:15">
      <c r="O65490" s="132"/>
    </row>
    <row r="65491" ht="25" customHeight="1" spans="15:15">
      <c r="O65491" s="132"/>
    </row>
  </sheetData>
  <sheetProtection formatCells="0" formatColumns="0" formatRows="0" insertRows="0" insertColumns="0" insertHyperlinks="0" deleteColumns="0" deleteRows="0" sort="0" autoFilter="0" pivotTables="0"/>
  <conditionalFormatting sqref="R2">
    <cfRule type="containsText" dxfId="0" priority="1" operator="between" text="未提供">
      <formula>NOT(ISERROR(SEARCH("未提供",R2)))</formula>
    </cfRule>
  </conditionalFormatting>
  <conditionalFormatting sqref="S2">
    <cfRule type="containsText" dxfId="0" priority="5" operator="between" text="未确认/">
      <formula>NOT(ISERROR(SEARCH("未确认/",S2)))</formula>
    </cfRule>
    <cfRule type="containsText" dxfId="0" priority="4" operator="between" text="未确认//">
      <formula>NOT(ISERROR(SEARCH("未确认//",S2)))</formula>
    </cfRule>
    <cfRule type="containsText" dxfId="0" priority="3" operator="between" text="/">
      <formula>NOT(ISERROR(SEARCH("/",S2)))</formula>
    </cfRule>
    <cfRule type="containsText" dxfId="0" priority="2" operator="between" text="未确认">
      <formula>NOT(ISERROR(SEARCH("未确认",S2)))</formula>
    </cfRule>
  </conditionalFormatting>
  <conditionalFormatting sqref="U2">
    <cfRule type="containsText" dxfId="0" priority="8" operator="between" text="否">
      <formula>NOT(ISERROR(SEARCH("否",U2)))</formula>
    </cfRule>
    <cfRule type="containsText" dxfId="0" priority="7" operator="between" text="欠">
      <formula>NOT(ISERROR(SEARCH("欠",U2)))</formula>
    </cfRule>
  </conditionalFormatting>
  <conditionalFormatting sqref="Q2 T2">
    <cfRule type="containsText" dxfId="0" priority="6" operator="between" text="未提供">
      <formula>NOT(ISERROR(SEARCH("未提供",Q2)))</formula>
    </cfRule>
  </conditionalFormatting>
  <pageMargins left="0.75" right="0.75" top="1" bottom="1" header="0.5" footer="0.5"/>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V65536"/>
  <sheetViews>
    <sheetView zoomScale="70" zoomScaleNormal="70" topLeftCell="B1" workbookViewId="0">
      <selection activeCell="C4" sqref="C4"/>
    </sheetView>
  </sheetViews>
  <sheetFormatPr defaultColWidth="10" defaultRowHeight="14.25"/>
  <cols>
    <col min="1" max="1" width="15" style="11" customWidth="1"/>
    <col min="2" max="2" width="10" style="4"/>
    <col min="3" max="3" width="10" style="3"/>
    <col min="4" max="4" width="21.225" style="12" customWidth="1"/>
    <col min="5" max="5" width="14.4416666666667" style="4" customWidth="1"/>
    <col min="6" max="6" width="10" style="4"/>
    <col min="7" max="7" width="20.2583333333333" style="4" customWidth="1"/>
    <col min="8" max="8" width="9.44166666666667" style="13" customWidth="1"/>
    <col min="9" max="9" width="14.1083333333333" style="4" customWidth="1"/>
    <col min="10" max="12" width="9.44166666666667" style="13" customWidth="1"/>
    <col min="13" max="13" width="10" style="14" customWidth="1"/>
    <col min="14" max="14" width="10" style="15" customWidth="1"/>
    <col min="15" max="15" width="10" style="16" customWidth="1"/>
    <col min="16" max="16" width="10" style="17" customWidth="1"/>
    <col min="17" max="17" width="10" style="14" customWidth="1"/>
    <col min="18" max="18" width="10" style="15" customWidth="1"/>
    <col min="19" max="19" width="10" style="16" customWidth="1"/>
    <col min="20" max="20" width="10" style="17" customWidth="1"/>
    <col min="21" max="21" width="10" style="14" customWidth="1"/>
    <col min="22" max="22" width="12.5583333333333" style="3" customWidth="1"/>
    <col min="23" max="23" width="10" style="3"/>
    <col min="24" max="24" width="14" style="18" customWidth="1"/>
    <col min="25" max="25" width="14.225" style="3"/>
    <col min="26" max="26" width="11.2666666666667" style="3" customWidth="1"/>
    <col min="27" max="247" width="10" style="3"/>
    <col min="248" max="248" width="15" style="11" customWidth="1"/>
    <col min="249" max="16384" width="10" style="11"/>
  </cols>
  <sheetData>
    <row r="1" s="4" customFormat="1" ht="25" customHeight="1" spans="1:256">
      <c r="A1" s="19" t="s">
        <v>0</v>
      </c>
      <c r="B1" s="20" t="s">
        <v>3</v>
      </c>
      <c r="C1" s="20" t="s">
        <v>418</v>
      </c>
      <c r="D1" s="21" t="s">
        <v>932</v>
      </c>
      <c r="E1" s="20" t="s">
        <v>419</v>
      </c>
      <c r="F1" s="20" t="s">
        <v>5</v>
      </c>
      <c r="G1" s="20" t="s">
        <v>6</v>
      </c>
      <c r="H1" s="22" t="s">
        <v>933</v>
      </c>
      <c r="I1" s="23" t="s">
        <v>934</v>
      </c>
      <c r="J1" s="22" t="s">
        <v>935</v>
      </c>
      <c r="K1" s="22" t="s">
        <v>936</v>
      </c>
      <c r="L1" s="24" t="s">
        <v>937</v>
      </c>
      <c r="M1" s="25" t="s">
        <v>938</v>
      </c>
      <c r="N1" s="26" t="s">
        <v>939</v>
      </c>
      <c r="O1" s="27" t="s">
        <v>940</v>
      </c>
      <c r="P1" s="28" t="s">
        <v>941</v>
      </c>
      <c r="Q1" s="25" t="s">
        <v>942</v>
      </c>
      <c r="R1" s="26" t="s">
        <v>943</v>
      </c>
      <c r="S1" s="27" t="s">
        <v>944</v>
      </c>
      <c r="T1" s="28" t="s">
        <v>945</v>
      </c>
      <c r="U1" s="25" t="s">
        <v>946</v>
      </c>
      <c r="V1" s="29" t="s">
        <v>947</v>
      </c>
      <c r="W1" s="20" t="s">
        <v>73</v>
      </c>
      <c r="X1" s="20" t="s">
        <v>74</v>
      </c>
      <c r="Y1" s="20" t="s">
        <v>75</v>
      </c>
      <c r="IN1" s="19"/>
    </row>
    <row r="2" s="3" customFormat="1" ht="25" customHeight="1" spans="1:256">
      <c r="A2" s="30">
        <v>45735</v>
      </c>
      <c r="B2" s="31" t="s">
        <v>88</v>
      </c>
      <c r="C2" s="32" t="s">
        <v>445</v>
      </c>
      <c r="D2" s="33" t="s">
        <v>948</v>
      </c>
      <c r="E2" s="31" t="s">
        <v>949</v>
      </c>
      <c r="F2" s="31" t="s">
        <v>950</v>
      </c>
      <c r="G2" s="34" t="s">
        <v>951</v>
      </c>
      <c r="H2" s="35">
        <v>14</v>
      </c>
      <c r="I2" s="34">
        <v>1</v>
      </c>
      <c r="J2" s="35"/>
      <c r="K2" s="35">
        <v>12</v>
      </c>
      <c r="L2" s="35">
        <f t="shared" ref="L2:L13" si="0">4000+(480000/160*H2)</f>
        <v>46000</v>
      </c>
      <c r="M2" s="36">
        <f t="shared" ref="M2:M13" si="1">5004/6*J2</f>
        <v>0</v>
      </c>
      <c r="N2" s="37">
        <f t="shared" ref="N2:N13" si="2">174080/160*H2</f>
        <v>15232</v>
      </c>
      <c r="O2" s="38">
        <v>360</v>
      </c>
      <c r="P2" s="39">
        <v>432</v>
      </c>
      <c r="Q2" s="36">
        <f t="shared" ref="Q2:Q13" si="3">2802/6*J2</f>
        <v>0</v>
      </c>
      <c r="R2" s="37">
        <v>360</v>
      </c>
      <c r="S2" s="38">
        <v>864</v>
      </c>
      <c r="T2" s="39">
        <f t="shared" ref="T2:T13" si="4">4002/6*J2</f>
        <v>0</v>
      </c>
      <c r="U2" s="36">
        <f>K2*120</f>
        <v>1440</v>
      </c>
      <c r="V2" s="40">
        <f t="shared" ref="V2:V13" si="5">L2-SUM(M2:U2)</f>
        <v>27312</v>
      </c>
      <c r="W2" s="41">
        <v>3.799</v>
      </c>
      <c r="X2" s="42">
        <f t="shared" ref="X2:X13" si="6">V2*W2</f>
        <v>103758.288</v>
      </c>
      <c r="Y2" s="43">
        <f t="shared" ref="Y2:Y13" si="7">X2*7.75</f>
        <v>804126.732</v>
      </c>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IN2" s="30"/>
      <c r="IO2" s="4"/>
      <c r="IP2" s="4"/>
      <c r="IQ2" s="4"/>
      <c r="IR2" s="4"/>
      <c r="IS2" s="4"/>
      <c r="IT2" s="4"/>
      <c r="IU2" s="4"/>
      <c r="IV2" s="4"/>
    </row>
    <row r="3" s="3" customFormat="1" ht="25" customHeight="1" spans="1:256">
      <c r="A3" s="30">
        <v>45735</v>
      </c>
      <c r="B3" s="31" t="s">
        <v>88</v>
      </c>
      <c r="C3" s="32" t="s">
        <v>445</v>
      </c>
      <c r="D3" s="33" t="s">
        <v>948</v>
      </c>
      <c r="E3" s="31" t="s">
        <v>949</v>
      </c>
      <c r="F3" s="31" t="s">
        <v>952</v>
      </c>
      <c r="G3" s="34" t="s">
        <v>953</v>
      </c>
      <c r="H3" s="35">
        <v>14</v>
      </c>
      <c r="I3" s="34">
        <v>1</v>
      </c>
      <c r="J3" s="35"/>
      <c r="K3" s="35">
        <v>12</v>
      </c>
      <c r="L3" s="35">
        <f t="shared" si="0"/>
        <v>46000</v>
      </c>
      <c r="M3" s="36">
        <f t="shared" si="1"/>
        <v>0</v>
      </c>
      <c r="N3" s="37">
        <f t="shared" si="2"/>
        <v>15232</v>
      </c>
      <c r="O3" s="38">
        <v>360</v>
      </c>
      <c r="P3" s="39">
        <v>432</v>
      </c>
      <c r="Q3" s="36">
        <f t="shared" si="3"/>
        <v>0</v>
      </c>
      <c r="R3" s="37">
        <v>360</v>
      </c>
      <c r="S3" s="38">
        <v>864</v>
      </c>
      <c r="T3" s="39">
        <f t="shared" si="4"/>
        <v>0</v>
      </c>
      <c r="U3" s="36">
        <f t="shared" ref="U3:U13" si="8">K3*120</f>
        <v>1440</v>
      </c>
      <c r="V3" s="40">
        <f t="shared" si="5"/>
        <v>27312</v>
      </c>
      <c r="W3" s="41">
        <v>3.799</v>
      </c>
      <c r="X3" s="42">
        <f t="shared" si="6"/>
        <v>103758.288</v>
      </c>
      <c r="Y3" s="43">
        <f t="shared" si="7"/>
        <v>804126.732</v>
      </c>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IN3" s="30"/>
      <c r="IO3" s="4"/>
      <c r="IP3" s="4"/>
      <c r="IQ3" s="4"/>
      <c r="IR3" s="4"/>
      <c r="IS3" s="4"/>
      <c r="IT3" s="4"/>
      <c r="IU3" s="4"/>
      <c r="IV3" s="4"/>
    </row>
    <row r="4" s="3" customFormat="1" ht="25" customHeight="1" spans="1:256">
      <c r="A4" s="30">
        <v>45735</v>
      </c>
      <c r="B4" s="31" t="s">
        <v>88</v>
      </c>
      <c r="C4" s="32" t="s">
        <v>445</v>
      </c>
      <c r="D4" s="33" t="s">
        <v>948</v>
      </c>
      <c r="E4" s="31" t="s">
        <v>949</v>
      </c>
      <c r="F4" s="31" t="s">
        <v>954</v>
      </c>
      <c r="G4" s="34" t="s">
        <v>955</v>
      </c>
      <c r="H4" s="35">
        <v>13</v>
      </c>
      <c r="I4" s="34"/>
      <c r="J4" s="35">
        <v>1</v>
      </c>
      <c r="K4" s="35">
        <v>12</v>
      </c>
      <c r="L4" s="35">
        <f t="shared" si="0"/>
        <v>43000</v>
      </c>
      <c r="M4" s="36">
        <f t="shared" si="1"/>
        <v>834</v>
      </c>
      <c r="N4" s="37">
        <f t="shared" si="2"/>
        <v>14144</v>
      </c>
      <c r="O4" s="38">
        <v>0</v>
      </c>
      <c r="P4" s="39">
        <v>0</v>
      </c>
      <c r="Q4" s="36">
        <f t="shared" si="3"/>
        <v>467</v>
      </c>
      <c r="R4" s="37">
        <v>0</v>
      </c>
      <c r="S4" s="38">
        <v>0</v>
      </c>
      <c r="T4" s="39">
        <f t="shared" si="4"/>
        <v>667</v>
      </c>
      <c r="U4" s="36">
        <f t="shared" si="8"/>
        <v>1440</v>
      </c>
      <c r="V4" s="40">
        <f t="shared" si="5"/>
        <v>25448</v>
      </c>
      <c r="W4" s="41">
        <v>3.799</v>
      </c>
      <c r="X4" s="42">
        <f t="shared" si="6"/>
        <v>96676.952</v>
      </c>
      <c r="Y4" s="43">
        <f t="shared" si="7"/>
        <v>749246.378</v>
      </c>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IN4" s="30"/>
      <c r="IO4" s="4"/>
      <c r="IP4" s="4"/>
      <c r="IQ4" s="4"/>
      <c r="IR4" s="4"/>
      <c r="IS4" s="4"/>
      <c r="IT4" s="4"/>
      <c r="IU4" s="4"/>
      <c r="IV4" s="4"/>
    </row>
    <row r="5" s="3" customFormat="1" ht="25" customHeight="1" spans="1:256">
      <c r="A5" s="30">
        <v>45735</v>
      </c>
      <c r="B5" s="31" t="s">
        <v>88</v>
      </c>
      <c r="C5" s="32" t="s">
        <v>445</v>
      </c>
      <c r="D5" s="33" t="s">
        <v>948</v>
      </c>
      <c r="E5" s="31" t="s">
        <v>949</v>
      </c>
      <c r="F5" s="31" t="s">
        <v>956</v>
      </c>
      <c r="G5" s="34" t="s">
        <v>957</v>
      </c>
      <c r="H5" s="35">
        <v>14</v>
      </c>
      <c r="I5" s="34">
        <v>1</v>
      </c>
      <c r="J5" s="35">
        <v>1</v>
      </c>
      <c r="K5" s="35">
        <v>12</v>
      </c>
      <c r="L5" s="35">
        <f t="shared" si="0"/>
        <v>46000</v>
      </c>
      <c r="M5" s="36">
        <f t="shared" si="1"/>
        <v>834</v>
      </c>
      <c r="N5" s="37">
        <f t="shared" si="2"/>
        <v>15232</v>
      </c>
      <c r="O5" s="38">
        <v>360</v>
      </c>
      <c r="P5" s="39">
        <v>432</v>
      </c>
      <c r="Q5" s="36">
        <f t="shared" si="3"/>
        <v>467</v>
      </c>
      <c r="R5" s="37">
        <v>360</v>
      </c>
      <c r="S5" s="38">
        <v>864</v>
      </c>
      <c r="T5" s="39">
        <f t="shared" si="4"/>
        <v>667</v>
      </c>
      <c r="U5" s="36">
        <f t="shared" si="8"/>
        <v>1440</v>
      </c>
      <c r="V5" s="40">
        <f t="shared" si="5"/>
        <v>25344</v>
      </c>
      <c r="W5" s="41">
        <v>3.799</v>
      </c>
      <c r="X5" s="42">
        <f t="shared" si="6"/>
        <v>96281.856</v>
      </c>
      <c r="Y5" s="43">
        <f t="shared" si="7"/>
        <v>746184.384</v>
      </c>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IN5" s="30"/>
      <c r="IO5" s="4"/>
      <c r="IP5" s="4"/>
      <c r="IQ5" s="4"/>
      <c r="IR5" s="4"/>
      <c r="IS5" s="4"/>
      <c r="IT5" s="4"/>
      <c r="IU5" s="4"/>
      <c r="IV5" s="4"/>
    </row>
    <row r="6" s="3" customFormat="1" ht="25" customHeight="1" spans="1:256">
      <c r="A6" s="30">
        <v>45735</v>
      </c>
      <c r="B6" s="31" t="s">
        <v>88</v>
      </c>
      <c r="C6" s="32" t="s">
        <v>445</v>
      </c>
      <c r="D6" s="33" t="s">
        <v>948</v>
      </c>
      <c r="E6" s="31" t="s">
        <v>949</v>
      </c>
      <c r="F6" s="31" t="s">
        <v>958</v>
      </c>
      <c r="G6" s="34" t="s">
        <v>959</v>
      </c>
      <c r="H6" s="35">
        <v>13</v>
      </c>
      <c r="I6" s="34">
        <v>1</v>
      </c>
      <c r="J6" s="35">
        <v>1</v>
      </c>
      <c r="K6" s="35">
        <v>12</v>
      </c>
      <c r="L6" s="35">
        <f t="shared" si="0"/>
        <v>43000</v>
      </c>
      <c r="M6" s="36">
        <f t="shared" si="1"/>
        <v>834</v>
      </c>
      <c r="N6" s="37">
        <f t="shared" si="2"/>
        <v>14144</v>
      </c>
      <c r="O6" s="38">
        <v>360</v>
      </c>
      <c r="P6" s="39">
        <v>432</v>
      </c>
      <c r="Q6" s="36">
        <f t="shared" si="3"/>
        <v>467</v>
      </c>
      <c r="R6" s="37">
        <v>360</v>
      </c>
      <c r="S6" s="38">
        <v>864</v>
      </c>
      <c r="T6" s="39">
        <f t="shared" si="4"/>
        <v>667</v>
      </c>
      <c r="U6" s="36">
        <f t="shared" si="8"/>
        <v>1440</v>
      </c>
      <c r="V6" s="40">
        <f t="shared" si="5"/>
        <v>23432</v>
      </c>
      <c r="W6" s="41">
        <v>3.799</v>
      </c>
      <c r="X6" s="42">
        <f t="shared" si="6"/>
        <v>89018.168</v>
      </c>
      <c r="Y6" s="43">
        <f t="shared" si="7"/>
        <v>689890.802</v>
      </c>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IN6" s="30"/>
      <c r="IO6" s="4"/>
      <c r="IP6" s="4"/>
      <c r="IQ6" s="4"/>
      <c r="IR6" s="4"/>
      <c r="IS6" s="4"/>
      <c r="IT6" s="4"/>
      <c r="IU6" s="4"/>
      <c r="IV6" s="4"/>
    </row>
    <row r="7" s="3" customFormat="1" ht="25" customHeight="1" spans="1:256">
      <c r="A7" s="30">
        <v>45735</v>
      </c>
      <c r="B7" s="31" t="s">
        <v>88</v>
      </c>
      <c r="C7" s="32" t="s">
        <v>445</v>
      </c>
      <c r="D7" s="33" t="s">
        <v>948</v>
      </c>
      <c r="E7" s="31" t="s">
        <v>949</v>
      </c>
      <c r="F7" s="31" t="s">
        <v>960</v>
      </c>
      <c r="G7" s="34" t="s">
        <v>961</v>
      </c>
      <c r="H7" s="35">
        <v>13</v>
      </c>
      <c r="I7" s="34">
        <v>1</v>
      </c>
      <c r="J7" s="35"/>
      <c r="K7" s="35">
        <v>12</v>
      </c>
      <c r="L7" s="35">
        <f t="shared" si="0"/>
        <v>43000</v>
      </c>
      <c r="M7" s="36">
        <f t="shared" si="1"/>
        <v>0</v>
      </c>
      <c r="N7" s="37">
        <f t="shared" si="2"/>
        <v>14144</v>
      </c>
      <c r="O7" s="38">
        <v>400</v>
      </c>
      <c r="P7" s="39">
        <v>464</v>
      </c>
      <c r="Q7" s="36">
        <f t="shared" si="3"/>
        <v>0</v>
      </c>
      <c r="R7" s="37">
        <v>336</v>
      </c>
      <c r="S7" s="38">
        <v>808</v>
      </c>
      <c r="T7" s="39">
        <f t="shared" si="4"/>
        <v>0</v>
      </c>
      <c r="U7" s="36">
        <f t="shared" si="8"/>
        <v>1440</v>
      </c>
      <c r="V7" s="40">
        <f t="shared" si="5"/>
        <v>25408</v>
      </c>
      <c r="W7" s="41">
        <v>3.799</v>
      </c>
      <c r="X7" s="42">
        <f t="shared" si="6"/>
        <v>96524.992</v>
      </c>
      <c r="Y7" s="43">
        <f t="shared" si="7"/>
        <v>748068.688</v>
      </c>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IN7" s="30"/>
      <c r="IO7" s="4"/>
      <c r="IP7" s="4"/>
      <c r="IQ7" s="4"/>
      <c r="IR7" s="4"/>
      <c r="IS7" s="4"/>
      <c r="IT7" s="4"/>
      <c r="IU7" s="4"/>
      <c r="IV7" s="4"/>
    </row>
    <row r="8" s="3" customFormat="1" ht="25" customHeight="1" spans="1:256">
      <c r="A8" s="30">
        <v>45735</v>
      </c>
      <c r="B8" s="31" t="s">
        <v>88</v>
      </c>
      <c r="C8" s="32" t="s">
        <v>445</v>
      </c>
      <c r="D8" s="33" t="s">
        <v>948</v>
      </c>
      <c r="E8" s="31" t="s">
        <v>949</v>
      </c>
      <c r="F8" s="31" t="s">
        <v>962</v>
      </c>
      <c r="G8" s="34" t="s">
        <v>963</v>
      </c>
      <c r="H8" s="35">
        <v>13</v>
      </c>
      <c r="I8" s="34">
        <v>1</v>
      </c>
      <c r="J8" s="35">
        <v>1</v>
      </c>
      <c r="K8" s="35">
        <v>12</v>
      </c>
      <c r="L8" s="35">
        <f t="shared" si="0"/>
        <v>43000</v>
      </c>
      <c r="M8" s="36">
        <f t="shared" si="1"/>
        <v>834</v>
      </c>
      <c r="N8" s="37">
        <f t="shared" si="2"/>
        <v>14144</v>
      </c>
      <c r="O8" s="38">
        <v>336</v>
      </c>
      <c r="P8" s="39">
        <v>432</v>
      </c>
      <c r="Q8" s="36">
        <f t="shared" si="3"/>
        <v>467</v>
      </c>
      <c r="R8" s="37">
        <v>416</v>
      </c>
      <c r="S8" s="38">
        <v>824</v>
      </c>
      <c r="T8" s="39">
        <f t="shared" si="4"/>
        <v>667</v>
      </c>
      <c r="U8" s="36">
        <f t="shared" si="8"/>
        <v>1440</v>
      </c>
      <c r="V8" s="40">
        <f t="shared" si="5"/>
        <v>23440</v>
      </c>
      <c r="W8" s="41">
        <v>3.799</v>
      </c>
      <c r="X8" s="42">
        <f t="shared" si="6"/>
        <v>89048.56</v>
      </c>
      <c r="Y8" s="43">
        <f t="shared" si="7"/>
        <v>690126.34</v>
      </c>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IN8" s="30"/>
      <c r="IO8" s="4"/>
      <c r="IP8" s="4"/>
      <c r="IQ8" s="4"/>
      <c r="IR8" s="4"/>
      <c r="IS8" s="4"/>
      <c r="IT8" s="4"/>
      <c r="IU8" s="4"/>
      <c r="IV8" s="4"/>
    </row>
    <row r="9" s="3" customFormat="1" ht="25" customHeight="1" spans="1:256">
      <c r="A9" s="30">
        <v>45735</v>
      </c>
      <c r="B9" s="31" t="s">
        <v>88</v>
      </c>
      <c r="C9" s="32" t="s">
        <v>445</v>
      </c>
      <c r="D9" s="33" t="s">
        <v>948</v>
      </c>
      <c r="E9" s="31" t="s">
        <v>949</v>
      </c>
      <c r="F9" s="31" t="s">
        <v>964</v>
      </c>
      <c r="G9" s="34" t="s">
        <v>965</v>
      </c>
      <c r="H9" s="35">
        <v>13</v>
      </c>
      <c r="I9" s="34">
        <v>1</v>
      </c>
      <c r="J9" s="35"/>
      <c r="K9" s="35">
        <v>12</v>
      </c>
      <c r="L9" s="35">
        <f t="shared" si="0"/>
        <v>43000</v>
      </c>
      <c r="M9" s="36">
        <f t="shared" si="1"/>
        <v>0</v>
      </c>
      <c r="N9" s="37">
        <f t="shared" si="2"/>
        <v>14144</v>
      </c>
      <c r="O9" s="38">
        <v>400</v>
      </c>
      <c r="P9" s="39">
        <v>464</v>
      </c>
      <c r="Q9" s="36">
        <f t="shared" si="3"/>
        <v>0</v>
      </c>
      <c r="R9" s="37">
        <v>336</v>
      </c>
      <c r="S9" s="38">
        <v>808</v>
      </c>
      <c r="T9" s="39">
        <f t="shared" si="4"/>
        <v>0</v>
      </c>
      <c r="U9" s="36">
        <f t="shared" si="8"/>
        <v>1440</v>
      </c>
      <c r="V9" s="40">
        <f t="shared" si="5"/>
        <v>25408</v>
      </c>
      <c r="W9" s="41">
        <v>3.799</v>
      </c>
      <c r="X9" s="42">
        <f t="shared" si="6"/>
        <v>96524.992</v>
      </c>
      <c r="Y9" s="43">
        <f t="shared" si="7"/>
        <v>748068.688</v>
      </c>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IN9" s="30"/>
      <c r="IO9" s="4"/>
      <c r="IP9" s="4"/>
      <c r="IQ9" s="4"/>
      <c r="IR9" s="4"/>
      <c r="IS9" s="4"/>
      <c r="IT9" s="4"/>
      <c r="IU9" s="4"/>
      <c r="IV9" s="4"/>
    </row>
    <row r="10" s="3" customFormat="1" ht="25" customHeight="1" spans="1:256">
      <c r="A10" s="30">
        <v>45735</v>
      </c>
      <c r="B10" s="31" t="s">
        <v>88</v>
      </c>
      <c r="C10" s="32" t="s">
        <v>445</v>
      </c>
      <c r="D10" s="33" t="s">
        <v>948</v>
      </c>
      <c r="E10" s="31" t="s">
        <v>949</v>
      </c>
      <c r="F10" s="31" t="s">
        <v>966</v>
      </c>
      <c r="G10" s="34" t="s">
        <v>967</v>
      </c>
      <c r="H10" s="35">
        <v>14</v>
      </c>
      <c r="I10" s="34">
        <v>1</v>
      </c>
      <c r="J10" s="35">
        <v>1</v>
      </c>
      <c r="K10" s="35">
        <v>12</v>
      </c>
      <c r="L10" s="35">
        <f t="shared" si="0"/>
        <v>46000</v>
      </c>
      <c r="M10" s="36">
        <f t="shared" si="1"/>
        <v>834</v>
      </c>
      <c r="N10" s="37">
        <f t="shared" si="2"/>
        <v>15232</v>
      </c>
      <c r="O10" s="38">
        <v>360</v>
      </c>
      <c r="P10" s="39">
        <v>432</v>
      </c>
      <c r="Q10" s="36">
        <f t="shared" si="3"/>
        <v>467</v>
      </c>
      <c r="R10" s="37">
        <v>360</v>
      </c>
      <c r="S10" s="38">
        <v>864</v>
      </c>
      <c r="T10" s="39">
        <f t="shared" si="4"/>
        <v>667</v>
      </c>
      <c r="U10" s="36">
        <f t="shared" si="8"/>
        <v>1440</v>
      </c>
      <c r="V10" s="40">
        <f t="shared" si="5"/>
        <v>25344</v>
      </c>
      <c r="W10" s="41">
        <v>3.799</v>
      </c>
      <c r="X10" s="42">
        <f t="shared" si="6"/>
        <v>96281.856</v>
      </c>
      <c r="Y10" s="43">
        <f t="shared" si="7"/>
        <v>746184.384</v>
      </c>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IN10" s="30"/>
      <c r="IO10" s="4"/>
      <c r="IP10" s="4"/>
      <c r="IQ10" s="4"/>
      <c r="IR10" s="4"/>
      <c r="IS10" s="4"/>
      <c r="IT10" s="4"/>
      <c r="IU10" s="4"/>
      <c r="IV10" s="4"/>
    </row>
    <row r="11" s="3" customFormat="1" ht="25" customHeight="1" spans="1:256">
      <c r="A11" s="30">
        <v>45735</v>
      </c>
      <c r="B11" s="31" t="s">
        <v>88</v>
      </c>
      <c r="C11" s="32" t="s">
        <v>445</v>
      </c>
      <c r="D11" s="33" t="s">
        <v>948</v>
      </c>
      <c r="E11" s="31" t="s">
        <v>949</v>
      </c>
      <c r="F11" s="31" t="s">
        <v>968</v>
      </c>
      <c r="G11" s="34" t="s">
        <v>969</v>
      </c>
      <c r="H11" s="35">
        <v>13</v>
      </c>
      <c r="I11" s="34">
        <v>1</v>
      </c>
      <c r="J11" s="35"/>
      <c r="K11" s="35">
        <v>12</v>
      </c>
      <c r="L11" s="35">
        <f t="shared" si="0"/>
        <v>43000</v>
      </c>
      <c r="M11" s="36">
        <f t="shared" si="1"/>
        <v>0</v>
      </c>
      <c r="N11" s="37">
        <f t="shared" si="2"/>
        <v>14144</v>
      </c>
      <c r="O11" s="38">
        <v>400</v>
      </c>
      <c r="P11" s="39">
        <v>464</v>
      </c>
      <c r="Q11" s="36">
        <f t="shared" si="3"/>
        <v>0</v>
      </c>
      <c r="R11" s="37">
        <v>336</v>
      </c>
      <c r="S11" s="38">
        <v>808</v>
      </c>
      <c r="T11" s="39">
        <f t="shared" si="4"/>
        <v>0</v>
      </c>
      <c r="U11" s="36">
        <f t="shared" si="8"/>
        <v>1440</v>
      </c>
      <c r="V11" s="40">
        <f t="shared" si="5"/>
        <v>25408</v>
      </c>
      <c r="W11" s="41">
        <v>3.799</v>
      </c>
      <c r="X11" s="42">
        <f t="shared" si="6"/>
        <v>96524.992</v>
      </c>
      <c r="Y11" s="43">
        <f t="shared" si="7"/>
        <v>748068.688</v>
      </c>
      <c r="Z11" s="4"/>
      <c r="AA11" s="4"/>
      <c r="AB11" s="4"/>
      <c r="AC11" s="4"/>
      <c r="AD11" s="4"/>
      <c r="AE11" s="4"/>
      <c r="AF11" s="4"/>
      <c r="AG11" s="4"/>
      <c r="AH11" s="4"/>
      <c r="AI11" s="4"/>
      <c r="AJ11" s="4"/>
      <c r="AK11" s="4"/>
      <c r="AL11" s="4"/>
      <c r="AM11" s="4"/>
      <c r="AN11" s="4"/>
      <c r="AO11" s="4"/>
      <c r="AP11" s="4"/>
      <c r="AQ11" s="4"/>
      <c r="AR11" s="4"/>
      <c r="AS11" s="4"/>
      <c r="AT11" s="4"/>
      <c r="IN11" s="30"/>
      <c r="IO11" s="4"/>
      <c r="IP11" s="4"/>
      <c r="IQ11" s="4"/>
      <c r="IR11" s="4"/>
      <c r="IS11" s="4"/>
      <c r="IT11" s="4"/>
      <c r="IU11" s="4"/>
      <c r="IV11" s="4"/>
    </row>
    <row r="12" s="3" customFormat="1" ht="25" customHeight="1" spans="1:256">
      <c r="A12" s="30">
        <v>45735</v>
      </c>
      <c r="B12" s="31" t="s">
        <v>88</v>
      </c>
      <c r="C12" s="32" t="s">
        <v>445</v>
      </c>
      <c r="D12" s="33" t="s">
        <v>948</v>
      </c>
      <c r="E12" s="31" t="s">
        <v>949</v>
      </c>
      <c r="F12" s="31" t="s">
        <v>970</v>
      </c>
      <c r="G12" s="34" t="s">
        <v>971</v>
      </c>
      <c r="H12" s="35">
        <v>13</v>
      </c>
      <c r="I12" s="34">
        <v>1</v>
      </c>
      <c r="J12" s="35"/>
      <c r="K12" s="35">
        <v>12</v>
      </c>
      <c r="L12" s="35">
        <f t="shared" si="0"/>
        <v>43000</v>
      </c>
      <c r="M12" s="36">
        <f t="shared" si="1"/>
        <v>0</v>
      </c>
      <c r="N12" s="37">
        <f t="shared" si="2"/>
        <v>14144</v>
      </c>
      <c r="O12" s="38">
        <v>400</v>
      </c>
      <c r="P12" s="39">
        <v>464</v>
      </c>
      <c r="Q12" s="36">
        <f t="shared" si="3"/>
        <v>0</v>
      </c>
      <c r="R12" s="37">
        <v>336</v>
      </c>
      <c r="S12" s="38">
        <v>808</v>
      </c>
      <c r="T12" s="39">
        <f t="shared" si="4"/>
        <v>0</v>
      </c>
      <c r="U12" s="36">
        <f t="shared" si="8"/>
        <v>1440</v>
      </c>
      <c r="V12" s="40">
        <f t="shared" si="5"/>
        <v>25408</v>
      </c>
      <c r="W12" s="41">
        <v>3.799</v>
      </c>
      <c r="X12" s="42">
        <f t="shared" si="6"/>
        <v>96524.992</v>
      </c>
      <c r="Y12" s="43">
        <f t="shared" si="7"/>
        <v>748068.688</v>
      </c>
      <c r="Z12" s="4"/>
      <c r="AA12" s="4"/>
      <c r="AB12" s="4"/>
      <c r="AC12" s="4"/>
      <c r="AD12" s="4"/>
      <c r="AE12" s="4"/>
      <c r="AF12" s="4"/>
      <c r="AG12" s="4"/>
      <c r="AH12" s="4"/>
      <c r="AI12" s="4"/>
      <c r="AJ12" s="4"/>
      <c r="AK12" s="4"/>
      <c r="AL12" s="4"/>
      <c r="AM12" s="4"/>
      <c r="AN12" s="4"/>
      <c r="AO12" s="4"/>
      <c r="AP12" s="4"/>
      <c r="AQ12" s="4"/>
      <c r="AR12" s="4"/>
      <c r="AS12" s="4"/>
      <c r="AT12" s="4"/>
      <c r="IN12" s="30"/>
      <c r="IO12" s="4"/>
      <c r="IP12" s="4"/>
      <c r="IQ12" s="4"/>
      <c r="IR12" s="4"/>
      <c r="IS12" s="4"/>
      <c r="IT12" s="4"/>
      <c r="IU12" s="4"/>
      <c r="IV12" s="4"/>
    </row>
    <row r="13" s="3" customFormat="1" ht="25" customHeight="1" spans="1:256">
      <c r="A13" s="30">
        <v>45735</v>
      </c>
      <c r="B13" s="31" t="s">
        <v>88</v>
      </c>
      <c r="C13" s="32" t="s">
        <v>445</v>
      </c>
      <c r="D13" s="33" t="s">
        <v>948</v>
      </c>
      <c r="E13" s="31" t="s">
        <v>949</v>
      </c>
      <c r="F13" s="31" t="s">
        <v>972</v>
      </c>
      <c r="G13" s="34" t="s">
        <v>973</v>
      </c>
      <c r="H13" s="35">
        <v>13</v>
      </c>
      <c r="I13" s="34">
        <v>1</v>
      </c>
      <c r="J13" s="35">
        <v>1</v>
      </c>
      <c r="K13" s="35">
        <v>12</v>
      </c>
      <c r="L13" s="35">
        <f t="shared" si="0"/>
        <v>43000</v>
      </c>
      <c r="M13" s="36">
        <f t="shared" si="1"/>
        <v>834</v>
      </c>
      <c r="N13" s="37">
        <f t="shared" si="2"/>
        <v>14144</v>
      </c>
      <c r="O13" s="38">
        <v>352</v>
      </c>
      <c r="P13" s="39">
        <v>424</v>
      </c>
      <c r="Q13" s="36">
        <f t="shared" si="3"/>
        <v>467</v>
      </c>
      <c r="R13" s="37">
        <v>416</v>
      </c>
      <c r="S13" s="38">
        <v>824</v>
      </c>
      <c r="T13" s="39">
        <f t="shared" si="4"/>
        <v>667</v>
      </c>
      <c r="U13" s="36">
        <f t="shared" si="8"/>
        <v>1440</v>
      </c>
      <c r="V13" s="40">
        <f t="shared" si="5"/>
        <v>23432</v>
      </c>
      <c r="W13" s="41">
        <v>3.799</v>
      </c>
      <c r="X13" s="42">
        <f t="shared" si="6"/>
        <v>89018.168</v>
      </c>
      <c r="Y13" s="43">
        <f t="shared" si="7"/>
        <v>689890.802</v>
      </c>
      <c r="Z13" s="4"/>
      <c r="AA13" s="4"/>
      <c r="AB13" s="4"/>
      <c r="AC13" s="4"/>
      <c r="AD13" s="4"/>
      <c r="AE13" s="4"/>
      <c r="AF13" s="4"/>
      <c r="AG13" s="4"/>
      <c r="AH13" s="4"/>
      <c r="AI13" s="4"/>
      <c r="AJ13" s="4"/>
      <c r="AK13" s="4"/>
      <c r="AL13" s="4"/>
      <c r="AM13" s="4"/>
      <c r="AN13" s="4"/>
      <c r="AO13" s="4"/>
      <c r="AP13" s="4"/>
      <c r="AQ13" s="4"/>
      <c r="AR13" s="4"/>
      <c r="AS13" s="4"/>
      <c r="AT13" s="4"/>
      <c r="IN13" s="30"/>
      <c r="IO13" s="4"/>
      <c r="IP13" s="4"/>
      <c r="IQ13" s="4"/>
      <c r="IR13" s="4"/>
      <c r="IS13" s="4"/>
      <c r="IT13" s="4"/>
      <c r="IU13" s="4"/>
      <c r="IV13" s="4"/>
    </row>
    <row r="14" s="3" customFormat="1" ht="25" customHeight="1" spans="1:256">
      <c r="A14" s="30"/>
      <c r="B14" s="31"/>
      <c r="C14" s="32"/>
      <c r="D14" s="33"/>
      <c r="E14" s="31"/>
      <c r="F14" s="31"/>
      <c r="G14" s="34"/>
      <c r="H14" s="35"/>
      <c r="I14" s="34"/>
      <c r="J14" s="35"/>
      <c r="K14" s="35"/>
      <c r="L14" s="35"/>
      <c r="M14" s="36"/>
      <c r="N14" s="37"/>
      <c r="O14" s="38"/>
      <c r="P14" s="39"/>
      <c r="Q14" s="36"/>
      <c r="R14" s="37"/>
      <c r="S14" s="38"/>
      <c r="T14" s="39"/>
      <c r="U14" s="36"/>
      <c r="V14" s="44"/>
      <c r="W14" s="41"/>
      <c r="X14" s="42"/>
      <c r="Y14" s="43"/>
      <c r="Z14" s="4"/>
      <c r="AA14" s="4"/>
      <c r="AB14" s="4"/>
      <c r="AC14" s="4"/>
      <c r="AD14" s="4"/>
      <c r="AE14" s="4"/>
      <c r="AF14" s="4"/>
      <c r="AG14" s="4"/>
      <c r="AH14" s="4"/>
      <c r="AI14" s="4"/>
      <c r="AJ14" s="4"/>
      <c r="AK14" s="4"/>
      <c r="AL14" s="4"/>
      <c r="AM14" s="4"/>
      <c r="AN14" s="4"/>
      <c r="AO14" s="4"/>
      <c r="AP14" s="4"/>
      <c r="AQ14" s="4"/>
      <c r="AR14" s="4"/>
      <c r="AS14" s="4"/>
      <c r="AT14" s="4"/>
      <c r="IN14" s="30"/>
      <c r="IO14" s="4"/>
      <c r="IP14" s="4"/>
      <c r="IQ14" s="4"/>
      <c r="IR14" s="4"/>
      <c r="IS14" s="4"/>
      <c r="IT14" s="4"/>
      <c r="IU14" s="4"/>
      <c r="IV14" s="4"/>
    </row>
    <row r="15" s="3" customFormat="1" ht="25" customHeight="1" spans="1:256">
      <c r="A15" s="30"/>
      <c r="B15" s="31"/>
      <c r="C15" s="32"/>
      <c r="D15" s="33"/>
      <c r="E15" s="31"/>
      <c r="F15" s="31"/>
      <c r="G15" s="34"/>
      <c r="H15" s="35"/>
      <c r="I15" s="34"/>
      <c r="J15" s="35"/>
      <c r="K15" s="35"/>
      <c r="L15" s="35"/>
      <c r="M15" s="36"/>
      <c r="N15" s="37"/>
      <c r="O15" s="38"/>
      <c r="P15" s="39"/>
      <c r="Q15" s="36"/>
      <c r="R15" s="37"/>
      <c r="S15" s="38"/>
      <c r="T15" s="39"/>
      <c r="U15" s="36"/>
      <c r="V15" s="44"/>
      <c r="W15" s="41"/>
      <c r="X15" s="42"/>
      <c r="Y15" s="43"/>
      <c r="Z15" s="4"/>
      <c r="AA15" s="4"/>
      <c r="AB15" s="4"/>
      <c r="AC15" s="4"/>
      <c r="AD15" s="4"/>
      <c r="AE15" s="4"/>
      <c r="AF15" s="4"/>
      <c r="AG15" s="4"/>
      <c r="AH15" s="4"/>
      <c r="AI15" s="4"/>
      <c r="AJ15" s="4"/>
      <c r="AK15" s="4"/>
      <c r="AL15" s="4"/>
      <c r="AM15" s="4"/>
      <c r="AN15" s="4"/>
      <c r="AO15" s="4"/>
      <c r="AP15" s="4"/>
      <c r="AQ15" s="4"/>
      <c r="AR15" s="4"/>
      <c r="AS15" s="4"/>
      <c r="AT15" s="4"/>
      <c r="IN15" s="30"/>
      <c r="IO15" s="4"/>
      <c r="IP15" s="4"/>
      <c r="IQ15" s="4"/>
      <c r="IR15" s="4"/>
      <c r="IS15" s="4"/>
      <c r="IT15" s="4"/>
      <c r="IU15" s="4"/>
      <c r="IV15" s="4"/>
    </row>
    <row r="16" s="3" customFormat="1" ht="25" customHeight="1" spans="1:256">
      <c r="A16" s="30"/>
      <c r="B16" s="31"/>
      <c r="C16" s="32"/>
      <c r="D16" s="33"/>
      <c r="E16" s="31"/>
      <c r="F16" s="31"/>
      <c r="G16" s="34"/>
      <c r="H16" s="35"/>
      <c r="I16" s="34"/>
      <c r="J16" s="35"/>
      <c r="K16" s="35"/>
      <c r="L16" s="35"/>
      <c r="M16" s="36"/>
      <c r="N16" s="45"/>
      <c r="O16" s="46"/>
      <c r="P16" s="47"/>
      <c r="Q16" s="36"/>
      <c r="R16" s="45"/>
      <c r="S16" s="46"/>
      <c r="T16" s="47"/>
      <c r="U16" s="36"/>
      <c r="V16" s="30"/>
      <c r="W16" s="41"/>
      <c r="X16" s="42"/>
      <c r="Y16" s="43"/>
      <c r="Z16" s="4"/>
      <c r="AA16" s="4"/>
      <c r="AB16" s="4"/>
      <c r="AC16" s="4"/>
      <c r="AD16" s="4"/>
      <c r="AE16" s="4"/>
      <c r="AF16" s="4"/>
      <c r="AG16" s="4"/>
      <c r="AH16" s="4"/>
      <c r="AI16" s="4"/>
      <c r="AJ16" s="4"/>
      <c r="AK16" s="4"/>
      <c r="AL16" s="4"/>
      <c r="AM16" s="4"/>
      <c r="AN16" s="4"/>
      <c r="AO16" s="4"/>
      <c r="AP16" s="4"/>
      <c r="AQ16" s="4"/>
      <c r="AR16" s="4"/>
      <c r="AS16" s="4"/>
      <c r="AT16" s="4"/>
      <c r="IN16" s="30"/>
      <c r="IO16" s="4"/>
      <c r="IP16" s="4"/>
      <c r="IQ16" s="4"/>
      <c r="IR16" s="4"/>
      <c r="IS16" s="4"/>
      <c r="IT16" s="4"/>
      <c r="IU16" s="4"/>
      <c r="IV16" s="4"/>
    </row>
    <row r="17" s="3" customFormat="1" ht="25" customHeight="1" spans="1:256">
      <c r="A17" s="48" t="s">
        <v>974</v>
      </c>
      <c r="B17" s="48"/>
      <c r="C17" s="48"/>
      <c r="D17" s="48"/>
      <c r="E17" s="31"/>
      <c r="F17" s="31"/>
      <c r="G17" s="34"/>
      <c r="H17" s="35"/>
      <c r="I17" s="34"/>
      <c r="J17" s="35"/>
      <c r="K17" s="35"/>
      <c r="L17" s="35">
        <f t="shared" ref="L17:V17" si="9">SUM(L2:L16)</f>
        <v>528000</v>
      </c>
      <c r="M17" s="36">
        <f t="shared" si="9"/>
        <v>5004</v>
      </c>
      <c r="N17" s="45">
        <f t="shared" si="9"/>
        <v>174080</v>
      </c>
      <c r="O17" s="46">
        <f t="shared" si="9"/>
        <v>4088</v>
      </c>
      <c r="P17" s="47">
        <f t="shared" si="9"/>
        <v>4872</v>
      </c>
      <c r="Q17" s="36">
        <f t="shared" si="9"/>
        <v>2802</v>
      </c>
      <c r="R17" s="45">
        <f t="shared" si="9"/>
        <v>3976</v>
      </c>
      <c r="S17" s="46">
        <f t="shared" si="9"/>
        <v>9200</v>
      </c>
      <c r="T17" s="47">
        <f t="shared" si="9"/>
        <v>4002</v>
      </c>
      <c r="U17" s="36">
        <f t="shared" si="9"/>
        <v>17280</v>
      </c>
      <c r="V17" s="35">
        <f t="shared" si="9"/>
        <v>302696</v>
      </c>
      <c r="W17" s="41"/>
      <c r="X17" s="42">
        <f>SUM(X2:X16)</f>
        <v>1149942.104</v>
      </c>
      <c r="Y17" s="49">
        <f>SUM(Y2:Y16)</f>
        <v>8912051.306</v>
      </c>
      <c r="Z17" s="4"/>
      <c r="AA17" s="4"/>
      <c r="AB17" s="4"/>
      <c r="AC17" s="4"/>
      <c r="AD17" s="4"/>
      <c r="AE17" s="4"/>
      <c r="AF17" s="4"/>
      <c r="AG17" s="4"/>
      <c r="AH17" s="4"/>
      <c r="AI17" s="4"/>
      <c r="AJ17" s="4"/>
      <c r="AK17" s="4"/>
      <c r="AL17" s="4"/>
      <c r="AM17" s="4"/>
      <c r="AN17" s="4"/>
      <c r="AO17" s="4"/>
      <c r="AP17" s="4"/>
      <c r="AQ17" s="4"/>
      <c r="AR17" s="4"/>
      <c r="AS17" s="4"/>
      <c r="AT17" s="4"/>
      <c r="IN17" s="50"/>
      <c r="IO17" s="4"/>
      <c r="IP17" s="4"/>
      <c r="IQ17" s="4"/>
      <c r="IR17" s="4"/>
      <c r="IS17" s="4"/>
      <c r="IT17" s="4"/>
      <c r="IU17" s="4"/>
      <c r="IV17" s="4"/>
    </row>
    <row r="18" s="3" customFormat="1" ht="25" customHeight="1" spans="1:256">
      <c r="A18" s="51"/>
      <c r="B18" s="51"/>
      <c r="C18" s="51"/>
      <c r="D18" s="51"/>
      <c r="E18" s="51"/>
      <c r="F18" s="51"/>
      <c r="G18" s="52"/>
      <c r="H18" s="53"/>
      <c r="I18" s="52"/>
      <c r="J18" s="53"/>
      <c r="K18" s="53"/>
      <c r="L18" s="53"/>
      <c r="M18" s="54"/>
      <c r="N18" s="55"/>
      <c r="O18" s="56"/>
      <c r="P18" s="57"/>
      <c r="Q18" s="54"/>
      <c r="R18" s="55"/>
      <c r="S18" s="56"/>
      <c r="T18" s="57"/>
      <c r="U18" s="54"/>
      <c r="V18" s="53"/>
      <c r="W18" s="58"/>
      <c r="X18" s="18"/>
      <c r="Y18" s="18"/>
      <c r="Z18" s="4"/>
      <c r="AA18" s="4"/>
      <c r="AB18" s="4"/>
      <c r="AC18" s="4"/>
      <c r="AD18" s="4"/>
      <c r="AE18" s="4"/>
      <c r="AF18" s="4"/>
      <c r="AG18" s="4"/>
      <c r="AH18" s="4"/>
      <c r="AI18" s="4"/>
      <c r="AJ18" s="4"/>
      <c r="AK18" s="4"/>
      <c r="AL18" s="4"/>
      <c r="AM18" s="4"/>
      <c r="AN18" s="4"/>
      <c r="AO18" s="4"/>
      <c r="AP18" s="4"/>
      <c r="AQ18" s="4"/>
      <c r="AR18" s="4"/>
      <c r="AS18" s="4"/>
      <c r="AT18" s="4"/>
      <c r="IN18" s="59"/>
      <c r="IO18" s="4"/>
      <c r="IP18" s="4"/>
      <c r="IQ18" s="4"/>
      <c r="IR18" s="4"/>
      <c r="IS18" s="4"/>
      <c r="IT18" s="4"/>
      <c r="IU18" s="4"/>
      <c r="IV18" s="4"/>
    </row>
    <row r="19" s="3" customFormat="1" spans="1:256">
      <c r="M19" s="60"/>
      <c r="N19" s="61"/>
      <c r="O19" s="62"/>
      <c r="P19" s="63"/>
      <c r="Q19" s="60"/>
      <c r="R19" s="61"/>
      <c r="S19" s="62"/>
      <c r="T19" s="63"/>
      <c r="U19" s="60"/>
    </row>
    <row r="20" s="4" customFormat="1" ht="25" customHeight="1" spans="1:256">
      <c r="A20" s="19" t="s">
        <v>0</v>
      </c>
      <c r="B20" s="20" t="s">
        <v>3</v>
      </c>
      <c r="C20" s="20" t="s">
        <v>418</v>
      </c>
      <c r="D20" s="23" t="s">
        <v>932</v>
      </c>
      <c r="E20" s="20" t="s">
        <v>419</v>
      </c>
      <c r="F20" s="20" t="s">
        <v>5</v>
      </c>
      <c r="G20" s="20" t="s">
        <v>6</v>
      </c>
      <c r="H20" s="22" t="s">
        <v>937</v>
      </c>
      <c r="I20" s="23"/>
      <c r="J20" s="22"/>
      <c r="K20" s="22"/>
      <c r="L20" s="24"/>
      <c r="M20" s="25"/>
      <c r="N20" s="26"/>
      <c r="O20" s="27"/>
      <c r="P20" s="28"/>
      <c r="Q20" s="25"/>
      <c r="R20" s="26"/>
      <c r="S20" s="27"/>
      <c r="T20" s="28"/>
      <c r="U20" s="25"/>
      <c r="V20" s="29" t="s">
        <v>947</v>
      </c>
      <c r="W20" s="20" t="s">
        <v>73</v>
      </c>
      <c r="X20" s="20" t="s">
        <v>74</v>
      </c>
      <c r="Y20" s="20" t="s">
        <v>75</v>
      </c>
      <c r="Z20" s="20" t="s">
        <v>975</v>
      </c>
      <c r="IN20" s="19"/>
    </row>
    <row r="21" s="10" customFormat="1" ht="25" customHeight="1" spans="1:256">
      <c r="A21" s="64">
        <v>45797</v>
      </c>
      <c r="B21" s="65" t="s">
        <v>79</v>
      </c>
      <c r="C21" s="66" t="s">
        <v>445</v>
      </c>
      <c r="D21" s="67" t="s">
        <v>78</v>
      </c>
      <c r="E21" s="65" t="s">
        <v>976</v>
      </c>
      <c r="F21" s="65" t="s">
        <v>270</v>
      </c>
      <c r="G21" s="68" t="s">
        <v>271</v>
      </c>
      <c r="H21" s="69">
        <v>22302</v>
      </c>
      <c r="I21" s="68"/>
      <c r="J21" s="69"/>
      <c r="K21" s="69"/>
      <c r="L21" s="69"/>
      <c r="M21" s="70"/>
      <c r="N21" s="71"/>
      <c r="O21" s="72"/>
      <c r="P21" s="73"/>
      <c r="Q21" s="70"/>
      <c r="R21" s="71"/>
      <c r="S21" s="72"/>
      <c r="T21" s="73"/>
      <c r="U21" s="70"/>
      <c r="V21" s="74">
        <f t="shared" ref="V21:V39" si="10">H21-SUM(I21:S21)</f>
        <v>22302</v>
      </c>
      <c r="W21" s="75">
        <v>1.189</v>
      </c>
      <c r="X21" s="76">
        <f t="shared" ref="X21:X39" si="11">V21*W21</f>
        <v>26517.078</v>
      </c>
      <c r="Y21" s="77">
        <f t="shared" ref="Y21:Y39" si="12">X21*7.75</f>
        <v>205507.3545</v>
      </c>
      <c r="Z21" s="78">
        <v>45908</v>
      </c>
      <c r="AA21" s="79"/>
      <c r="AB21" s="79"/>
      <c r="AC21" s="79"/>
      <c r="AD21" s="79"/>
      <c r="AE21" s="79"/>
      <c r="AF21" s="79"/>
      <c r="AG21" s="79"/>
      <c r="AH21" s="79"/>
      <c r="AI21" s="79"/>
      <c r="AJ21" s="79"/>
      <c r="AK21" s="79"/>
      <c r="AL21" s="79"/>
      <c r="AM21" s="79"/>
      <c r="AN21" s="79"/>
      <c r="AO21" s="79"/>
      <c r="AP21" s="79"/>
      <c r="AQ21" s="79"/>
      <c r="AR21" s="79"/>
      <c r="AS21" s="79"/>
      <c r="AT21" s="79"/>
      <c r="IN21" s="64"/>
      <c r="IO21" s="79"/>
      <c r="IP21" s="79"/>
      <c r="IQ21" s="79"/>
      <c r="IR21" s="79"/>
      <c r="IS21" s="79"/>
      <c r="IT21" s="79"/>
      <c r="IU21" s="79"/>
      <c r="IV21" s="79"/>
    </row>
    <row r="22" s="10" customFormat="1" ht="25" customHeight="1" spans="1:256">
      <c r="A22" s="64">
        <v>45797</v>
      </c>
      <c r="B22" s="65" t="s">
        <v>79</v>
      </c>
      <c r="C22" s="66" t="s">
        <v>445</v>
      </c>
      <c r="D22" s="67" t="s">
        <v>78</v>
      </c>
      <c r="E22" s="65" t="s">
        <v>977</v>
      </c>
      <c r="F22" s="65" t="s">
        <v>270</v>
      </c>
      <c r="G22" s="68" t="s">
        <v>271</v>
      </c>
      <c r="H22" s="69">
        <v>24180</v>
      </c>
      <c r="I22" s="68"/>
      <c r="J22" s="69"/>
      <c r="K22" s="69"/>
      <c r="L22" s="69"/>
      <c r="M22" s="70"/>
      <c r="N22" s="71"/>
      <c r="O22" s="72"/>
      <c r="P22" s="73"/>
      <c r="Q22" s="70"/>
      <c r="R22" s="71"/>
      <c r="S22" s="72"/>
      <c r="T22" s="73"/>
      <c r="U22" s="70"/>
      <c r="V22" s="74">
        <f t="shared" si="10"/>
        <v>24180</v>
      </c>
      <c r="W22" s="75">
        <v>1.189</v>
      </c>
      <c r="X22" s="76">
        <f t="shared" si="11"/>
        <v>28750.02</v>
      </c>
      <c r="Y22" s="77">
        <f t="shared" si="12"/>
        <v>222812.655</v>
      </c>
      <c r="Z22" s="78">
        <v>45915</v>
      </c>
      <c r="AA22" s="79"/>
      <c r="AB22" s="79"/>
      <c r="AC22" s="79"/>
      <c r="AD22" s="79"/>
      <c r="AE22" s="79"/>
      <c r="AF22" s="79"/>
      <c r="AG22" s="79"/>
      <c r="AH22" s="79"/>
      <c r="AI22" s="79"/>
      <c r="AJ22" s="79"/>
      <c r="AK22" s="79"/>
      <c r="AL22" s="79"/>
      <c r="AM22" s="79"/>
      <c r="AN22" s="79"/>
      <c r="AO22" s="79"/>
      <c r="AP22" s="79"/>
      <c r="AQ22" s="79"/>
      <c r="AR22" s="79"/>
      <c r="AS22" s="79"/>
      <c r="AT22" s="79"/>
      <c r="IN22" s="64"/>
      <c r="IO22" s="79"/>
      <c r="IP22" s="79"/>
      <c r="IQ22" s="79"/>
      <c r="IR22" s="79"/>
      <c r="IS22" s="79"/>
      <c r="IT22" s="79"/>
      <c r="IU22" s="79"/>
      <c r="IV22" s="79"/>
    </row>
    <row r="23" s="10" customFormat="1" ht="25" customHeight="1" spans="1:256">
      <c r="A23" s="64">
        <v>45797</v>
      </c>
      <c r="B23" s="65" t="s">
        <v>84</v>
      </c>
      <c r="C23" s="66" t="s">
        <v>445</v>
      </c>
      <c r="D23" s="67" t="s">
        <v>78</v>
      </c>
      <c r="E23" s="65" t="s">
        <v>978</v>
      </c>
      <c r="F23" s="65" t="s">
        <v>270</v>
      </c>
      <c r="G23" s="68" t="s">
        <v>271</v>
      </c>
      <c r="H23" s="69">
        <v>2868</v>
      </c>
      <c r="I23" s="68"/>
      <c r="J23" s="69"/>
      <c r="K23" s="69"/>
      <c r="L23" s="69"/>
      <c r="M23" s="70"/>
      <c r="N23" s="71"/>
      <c r="O23" s="72"/>
      <c r="P23" s="73"/>
      <c r="Q23" s="70"/>
      <c r="R23" s="71"/>
      <c r="S23" s="72"/>
      <c r="T23" s="73"/>
      <c r="U23" s="70"/>
      <c r="V23" s="74">
        <f t="shared" si="10"/>
        <v>2868</v>
      </c>
      <c r="W23" s="75">
        <v>1.189</v>
      </c>
      <c r="X23" s="76">
        <f t="shared" si="11"/>
        <v>3410.052</v>
      </c>
      <c r="Y23" s="77">
        <f t="shared" si="12"/>
        <v>26427.903</v>
      </c>
      <c r="Z23" s="78">
        <v>45908</v>
      </c>
      <c r="AA23" s="79"/>
      <c r="AB23" s="79"/>
      <c r="AC23" s="79"/>
      <c r="AD23" s="79"/>
      <c r="AE23" s="79"/>
      <c r="AF23" s="79"/>
      <c r="AG23" s="79"/>
      <c r="AH23" s="79"/>
      <c r="AI23" s="79"/>
      <c r="AJ23" s="79"/>
      <c r="AK23" s="79"/>
      <c r="AL23" s="79"/>
      <c r="AM23" s="79"/>
      <c r="AN23" s="79"/>
      <c r="AO23" s="79"/>
      <c r="AP23" s="79"/>
      <c r="AQ23" s="79"/>
      <c r="AR23" s="79"/>
      <c r="AS23" s="79"/>
      <c r="AT23" s="79"/>
      <c r="IN23" s="64"/>
      <c r="IO23" s="79"/>
      <c r="IP23" s="79"/>
      <c r="IQ23" s="79"/>
      <c r="IR23" s="79"/>
      <c r="IS23" s="79"/>
      <c r="IT23" s="79"/>
      <c r="IU23" s="79"/>
      <c r="IV23" s="79"/>
    </row>
    <row r="24" s="3" customFormat="1" ht="25" customHeight="1" spans="1:256">
      <c r="A24" s="30">
        <v>45797</v>
      </c>
      <c r="B24" s="31" t="s">
        <v>79</v>
      </c>
      <c r="C24" s="32" t="s">
        <v>445</v>
      </c>
      <c r="D24" s="33" t="s">
        <v>78</v>
      </c>
      <c r="E24" s="31" t="s">
        <v>979</v>
      </c>
      <c r="F24" s="31" t="s">
        <v>270</v>
      </c>
      <c r="G24" s="34" t="s">
        <v>271</v>
      </c>
      <c r="H24" s="35">
        <v>31500</v>
      </c>
      <c r="I24" s="34"/>
      <c r="J24" s="35"/>
      <c r="K24" s="35"/>
      <c r="L24" s="35"/>
      <c r="M24" s="36"/>
      <c r="N24" s="37"/>
      <c r="O24" s="38"/>
      <c r="P24" s="39"/>
      <c r="Q24" s="36"/>
      <c r="R24" s="37"/>
      <c r="S24" s="38"/>
      <c r="T24" s="39"/>
      <c r="U24" s="36"/>
      <c r="V24" s="40">
        <f t="shared" si="10"/>
        <v>31500</v>
      </c>
      <c r="W24" s="80">
        <v>1.189</v>
      </c>
      <c r="X24" s="42">
        <f t="shared" si="11"/>
        <v>37453.5</v>
      </c>
      <c r="Y24" s="43">
        <f t="shared" si="12"/>
        <v>290264.625</v>
      </c>
      <c r="Z24" s="81">
        <v>45937</v>
      </c>
      <c r="AA24" s="4"/>
      <c r="AB24" s="4"/>
      <c r="AC24" s="4"/>
      <c r="AD24" s="4"/>
      <c r="AE24" s="4"/>
      <c r="AF24" s="4"/>
      <c r="AG24" s="4"/>
      <c r="AH24" s="4"/>
      <c r="AI24" s="4"/>
      <c r="AJ24" s="4"/>
      <c r="AK24" s="4"/>
      <c r="AL24" s="4"/>
      <c r="AM24" s="4"/>
      <c r="AN24" s="4"/>
      <c r="AO24" s="4"/>
      <c r="AP24" s="4"/>
      <c r="AQ24" s="4"/>
      <c r="AR24" s="4"/>
      <c r="AS24" s="4"/>
      <c r="AT24" s="4"/>
      <c r="IN24" s="30"/>
      <c r="IO24" s="4"/>
      <c r="IP24" s="4"/>
      <c r="IQ24" s="4"/>
      <c r="IR24" s="4"/>
      <c r="IS24" s="4"/>
      <c r="IT24" s="4"/>
      <c r="IU24" s="4"/>
      <c r="IV24" s="4"/>
    </row>
    <row r="25" s="10" customFormat="1" ht="25" customHeight="1" spans="1:256">
      <c r="A25" s="64">
        <v>45797</v>
      </c>
      <c r="B25" s="65" t="s">
        <v>84</v>
      </c>
      <c r="C25" s="66" t="s">
        <v>445</v>
      </c>
      <c r="D25" s="67" t="s">
        <v>78</v>
      </c>
      <c r="E25" s="65" t="s">
        <v>980</v>
      </c>
      <c r="F25" s="65" t="s">
        <v>270</v>
      </c>
      <c r="G25" s="68" t="s">
        <v>271</v>
      </c>
      <c r="H25" s="69">
        <v>2688</v>
      </c>
      <c r="I25" s="68"/>
      <c r="J25" s="69"/>
      <c r="K25" s="69"/>
      <c r="L25" s="69"/>
      <c r="M25" s="70"/>
      <c r="N25" s="71"/>
      <c r="O25" s="72"/>
      <c r="P25" s="73"/>
      <c r="Q25" s="70"/>
      <c r="R25" s="71"/>
      <c r="S25" s="72"/>
      <c r="T25" s="73"/>
      <c r="U25" s="70"/>
      <c r="V25" s="74">
        <f t="shared" si="10"/>
        <v>2688</v>
      </c>
      <c r="W25" s="75">
        <v>1.189</v>
      </c>
      <c r="X25" s="76">
        <f t="shared" si="11"/>
        <v>3196.032</v>
      </c>
      <c r="Y25" s="77">
        <f t="shared" si="12"/>
        <v>24769.248</v>
      </c>
      <c r="Z25" s="78">
        <v>45915</v>
      </c>
      <c r="AA25" s="79"/>
      <c r="AB25" s="79"/>
      <c r="AC25" s="79"/>
      <c r="AD25" s="79"/>
      <c r="AE25" s="79"/>
      <c r="AF25" s="79"/>
      <c r="AG25" s="79"/>
      <c r="AH25" s="79"/>
      <c r="AI25" s="79"/>
      <c r="AJ25" s="79"/>
      <c r="AK25" s="79"/>
      <c r="AL25" s="79"/>
      <c r="AM25" s="79"/>
      <c r="AN25" s="79"/>
      <c r="AO25" s="79"/>
      <c r="AP25" s="79"/>
      <c r="AQ25" s="79"/>
      <c r="AR25" s="79"/>
      <c r="AS25" s="79"/>
      <c r="AT25" s="79"/>
      <c r="IN25" s="64"/>
      <c r="IO25" s="79"/>
      <c r="IP25" s="79"/>
      <c r="IQ25" s="79"/>
      <c r="IR25" s="79"/>
      <c r="IS25" s="79"/>
      <c r="IT25" s="79"/>
      <c r="IU25" s="79"/>
      <c r="IV25" s="79"/>
    </row>
    <row r="26" s="3" customFormat="1" ht="25" customHeight="1" spans="1:256">
      <c r="A26" s="30">
        <v>45905</v>
      </c>
      <c r="B26" s="31" t="s">
        <v>84</v>
      </c>
      <c r="C26" s="32" t="s">
        <v>445</v>
      </c>
      <c r="D26" s="33" t="s">
        <v>78</v>
      </c>
      <c r="E26" s="31" t="s">
        <v>981</v>
      </c>
      <c r="F26" s="31" t="s">
        <v>270</v>
      </c>
      <c r="G26" s="34" t="s">
        <v>271</v>
      </c>
      <c r="H26" s="35">
        <v>3504</v>
      </c>
      <c r="I26" s="34"/>
      <c r="J26" s="35"/>
      <c r="K26" s="35"/>
      <c r="L26" s="35"/>
      <c r="M26" s="36"/>
      <c r="N26" s="37"/>
      <c r="O26" s="38"/>
      <c r="P26" s="39"/>
      <c r="Q26" s="36"/>
      <c r="R26" s="37"/>
      <c r="S26" s="38"/>
      <c r="T26" s="39"/>
      <c r="U26" s="36"/>
      <c r="V26" s="40">
        <f t="shared" si="10"/>
        <v>3504</v>
      </c>
      <c r="W26" s="80">
        <v>1.189</v>
      </c>
      <c r="X26" s="42">
        <f t="shared" si="11"/>
        <v>4166.256</v>
      </c>
      <c r="Y26" s="43">
        <f t="shared" si="12"/>
        <v>32288.484</v>
      </c>
      <c r="Z26" s="81">
        <v>45937</v>
      </c>
      <c r="AA26" s="4"/>
      <c r="AB26" s="4"/>
      <c r="AC26" s="4"/>
      <c r="AD26" s="4"/>
      <c r="AE26" s="4"/>
      <c r="AF26" s="4"/>
      <c r="AG26" s="4"/>
      <c r="AH26" s="4"/>
      <c r="AI26" s="4"/>
      <c r="AJ26" s="4"/>
      <c r="AK26" s="4"/>
      <c r="AL26" s="4"/>
      <c r="AM26" s="4"/>
      <c r="AN26" s="4"/>
      <c r="AO26" s="4"/>
      <c r="AP26" s="4"/>
      <c r="AQ26" s="4"/>
      <c r="AR26" s="4"/>
      <c r="AS26" s="4"/>
      <c r="AT26" s="4"/>
      <c r="IN26" s="30"/>
      <c r="IO26" s="4"/>
      <c r="IP26" s="4"/>
      <c r="IQ26" s="4"/>
      <c r="IR26" s="4"/>
      <c r="IS26" s="4"/>
      <c r="IT26" s="4"/>
      <c r="IU26" s="4"/>
      <c r="IV26" s="4"/>
    </row>
    <row r="27" s="3" customFormat="1" ht="25" customHeight="1" spans="1:256">
      <c r="A27" s="30">
        <v>45905</v>
      </c>
      <c r="B27" s="31" t="s">
        <v>79</v>
      </c>
      <c r="C27" s="32" t="s">
        <v>445</v>
      </c>
      <c r="D27" s="33" t="s">
        <v>78</v>
      </c>
      <c r="E27" s="31" t="s">
        <v>982</v>
      </c>
      <c r="F27" s="31" t="s">
        <v>270</v>
      </c>
      <c r="G27" s="34" t="s">
        <v>271</v>
      </c>
      <c r="H27" s="35">
        <v>18348</v>
      </c>
      <c r="I27" s="34"/>
      <c r="J27" s="35"/>
      <c r="K27" s="35"/>
      <c r="L27" s="35"/>
      <c r="M27" s="36"/>
      <c r="N27" s="37"/>
      <c r="O27" s="38"/>
      <c r="P27" s="39"/>
      <c r="Q27" s="36"/>
      <c r="R27" s="37"/>
      <c r="S27" s="38"/>
      <c r="T27" s="39"/>
      <c r="U27" s="36"/>
      <c r="V27" s="40">
        <f t="shared" si="10"/>
        <v>18348</v>
      </c>
      <c r="W27" s="80">
        <v>1.189</v>
      </c>
      <c r="X27" s="42">
        <f t="shared" si="11"/>
        <v>21815.772</v>
      </c>
      <c r="Y27" s="43">
        <f t="shared" si="12"/>
        <v>169072.233</v>
      </c>
      <c r="Z27" s="81">
        <v>45951</v>
      </c>
      <c r="AA27" s="4"/>
      <c r="AB27" s="4"/>
      <c r="AC27" s="4"/>
      <c r="AD27" s="4"/>
      <c r="AE27" s="4"/>
      <c r="AF27" s="4"/>
      <c r="AG27" s="4"/>
      <c r="AH27" s="4"/>
      <c r="AI27" s="4"/>
      <c r="AJ27" s="4"/>
      <c r="AK27" s="4"/>
      <c r="AL27" s="4"/>
      <c r="AM27" s="4"/>
      <c r="AN27" s="4"/>
      <c r="AO27" s="4"/>
      <c r="AP27" s="4"/>
      <c r="AQ27" s="4"/>
      <c r="AR27" s="4"/>
      <c r="AS27" s="4"/>
      <c r="AT27" s="4"/>
      <c r="IN27" s="30"/>
      <c r="IO27" s="4"/>
      <c r="IP27" s="4"/>
      <c r="IQ27" s="4"/>
      <c r="IR27" s="4"/>
      <c r="IS27" s="4"/>
      <c r="IT27" s="4"/>
      <c r="IU27" s="4"/>
      <c r="IV27" s="4"/>
    </row>
    <row r="28" s="3" customFormat="1" ht="25" customHeight="1" spans="1:256">
      <c r="A28" s="30">
        <v>45905</v>
      </c>
      <c r="B28" s="31" t="s">
        <v>84</v>
      </c>
      <c r="C28" s="32" t="s">
        <v>445</v>
      </c>
      <c r="D28" s="33" t="s">
        <v>78</v>
      </c>
      <c r="E28" s="31" t="s">
        <v>983</v>
      </c>
      <c r="F28" s="31" t="s">
        <v>270</v>
      </c>
      <c r="G28" s="34" t="s">
        <v>271</v>
      </c>
      <c r="H28" s="35">
        <v>2034</v>
      </c>
      <c r="I28" s="34"/>
      <c r="J28" s="35"/>
      <c r="K28" s="35"/>
      <c r="L28" s="35"/>
      <c r="M28" s="36"/>
      <c r="N28" s="37"/>
      <c r="O28" s="38"/>
      <c r="P28" s="39"/>
      <c r="Q28" s="36"/>
      <c r="R28" s="37"/>
      <c r="S28" s="38"/>
      <c r="T28" s="39"/>
      <c r="U28" s="36"/>
      <c r="V28" s="40">
        <f t="shared" si="10"/>
        <v>2034</v>
      </c>
      <c r="W28" s="80">
        <v>1.189</v>
      </c>
      <c r="X28" s="42">
        <f t="shared" si="11"/>
        <v>2418.426</v>
      </c>
      <c r="Y28" s="43">
        <f t="shared" si="12"/>
        <v>18742.8015</v>
      </c>
      <c r="Z28" s="81">
        <v>45951</v>
      </c>
      <c r="AA28" s="4"/>
      <c r="AB28" s="4"/>
      <c r="AC28" s="4"/>
      <c r="AD28" s="4"/>
      <c r="AE28" s="4"/>
      <c r="AF28" s="4"/>
      <c r="AG28" s="4"/>
      <c r="AH28" s="4"/>
      <c r="AI28" s="4"/>
      <c r="AJ28" s="4"/>
      <c r="AK28" s="4"/>
      <c r="AL28" s="4"/>
      <c r="AM28" s="4"/>
      <c r="AN28" s="4"/>
      <c r="AO28" s="4"/>
      <c r="AP28" s="4"/>
      <c r="AQ28" s="4"/>
      <c r="AR28" s="4"/>
      <c r="AS28" s="4"/>
      <c r="AT28" s="4"/>
      <c r="IN28" s="30"/>
      <c r="IO28" s="4"/>
      <c r="IP28" s="4"/>
      <c r="IQ28" s="4"/>
      <c r="IR28" s="4"/>
      <c r="IS28" s="4"/>
      <c r="IT28" s="4"/>
      <c r="IU28" s="4"/>
      <c r="IV28" s="4"/>
    </row>
    <row r="29" s="10" customFormat="1" ht="25" customHeight="1" spans="1:256">
      <c r="A29" s="64">
        <v>45905</v>
      </c>
      <c r="B29" s="65" t="s">
        <v>79</v>
      </c>
      <c r="C29" s="66" t="s">
        <v>445</v>
      </c>
      <c r="D29" s="67" t="s">
        <v>984</v>
      </c>
      <c r="E29" s="65" t="s">
        <v>985</v>
      </c>
      <c r="F29" s="65" t="s">
        <v>270</v>
      </c>
      <c r="G29" s="68" t="s">
        <v>271</v>
      </c>
      <c r="H29" s="69">
        <v>12000</v>
      </c>
      <c r="I29" s="68"/>
      <c r="J29" s="69"/>
      <c r="K29" s="69"/>
      <c r="L29" s="69"/>
      <c r="M29" s="70"/>
      <c r="N29" s="71"/>
      <c r="O29" s="72"/>
      <c r="P29" s="73"/>
      <c r="Q29" s="70"/>
      <c r="R29" s="71"/>
      <c r="S29" s="72"/>
      <c r="T29" s="73"/>
      <c r="U29" s="70"/>
      <c r="V29" s="74">
        <f t="shared" si="10"/>
        <v>12000</v>
      </c>
      <c r="W29" s="75">
        <v>1.189</v>
      </c>
      <c r="X29" s="76">
        <f t="shared" si="11"/>
        <v>14268</v>
      </c>
      <c r="Y29" s="77">
        <f t="shared" si="12"/>
        <v>110577</v>
      </c>
      <c r="Z29" s="78">
        <v>45915</v>
      </c>
      <c r="AA29" s="79"/>
      <c r="AB29" s="79"/>
      <c r="AC29" s="79"/>
      <c r="AD29" s="79"/>
      <c r="AE29" s="79"/>
      <c r="AF29" s="79"/>
      <c r="AG29" s="79"/>
      <c r="AH29" s="79"/>
      <c r="AI29" s="79"/>
      <c r="AJ29" s="79"/>
      <c r="AK29" s="79"/>
      <c r="AL29" s="79"/>
      <c r="AM29" s="79"/>
      <c r="AN29" s="79"/>
      <c r="AO29" s="79"/>
      <c r="AP29" s="79"/>
      <c r="AQ29" s="79"/>
      <c r="AR29" s="79"/>
      <c r="AS29" s="79"/>
      <c r="AT29" s="79"/>
      <c r="IN29" s="64"/>
      <c r="IO29" s="79"/>
      <c r="IP29" s="79"/>
      <c r="IQ29" s="79"/>
      <c r="IR29" s="79"/>
      <c r="IS29" s="79"/>
      <c r="IT29" s="79"/>
      <c r="IU29" s="79"/>
      <c r="IV29" s="79"/>
    </row>
    <row r="30" s="3" customFormat="1" ht="25" customHeight="1" spans="1:256">
      <c r="A30" s="30">
        <v>45905</v>
      </c>
      <c r="B30" s="31" t="s">
        <v>79</v>
      </c>
      <c r="C30" s="32" t="s">
        <v>445</v>
      </c>
      <c r="D30" s="33" t="s">
        <v>984</v>
      </c>
      <c r="E30" s="31" t="s">
        <v>986</v>
      </c>
      <c r="F30" s="31" t="s">
        <v>270</v>
      </c>
      <c r="G30" s="34" t="s">
        <v>271</v>
      </c>
      <c r="H30" s="35">
        <v>11004</v>
      </c>
      <c r="I30" s="34"/>
      <c r="J30" s="35"/>
      <c r="K30" s="35"/>
      <c r="L30" s="35"/>
      <c r="M30" s="36"/>
      <c r="N30" s="37"/>
      <c r="O30" s="38"/>
      <c r="P30" s="39"/>
      <c r="Q30" s="36"/>
      <c r="R30" s="37"/>
      <c r="S30" s="38"/>
      <c r="T30" s="39"/>
      <c r="U30" s="36"/>
      <c r="V30" s="40">
        <f t="shared" si="10"/>
        <v>11004</v>
      </c>
      <c r="W30" s="80">
        <v>1.189</v>
      </c>
      <c r="X30" s="42">
        <f t="shared" si="11"/>
        <v>13083.756</v>
      </c>
      <c r="Y30" s="43">
        <f t="shared" si="12"/>
        <v>101399.109</v>
      </c>
      <c r="Z30" s="81">
        <v>45944</v>
      </c>
      <c r="AA30" s="4"/>
      <c r="AB30" s="4"/>
      <c r="AC30" s="4"/>
      <c r="AD30" s="4"/>
      <c r="AE30" s="4"/>
      <c r="AF30" s="4"/>
      <c r="AG30" s="4"/>
      <c r="AH30" s="4"/>
      <c r="AI30" s="4"/>
      <c r="AJ30" s="4"/>
      <c r="AK30" s="4"/>
      <c r="AL30" s="4"/>
      <c r="AM30" s="4"/>
      <c r="AN30" s="4"/>
      <c r="AO30" s="4"/>
      <c r="AP30" s="4"/>
      <c r="AQ30" s="4"/>
      <c r="AR30" s="4"/>
      <c r="AS30" s="4"/>
      <c r="AT30" s="4"/>
      <c r="IN30" s="30"/>
      <c r="IO30" s="4"/>
      <c r="IP30" s="4"/>
      <c r="IQ30" s="4"/>
      <c r="IR30" s="4"/>
      <c r="IS30" s="4"/>
      <c r="IT30" s="4"/>
      <c r="IU30" s="4"/>
      <c r="IV30" s="4"/>
    </row>
    <row r="31" s="3" customFormat="1" ht="25" customHeight="1" spans="1:256">
      <c r="A31" s="30">
        <v>45897</v>
      </c>
      <c r="B31" s="31" t="s">
        <v>251</v>
      </c>
      <c r="C31" s="32" t="s">
        <v>445</v>
      </c>
      <c r="D31" s="33" t="s">
        <v>365</v>
      </c>
      <c r="E31" s="31" t="s">
        <v>987</v>
      </c>
      <c r="F31" s="31" t="s">
        <v>270</v>
      </c>
      <c r="G31" s="34" t="s">
        <v>271</v>
      </c>
      <c r="H31" s="35">
        <v>2478</v>
      </c>
      <c r="I31" s="34"/>
      <c r="J31" s="35"/>
      <c r="K31" s="35"/>
      <c r="L31" s="35"/>
      <c r="M31" s="36"/>
      <c r="N31" s="37"/>
      <c r="O31" s="38"/>
      <c r="P31" s="39"/>
      <c r="Q31" s="36"/>
      <c r="R31" s="37"/>
      <c r="S31" s="38"/>
      <c r="T31" s="39"/>
      <c r="U31" s="36"/>
      <c r="V31" s="40">
        <f t="shared" si="10"/>
        <v>2478</v>
      </c>
      <c r="W31" s="80">
        <v>1.189</v>
      </c>
      <c r="X31" s="42">
        <f t="shared" si="11"/>
        <v>2946.342</v>
      </c>
      <c r="Y31" s="43">
        <f t="shared" si="12"/>
        <v>22834.1505</v>
      </c>
      <c r="Z31" s="81">
        <v>45952</v>
      </c>
      <c r="AA31" s="4"/>
      <c r="AB31" s="4"/>
      <c r="AC31" s="4"/>
      <c r="AD31" s="4"/>
      <c r="AE31" s="4"/>
      <c r="AF31" s="4"/>
      <c r="AG31" s="4"/>
      <c r="AH31" s="4"/>
      <c r="AI31" s="4"/>
      <c r="AJ31" s="4"/>
      <c r="AK31" s="4"/>
      <c r="AL31" s="4"/>
      <c r="AM31" s="4"/>
      <c r="AN31" s="4"/>
      <c r="AO31" s="4"/>
      <c r="AP31" s="4"/>
      <c r="AQ31" s="4"/>
      <c r="AR31" s="4"/>
      <c r="AS31" s="4"/>
      <c r="AT31" s="4"/>
      <c r="IN31" s="30"/>
      <c r="IO31" s="4"/>
      <c r="IP31" s="4"/>
      <c r="IQ31" s="4"/>
      <c r="IR31" s="4"/>
      <c r="IS31" s="4"/>
      <c r="IT31" s="4"/>
      <c r="IU31" s="4"/>
      <c r="IV31" s="4"/>
    </row>
    <row r="32" s="10" customFormat="1" ht="25" customHeight="1" spans="1:256">
      <c r="A32" s="64">
        <v>45797</v>
      </c>
      <c r="B32" s="65" t="s">
        <v>79</v>
      </c>
      <c r="C32" s="66" t="s">
        <v>445</v>
      </c>
      <c r="D32" s="67" t="s">
        <v>78</v>
      </c>
      <c r="E32" s="65" t="s">
        <v>976</v>
      </c>
      <c r="F32" s="65" t="s">
        <v>988</v>
      </c>
      <c r="G32" s="68" t="s">
        <v>989</v>
      </c>
      <c r="H32" s="69">
        <v>14868</v>
      </c>
      <c r="I32" s="68"/>
      <c r="J32" s="69"/>
      <c r="K32" s="69"/>
      <c r="L32" s="69"/>
      <c r="M32" s="70"/>
      <c r="N32" s="71"/>
      <c r="O32" s="72"/>
      <c r="P32" s="73"/>
      <c r="Q32" s="70"/>
      <c r="R32" s="71"/>
      <c r="S32" s="72"/>
      <c r="T32" s="73"/>
      <c r="U32" s="70"/>
      <c r="V32" s="74">
        <f t="shared" si="10"/>
        <v>14868</v>
      </c>
      <c r="W32" s="75">
        <v>1.449</v>
      </c>
      <c r="X32" s="76">
        <f t="shared" si="11"/>
        <v>21543.732</v>
      </c>
      <c r="Y32" s="77">
        <f t="shared" si="12"/>
        <v>166963.923</v>
      </c>
      <c r="Z32" s="78">
        <v>45908</v>
      </c>
      <c r="AA32" s="79"/>
      <c r="AB32" s="79"/>
      <c r="AC32" s="79"/>
      <c r="AD32" s="79"/>
      <c r="AE32" s="79"/>
      <c r="AF32" s="79"/>
      <c r="AG32" s="79"/>
      <c r="AH32" s="79"/>
      <c r="AI32" s="79"/>
      <c r="AJ32" s="79"/>
      <c r="AK32" s="79"/>
      <c r="AL32" s="79"/>
      <c r="AM32" s="79"/>
      <c r="AN32" s="79"/>
      <c r="AO32" s="79"/>
      <c r="AP32" s="79"/>
      <c r="AQ32" s="79"/>
      <c r="AR32" s="79"/>
      <c r="AS32" s="79"/>
      <c r="AT32" s="79"/>
      <c r="IN32" s="64"/>
      <c r="IO32" s="79"/>
      <c r="IP32" s="79"/>
      <c r="IQ32" s="79"/>
      <c r="IR32" s="79"/>
      <c r="IS32" s="79"/>
      <c r="IT32" s="79"/>
      <c r="IU32" s="79"/>
      <c r="IV32" s="79"/>
    </row>
    <row r="33" s="10" customFormat="1" ht="25" customHeight="1" spans="1:256">
      <c r="A33" s="64">
        <v>45797</v>
      </c>
      <c r="B33" s="65" t="s">
        <v>79</v>
      </c>
      <c r="C33" s="66" t="s">
        <v>445</v>
      </c>
      <c r="D33" s="67" t="s">
        <v>78</v>
      </c>
      <c r="E33" s="65" t="s">
        <v>977</v>
      </c>
      <c r="F33" s="65" t="s">
        <v>988</v>
      </c>
      <c r="G33" s="68" t="s">
        <v>989</v>
      </c>
      <c r="H33" s="69">
        <v>25476</v>
      </c>
      <c r="I33" s="68"/>
      <c r="J33" s="69"/>
      <c r="K33" s="69"/>
      <c r="L33" s="69"/>
      <c r="M33" s="70"/>
      <c r="N33" s="71"/>
      <c r="O33" s="72"/>
      <c r="P33" s="73"/>
      <c r="Q33" s="70"/>
      <c r="R33" s="71"/>
      <c r="S33" s="72"/>
      <c r="T33" s="73"/>
      <c r="U33" s="70"/>
      <c r="V33" s="74">
        <f t="shared" si="10"/>
        <v>25476</v>
      </c>
      <c r="W33" s="75">
        <v>1.449</v>
      </c>
      <c r="X33" s="76">
        <f t="shared" si="11"/>
        <v>36914.724</v>
      </c>
      <c r="Y33" s="77">
        <f t="shared" si="12"/>
        <v>286089.111</v>
      </c>
      <c r="Z33" s="78">
        <v>45915</v>
      </c>
      <c r="AA33" s="79"/>
      <c r="AB33" s="79"/>
      <c r="AC33" s="79"/>
      <c r="AD33" s="79"/>
      <c r="AE33" s="79"/>
      <c r="AF33" s="79"/>
      <c r="AG33" s="79"/>
      <c r="AH33" s="79"/>
      <c r="AI33" s="79"/>
      <c r="AJ33" s="79"/>
      <c r="AK33" s="79"/>
      <c r="AL33" s="79"/>
      <c r="AM33" s="79"/>
      <c r="AN33" s="79"/>
      <c r="AO33" s="79"/>
      <c r="AP33" s="79"/>
      <c r="AQ33" s="79"/>
      <c r="AR33" s="79"/>
      <c r="AS33" s="79"/>
      <c r="AT33" s="79"/>
      <c r="IN33" s="64"/>
      <c r="IO33" s="79"/>
      <c r="IP33" s="79"/>
      <c r="IQ33" s="79"/>
      <c r="IR33" s="79"/>
      <c r="IS33" s="79"/>
      <c r="IT33" s="79"/>
      <c r="IU33" s="79"/>
      <c r="IV33" s="79"/>
    </row>
    <row r="34" s="10" customFormat="1" ht="25" customHeight="1" spans="1:256">
      <c r="A34" s="64">
        <v>45797</v>
      </c>
      <c r="B34" s="65" t="s">
        <v>84</v>
      </c>
      <c r="C34" s="66" t="s">
        <v>445</v>
      </c>
      <c r="D34" s="67" t="s">
        <v>78</v>
      </c>
      <c r="E34" s="65" t="s">
        <v>978</v>
      </c>
      <c r="F34" s="65" t="s">
        <v>988</v>
      </c>
      <c r="G34" s="68" t="s">
        <v>989</v>
      </c>
      <c r="H34" s="69">
        <v>1914</v>
      </c>
      <c r="I34" s="68"/>
      <c r="J34" s="69"/>
      <c r="K34" s="69"/>
      <c r="L34" s="69"/>
      <c r="M34" s="70"/>
      <c r="N34" s="71"/>
      <c r="O34" s="72"/>
      <c r="P34" s="73"/>
      <c r="Q34" s="70"/>
      <c r="R34" s="71"/>
      <c r="S34" s="72"/>
      <c r="T34" s="73"/>
      <c r="U34" s="70"/>
      <c r="V34" s="74">
        <f t="shared" si="10"/>
        <v>1914</v>
      </c>
      <c r="W34" s="75">
        <v>1.449</v>
      </c>
      <c r="X34" s="76">
        <f t="shared" si="11"/>
        <v>2773.386</v>
      </c>
      <c r="Y34" s="77">
        <f t="shared" si="12"/>
        <v>21493.7415</v>
      </c>
      <c r="Z34" s="78">
        <v>45908</v>
      </c>
      <c r="AA34" s="79"/>
      <c r="AB34" s="79"/>
      <c r="AC34" s="79"/>
      <c r="AD34" s="79"/>
      <c r="AE34" s="79"/>
      <c r="AF34" s="79"/>
      <c r="AG34" s="79"/>
      <c r="AH34" s="79"/>
      <c r="AI34" s="79"/>
      <c r="AJ34" s="79"/>
      <c r="AK34" s="79"/>
      <c r="AL34" s="79"/>
      <c r="AM34" s="79"/>
      <c r="AN34" s="79"/>
      <c r="AO34" s="79"/>
      <c r="AP34" s="79"/>
      <c r="AQ34" s="79"/>
      <c r="AR34" s="79"/>
      <c r="AS34" s="79"/>
      <c r="AT34" s="79"/>
      <c r="IN34" s="64"/>
      <c r="IO34" s="79"/>
      <c r="IP34" s="79"/>
      <c r="IQ34" s="79"/>
      <c r="IR34" s="79"/>
      <c r="IS34" s="79"/>
      <c r="IT34" s="79"/>
      <c r="IU34" s="79"/>
      <c r="IV34" s="79"/>
    </row>
    <row r="35" s="3" customFormat="1" ht="25" customHeight="1" spans="1:256">
      <c r="A35" s="30">
        <v>45797</v>
      </c>
      <c r="B35" s="31" t="s">
        <v>79</v>
      </c>
      <c r="C35" s="32" t="s">
        <v>445</v>
      </c>
      <c r="D35" s="33" t="s">
        <v>78</v>
      </c>
      <c r="E35" s="31" t="s">
        <v>979</v>
      </c>
      <c r="F35" s="31" t="s">
        <v>988</v>
      </c>
      <c r="G35" s="34" t="s">
        <v>989</v>
      </c>
      <c r="H35" s="35">
        <v>24750</v>
      </c>
      <c r="I35" s="34"/>
      <c r="J35" s="35"/>
      <c r="K35" s="35"/>
      <c r="L35" s="35"/>
      <c r="M35" s="36"/>
      <c r="N35" s="37"/>
      <c r="O35" s="38"/>
      <c r="P35" s="39"/>
      <c r="Q35" s="36"/>
      <c r="R35" s="37"/>
      <c r="S35" s="38"/>
      <c r="T35" s="39"/>
      <c r="U35" s="36"/>
      <c r="V35" s="40">
        <f t="shared" si="10"/>
        <v>24750</v>
      </c>
      <c r="W35" s="80">
        <v>1.449</v>
      </c>
      <c r="X35" s="42">
        <f t="shared" si="11"/>
        <v>35862.75</v>
      </c>
      <c r="Y35" s="43">
        <f t="shared" si="12"/>
        <v>277936.3125</v>
      </c>
      <c r="Z35" s="81">
        <v>45937</v>
      </c>
      <c r="AA35" s="4"/>
      <c r="AB35" s="4"/>
      <c r="AC35" s="4"/>
      <c r="AD35" s="4"/>
      <c r="AE35" s="4"/>
      <c r="AF35" s="4"/>
      <c r="AG35" s="4"/>
      <c r="AH35" s="4"/>
      <c r="AI35" s="4"/>
      <c r="AJ35" s="4"/>
      <c r="AK35" s="4"/>
      <c r="AL35" s="4"/>
      <c r="AM35" s="4"/>
      <c r="AN35" s="4"/>
      <c r="AO35" s="4"/>
      <c r="AP35" s="4"/>
      <c r="AQ35" s="4"/>
      <c r="AR35" s="4"/>
      <c r="AS35" s="4"/>
      <c r="AT35" s="4"/>
      <c r="IN35" s="30"/>
      <c r="IO35" s="4"/>
      <c r="IP35" s="4"/>
      <c r="IQ35" s="4"/>
      <c r="IR35" s="4"/>
      <c r="IS35" s="4"/>
      <c r="IT35" s="4"/>
      <c r="IU35" s="4"/>
      <c r="IV35" s="4"/>
    </row>
    <row r="36" s="10" customFormat="1" ht="25" customHeight="1" spans="1:256">
      <c r="A36" s="64">
        <v>45797</v>
      </c>
      <c r="B36" s="65" t="s">
        <v>84</v>
      </c>
      <c r="C36" s="66" t="s">
        <v>445</v>
      </c>
      <c r="D36" s="67" t="s">
        <v>78</v>
      </c>
      <c r="E36" s="65" t="s">
        <v>980</v>
      </c>
      <c r="F36" s="65" t="s">
        <v>988</v>
      </c>
      <c r="G36" s="68" t="s">
        <v>989</v>
      </c>
      <c r="H36" s="69">
        <v>2826</v>
      </c>
      <c r="I36" s="68"/>
      <c r="J36" s="69"/>
      <c r="K36" s="69"/>
      <c r="L36" s="69"/>
      <c r="M36" s="70"/>
      <c r="N36" s="71"/>
      <c r="O36" s="72"/>
      <c r="P36" s="73"/>
      <c r="Q36" s="70"/>
      <c r="R36" s="71"/>
      <c r="S36" s="72"/>
      <c r="T36" s="73"/>
      <c r="U36" s="70"/>
      <c r="V36" s="74">
        <f t="shared" si="10"/>
        <v>2826</v>
      </c>
      <c r="W36" s="75">
        <v>1.449</v>
      </c>
      <c r="X36" s="76">
        <f t="shared" si="11"/>
        <v>4094.874</v>
      </c>
      <c r="Y36" s="77">
        <f t="shared" si="12"/>
        <v>31735.2735</v>
      </c>
      <c r="Z36" s="78">
        <v>45915</v>
      </c>
      <c r="AA36" s="79"/>
      <c r="AB36" s="79"/>
      <c r="AC36" s="79"/>
      <c r="AD36" s="79"/>
      <c r="AE36" s="79"/>
      <c r="AF36" s="79"/>
      <c r="AG36" s="79"/>
      <c r="AH36" s="79"/>
      <c r="AI36" s="79"/>
      <c r="AJ36" s="79"/>
      <c r="AK36" s="79"/>
      <c r="AL36" s="79"/>
      <c r="AM36" s="79"/>
      <c r="AN36" s="79"/>
      <c r="AO36" s="79"/>
      <c r="AP36" s="79"/>
      <c r="AQ36" s="79"/>
      <c r="AR36" s="79"/>
      <c r="AS36" s="79"/>
      <c r="AT36" s="79"/>
      <c r="IN36" s="64"/>
      <c r="IO36" s="79"/>
      <c r="IP36" s="79"/>
      <c r="IQ36" s="79"/>
      <c r="IR36" s="79"/>
      <c r="IS36" s="79"/>
      <c r="IT36" s="79"/>
      <c r="IU36" s="79"/>
      <c r="IV36" s="79"/>
    </row>
    <row r="37" s="3" customFormat="1" ht="25" customHeight="1" spans="1:256">
      <c r="A37" s="30">
        <v>45905</v>
      </c>
      <c r="B37" s="31" t="s">
        <v>84</v>
      </c>
      <c r="C37" s="32" t="s">
        <v>445</v>
      </c>
      <c r="D37" s="33" t="s">
        <v>78</v>
      </c>
      <c r="E37" s="31" t="s">
        <v>981</v>
      </c>
      <c r="F37" s="31" t="s">
        <v>988</v>
      </c>
      <c r="G37" s="34" t="s">
        <v>989</v>
      </c>
      <c r="H37" s="35">
        <v>2748</v>
      </c>
      <c r="I37" s="34"/>
      <c r="J37" s="35"/>
      <c r="K37" s="35"/>
      <c r="L37" s="35"/>
      <c r="M37" s="36"/>
      <c r="N37" s="37"/>
      <c r="O37" s="38"/>
      <c r="P37" s="39"/>
      <c r="Q37" s="36"/>
      <c r="R37" s="37"/>
      <c r="S37" s="38"/>
      <c r="T37" s="39"/>
      <c r="U37" s="36"/>
      <c r="V37" s="40">
        <f t="shared" si="10"/>
        <v>2748</v>
      </c>
      <c r="W37" s="80">
        <v>1.449</v>
      </c>
      <c r="X37" s="42">
        <f t="shared" si="11"/>
        <v>3981.852</v>
      </c>
      <c r="Y37" s="43">
        <f t="shared" si="12"/>
        <v>30859.353</v>
      </c>
      <c r="Z37" s="81">
        <v>45937</v>
      </c>
      <c r="AA37" s="4"/>
      <c r="AB37" s="4"/>
      <c r="AC37" s="4"/>
      <c r="AD37" s="4"/>
      <c r="AE37" s="4"/>
      <c r="AF37" s="4"/>
      <c r="AG37" s="4"/>
      <c r="AH37" s="4"/>
      <c r="AI37" s="4"/>
      <c r="AJ37" s="4"/>
      <c r="AK37" s="4"/>
      <c r="AL37" s="4"/>
      <c r="AM37" s="4"/>
      <c r="AN37" s="4"/>
      <c r="AO37" s="4"/>
      <c r="AP37" s="4"/>
      <c r="AQ37" s="4"/>
      <c r="AR37" s="4"/>
      <c r="AS37" s="4"/>
      <c r="AT37" s="4"/>
      <c r="IN37" s="30"/>
      <c r="IO37" s="4"/>
      <c r="IP37" s="4"/>
      <c r="IQ37" s="4"/>
      <c r="IR37" s="4"/>
      <c r="IS37" s="4"/>
      <c r="IT37" s="4"/>
      <c r="IU37" s="4"/>
      <c r="IV37" s="4"/>
    </row>
    <row r="38" s="3" customFormat="1" ht="25" customHeight="1" spans="1:256">
      <c r="A38" s="30">
        <v>45905</v>
      </c>
      <c r="B38" s="31" t="s">
        <v>84</v>
      </c>
      <c r="C38" s="32" t="s">
        <v>445</v>
      </c>
      <c r="D38" s="33" t="s">
        <v>78</v>
      </c>
      <c r="E38" s="31" t="s">
        <v>983</v>
      </c>
      <c r="F38" s="31" t="s">
        <v>988</v>
      </c>
      <c r="G38" s="34" t="s">
        <v>989</v>
      </c>
      <c r="H38" s="35">
        <v>1434</v>
      </c>
      <c r="I38" s="34"/>
      <c r="J38" s="35"/>
      <c r="K38" s="35"/>
      <c r="L38" s="35"/>
      <c r="M38" s="36"/>
      <c r="N38" s="37"/>
      <c r="O38" s="38"/>
      <c r="P38" s="39"/>
      <c r="Q38" s="36"/>
      <c r="R38" s="37"/>
      <c r="S38" s="38"/>
      <c r="T38" s="39"/>
      <c r="U38" s="36"/>
      <c r="V38" s="40">
        <f t="shared" si="10"/>
        <v>1434</v>
      </c>
      <c r="W38" s="80">
        <v>1.449</v>
      </c>
      <c r="X38" s="42">
        <f t="shared" si="11"/>
        <v>2077.866</v>
      </c>
      <c r="Y38" s="43">
        <f t="shared" si="12"/>
        <v>16103.4615</v>
      </c>
      <c r="Z38" s="81">
        <v>45951</v>
      </c>
      <c r="AA38" s="4"/>
      <c r="AB38" s="4"/>
      <c r="AC38" s="4"/>
      <c r="AD38" s="4"/>
      <c r="AE38" s="4"/>
      <c r="AF38" s="4"/>
      <c r="AG38" s="4"/>
      <c r="AH38" s="4"/>
      <c r="AI38" s="4"/>
      <c r="AJ38" s="4"/>
      <c r="AK38" s="4"/>
      <c r="AL38" s="4"/>
      <c r="AM38" s="4"/>
      <c r="AN38" s="4"/>
      <c r="AO38" s="4"/>
      <c r="AP38" s="4"/>
      <c r="AQ38" s="4"/>
      <c r="AR38" s="4"/>
      <c r="AS38" s="4"/>
      <c r="AT38" s="4"/>
      <c r="IN38" s="30"/>
      <c r="IO38" s="4"/>
      <c r="IP38" s="4"/>
      <c r="IQ38" s="4"/>
      <c r="IR38" s="4"/>
      <c r="IS38" s="4"/>
      <c r="IT38" s="4"/>
      <c r="IU38" s="4"/>
      <c r="IV38" s="4"/>
    </row>
    <row r="39" s="3" customFormat="1" ht="25" customHeight="1" spans="1:256">
      <c r="A39" s="30">
        <v>45905</v>
      </c>
      <c r="B39" s="31" t="s">
        <v>79</v>
      </c>
      <c r="C39" s="32" t="s">
        <v>445</v>
      </c>
      <c r="D39" s="33" t="s">
        <v>78</v>
      </c>
      <c r="E39" s="31" t="s">
        <v>982</v>
      </c>
      <c r="F39" s="31" t="s">
        <v>988</v>
      </c>
      <c r="G39" s="34" t="s">
        <v>989</v>
      </c>
      <c r="H39" s="35">
        <v>12930</v>
      </c>
      <c r="I39" s="34"/>
      <c r="J39" s="35"/>
      <c r="K39" s="35"/>
      <c r="L39" s="35"/>
      <c r="M39" s="36"/>
      <c r="N39" s="37"/>
      <c r="O39" s="38"/>
      <c r="P39" s="39"/>
      <c r="Q39" s="36"/>
      <c r="R39" s="37"/>
      <c r="S39" s="38"/>
      <c r="T39" s="39"/>
      <c r="U39" s="36"/>
      <c r="V39" s="40">
        <f t="shared" si="10"/>
        <v>12930</v>
      </c>
      <c r="W39" s="80">
        <v>1.449</v>
      </c>
      <c r="X39" s="42">
        <f t="shared" si="11"/>
        <v>18735.57</v>
      </c>
      <c r="Y39" s="43">
        <f t="shared" si="12"/>
        <v>145200.6675</v>
      </c>
      <c r="Z39" s="81">
        <v>45951</v>
      </c>
      <c r="AA39" s="4"/>
      <c r="AB39" s="4"/>
      <c r="AC39" s="4"/>
      <c r="AD39" s="4"/>
      <c r="AE39" s="4"/>
      <c r="AF39" s="4"/>
      <c r="AG39" s="4"/>
      <c r="AH39" s="4"/>
      <c r="AI39" s="4"/>
      <c r="AJ39" s="4"/>
      <c r="AK39" s="4"/>
      <c r="AL39" s="4"/>
      <c r="AM39" s="4"/>
      <c r="AN39" s="4"/>
      <c r="AO39" s="4"/>
      <c r="AP39" s="4"/>
      <c r="AQ39" s="4"/>
      <c r="AR39" s="4"/>
      <c r="AS39" s="4"/>
      <c r="AT39" s="4"/>
      <c r="IN39" s="30"/>
      <c r="IO39" s="4"/>
      <c r="IP39" s="4"/>
      <c r="IQ39" s="4"/>
      <c r="IR39" s="4"/>
      <c r="IS39" s="4"/>
      <c r="IT39" s="4"/>
      <c r="IU39" s="4"/>
      <c r="IV39" s="4"/>
    </row>
    <row r="40" s="3" customFormat="1" ht="25" customHeight="1" spans="1:256">
      <c r="A40" s="30"/>
      <c r="B40" s="31"/>
      <c r="C40" s="32"/>
      <c r="D40" s="33"/>
      <c r="E40" s="31"/>
      <c r="F40" s="31"/>
      <c r="G40" s="34"/>
      <c r="H40" s="35"/>
      <c r="I40" s="34"/>
      <c r="J40" s="35"/>
      <c r="K40" s="35"/>
      <c r="L40" s="35"/>
      <c r="M40" s="36"/>
      <c r="N40" s="37"/>
      <c r="O40" s="38"/>
      <c r="P40" s="39"/>
      <c r="Q40" s="36"/>
      <c r="R40" s="37"/>
      <c r="S40" s="38"/>
      <c r="T40" s="39"/>
      <c r="U40" s="36"/>
      <c r="V40" s="40"/>
      <c r="W40" s="80"/>
      <c r="X40" s="42"/>
      <c r="Y40" s="43"/>
      <c r="Z40" s="81"/>
      <c r="AA40" s="4"/>
      <c r="AB40" s="4"/>
      <c r="AC40" s="4"/>
      <c r="AD40" s="4"/>
      <c r="AE40" s="4"/>
      <c r="AF40" s="4"/>
      <c r="AG40" s="4"/>
      <c r="AH40" s="4"/>
      <c r="AI40" s="4"/>
      <c r="AJ40" s="4"/>
      <c r="AK40" s="4"/>
      <c r="AL40" s="4"/>
      <c r="AM40" s="4"/>
      <c r="AN40" s="4"/>
      <c r="AO40" s="4"/>
      <c r="AP40" s="4"/>
      <c r="AQ40" s="4"/>
      <c r="AR40" s="4"/>
      <c r="AS40" s="4"/>
      <c r="AT40" s="4"/>
      <c r="IN40" s="30"/>
      <c r="IO40" s="4"/>
      <c r="IP40" s="4"/>
      <c r="IQ40" s="4"/>
      <c r="IR40" s="4"/>
      <c r="IS40" s="4"/>
      <c r="IT40" s="4"/>
      <c r="IU40" s="4"/>
      <c r="IV40" s="4"/>
    </row>
    <row r="41" s="3" customFormat="1" ht="25" customHeight="1" spans="1:256">
      <c r="A41" s="30"/>
      <c r="B41" s="31"/>
      <c r="C41" s="32"/>
      <c r="D41" s="33"/>
      <c r="E41" s="31"/>
      <c r="F41" s="31"/>
      <c r="G41" s="34"/>
      <c r="H41" s="35"/>
      <c r="I41" s="34"/>
      <c r="J41" s="35"/>
      <c r="K41" s="35"/>
      <c r="L41" s="35"/>
      <c r="M41" s="36"/>
      <c r="N41" s="37"/>
      <c r="O41" s="38"/>
      <c r="P41" s="39"/>
      <c r="Q41" s="36"/>
      <c r="R41" s="37"/>
      <c r="S41" s="38"/>
      <c r="T41" s="39"/>
      <c r="U41" s="36"/>
      <c r="V41" s="40"/>
      <c r="W41" s="80"/>
      <c r="X41" s="42"/>
      <c r="Y41" s="43"/>
      <c r="Z41" s="81"/>
      <c r="AA41" s="4"/>
      <c r="AB41" s="4"/>
      <c r="AC41" s="4"/>
      <c r="AD41" s="4"/>
      <c r="AE41" s="4"/>
      <c r="AF41" s="4"/>
      <c r="AG41" s="4"/>
      <c r="AH41" s="4"/>
      <c r="AI41" s="4"/>
      <c r="AJ41" s="4"/>
      <c r="AK41" s="4"/>
      <c r="AL41" s="4"/>
      <c r="AM41" s="4"/>
      <c r="AN41" s="4"/>
      <c r="AO41" s="4"/>
      <c r="AP41" s="4"/>
      <c r="AQ41" s="4"/>
      <c r="AR41" s="4"/>
      <c r="AS41" s="4"/>
      <c r="AT41" s="4"/>
      <c r="IN41" s="30"/>
      <c r="IO41" s="4"/>
      <c r="IP41" s="4"/>
      <c r="IQ41" s="4"/>
      <c r="IR41" s="4"/>
      <c r="IS41" s="4"/>
      <c r="IT41" s="4"/>
      <c r="IU41" s="4"/>
      <c r="IV41" s="4"/>
    </row>
    <row r="42" s="3" customFormat="1" ht="25" customHeight="1" spans="1:256">
      <c r="A42" s="30"/>
      <c r="B42" s="31"/>
      <c r="C42" s="32"/>
      <c r="D42" s="33"/>
      <c r="E42" s="31"/>
      <c r="F42" s="31"/>
      <c r="G42" s="34"/>
      <c r="H42" s="35"/>
      <c r="I42" s="34"/>
      <c r="J42" s="35"/>
      <c r="K42" s="35"/>
      <c r="L42" s="35"/>
      <c r="M42" s="36"/>
      <c r="N42" s="37"/>
      <c r="O42" s="38"/>
      <c r="P42" s="39"/>
      <c r="Q42" s="36"/>
      <c r="R42" s="37"/>
      <c r="S42" s="38"/>
      <c r="T42" s="39"/>
      <c r="U42" s="36"/>
      <c r="V42" s="40"/>
      <c r="W42" s="80"/>
      <c r="X42" s="42"/>
      <c r="Y42" s="43"/>
      <c r="Z42" s="81"/>
      <c r="AA42" s="4"/>
      <c r="AB42" s="4"/>
      <c r="AC42" s="4"/>
      <c r="AD42" s="4"/>
      <c r="AE42" s="4"/>
      <c r="AF42" s="4"/>
      <c r="AG42" s="4"/>
      <c r="AH42" s="4"/>
      <c r="AI42" s="4"/>
      <c r="AJ42" s="4"/>
      <c r="AK42" s="4"/>
      <c r="AL42" s="4"/>
      <c r="AM42" s="4"/>
      <c r="AN42" s="4"/>
      <c r="AO42" s="4"/>
      <c r="AP42" s="4"/>
      <c r="AQ42" s="4"/>
      <c r="AR42" s="4"/>
      <c r="AS42" s="4"/>
      <c r="AT42" s="4"/>
      <c r="IN42" s="30"/>
      <c r="IO42" s="4"/>
      <c r="IP42" s="4"/>
      <c r="IQ42" s="4"/>
      <c r="IR42" s="4"/>
      <c r="IS42" s="4"/>
      <c r="IT42" s="4"/>
      <c r="IU42" s="4"/>
      <c r="IV42" s="4"/>
    </row>
    <row r="43" s="3" customFormat="1" ht="25" customHeight="1" spans="1:256">
      <c r="A43" s="48" t="s">
        <v>990</v>
      </c>
      <c r="B43" s="48"/>
      <c r="C43" s="48"/>
      <c r="D43" s="48"/>
      <c r="E43" s="31"/>
      <c r="F43" s="31"/>
      <c r="G43" s="34"/>
      <c r="H43" s="35">
        <f>SUM(H21:H42)</f>
        <v>219852</v>
      </c>
      <c r="I43" s="35">
        <f>SUM(I21:I42)</f>
        <v>0</v>
      </c>
      <c r="J43" s="35">
        <f>SUM(J21:J42)</f>
        <v>0</v>
      </c>
      <c r="K43" s="35"/>
      <c r="L43" s="35">
        <f>SUM(L21:L42)</f>
        <v>0</v>
      </c>
      <c r="M43" s="36">
        <f>SUM(M21:M42)</f>
        <v>0</v>
      </c>
      <c r="N43" s="45">
        <f>SUM(N21:N42)</f>
        <v>0</v>
      </c>
      <c r="O43" s="46">
        <f>SUM(O21:O42)</f>
        <v>0</v>
      </c>
      <c r="P43" s="47">
        <f>SUM(P21:P42)</f>
        <v>0</v>
      </c>
      <c r="Q43" s="36"/>
      <c r="R43" s="45">
        <f>SUM(R21:R42)</f>
        <v>0</v>
      </c>
      <c r="S43" s="46">
        <f>SUM(S21:S42)</f>
        <v>0</v>
      </c>
      <c r="T43" s="47"/>
      <c r="U43" s="36"/>
      <c r="V43" s="35">
        <f>SUM(V21:V42)</f>
        <v>219852</v>
      </c>
      <c r="W43" s="41"/>
      <c r="X43" s="42">
        <f>SUM(X21:X42)</f>
        <v>284009.988</v>
      </c>
      <c r="Y43" s="49">
        <f>SUM(Y21:Y42)</f>
        <v>2201077.407</v>
      </c>
      <c r="Z43" s="82"/>
      <c r="IN43" s="11"/>
    </row>
    <row r="44" s="3" customFormat="1" ht="25" customHeight="1" spans="1:256">
      <c r="A44" s="11"/>
      <c r="B44" s="4"/>
      <c r="D44" s="12"/>
      <c r="E44" s="4"/>
      <c r="F44" s="4"/>
      <c r="G44" s="4"/>
      <c r="H44" s="13"/>
      <c r="I44" s="4"/>
      <c r="J44" s="13"/>
      <c r="K44" s="13"/>
      <c r="L44" s="13"/>
      <c r="M44" s="14"/>
      <c r="N44" s="15"/>
      <c r="O44" s="16"/>
      <c r="P44" s="17"/>
      <c r="Q44" s="14"/>
      <c r="R44" s="15"/>
      <c r="S44" s="16"/>
      <c r="T44" s="17"/>
      <c r="U44" s="14"/>
      <c r="X44" s="18"/>
      <c r="IN44" s="11"/>
    </row>
    <row r="45" s="3" customFormat="1" ht="25" customHeight="1" spans="1:256">
      <c r="A45" s="11"/>
      <c r="B45" s="4"/>
      <c r="D45" s="12"/>
      <c r="E45" s="4"/>
      <c r="F45" s="4"/>
      <c r="G45" s="4"/>
      <c r="H45" s="13"/>
      <c r="I45" s="4"/>
      <c r="J45" s="13"/>
      <c r="K45" s="13"/>
      <c r="L45" s="13"/>
      <c r="M45" s="14"/>
      <c r="N45" s="15"/>
      <c r="O45" s="16"/>
      <c r="P45" s="17"/>
      <c r="Q45" s="14"/>
      <c r="R45" s="15"/>
      <c r="S45" s="16"/>
      <c r="T45" s="17"/>
      <c r="U45" s="14"/>
      <c r="X45" s="18"/>
      <c r="IN45" s="11"/>
    </row>
    <row r="46" s="3" customFormat="1" ht="25" customHeight="1" spans="1:256">
      <c r="A46" s="11"/>
      <c r="B46" s="4"/>
      <c r="D46" s="12"/>
      <c r="E46" s="4"/>
      <c r="F46" s="4"/>
      <c r="G46" s="4"/>
      <c r="H46" s="13"/>
      <c r="I46" s="4"/>
      <c r="J46" s="13"/>
      <c r="K46" s="13"/>
      <c r="L46" s="13"/>
      <c r="M46" s="14"/>
      <c r="N46" s="15"/>
      <c r="O46" s="16"/>
      <c r="P46" s="17"/>
      <c r="Q46" s="14"/>
      <c r="R46" s="15"/>
      <c r="S46" s="16"/>
      <c r="T46" s="17"/>
      <c r="U46" s="14"/>
      <c r="X46" s="18"/>
      <c r="IN46" s="11"/>
    </row>
    <row r="47" s="3" customFormat="1" ht="25" customHeight="1" spans="1:256">
      <c r="A47" s="11"/>
      <c r="B47" s="4"/>
      <c r="D47" s="12"/>
      <c r="E47" s="4"/>
      <c r="F47" s="4"/>
      <c r="G47" s="4"/>
      <c r="H47" s="13"/>
      <c r="I47" s="4"/>
      <c r="J47" s="13"/>
      <c r="K47" s="13"/>
      <c r="L47" s="13"/>
      <c r="M47" s="14"/>
      <c r="N47" s="15"/>
      <c r="O47" s="16"/>
      <c r="P47" s="17"/>
      <c r="Q47" s="14"/>
      <c r="R47" s="15"/>
      <c r="S47" s="16"/>
      <c r="T47" s="17"/>
      <c r="U47" s="14"/>
      <c r="X47" s="18"/>
      <c r="IN47" s="11"/>
    </row>
    <row r="48" s="3" customFormat="1" ht="25" customHeight="1" spans="1:256">
      <c r="A48" s="11"/>
      <c r="B48" s="4"/>
      <c r="D48" s="12"/>
      <c r="E48" s="4"/>
      <c r="F48" s="4"/>
      <c r="G48" s="4"/>
      <c r="H48" s="13"/>
      <c r="I48" s="4"/>
      <c r="J48" s="13"/>
      <c r="K48" s="13"/>
      <c r="L48" s="13"/>
      <c r="M48" s="14"/>
      <c r="N48" s="15"/>
      <c r="O48" s="16"/>
      <c r="P48" s="17"/>
      <c r="Q48" s="14"/>
      <c r="R48" s="15"/>
      <c r="S48" s="16"/>
      <c r="T48" s="17"/>
      <c r="U48" s="14"/>
      <c r="X48" s="18"/>
      <c r="IN48" s="11"/>
    </row>
    <row r="49" s="3" customFormat="1" ht="25" customHeight="1" spans="1:248">
      <c r="A49" s="11"/>
      <c r="B49" s="4"/>
      <c r="D49" s="12"/>
      <c r="E49" s="4"/>
      <c r="F49" s="4"/>
      <c r="G49" s="4"/>
      <c r="H49" s="13"/>
      <c r="I49" s="4"/>
      <c r="J49" s="13"/>
      <c r="K49" s="13"/>
      <c r="L49" s="13"/>
      <c r="M49" s="14"/>
      <c r="N49" s="15"/>
      <c r="O49" s="16"/>
      <c r="P49" s="17"/>
      <c r="Q49" s="14"/>
      <c r="R49" s="15"/>
      <c r="S49" s="16"/>
      <c r="T49" s="17"/>
      <c r="U49" s="14"/>
      <c r="X49" s="18"/>
      <c r="IN49" s="11"/>
    </row>
    <row r="50" s="3" customFormat="1" ht="25" customHeight="1" spans="1:248">
      <c r="A50" s="11"/>
      <c r="B50" s="4"/>
      <c r="D50" s="12"/>
      <c r="E50" s="4"/>
      <c r="F50" s="4"/>
      <c r="G50" s="4"/>
      <c r="H50" s="13"/>
      <c r="I50" s="4"/>
      <c r="J50" s="13"/>
      <c r="K50" s="13"/>
      <c r="L50" s="13"/>
      <c r="M50" s="14"/>
      <c r="N50" s="15"/>
      <c r="O50" s="16"/>
      <c r="P50" s="17"/>
      <c r="Q50" s="14"/>
      <c r="R50" s="15"/>
      <c r="S50" s="16"/>
      <c r="T50" s="17"/>
      <c r="U50" s="14"/>
      <c r="X50" s="18"/>
      <c r="IN50" s="11"/>
    </row>
    <row r="51" s="3" customFormat="1" ht="25" customHeight="1" spans="1:248">
      <c r="A51" s="11"/>
      <c r="B51" s="4"/>
      <c r="D51" s="12"/>
      <c r="E51" s="4"/>
      <c r="F51" s="4"/>
      <c r="G51" s="4"/>
      <c r="H51" s="13"/>
      <c r="I51" s="4"/>
      <c r="J51" s="13"/>
      <c r="K51" s="13"/>
      <c r="L51" s="13"/>
      <c r="M51" s="14"/>
      <c r="N51" s="15"/>
      <c r="O51" s="16"/>
      <c r="P51" s="17"/>
      <c r="Q51" s="14"/>
      <c r="R51" s="15"/>
      <c r="S51" s="16"/>
      <c r="T51" s="17"/>
      <c r="U51" s="14"/>
      <c r="X51" s="18"/>
      <c r="IN51" s="11"/>
    </row>
    <row r="52" s="3" customFormat="1" ht="25" customHeight="1" spans="1:248">
      <c r="A52" s="11"/>
      <c r="B52" s="4"/>
      <c r="D52" s="12"/>
      <c r="E52" s="4"/>
      <c r="F52" s="4"/>
      <c r="G52" s="4"/>
      <c r="H52" s="13"/>
      <c r="I52" s="4"/>
      <c r="J52" s="13"/>
      <c r="K52" s="13"/>
      <c r="L52" s="13"/>
      <c r="M52" s="14"/>
      <c r="N52" s="15"/>
      <c r="O52" s="16"/>
      <c r="P52" s="17"/>
      <c r="Q52" s="14"/>
      <c r="R52" s="15"/>
      <c r="S52" s="16"/>
      <c r="T52" s="17"/>
      <c r="U52" s="14"/>
      <c r="X52" s="18"/>
      <c r="IN52" s="11"/>
    </row>
    <row r="53" s="3" customFormat="1" ht="25" customHeight="1" spans="1:248">
      <c r="A53" s="11"/>
      <c r="B53" s="4"/>
      <c r="D53" s="12"/>
      <c r="E53" s="4"/>
      <c r="F53" s="4"/>
      <c r="G53" s="4"/>
      <c r="H53" s="13"/>
      <c r="I53" s="4"/>
      <c r="J53" s="13"/>
      <c r="K53" s="13"/>
      <c r="L53" s="13"/>
      <c r="M53" s="14"/>
      <c r="N53" s="15"/>
      <c r="O53" s="16"/>
      <c r="P53" s="17"/>
      <c r="Q53" s="14"/>
      <c r="R53" s="15"/>
      <c r="S53" s="16"/>
      <c r="T53" s="17"/>
      <c r="U53" s="14"/>
      <c r="X53" s="18"/>
      <c r="IN53" s="11"/>
    </row>
    <row r="54" s="3" customFormat="1" ht="25" customHeight="1" spans="1:248">
      <c r="A54" s="11"/>
      <c r="B54" s="4"/>
      <c r="D54" s="12"/>
      <c r="E54" s="4"/>
      <c r="F54" s="4"/>
      <c r="G54" s="4"/>
      <c r="H54" s="13"/>
      <c r="I54" s="4"/>
      <c r="J54" s="13"/>
      <c r="K54" s="13"/>
      <c r="L54" s="13"/>
      <c r="M54" s="14"/>
      <c r="N54" s="15"/>
      <c r="O54" s="16"/>
      <c r="P54" s="17"/>
      <c r="Q54" s="14"/>
      <c r="R54" s="15"/>
      <c r="S54" s="16"/>
      <c r="T54" s="17"/>
      <c r="U54" s="14"/>
      <c r="X54" s="18"/>
      <c r="IN54" s="11"/>
    </row>
    <row r="55" s="3" customFormat="1" ht="25" customHeight="1" spans="1:248">
      <c r="A55" s="11"/>
      <c r="B55" s="4"/>
      <c r="D55" s="12"/>
      <c r="E55" s="4"/>
      <c r="F55" s="4"/>
      <c r="G55" s="4"/>
      <c r="H55" s="13"/>
      <c r="I55" s="4"/>
      <c r="J55" s="13"/>
      <c r="K55" s="13"/>
      <c r="L55" s="13"/>
      <c r="M55" s="14"/>
      <c r="N55" s="15"/>
      <c r="O55" s="16"/>
      <c r="P55" s="17"/>
      <c r="Q55" s="14"/>
      <c r="R55" s="15"/>
      <c r="S55" s="16"/>
      <c r="T55" s="17"/>
      <c r="U55" s="14"/>
      <c r="X55" s="18"/>
      <c r="IN55" s="11"/>
    </row>
    <row r="56" s="3" customFormat="1" ht="25" customHeight="1" spans="1:248">
      <c r="A56" s="11"/>
      <c r="B56" s="4"/>
      <c r="D56" s="12"/>
      <c r="E56" s="4"/>
      <c r="F56" s="4"/>
      <c r="G56" s="4"/>
      <c r="H56" s="13"/>
      <c r="I56" s="4"/>
      <c r="J56" s="13"/>
      <c r="K56" s="13"/>
      <c r="L56" s="13"/>
      <c r="M56" s="14"/>
      <c r="N56" s="15"/>
      <c r="O56" s="16"/>
      <c r="P56" s="17"/>
      <c r="Q56" s="14"/>
      <c r="R56" s="15"/>
      <c r="S56" s="16"/>
      <c r="T56" s="17"/>
      <c r="U56" s="14"/>
      <c r="X56" s="18"/>
      <c r="IN56" s="11"/>
    </row>
    <row r="57" s="3" customFormat="1" ht="25" customHeight="1" spans="1:248">
      <c r="A57" s="11"/>
      <c r="B57" s="4"/>
      <c r="D57" s="12"/>
      <c r="E57" s="4"/>
      <c r="F57" s="4"/>
      <c r="G57" s="4"/>
      <c r="H57" s="13"/>
      <c r="I57" s="4"/>
      <c r="J57" s="13"/>
      <c r="K57" s="13"/>
      <c r="L57" s="13"/>
      <c r="M57" s="14"/>
      <c r="N57" s="15"/>
      <c r="O57" s="16"/>
      <c r="P57" s="17"/>
      <c r="Q57" s="14"/>
      <c r="R57" s="15"/>
      <c r="S57" s="16"/>
      <c r="T57" s="17"/>
      <c r="U57" s="14"/>
      <c r="X57" s="18"/>
      <c r="IN57" s="11"/>
    </row>
    <row r="58" s="3" customFormat="1" ht="25" customHeight="1" spans="1:248">
      <c r="A58" s="11"/>
      <c r="B58" s="4"/>
      <c r="D58" s="12"/>
      <c r="E58" s="4"/>
      <c r="F58" s="4"/>
      <c r="G58" s="4"/>
      <c r="H58" s="13"/>
      <c r="I58" s="4"/>
      <c r="J58" s="13"/>
      <c r="K58" s="13"/>
      <c r="L58" s="13"/>
      <c r="M58" s="14"/>
      <c r="N58" s="15"/>
      <c r="O58" s="16"/>
      <c r="P58" s="17"/>
      <c r="Q58" s="14"/>
      <c r="R58" s="15"/>
      <c r="S58" s="16"/>
      <c r="T58" s="17"/>
      <c r="U58" s="14"/>
      <c r="X58" s="18"/>
      <c r="IN58" s="11"/>
    </row>
    <row r="59" s="3" customFormat="1" ht="25" customHeight="1" spans="1:248">
      <c r="A59" s="11"/>
      <c r="B59" s="4"/>
      <c r="D59" s="12"/>
      <c r="E59" s="4"/>
      <c r="F59" s="4"/>
      <c r="G59" s="4"/>
      <c r="H59" s="13"/>
      <c r="I59" s="4"/>
      <c r="J59" s="13"/>
      <c r="K59" s="13"/>
      <c r="L59" s="13"/>
      <c r="M59" s="14"/>
      <c r="N59" s="15"/>
      <c r="O59" s="16"/>
      <c r="P59" s="17"/>
      <c r="Q59" s="14"/>
      <c r="R59" s="15"/>
      <c r="S59" s="16"/>
      <c r="T59" s="17"/>
      <c r="U59" s="14"/>
      <c r="X59" s="18"/>
      <c r="IN59" s="11"/>
    </row>
    <row r="60" s="3" customFormat="1" ht="25" customHeight="1" spans="1:248">
      <c r="A60" s="11"/>
      <c r="B60" s="4"/>
      <c r="D60" s="12"/>
      <c r="E60" s="4"/>
      <c r="F60" s="4"/>
      <c r="G60" s="4"/>
      <c r="H60" s="13"/>
      <c r="I60" s="4"/>
      <c r="J60" s="13"/>
      <c r="K60" s="13"/>
      <c r="L60" s="13"/>
      <c r="M60" s="14"/>
      <c r="N60" s="15"/>
      <c r="O60" s="16"/>
      <c r="P60" s="17"/>
      <c r="Q60" s="14"/>
      <c r="R60" s="15"/>
      <c r="S60" s="16"/>
      <c r="T60" s="17"/>
      <c r="U60" s="14"/>
      <c r="X60" s="18"/>
      <c r="IN60" s="11"/>
    </row>
    <row r="61" s="3" customFormat="1" spans="1:248">
      <c r="A61" s="11"/>
      <c r="B61" s="4"/>
      <c r="D61" s="12"/>
      <c r="E61" s="4"/>
      <c r="F61" s="4"/>
      <c r="G61" s="4"/>
      <c r="H61" s="13"/>
      <c r="I61" s="4"/>
      <c r="J61" s="13"/>
      <c r="K61" s="13"/>
      <c r="L61" s="13"/>
      <c r="M61" s="14"/>
      <c r="N61" s="15"/>
      <c r="O61" s="16"/>
      <c r="P61" s="17"/>
      <c r="Q61" s="14"/>
      <c r="R61" s="15"/>
      <c r="S61" s="16"/>
      <c r="T61" s="17"/>
      <c r="U61" s="14"/>
      <c r="X61" s="18"/>
      <c r="IN61" s="11"/>
    </row>
    <row r="62" s="3" customFormat="1" spans="1:248">
      <c r="A62" s="11"/>
      <c r="B62" s="4"/>
      <c r="D62" s="12"/>
      <c r="E62" s="4"/>
      <c r="F62" s="4"/>
      <c r="G62" s="4"/>
      <c r="H62" s="13"/>
      <c r="I62" s="4"/>
      <c r="J62" s="13"/>
      <c r="K62" s="13"/>
      <c r="L62" s="13"/>
      <c r="M62" s="14"/>
      <c r="N62" s="15"/>
      <c r="O62" s="16"/>
      <c r="P62" s="17"/>
      <c r="Q62" s="14"/>
      <c r="R62" s="15"/>
      <c r="S62" s="16"/>
      <c r="T62" s="17"/>
      <c r="U62" s="14"/>
      <c r="X62" s="18"/>
      <c r="IN62" s="11"/>
    </row>
    <row r="63" s="3" customFormat="1" spans="1:248">
      <c r="A63" s="11"/>
      <c r="B63" s="4"/>
      <c r="D63" s="12"/>
      <c r="E63" s="4"/>
      <c r="F63" s="4"/>
      <c r="G63" s="4"/>
      <c r="H63" s="13"/>
      <c r="I63" s="4"/>
      <c r="J63" s="13"/>
      <c r="K63" s="13"/>
      <c r="L63" s="13"/>
      <c r="M63" s="14"/>
      <c r="N63" s="15"/>
      <c r="O63" s="16"/>
      <c r="P63" s="17"/>
      <c r="Q63" s="14"/>
      <c r="R63" s="15"/>
      <c r="S63" s="16"/>
      <c r="T63" s="17"/>
      <c r="U63" s="14"/>
      <c r="X63" s="18"/>
      <c r="IN63" s="11"/>
    </row>
    <row r="64" s="3" customFormat="1" spans="1:248">
      <c r="A64" s="11"/>
      <c r="B64" s="4"/>
      <c r="D64" s="12"/>
      <c r="E64" s="4"/>
      <c r="F64" s="4"/>
      <c r="G64" s="4"/>
      <c r="H64" s="13"/>
      <c r="I64" s="4"/>
      <c r="J64" s="13"/>
      <c r="K64" s="13"/>
      <c r="L64" s="13"/>
      <c r="M64" s="14"/>
      <c r="N64" s="15"/>
      <c r="O64" s="16"/>
      <c r="P64" s="17"/>
      <c r="Q64" s="14"/>
      <c r="R64" s="15"/>
      <c r="S64" s="16"/>
      <c r="T64" s="17"/>
      <c r="U64" s="14"/>
      <c r="X64" s="18"/>
      <c r="IN64" s="11"/>
    </row>
    <row r="65" s="3" customFormat="1" spans="1:248">
      <c r="A65" s="11"/>
      <c r="B65" s="4"/>
      <c r="D65" s="12"/>
      <c r="E65" s="4"/>
      <c r="F65" s="4"/>
      <c r="G65" s="4"/>
      <c r="H65" s="13"/>
      <c r="I65" s="4"/>
      <c r="J65" s="13"/>
      <c r="K65" s="13"/>
      <c r="L65" s="13"/>
      <c r="M65" s="14"/>
      <c r="N65" s="15"/>
      <c r="O65" s="16"/>
      <c r="P65" s="17"/>
      <c r="Q65" s="14"/>
      <c r="R65" s="15"/>
      <c r="S65" s="16"/>
      <c r="T65" s="17"/>
      <c r="U65" s="14"/>
      <c r="X65" s="18"/>
      <c r="IN65" s="11"/>
    </row>
    <row r="66" s="3" customFormat="1" spans="1:248">
      <c r="A66" s="11"/>
      <c r="B66" s="4"/>
      <c r="D66" s="12"/>
      <c r="E66" s="4"/>
      <c r="F66" s="4"/>
      <c r="G66" s="4"/>
      <c r="H66" s="13"/>
      <c r="I66" s="4"/>
      <c r="J66" s="13"/>
      <c r="K66" s="13"/>
      <c r="L66" s="13"/>
      <c r="M66" s="14"/>
      <c r="N66" s="15"/>
      <c r="O66" s="16"/>
      <c r="P66" s="17"/>
      <c r="Q66" s="14"/>
      <c r="R66" s="15"/>
      <c r="S66" s="16"/>
      <c r="T66" s="17"/>
      <c r="U66" s="14"/>
      <c r="X66" s="18"/>
      <c r="IN66" s="11"/>
    </row>
    <row r="67" s="3" customFormat="1" spans="1:248">
      <c r="A67" s="11"/>
      <c r="B67" s="4"/>
      <c r="D67" s="12"/>
      <c r="E67" s="4"/>
      <c r="F67" s="4"/>
      <c r="G67" s="4"/>
      <c r="H67" s="13"/>
      <c r="I67" s="4"/>
      <c r="J67" s="13"/>
      <c r="K67" s="13"/>
      <c r="L67" s="13"/>
      <c r="M67" s="14"/>
      <c r="N67" s="15"/>
      <c r="O67" s="16"/>
      <c r="P67" s="17"/>
      <c r="Q67" s="14"/>
      <c r="R67" s="15"/>
      <c r="S67" s="16"/>
      <c r="T67" s="17"/>
      <c r="U67" s="14"/>
      <c r="X67" s="18"/>
      <c r="IN67" s="11"/>
    </row>
    <row r="68" s="3" customFormat="1" spans="1:248">
      <c r="A68" s="11"/>
      <c r="B68" s="4"/>
      <c r="D68" s="12"/>
      <c r="E68" s="4"/>
      <c r="F68" s="4"/>
      <c r="G68" s="4"/>
      <c r="H68" s="13"/>
      <c r="I68" s="4"/>
      <c r="J68" s="13"/>
      <c r="K68" s="13"/>
      <c r="L68" s="13"/>
      <c r="M68" s="14"/>
      <c r="N68" s="15"/>
      <c r="O68" s="16"/>
      <c r="P68" s="17"/>
      <c r="Q68" s="14"/>
      <c r="R68" s="15"/>
      <c r="S68" s="16"/>
      <c r="T68" s="17"/>
      <c r="U68" s="14"/>
      <c r="X68" s="18"/>
      <c r="IN68" s="11"/>
    </row>
    <row r="69" s="3" customFormat="1" spans="1:248">
      <c r="A69" s="11"/>
      <c r="B69" s="4"/>
      <c r="D69" s="12"/>
      <c r="E69" s="4"/>
      <c r="F69" s="4"/>
      <c r="G69" s="4"/>
      <c r="H69" s="13"/>
      <c r="I69" s="4"/>
      <c r="J69" s="13"/>
      <c r="K69" s="13"/>
      <c r="L69" s="13"/>
      <c r="M69" s="14"/>
      <c r="N69" s="15"/>
      <c r="O69" s="16"/>
      <c r="P69" s="17"/>
      <c r="Q69" s="14"/>
      <c r="R69" s="15"/>
      <c r="S69" s="16"/>
      <c r="T69" s="17"/>
      <c r="U69" s="14"/>
      <c r="X69" s="18"/>
      <c r="IN69" s="11"/>
    </row>
    <row r="70" s="3" customFormat="1" spans="1:248">
      <c r="A70" s="11"/>
      <c r="B70" s="4"/>
      <c r="D70" s="12"/>
      <c r="E70" s="4"/>
      <c r="F70" s="4"/>
      <c r="G70" s="4"/>
      <c r="H70" s="13"/>
      <c r="I70" s="4"/>
      <c r="J70" s="13"/>
      <c r="K70" s="13"/>
      <c r="L70" s="13"/>
      <c r="M70" s="14"/>
      <c r="N70" s="15"/>
      <c r="O70" s="16"/>
      <c r="P70" s="17"/>
      <c r="Q70" s="14"/>
      <c r="R70" s="15"/>
      <c r="S70" s="16"/>
      <c r="T70" s="17"/>
      <c r="U70" s="14"/>
      <c r="X70" s="18"/>
      <c r="IN70" s="11"/>
    </row>
    <row r="71" s="3" customFormat="1" spans="1:248">
      <c r="A71" s="11"/>
      <c r="B71" s="4"/>
      <c r="D71" s="12"/>
      <c r="E71" s="4"/>
      <c r="F71" s="4"/>
      <c r="G71" s="4"/>
      <c r="H71" s="13"/>
      <c r="I71" s="4"/>
      <c r="J71" s="13"/>
      <c r="K71" s="13"/>
      <c r="L71" s="13"/>
      <c r="M71" s="14"/>
      <c r="N71" s="15"/>
      <c r="O71" s="16"/>
      <c r="P71" s="17"/>
      <c r="Q71" s="14"/>
      <c r="R71" s="15"/>
      <c r="S71" s="16"/>
      <c r="T71" s="17"/>
      <c r="U71" s="14"/>
      <c r="X71" s="18"/>
      <c r="IN71" s="11"/>
    </row>
    <row r="72" s="3" customFormat="1" spans="1:248">
      <c r="A72" s="11"/>
      <c r="B72" s="4"/>
      <c r="D72" s="12"/>
      <c r="E72" s="4"/>
      <c r="F72" s="4"/>
      <c r="G72" s="4"/>
      <c r="H72" s="13"/>
      <c r="I72" s="4"/>
      <c r="J72" s="13"/>
      <c r="K72" s="13"/>
      <c r="L72" s="13"/>
      <c r="M72" s="14"/>
      <c r="N72" s="15"/>
      <c r="O72" s="16"/>
      <c r="P72" s="17"/>
      <c r="Q72" s="14"/>
      <c r="R72" s="15"/>
      <c r="S72" s="16"/>
      <c r="T72" s="17"/>
      <c r="U72" s="14"/>
      <c r="X72" s="18"/>
      <c r="IN72" s="11"/>
    </row>
    <row r="73" s="3" customFormat="1" spans="1:248">
      <c r="A73" s="11"/>
      <c r="B73" s="4"/>
      <c r="D73" s="12"/>
      <c r="E73" s="4"/>
      <c r="F73" s="4"/>
      <c r="G73" s="4"/>
      <c r="H73" s="13"/>
      <c r="I73" s="4"/>
      <c r="J73" s="13"/>
      <c r="K73" s="13"/>
      <c r="L73" s="13"/>
      <c r="M73" s="14"/>
      <c r="N73" s="15"/>
      <c r="O73" s="16"/>
      <c r="P73" s="17"/>
      <c r="Q73" s="14"/>
      <c r="R73" s="15"/>
      <c r="S73" s="16"/>
      <c r="T73" s="17"/>
      <c r="U73" s="14"/>
      <c r="X73" s="18"/>
      <c r="IN73" s="11"/>
    </row>
    <row r="74" s="3" customFormat="1" spans="1:248">
      <c r="A74" s="11"/>
      <c r="B74" s="4"/>
      <c r="D74" s="12"/>
      <c r="E74" s="4"/>
      <c r="F74" s="4"/>
      <c r="G74" s="4"/>
      <c r="H74" s="13"/>
      <c r="I74" s="4"/>
      <c r="J74" s="13"/>
      <c r="K74" s="13"/>
      <c r="L74" s="13"/>
      <c r="M74" s="14"/>
      <c r="N74" s="15"/>
      <c r="O74" s="16"/>
      <c r="P74" s="17"/>
      <c r="Q74" s="14"/>
      <c r="R74" s="15"/>
      <c r="S74" s="16"/>
      <c r="T74" s="17"/>
      <c r="U74" s="14"/>
      <c r="X74" s="18"/>
      <c r="IN74" s="11"/>
    </row>
    <row r="75" s="3" customFormat="1" spans="1:248">
      <c r="A75" s="11"/>
      <c r="B75" s="4"/>
      <c r="D75" s="12"/>
      <c r="E75" s="4"/>
      <c r="F75" s="4"/>
      <c r="G75" s="4"/>
      <c r="H75" s="13"/>
      <c r="I75" s="4"/>
      <c r="J75" s="13"/>
      <c r="K75" s="13"/>
      <c r="L75" s="13"/>
      <c r="M75" s="14"/>
      <c r="N75" s="15"/>
      <c r="O75" s="16"/>
      <c r="P75" s="17"/>
      <c r="Q75" s="14"/>
      <c r="R75" s="15"/>
      <c r="S75" s="16"/>
      <c r="T75" s="17"/>
      <c r="U75" s="14"/>
      <c r="X75" s="18"/>
      <c r="IN75" s="11"/>
    </row>
    <row r="76" s="3" customFormat="1" spans="1:248">
      <c r="A76" s="11"/>
      <c r="B76" s="4"/>
      <c r="D76" s="12"/>
      <c r="E76" s="4"/>
      <c r="F76" s="4"/>
      <c r="G76" s="4"/>
      <c r="H76" s="13"/>
      <c r="I76" s="4"/>
      <c r="J76" s="13"/>
      <c r="K76" s="13"/>
      <c r="L76" s="13"/>
      <c r="M76" s="14"/>
      <c r="N76" s="15"/>
      <c r="O76" s="16"/>
      <c r="P76" s="17"/>
      <c r="Q76" s="14"/>
      <c r="R76" s="15"/>
      <c r="S76" s="16"/>
      <c r="T76" s="17"/>
      <c r="U76" s="14"/>
      <c r="X76" s="18"/>
      <c r="IN76" s="11"/>
    </row>
    <row r="77" s="3" customFormat="1" spans="1:248">
      <c r="A77" s="11"/>
      <c r="B77" s="4"/>
      <c r="D77" s="12"/>
      <c r="E77" s="4"/>
      <c r="F77" s="4"/>
      <c r="G77" s="4"/>
      <c r="H77" s="13"/>
      <c r="I77" s="4"/>
      <c r="J77" s="13"/>
      <c r="K77" s="13"/>
      <c r="L77" s="13"/>
      <c r="M77" s="14"/>
      <c r="N77" s="15"/>
      <c r="O77" s="16"/>
      <c r="P77" s="17"/>
      <c r="Q77" s="14"/>
      <c r="R77" s="15"/>
      <c r="S77" s="16"/>
      <c r="T77" s="17"/>
      <c r="U77" s="14"/>
      <c r="X77" s="18"/>
      <c r="IN77" s="11"/>
    </row>
    <row r="78" s="3" customFormat="1" spans="1:248">
      <c r="A78" s="11"/>
      <c r="B78" s="4"/>
      <c r="D78" s="12"/>
      <c r="E78" s="4"/>
      <c r="F78" s="4"/>
      <c r="G78" s="4"/>
      <c r="H78" s="13"/>
      <c r="I78" s="4"/>
      <c r="J78" s="13"/>
      <c r="K78" s="13"/>
      <c r="L78" s="13"/>
      <c r="M78" s="14"/>
      <c r="N78" s="15"/>
      <c r="O78" s="16"/>
      <c r="P78" s="17"/>
      <c r="Q78" s="14"/>
      <c r="R78" s="15"/>
      <c r="S78" s="16"/>
      <c r="T78" s="17"/>
      <c r="U78" s="14"/>
      <c r="X78" s="18"/>
      <c r="IN78" s="11"/>
    </row>
    <row r="79" s="3" customFormat="1" spans="1:248">
      <c r="A79" s="11"/>
      <c r="B79" s="4"/>
      <c r="D79" s="12"/>
      <c r="E79" s="4"/>
      <c r="F79" s="4"/>
      <c r="G79" s="4"/>
      <c r="H79" s="13"/>
      <c r="I79" s="4"/>
      <c r="J79" s="13"/>
      <c r="K79" s="13"/>
      <c r="L79" s="13"/>
      <c r="M79" s="14"/>
      <c r="N79" s="15"/>
      <c r="O79" s="16"/>
      <c r="P79" s="17"/>
      <c r="Q79" s="14"/>
      <c r="R79" s="15"/>
      <c r="S79" s="16"/>
      <c r="T79" s="17"/>
      <c r="U79" s="14"/>
      <c r="X79" s="18"/>
      <c r="IN79" s="11"/>
    </row>
    <row r="80" s="3" customFormat="1" spans="1:248">
      <c r="A80" s="11"/>
      <c r="B80" s="4"/>
      <c r="D80" s="12"/>
      <c r="E80" s="4"/>
      <c r="F80" s="4"/>
      <c r="G80" s="4"/>
      <c r="H80" s="13"/>
      <c r="I80" s="4"/>
      <c r="J80" s="13"/>
      <c r="K80" s="13"/>
      <c r="L80" s="13"/>
      <c r="M80" s="14"/>
      <c r="N80" s="15"/>
      <c r="O80" s="16"/>
      <c r="P80" s="17"/>
      <c r="Q80" s="14"/>
      <c r="R80" s="15"/>
      <c r="S80" s="16"/>
      <c r="T80" s="17"/>
      <c r="U80" s="14"/>
      <c r="X80" s="18"/>
      <c r="IN80" s="11"/>
    </row>
    <row r="81" s="3" customFormat="1" spans="1:248">
      <c r="A81" s="11"/>
      <c r="B81" s="4"/>
      <c r="D81" s="12"/>
      <c r="E81" s="4"/>
      <c r="F81" s="4"/>
      <c r="G81" s="4"/>
      <c r="H81" s="13"/>
      <c r="I81" s="4"/>
      <c r="J81" s="13"/>
      <c r="K81" s="13"/>
      <c r="L81" s="13"/>
      <c r="M81" s="14"/>
      <c r="N81" s="15"/>
      <c r="O81" s="16"/>
      <c r="P81" s="17"/>
      <c r="Q81" s="14"/>
      <c r="R81" s="15"/>
      <c r="S81" s="16"/>
      <c r="T81" s="17"/>
      <c r="U81" s="14"/>
      <c r="X81" s="18"/>
      <c r="IN81" s="11"/>
    </row>
    <row r="82" s="3" customFormat="1" spans="1:248">
      <c r="A82" s="11"/>
      <c r="B82" s="4"/>
      <c r="D82" s="12"/>
      <c r="E82" s="4"/>
      <c r="F82" s="4"/>
      <c r="G82" s="4"/>
      <c r="H82" s="13"/>
      <c r="I82" s="4"/>
      <c r="J82" s="13"/>
      <c r="K82" s="13"/>
      <c r="L82" s="13"/>
      <c r="M82" s="14"/>
      <c r="N82" s="15"/>
      <c r="O82" s="16"/>
      <c r="P82" s="17"/>
      <c r="Q82" s="14"/>
      <c r="R82" s="15"/>
      <c r="S82" s="16"/>
      <c r="T82" s="17"/>
      <c r="U82" s="14"/>
      <c r="X82" s="18"/>
      <c r="IN82" s="11"/>
    </row>
    <row r="83" s="3" customFormat="1" spans="1:248">
      <c r="A83" s="11"/>
      <c r="B83" s="4"/>
      <c r="D83" s="12"/>
      <c r="E83" s="4"/>
      <c r="F83" s="4"/>
      <c r="G83" s="4"/>
      <c r="H83" s="13"/>
      <c r="I83" s="4"/>
      <c r="J83" s="13"/>
      <c r="K83" s="13"/>
      <c r="L83" s="13"/>
      <c r="M83" s="14"/>
      <c r="N83" s="15"/>
      <c r="O83" s="16"/>
      <c r="P83" s="17"/>
      <c r="Q83" s="14"/>
      <c r="R83" s="15"/>
      <c r="S83" s="16"/>
      <c r="T83" s="17"/>
      <c r="U83" s="14"/>
      <c r="X83" s="18"/>
      <c r="IN83" s="11"/>
    </row>
    <row r="84" s="3" customFormat="1" spans="1:248">
      <c r="A84" s="11"/>
      <c r="B84" s="4"/>
      <c r="D84" s="12"/>
      <c r="E84" s="4"/>
      <c r="F84" s="4"/>
      <c r="G84" s="4"/>
      <c r="H84" s="13"/>
      <c r="I84" s="4"/>
      <c r="J84" s="13"/>
      <c r="K84" s="13"/>
      <c r="L84" s="13"/>
      <c r="M84" s="14"/>
      <c r="N84" s="15"/>
      <c r="O84" s="16"/>
      <c r="P84" s="17"/>
      <c r="Q84" s="14"/>
      <c r="R84" s="15"/>
      <c r="S84" s="16"/>
      <c r="T84" s="17"/>
      <c r="U84" s="14"/>
      <c r="X84" s="18"/>
      <c r="IN84" s="11"/>
    </row>
    <row r="85" s="3" customFormat="1" spans="1:248">
      <c r="A85" s="11"/>
      <c r="B85" s="4"/>
      <c r="D85" s="12"/>
      <c r="E85" s="4"/>
      <c r="F85" s="4"/>
      <c r="G85" s="4"/>
      <c r="H85" s="13"/>
      <c r="I85" s="4"/>
      <c r="J85" s="13"/>
      <c r="K85" s="13"/>
      <c r="L85" s="13"/>
      <c r="M85" s="14"/>
      <c r="N85" s="15"/>
      <c r="O85" s="16"/>
      <c r="P85" s="17"/>
      <c r="Q85" s="14"/>
      <c r="R85" s="15"/>
      <c r="S85" s="16"/>
      <c r="T85" s="17"/>
      <c r="U85" s="14"/>
      <c r="X85" s="18"/>
      <c r="IN85" s="11"/>
    </row>
    <row r="86" s="3" customFormat="1" spans="1:248">
      <c r="A86" s="11"/>
      <c r="B86" s="4"/>
      <c r="D86" s="12"/>
      <c r="E86" s="4"/>
      <c r="F86" s="4"/>
      <c r="G86" s="4"/>
      <c r="H86" s="13"/>
      <c r="I86" s="4"/>
      <c r="J86" s="13"/>
      <c r="K86" s="13"/>
      <c r="L86" s="13"/>
      <c r="M86" s="14"/>
      <c r="N86" s="15"/>
      <c r="O86" s="16"/>
      <c r="P86" s="17"/>
      <c r="Q86" s="14"/>
      <c r="R86" s="15"/>
      <c r="S86" s="16"/>
      <c r="T86" s="17"/>
      <c r="U86" s="14"/>
      <c r="X86" s="18"/>
      <c r="IN86" s="11"/>
    </row>
    <row r="87" s="3" customFormat="1" spans="1:248">
      <c r="A87" s="11"/>
      <c r="B87" s="4"/>
      <c r="D87" s="12"/>
      <c r="E87" s="4"/>
      <c r="F87" s="4"/>
      <c r="G87" s="4"/>
      <c r="H87" s="13"/>
      <c r="I87" s="4"/>
      <c r="J87" s="13"/>
      <c r="K87" s="13"/>
      <c r="L87" s="13"/>
      <c r="M87" s="14"/>
      <c r="N87" s="15"/>
      <c r="O87" s="16"/>
      <c r="P87" s="17"/>
      <c r="Q87" s="14"/>
      <c r="R87" s="15"/>
      <c r="S87" s="16"/>
      <c r="T87" s="17"/>
      <c r="U87" s="14"/>
      <c r="X87" s="18"/>
      <c r="IN87" s="11"/>
    </row>
    <row r="88" s="3" customFormat="1" spans="1:248">
      <c r="A88" s="11"/>
      <c r="B88" s="4"/>
      <c r="D88" s="12"/>
      <c r="E88" s="4"/>
      <c r="F88" s="4"/>
      <c r="G88" s="4"/>
      <c r="H88" s="13"/>
      <c r="I88" s="4"/>
      <c r="J88" s="13"/>
      <c r="K88" s="13"/>
      <c r="L88" s="13"/>
      <c r="M88" s="14"/>
      <c r="N88" s="15"/>
      <c r="O88" s="16"/>
      <c r="P88" s="17"/>
      <c r="Q88" s="14"/>
      <c r="R88" s="15"/>
      <c r="S88" s="16"/>
      <c r="T88" s="17"/>
      <c r="U88" s="14"/>
      <c r="X88" s="18"/>
      <c r="IN88" s="11"/>
    </row>
    <row r="89" s="3" customFormat="1" spans="1:248">
      <c r="A89" s="11"/>
      <c r="B89" s="4"/>
      <c r="D89" s="12"/>
      <c r="E89" s="4"/>
      <c r="F89" s="4"/>
      <c r="G89" s="4"/>
      <c r="H89" s="13"/>
      <c r="I89" s="4"/>
      <c r="J89" s="13"/>
      <c r="K89" s="13"/>
      <c r="L89" s="13"/>
      <c r="M89" s="14"/>
      <c r="N89" s="15"/>
      <c r="O89" s="16"/>
      <c r="P89" s="17"/>
      <c r="Q89" s="14"/>
      <c r="R89" s="15"/>
      <c r="S89" s="16"/>
      <c r="T89" s="17"/>
      <c r="U89" s="14"/>
      <c r="X89" s="18"/>
      <c r="IN89" s="11"/>
    </row>
    <row r="90" s="3" customFormat="1" spans="1:248">
      <c r="A90" s="11"/>
      <c r="B90" s="4"/>
      <c r="D90" s="12"/>
      <c r="E90" s="4"/>
      <c r="F90" s="4"/>
      <c r="G90" s="4"/>
      <c r="H90" s="13"/>
      <c r="I90" s="4"/>
      <c r="J90" s="13"/>
      <c r="K90" s="13"/>
      <c r="L90" s="13"/>
      <c r="M90" s="14"/>
      <c r="N90" s="15"/>
      <c r="O90" s="16"/>
      <c r="P90" s="17"/>
      <c r="Q90" s="14"/>
      <c r="R90" s="15"/>
      <c r="S90" s="16"/>
      <c r="T90" s="17"/>
      <c r="U90" s="14"/>
      <c r="X90" s="18"/>
      <c r="IN90" s="11"/>
    </row>
    <row r="91" s="3" customFormat="1" spans="1:248">
      <c r="A91" s="11"/>
      <c r="B91" s="4"/>
      <c r="D91" s="12"/>
      <c r="E91" s="4"/>
      <c r="F91" s="4"/>
      <c r="G91" s="4"/>
      <c r="H91" s="13"/>
      <c r="I91" s="4"/>
      <c r="J91" s="13"/>
      <c r="K91" s="13"/>
      <c r="L91" s="13"/>
      <c r="M91" s="14"/>
      <c r="N91" s="15"/>
      <c r="O91" s="16"/>
      <c r="P91" s="17"/>
      <c r="Q91" s="14"/>
      <c r="R91" s="15"/>
      <c r="S91" s="16"/>
      <c r="T91" s="17"/>
      <c r="U91" s="14"/>
      <c r="X91" s="18"/>
      <c r="IN91" s="11"/>
    </row>
    <row r="92" s="3" customFormat="1" spans="1:248">
      <c r="A92" s="11"/>
      <c r="B92" s="4"/>
      <c r="D92" s="12"/>
      <c r="E92" s="4"/>
      <c r="F92" s="4"/>
      <c r="G92" s="4"/>
      <c r="H92" s="13"/>
      <c r="I92" s="4"/>
      <c r="J92" s="13"/>
      <c r="K92" s="13"/>
      <c r="L92" s="13"/>
      <c r="M92" s="14"/>
      <c r="N92" s="15"/>
      <c r="O92" s="16"/>
      <c r="P92" s="17"/>
      <c r="Q92" s="14"/>
      <c r="R92" s="15"/>
      <c r="S92" s="16"/>
      <c r="T92" s="17"/>
      <c r="U92" s="14"/>
      <c r="X92" s="18"/>
      <c r="IN92" s="11"/>
    </row>
    <row r="93" s="3" customFormat="1" spans="1:248">
      <c r="A93" s="11"/>
      <c r="B93" s="4"/>
      <c r="D93" s="12"/>
      <c r="E93" s="4"/>
      <c r="F93" s="4"/>
      <c r="G93" s="4"/>
      <c r="H93" s="13"/>
      <c r="I93" s="4"/>
      <c r="J93" s="13"/>
      <c r="K93" s="13"/>
      <c r="L93" s="13"/>
      <c r="M93" s="14"/>
      <c r="N93" s="15"/>
      <c r="O93" s="16"/>
      <c r="P93" s="17"/>
      <c r="Q93" s="14"/>
      <c r="R93" s="15"/>
      <c r="S93" s="16"/>
      <c r="T93" s="17"/>
      <c r="U93" s="14"/>
      <c r="X93" s="18"/>
      <c r="IN93" s="11"/>
    </row>
    <row r="94" s="3" customFormat="1" spans="1:248">
      <c r="A94" s="11"/>
      <c r="B94" s="4"/>
      <c r="D94" s="12"/>
      <c r="E94" s="4"/>
      <c r="F94" s="4"/>
      <c r="G94" s="4"/>
      <c r="H94" s="13"/>
      <c r="I94" s="4"/>
      <c r="J94" s="13"/>
      <c r="K94" s="13"/>
      <c r="L94" s="13"/>
      <c r="M94" s="14"/>
      <c r="N94" s="15"/>
      <c r="O94" s="16"/>
      <c r="P94" s="17"/>
      <c r="Q94" s="14"/>
      <c r="R94" s="15"/>
      <c r="S94" s="16"/>
      <c r="T94" s="17"/>
      <c r="U94" s="14"/>
      <c r="X94" s="18"/>
      <c r="IN94" s="11"/>
    </row>
    <row r="95" s="3" customFormat="1" spans="1:248">
      <c r="A95" s="11"/>
      <c r="B95" s="4"/>
      <c r="D95" s="12"/>
      <c r="E95" s="4"/>
      <c r="F95" s="4"/>
      <c r="G95" s="4"/>
      <c r="H95" s="13"/>
      <c r="I95" s="4"/>
      <c r="J95" s="13"/>
      <c r="K95" s="13"/>
      <c r="L95" s="13"/>
      <c r="M95" s="14"/>
      <c r="N95" s="15"/>
      <c r="O95" s="16"/>
      <c r="P95" s="17"/>
      <c r="Q95" s="14"/>
      <c r="R95" s="15"/>
      <c r="S95" s="16"/>
      <c r="T95" s="17"/>
      <c r="U95" s="14"/>
      <c r="X95" s="18"/>
      <c r="IN95" s="11"/>
    </row>
    <row r="96" s="3" customFormat="1" spans="1:248">
      <c r="A96" s="11"/>
      <c r="B96" s="4"/>
      <c r="D96" s="12"/>
      <c r="E96" s="4"/>
      <c r="F96" s="4"/>
      <c r="G96" s="4"/>
      <c r="H96" s="13"/>
      <c r="I96" s="4"/>
      <c r="J96" s="13"/>
      <c r="K96" s="13"/>
      <c r="L96" s="13"/>
      <c r="M96" s="14"/>
      <c r="N96" s="15"/>
      <c r="O96" s="16"/>
      <c r="P96" s="17"/>
      <c r="Q96" s="14"/>
      <c r="R96" s="15"/>
      <c r="S96" s="16"/>
      <c r="T96" s="17"/>
      <c r="U96" s="14"/>
      <c r="X96" s="18"/>
      <c r="IN96" s="11"/>
    </row>
    <row r="97" s="3" customFormat="1" spans="1:248">
      <c r="A97" s="11"/>
      <c r="B97" s="4"/>
      <c r="D97" s="12"/>
      <c r="E97" s="4"/>
      <c r="F97" s="4"/>
      <c r="G97" s="4"/>
      <c r="H97" s="13"/>
      <c r="I97" s="4"/>
      <c r="J97" s="13"/>
      <c r="K97" s="13"/>
      <c r="L97" s="13"/>
      <c r="M97" s="14"/>
      <c r="N97" s="15"/>
      <c r="O97" s="16"/>
      <c r="P97" s="17"/>
      <c r="Q97" s="14"/>
      <c r="R97" s="15"/>
      <c r="S97" s="16"/>
      <c r="T97" s="17"/>
      <c r="U97" s="14"/>
      <c r="X97" s="18"/>
      <c r="IN97" s="11"/>
    </row>
    <row r="98" s="3" customFormat="1" spans="1:248">
      <c r="A98" s="11"/>
      <c r="B98" s="4"/>
      <c r="D98" s="12"/>
      <c r="E98" s="4"/>
      <c r="F98" s="4"/>
      <c r="G98" s="4"/>
      <c r="H98" s="13"/>
      <c r="I98" s="4"/>
      <c r="J98" s="13"/>
      <c r="K98" s="13"/>
      <c r="L98" s="13"/>
      <c r="M98" s="14"/>
      <c r="N98" s="15"/>
      <c r="O98" s="16"/>
      <c r="P98" s="17"/>
      <c r="Q98" s="14"/>
      <c r="R98" s="15"/>
      <c r="S98" s="16"/>
      <c r="T98" s="17"/>
      <c r="U98" s="14"/>
      <c r="X98" s="18"/>
      <c r="IN98" s="11"/>
    </row>
    <row r="99" s="3" customFormat="1" spans="1:248">
      <c r="A99" s="11"/>
      <c r="B99" s="4"/>
      <c r="D99" s="12"/>
      <c r="E99" s="4"/>
      <c r="F99" s="4"/>
      <c r="G99" s="4"/>
      <c r="H99" s="13"/>
      <c r="I99" s="4"/>
      <c r="J99" s="13"/>
      <c r="K99" s="13"/>
      <c r="L99" s="13"/>
      <c r="M99" s="14"/>
      <c r="N99" s="15"/>
      <c r="O99" s="16"/>
      <c r="P99" s="17"/>
      <c r="Q99" s="14"/>
      <c r="R99" s="15"/>
      <c r="S99" s="16"/>
      <c r="T99" s="17"/>
      <c r="U99" s="14"/>
      <c r="X99" s="18"/>
      <c r="IN99" s="11"/>
    </row>
    <row r="100" s="3" customFormat="1" spans="1:248">
      <c r="A100" s="11"/>
      <c r="B100" s="4"/>
      <c r="D100" s="12"/>
      <c r="E100" s="4"/>
      <c r="F100" s="4"/>
      <c r="G100" s="4"/>
      <c r="H100" s="13"/>
      <c r="I100" s="4"/>
      <c r="J100" s="13"/>
      <c r="K100" s="13"/>
      <c r="L100" s="13"/>
      <c r="M100" s="14"/>
      <c r="N100" s="15"/>
      <c r="O100" s="16"/>
      <c r="P100" s="17"/>
      <c r="Q100" s="14"/>
      <c r="R100" s="15"/>
      <c r="S100" s="16"/>
      <c r="T100" s="17"/>
      <c r="U100" s="14"/>
      <c r="X100" s="18"/>
      <c r="IN100" s="11"/>
    </row>
    <row r="101" s="3" customFormat="1" spans="1:248">
      <c r="A101" s="11"/>
      <c r="B101" s="4"/>
      <c r="D101" s="12"/>
      <c r="E101" s="4"/>
      <c r="F101" s="4"/>
      <c r="G101" s="4"/>
      <c r="H101" s="13"/>
      <c r="I101" s="4"/>
      <c r="J101" s="13"/>
      <c r="K101" s="13"/>
      <c r="L101" s="13"/>
      <c r="M101" s="14"/>
      <c r="N101" s="15"/>
      <c r="O101" s="16"/>
      <c r="P101" s="17"/>
      <c r="Q101" s="14"/>
      <c r="R101" s="15"/>
      <c r="S101" s="16"/>
      <c r="T101" s="17"/>
      <c r="U101" s="14"/>
      <c r="X101" s="18"/>
      <c r="IN101" s="11"/>
    </row>
    <row r="102" s="3" customFormat="1" spans="1:248">
      <c r="A102" s="11"/>
      <c r="B102" s="4"/>
      <c r="D102" s="12"/>
      <c r="E102" s="4"/>
      <c r="F102" s="4"/>
      <c r="G102" s="4"/>
      <c r="H102" s="13"/>
      <c r="I102" s="4"/>
      <c r="J102" s="13"/>
      <c r="K102" s="13"/>
      <c r="L102" s="13"/>
      <c r="M102" s="14"/>
      <c r="N102" s="15"/>
      <c r="O102" s="16"/>
      <c r="P102" s="17"/>
      <c r="Q102" s="14"/>
      <c r="R102" s="15"/>
      <c r="S102" s="16"/>
      <c r="T102" s="17"/>
      <c r="U102" s="14"/>
      <c r="X102" s="18"/>
      <c r="IN102" s="11"/>
    </row>
    <row r="103" s="3" customFormat="1" spans="1:248">
      <c r="A103" s="11"/>
      <c r="B103" s="4"/>
      <c r="D103" s="12"/>
      <c r="E103" s="4"/>
      <c r="F103" s="4"/>
      <c r="G103" s="4"/>
      <c r="H103" s="13"/>
      <c r="I103" s="4"/>
      <c r="J103" s="13"/>
      <c r="K103" s="13"/>
      <c r="L103" s="13"/>
      <c r="M103" s="14"/>
      <c r="N103" s="15"/>
      <c r="O103" s="16"/>
      <c r="P103" s="17"/>
      <c r="Q103" s="14"/>
      <c r="R103" s="15"/>
      <c r="S103" s="16"/>
      <c r="T103" s="17"/>
      <c r="U103" s="14"/>
      <c r="X103" s="18"/>
      <c r="IN103" s="11"/>
    </row>
    <row r="104" s="3" customFormat="1" spans="1:248">
      <c r="A104" s="11"/>
      <c r="B104" s="4"/>
      <c r="D104" s="12"/>
      <c r="E104" s="4"/>
      <c r="F104" s="4"/>
      <c r="G104" s="4"/>
      <c r="H104" s="13"/>
      <c r="I104" s="4"/>
      <c r="J104" s="13"/>
      <c r="K104" s="13"/>
      <c r="L104" s="13"/>
      <c r="M104" s="14"/>
      <c r="N104" s="15"/>
      <c r="O104" s="16"/>
      <c r="P104" s="17"/>
      <c r="Q104" s="14"/>
      <c r="R104" s="15"/>
      <c r="S104" s="16"/>
      <c r="T104" s="17"/>
      <c r="U104" s="14"/>
      <c r="X104" s="18"/>
      <c r="IN104" s="11"/>
    </row>
    <row r="105" s="3" customFormat="1" spans="1:248">
      <c r="A105" s="11"/>
      <c r="B105" s="4"/>
      <c r="D105" s="12"/>
      <c r="E105" s="4"/>
      <c r="F105" s="4"/>
      <c r="G105" s="4"/>
      <c r="H105" s="13"/>
      <c r="I105" s="4"/>
      <c r="J105" s="13"/>
      <c r="K105" s="13"/>
      <c r="L105" s="13"/>
      <c r="M105" s="14"/>
      <c r="N105" s="15"/>
      <c r="O105" s="16"/>
      <c r="P105" s="17"/>
      <c r="Q105" s="14"/>
      <c r="R105" s="15"/>
      <c r="S105" s="16"/>
      <c r="T105" s="17"/>
      <c r="U105" s="14"/>
      <c r="X105" s="18"/>
      <c r="IN105" s="11"/>
    </row>
    <row r="106" s="3" customFormat="1" spans="1:248">
      <c r="A106" s="11"/>
      <c r="B106" s="4"/>
      <c r="D106" s="12"/>
      <c r="E106" s="4"/>
      <c r="F106" s="4"/>
      <c r="G106" s="4"/>
      <c r="H106" s="13"/>
      <c r="I106" s="4"/>
      <c r="J106" s="13"/>
      <c r="K106" s="13"/>
      <c r="L106" s="13"/>
      <c r="M106" s="14"/>
      <c r="N106" s="15"/>
      <c r="O106" s="16"/>
      <c r="P106" s="17"/>
      <c r="Q106" s="14"/>
      <c r="R106" s="15"/>
      <c r="S106" s="16"/>
      <c r="T106" s="17"/>
      <c r="U106" s="14"/>
      <c r="X106" s="18"/>
      <c r="IN106" s="11"/>
    </row>
    <row r="107" s="3" customFormat="1" spans="1:248">
      <c r="A107" s="11"/>
      <c r="B107" s="4"/>
      <c r="D107" s="12"/>
      <c r="E107" s="4"/>
      <c r="F107" s="4"/>
      <c r="G107" s="4"/>
      <c r="H107" s="13"/>
      <c r="I107" s="4"/>
      <c r="J107" s="13"/>
      <c r="K107" s="13"/>
      <c r="L107" s="13"/>
      <c r="M107" s="14"/>
      <c r="N107" s="15"/>
      <c r="O107" s="16"/>
      <c r="P107" s="17"/>
      <c r="Q107" s="14"/>
      <c r="R107" s="15"/>
      <c r="S107" s="16"/>
      <c r="T107" s="17"/>
      <c r="U107" s="14"/>
      <c r="X107" s="18"/>
      <c r="IN107" s="11"/>
    </row>
    <row r="108" s="3" customFormat="1" spans="1:248">
      <c r="A108" s="11"/>
      <c r="B108" s="4"/>
      <c r="D108" s="12"/>
      <c r="E108" s="4"/>
      <c r="F108" s="4"/>
      <c r="G108" s="4"/>
      <c r="H108" s="13"/>
      <c r="I108" s="4"/>
      <c r="J108" s="13"/>
      <c r="K108" s="13"/>
      <c r="L108" s="13"/>
      <c r="M108" s="14"/>
      <c r="N108" s="15"/>
      <c r="O108" s="16"/>
      <c r="P108" s="17"/>
      <c r="Q108" s="14"/>
      <c r="R108" s="15"/>
      <c r="S108" s="16"/>
      <c r="T108" s="17"/>
      <c r="U108" s="14"/>
      <c r="X108" s="18"/>
      <c r="IN108" s="11"/>
    </row>
    <row r="109" s="3" customFormat="1" spans="1:248">
      <c r="A109" s="11"/>
      <c r="B109" s="4"/>
      <c r="D109" s="12"/>
      <c r="E109" s="4"/>
      <c r="F109" s="4"/>
      <c r="G109" s="4"/>
      <c r="H109" s="13"/>
      <c r="I109" s="4"/>
      <c r="J109" s="13"/>
      <c r="K109" s="13"/>
      <c r="L109" s="13"/>
      <c r="M109" s="14"/>
      <c r="N109" s="15"/>
      <c r="O109" s="16"/>
      <c r="P109" s="17"/>
      <c r="Q109" s="14"/>
      <c r="R109" s="15"/>
      <c r="S109" s="16"/>
      <c r="T109" s="17"/>
      <c r="U109" s="14"/>
      <c r="X109" s="18"/>
      <c r="IN109" s="11"/>
    </row>
    <row r="110" s="3" customFormat="1" spans="1:248">
      <c r="A110" s="11"/>
      <c r="B110" s="4"/>
      <c r="D110" s="12"/>
      <c r="E110" s="4"/>
      <c r="F110" s="4"/>
      <c r="G110" s="4"/>
      <c r="H110" s="13"/>
      <c r="I110" s="4"/>
      <c r="J110" s="13"/>
      <c r="K110" s="13"/>
      <c r="L110" s="13"/>
      <c r="M110" s="14"/>
      <c r="N110" s="15"/>
      <c r="O110" s="16"/>
      <c r="P110" s="17"/>
      <c r="Q110" s="14"/>
      <c r="R110" s="15"/>
      <c r="S110" s="16"/>
      <c r="T110" s="17"/>
      <c r="U110" s="14"/>
      <c r="X110" s="18"/>
      <c r="IN110" s="11"/>
    </row>
    <row r="111" s="3" customFormat="1" spans="1:248">
      <c r="A111" s="11"/>
      <c r="B111" s="4"/>
      <c r="D111" s="12"/>
      <c r="E111" s="4"/>
      <c r="F111" s="4"/>
      <c r="G111" s="4"/>
      <c r="H111" s="13"/>
      <c r="I111" s="4"/>
      <c r="J111" s="13"/>
      <c r="K111" s="13"/>
      <c r="L111" s="13"/>
      <c r="M111" s="14"/>
      <c r="N111" s="15"/>
      <c r="O111" s="16"/>
      <c r="P111" s="17"/>
      <c r="Q111" s="14"/>
      <c r="R111" s="15"/>
      <c r="S111" s="16"/>
      <c r="T111" s="17"/>
      <c r="U111" s="14"/>
      <c r="X111" s="18"/>
      <c r="IN111" s="11"/>
    </row>
    <row r="112" s="3" customFormat="1" spans="1:248">
      <c r="A112" s="11"/>
      <c r="B112" s="4"/>
      <c r="D112" s="12"/>
      <c r="E112" s="4"/>
      <c r="F112" s="4"/>
      <c r="G112" s="4"/>
      <c r="H112" s="13"/>
      <c r="I112" s="4"/>
      <c r="J112" s="13"/>
      <c r="K112" s="13"/>
      <c r="L112" s="13"/>
      <c r="M112" s="14"/>
      <c r="N112" s="15"/>
      <c r="O112" s="16"/>
      <c r="P112" s="17"/>
      <c r="Q112" s="14"/>
      <c r="R112" s="15"/>
      <c r="S112" s="16"/>
      <c r="T112" s="17"/>
      <c r="U112" s="14"/>
      <c r="X112" s="18"/>
      <c r="IN112" s="11"/>
    </row>
    <row r="113" s="3" customFormat="1" spans="1:248">
      <c r="A113" s="11"/>
      <c r="B113" s="4"/>
      <c r="D113" s="12"/>
      <c r="E113" s="4"/>
      <c r="F113" s="4"/>
      <c r="G113" s="4"/>
      <c r="H113" s="13"/>
      <c r="I113" s="4"/>
      <c r="J113" s="13"/>
      <c r="K113" s="13"/>
      <c r="L113" s="13"/>
      <c r="M113" s="14"/>
      <c r="N113" s="15"/>
      <c r="O113" s="16"/>
      <c r="P113" s="17"/>
      <c r="Q113" s="14"/>
      <c r="R113" s="15"/>
      <c r="S113" s="16"/>
      <c r="T113" s="17"/>
      <c r="U113" s="14"/>
      <c r="X113" s="18"/>
      <c r="IN113" s="11"/>
    </row>
    <row r="114" s="3" customFormat="1" spans="1:248">
      <c r="A114" s="11"/>
      <c r="B114" s="4"/>
      <c r="D114" s="12"/>
      <c r="E114" s="4"/>
      <c r="F114" s="4"/>
      <c r="G114" s="4"/>
      <c r="H114" s="13"/>
      <c r="I114" s="4"/>
      <c r="J114" s="13"/>
      <c r="K114" s="13"/>
      <c r="L114" s="13"/>
      <c r="M114" s="14"/>
      <c r="N114" s="15"/>
      <c r="O114" s="16"/>
      <c r="P114" s="17"/>
      <c r="Q114" s="14"/>
      <c r="R114" s="15"/>
      <c r="S114" s="16"/>
      <c r="T114" s="17"/>
      <c r="U114" s="14"/>
      <c r="X114" s="18"/>
      <c r="IN114" s="11"/>
    </row>
    <row r="115" s="3" customFormat="1" spans="1:248">
      <c r="A115" s="11"/>
      <c r="B115" s="4"/>
      <c r="D115" s="12"/>
      <c r="E115" s="4"/>
      <c r="F115" s="4"/>
      <c r="G115" s="4"/>
      <c r="H115" s="13"/>
      <c r="I115" s="4"/>
      <c r="J115" s="13"/>
      <c r="K115" s="13"/>
      <c r="L115" s="13"/>
      <c r="M115" s="14"/>
      <c r="N115" s="15"/>
      <c r="O115" s="16"/>
      <c r="P115" s="17"/>
      <c r="Q115" s="14"/>
      <c r="R115" s="15"/>
      <c r="S115" s="16"/>
      <c r="T115" s="17"/>
      <c r="U115" s="14"/>
      <c r="X115" s="18"/>
      <c r="IN115" s="11"/>
    </row>
    <row r="116" s="3" customFormat="1" spans="1:248">
      <c r="A116" s="11"/>
      <c r="B116" s="4"/>
      <c r="D116" s="12"/>
      <c r="E116" s="4"/>
      <c r="F116" s="4"/>
      <c r="G116" s="4"/>
      <c r="H116" s="13"/>
      <c r="I116" s="4"/>
      <c r="J116" s="13"/>
      <c r="K116" s="13"/>
      <c r="L116" s="13"/>
      <c r="M116" s="14"/>
      <c r="N116" s="15"/>
      <c r="O116" s="16"/>
      <c r="P116" s="17"/>
      <c r="Q116" s="14"/>
      <c r="R116" s="15"/>
      <c r="S116" s="16"/>
      <c r="T116" s="17"/>
      <c r="U116" s="14"/>
      <c r="X116" s="18"/>
      <c r="IN116" s="11"/>
    </row>
    <row r="117" s="3" customFormat="1" spans="1:248">
      <c r="A117" s="11"/>
      <c r="B117" s="4"/>
      <c r="D117" s="12"/>
      <c r="E117" s="4"/>
      <c r="F117" s="4"/>
      <c r="G117" s="4"/>
      <c r="H117" s="13"/>
      <c r="I117" s="4"/>
      <c r="J117" s="13"/>
      <c r="K117" s="13"/>
      <c r="L117" s="13"/>
      <c r="M117" s="14"/>
      <c r="N117" s="15"/>
      <c r="O117" s="16"/>
      <c r="P117" s="17"/>
      <c r="Q117" s="14"/>
      <c r="R117" s="15"/>
      <c r="S117" s="16"/>
      <c r="T117" s="17"/>
      <c r="U117" s="14"/>
      <c r="X117" s="18"/>
      <c r="IN117" s="11"/>
    </row>
    <row r="118" s="3" customFormat="1" spans="1:248">
      <c r="A118" s="11"/>
      <c r="B118" s="4"/>
      <c r="D118" s="12"/>
      <c r="E118" s="4"/>
      <c r="F118" s="4"/>
      <c r="G118" s="4"/>
      <c r="H118" s="13"/>
      <c r="I118" s="4"/>
      <c r="J118" s="13"/>
      <c r="K118" s="13"/>
      <c r="L118" s="13"/>
      <c r="M118" s="14"/>
      <c r="N118" s="15"/>
      <c r="O118" s="16"/>
      <c r="P118" s="17"/>
      <c r="Q118" s="14"/>
      <c r="R118" s="15"/>
      <c r="S118" s="16"/>
      <c r="T118" s="17"/>
      <c r="U118" s="14"/>
      <c r="X118" s="18"/>
      <c r="IN118" s="11"/>
    </row>
    <row r="65401" s="3" customFormat="1" spans="1:248">
      <c r="A65401" s="11"/>
      <c r="B65401" s="4"/>
      <c r="D65401" s="12"/>
      <c r="E65401" s="4"/>
      <c r="F65401" s="4"/>
      <c r="G65401" s="4"/>
      <c r="H65401" s="13"/>
      <c r="I65401" s="4"/>
      <c r="J65401" s="13"/>
      <c r="K65401" s="13"/>
      <c r="L65401" s="13"/>
      <c r="M65401" s="14"/>
      <c r="N65401" s="15"/>
      <c r="O65401" s="16"/>
      <c r="P65401" s="17"/>
      <c r="Q65401" s="14"/>
      <c r="R65401" s="15"/>
      <c r="S65401" s="16"/>
      <c r="T65401" s="17"/>
      <c r="U65401" s="14"/>
      <c r="X65401" s="18"/>
      <c r="IN65401" s="11"/>
    </row>
    <row r="65402" s="3" customFormat="1" spans="1:248">
      <c r="A65402" s="11"/>
      <c r="B65402" s="4"/>
      <c r="D65402" s="12"/>
      <c r="E65402" s="4"/>
      <c r="F65402" s="4"/>
      <c r="G65402" s="4"/>
      <c r="H65402" s="13"/>
      <c r="I65402" s="4"/>
      <c r="J65402" s="13"/>
      <c r="K65402" s="13"/>
      <c r="L65402" s="13"/>
      <c r="M65402" s="14"/>
      <c r="N65402" s="15"/>
      <c r="O65402" s="16"/>
      <c r="P65402" s="17"/>
      <c r="Q65402" s="14"/>
      <c r="R65402" s="15"/>
      <c r="S65402" s="16"/>
      <c r="T65402" s="17"/>
      <c r="U65402" s="14"/>
      <c r="X65402" s="18"/>
      <c r="IN65402" s="11"/>
    </row>
    <row r="65403" s="3" customFormat="1" spans="1:248">
      <c r="A65403" s="11"/>
      <c r="B65403" s="4"/>
      <c r="D65403" s="12"/>
      <c r="E65403" s="4"/>
      <c r="F65403" s="4"/>
      <c r="G65403" s="4"/>
      <c r="H65403" s="13"/>
      <c r="I65403" s="4"/>
      <c r="J65403" s="13"/>
      <c r="K65403" s="13"/>
      <c r="L65403" s="13"/>
      <c r="M65403" s="14"/>
      <c r="N65403" s="15"/>
      <c r="O65403" s="16"/>
      <c r="P65403" s="17"/>
      <c r="Q65403" s="14"/>
      <c r="R65403" s="15"/>
      <c r="S65403" s="16"/>
      <c r="T65403" s="17"/>
      <c r="U65403" s="14"/>
      <c r="X65403" s="18"/>
      <c r="IN65403" s="11"/>
    </row>
    <row r="65404" s="3" customFormat="1" spans="1:248">
      <c r="A65404" s="11"/>
      <c r="B65404" s="4"/>
      <c r="D65404" s="12"/>
      <c r="E65404" s="4"/>
      <c r="F65404" s="4"/>
      <c r="G65404" s="4"/>
      <c r="H65404" s="13"/>
      <c r="I65404" s="4"/>
      <c r="J65404" s="13"/>
      <c r="K65404" s="13"/>
      <c r="L65404" s="13"/>
      <c r="M65404" s="14"/>
      <c r="N65404" s="15"/>
      <c r="O65404" s="16"/>
      <c r="P65404" s="17"/>
      <c r="Q65404" s="14"/>
      <c r="R65404" s="15"/>
      <c r="S65404" s="16"/>
      <c r="T65404" s="17"/>
      <c r="U65404" s="14"/>
      <c r="X65404" s="18"/>
      <c r="IN65404" s="11"/>
    </row>
    <row r="65405" s="3" customFormat="1" spans="1:248">
      <c r="A65405" s="11"/>
      <c r="B65405" s="4"/>
      <c r="D65405" s="12"/>
      <c r="E65405" s="4"/>
      <c r="F65405" s="4"/>
      <c r="G65405" s="4"/>
      <c r="H65405" s="13"/>
      <c r="I65405" s="4"/>
      <c r="J65405" s="13"/>
      <c r="K65405" s="13"/>
      <c r="L65405" s="13"/>
      <c r="M65405" s="14"/>
      <c r="N65405" s="15"/>
      <c r="O65405" s="16"/>
      <c r="P65405" s="17"/>
      <c r="Q65405" s="14"/>
      <c r="R65405" s="15"/>
      <c r="S65405" s="16"/>
      <c r="T65405" s="17"/>
      <c r="U65405" s="14"/>
      <c r="X65405" s="18"/>
      <c r="IN65405" s="11"/>
    </row>
    <row r="65406" s="3" customFormat="1" spans="1:248">
      <c r="A65406" s="11"/>
      <c r="B65406" s="4"/>
      <c r="D65406" s="12"/>
      <c r="E65406" s="4"/>
      <c r="F65406" s="4"/>
      <c r="G65406" s="4"/>
      <c r="H65406" s="13"/>
      <c r="I65406" s="4"/>
      <c r="J65406" s="13"/>
      <c r="K65406" s="13"/>
      <c r="L65406" s="13"/>
      <c r="M65406" s="14"/>
      <c r="N65406" s="15"/>
      <c r="O65406" s="16"/>
      <c r="P65406" s="17"/>
      <c r="Q65406" s="14"/>
      <c r="R65406" s="15"/>
      <c r="S65406" s="16"/>
      <c r="T65406" s="17"/>
      <c r="U65406" s="14"/>
      <c r="X65406" s="18"/>
      <c r="IN65406" s="11"/>
    </row>
    <row r="65407" s="3" customFormat="1" spans="1:248">
      <c r="A65407" s="11"/>
      <c r="B65407" s="4"/>
      <c r="D65407" s="12"/>
      <c r="E65407" s="4"/>
      <c r="F65407" s="4"/>
      <c r="G65407" s="4"/>
      <c r="H65407" s="13"/>
      <c r="I65407" s="4"/>
      <c r="J65407" s="13"/>
      <c r="K65407" s="13"/>
      <c r="L65407" s="13"/>
      <c r="M65407" s="14"/>
      <c r="N65407" s="15"/>
      <c r="O65407" s="16"/>
      <c r="P65407" s="17"/>
      <c r="Q65407" s="14"/>
      <c r="R65407" s="15"/>
      <c r="S65407" s="16"/>
      <c r="T65407" s="17"/>
      <c r="U65407" s="14"/>
      <c r="X65407" s="18"/>
      <c r="IN65407" s="11"/>
    </row>
    <row r="65408" s="3" customFormat="1" spans="1:248">
      <c r="A65408" s="11"/>
      <c r="B65408" s="4"/>
      <c r="D65408" s="12"/>
      <c r="E65408" s="4"/>
      <c r="F65408" s="4"/>
      <c r="G65408" s="4"/>
      <c r="H65408" s="13"/>
      <c r="I65408" s="4"/>
      <c r="J65408" s="13"/>
      <c r="K65408" s="13"/>
      <c r="L65408" s="13"/>
      <c r="M65408" s="14"/>
      <c r="N65408" s="15"/>
      <c r="O65408" s="16"/>
      <c r="P65408" s="17"/>
      <c r="Q65408" s="14"/>
      <c r="R65408" s="15"/>
      <c r="S65408" s="16"/>
      <c r="T65408" s="17"/>
      <c r="U65408" s="14"/>
      <c r="X65408" s="18"/>
      <c r="IN65408" s="11"/>
    </row>
    <row r="65409" s="3" customFormat="1" spans="1:248">
      <c r="A65409" s="11"/>
      <c r="B65409" s="4"/>
      <c r="D65409" s="12"/>
      <c r="E65409" s="4"/>
      <c r="F65409" s="4"/>
      <c r="G65409" s="4"/>
      <c r="H65409" s="13"/>
      <c r="I65409" s="4"/>
      <c r="J65409" s="13"/>
      <c r="K65409" s="13"/>
      <c r="L65409" s="13"/>
      <c r="M65409" s="14"/>
      <c r="N65409" s="15"/>
      <c r="O65409" s="16"/>
      <c r="P65409" s="17"/>
      <c r="Q65409" s="14"/>
      <c r="R65409" s="15"/>
      <c r="S65409" s="16"/>
      <c r="T65409" s="17"/>
      <c r="U65409" s="14"/>
      <c r="X65409" s="18"/>
      <c r="IN65409" s="11"/>
    </row>
    <row r="65410" s="3" customFormat="1" spans="1:248">
      <c r="A65410" s="11"/>
      <c r="B65410" s="4"/>
      <c r="D65410" s="12"/>
      <c r="E65410" s="4"/>
      <c r="F65410" s="4"/>
      <c r="G65410" s="4"/>
      <c r="H65410" s="13"/>
      <c r="I65410" s="4"/>
      <c r="J65410" s="13"/>
      <c r="K65410" s="13"/>
      <c r="L65410" s="13"/>
      <c r="M65410" s="14"/>
      <c r="N65410" s="15"/>
      <c r="O65410" s="16"/>
      <c r="P65410" s="17"/>
      <c r="Q65410" s="14"/>
      <c r="R65410" s="15"/>
      <c r="S65410" s="16"/>
      <c r="T65410" s="17"/>
      <c r="U65410" s="14"/>
      <c r="X65410" s="18"/>
      <c r="IN65410" s="11"/>
    </row>
    <row r="65411" s="3" customFormat="1" spans="1:248">
      <c r="A65411" s="11"/>
      <c r="B65411" s="4"/>
      <c r="D65411" s="12"/>
      <c r="E65411" s="4"/>
      <c r="F65411" s="4"/>
      <c r="G65411" s="4"/>
      <c r="H65411" s="13"/>
      <c r="I65411" s="4"/>
      <c r="J65411" s="13"/>
      <c r="K65411" s="13"/>
      <c r="L65411" s="13"/>
      <c r="M65411" s="14"/>
      <c r="N65411" s="15"/>
      <c r="O65411" s="16"/>
      <c r="P65411" s="17"/>
      <c r="Q65411" s="14"/>
      <c r="R65411" s="15"/>
      <c r="S65411" s="16"/>
      <c r="T65411" s="17"/>
      <c r="U65411" s="14"/>
      <c r="X65411" s="18"/>
      <c r="IN65411" s="11"/>
    </row>
    <row r="65412" s="3" customFormat="1" spans="1:248">
      <c r="A65412" s="11"/>
      <c r="B65412" s="4"/>
      <c r="D65412" s="12"/>
      <c r="E65412" s="4"/>
      <c r="F65412" s="4"/>
      <c r="G65412" s="4"/>
      <c r="H65412" s="13"/>
      <c r="I65412" s="4"/>
      <c r="J65412" s="13"/>
      <c r="K65412" s="13"/>
      <c r="L65412" s="13"/>
      <c r="M65412" s="14"/>
      <c r="N65412" s="15"/>
      <c r="O65412" s="16"/>
      <c r="P65412" s="17"/>
      <c r="Q65412" s="14"/>
      <c r="R65412" s="15"/>
      <c r="S65412" s="16"/>
      <c r="T65412" s="17"/>
      <c r="U65412" s="14"/>
      <c r="X65412" s="18"/>
      <c r="IN65412" s="11"/>
    </row>
    <row r="65413" s="3" customFormat="1" spans="1:248">
      <c r="A65413" s="11"/>
      <c r="B65413" s="4"/>
      <c r="D65413" s="12"/>
      <c r="E65413" s="4"/>
      <c r="F65413" s="4"/>
      <c r="G65413" s="4"/>
      <c r="H65413" s="13"/>
      <c r="I65413" s="4"/>
      <c r="J65413" s="13"/>
      <c r="K65413" s="13"/>
      <c r="L65413" s="13"/>
      <c r="M65413" s="14"/>
      <c r="N65413" s="15"/>
      <c r="O65413" s="16"/>
      <c r="P65413" s="17"/>
      <c r="Q65413" s="14"/>
      <c r="R65413" s="15"/>
      <c r="S65413" s="16"/>
      <c r="T65413" s="17"/>
      <c r="U65413" s="14"/>
      <c r="X65413" s="18"/>
      <c r="IN65413" s="11"/>
    </row>
    <row r="65414" s="3" customFormat="1" spans="1:248">
      <c r="A65414" s="11"/>
      <c r="B65414" s="4"/>
      <c r="D65414" s="12"/>
      <c r="E65414" s="4"/>
      <c r="F65414" s="4"/>
      <c r="G65414" s="4"/>
      <c r="H65414" s="13"/>
      <c r="I65414" s="4"/>
      <c r="J65414" s="13"/>
      <c r="K65414" s="13"/>
      <c r="L65414" s="13"/>
      <c r="M65414" s="14"/>
      <c r="N65414" s="15"/>
      <c r="O65414" s="16"/>
      <c r="P65414" s="17"/>
      <c r="Q65414" s="14"/>
      <c r="R65414" s="15"/>
      <c r="S65414" s="16"/>
      <c r="T65414" s="17"/>
      <c r="U65414" s="14"/>
      <c r="X65414" s="18"/>
      <c r="IN65414" s="11"/>
    </row>
    <row r="65415" s="3" customFormat="1" spans="1:248">
      <c r="A65415" s="11"/>
      <c r="B65415" s="4"/>
      <c r="D65415" s="12"/>
      <c r="E65415" s="4"/>
      <c r="F65415" s="4"/>
      <c r="G65415" s="4"/>
      <c r="H65415" s="13"/>
      <c r="I65415" s="4"/>
      <c r="J65415" s="13"/>
      <c r="K65415" s="13"/>
      <c r="L65415" s="13"/>
      <c r="M65415" s="14"/>
      <c r="N65415" s="15"/>
      <c r="O65415" s="16"/>
      <c r="P65415" s="17"/>
      <c r="Q65415" s="14"/>
      <c r="R65415" s="15"/>
      <c r="S65415" s="16"/>
      <c r="T65415" s="17"/>
      <c r="U65415" s="14"/>
      <c r="X65415" s="18"/>
      <c r="IN65415" s="11"/>
    </row>
    <row r="65416" s="3" customFormat="1" spans="1:248">
      <c r="A65416" s="11"/>
      <c r="B65416" s="4"/>
      <c r="D65416" s="12"/>
      <c r="E65416" s="4"/>
      <c r="F65416" s="4"/>
      <c r="G65416" s="4"/>
      <c r="H65416" s="13"/>
      <c r="I65416" s="4"/>
      <c r="J65416" s="13"/>
      <c r="K65416" s="13"/>
      <c r="L65416" s="13"/>
      <c r="M65416" s="14"/>
      <c r="N65416" s="15"/>
      <c r="O65416" s="16"/>
      <c r="P65416" s="17"/>
      <c r="Q65416" s="14"/>
      <c r="R65416" s="15"/>
      <c r="S65416" s="16"/>
      <c r="T65416" s="17"/>
      <c r="U65416" s="14"/>
      <c r="X65416" s="18"/>
      <c r="IN65416" s="11"/>
    </row>
    <row r="65417" s="3" customFormat="1" spans="1:248">
      <c r="A65417" s="11"/>
      <c r="B65417" s="4"/>
      <c r="D65417" s="12"/>
      <c r="E65417" s="4"/>
      <c r="F65417" s="4"/>
      <c r="G65417" s="4"/>
      <c r="H65417" s="13"/>
      <c r="I65417" s="4"/>
      <c r="J65417" s="13"/>
      <c r="K65417" s="13"/>
      <c r="L65417" s="13"/>
      <c r="M65417" s="14"/>
      <c r="N65417" s="15"/>
      <c r="O65417" s="16"/>
      <c r="P65417" s="17"/>
      <c r="Q65417" s="14"/>
      <c r="R65417" s="15"/>
      <c r="S65417" s="16"/>
      <c r="T65417" s="17"/>
      <c r="U65417" s="14"/>
      <c r="X65417" s="18"/>
      <c r="IN65417" s="11"/>
    </row>
    <row r="65418" s="3" customFormat="1" spans="1:248">
      <c r="A65418" s="11"/>
      <c r="B65418" s="4"/>
      <c r="D65418" s="12"/>
      <c r="E65418" s="4"/>
      <c r="F65418" s="4"/>
      <c r="G65418" s="4"/>
      <c r="H65418" s="13"/>
      <c r="I65418" s="4"/>
      <c r="J65418" s="13"/>
      <c r="K65418" s="13"/>
      <c r="L65418" s="13"/>
      <c r="M65418" s="14"/>
      <c r="N65418" s="15"/>
      <c r="O65418" s="16"/>
      <c r="P65418" s="17"/>
      <c r="Q65418" s="14"/>
      <c r="R65418" s="15"/>
      <c r="S65418" s="16"/>
      <c r="T65418" s="17"/>
      <c r="U65418" s="14"/>
      <c r="X65418" s="18"/>
      <c r="IN65418" s="11"/>
    </row>
    <row r="65419" s="3" customFormat="1" spans="1:248">
      <c r="A65419" s="11"/>
      <c r="B65419" s="4"/>
      <c r="D65419" s="12"/>
      <c r="E65419" s="4"/>
      <c r="F65419" s="4"/>
      <c r="G65419" s="4"/>
      <c r="H65419" s="13"/>
      <c r="I65419" s="4"/>
      <c r="J65419" s="13"/>
      <c r="K65419" s="13"/>
      <c r="L65419" s="13"/>
      <c r="M65419" s="14"/>
      <c r="N65419" s="15"/>
      <c r="O65419" s="16"/>
      <c r="P65419" s="17"/>
      <c r="Q65419" s="14"/>
      <c r="R65419" s="15"/>
      <c r="S65419" s="16"/>
      <c r="T65419" s="17"/>
      <c r="U65419" s="14"/>
      <c r="X65419" s="18"/>
      <c r="IN65419" s="11"/>
    </row>
    <row r="65420" s="3" customFormat="1" spans="1:248">
      <c r="A65420" s="11"/>
      <c r="B65420" s="4"/>
      <c r="D65420" s="12"/>
      <c r="E65420" s="4"/>
      <c r="F65420" s="4"/>
      <c r="G65420" s="4"/>
      <c r="H65420" s="13"/>
      <c r="I65420" s="4"/>
      <c r="J65420" s="13"/>
      <c r="K65420" s="13"/>
      <c r="L65420" s="13"/>
      <c r="M65420" s="14"/>
      <c r="N65420" s="15"/>
      <c r="O65420" s="16"/>
      <c r="P65420" s="17"/>
      <c r="Q65420" s="14"/>
      <c r="R65420" s="15"/>
      <c r="S65420" s="16"/>
      <c r="T65420" s="17"/>
      <c r="U65420" s="14"/>
      <c r="X65420" s="18"/>
      <c r="IN65420" s="11"/>
    </row>
    <row r="65421" s="3" customFormat="1" spans="1:248">
      <c r="A65421" s="11"/>
      <c r="B65421" s="4"/>
      <c r="D65421" s="12"/>
      <c r="E65421" s="4"/>
      <c r="F65421" s="4"/>
      <c r="G65421" s="4"/>
      <c r="H65421" s="13"/>
      <c r="I65421" s="4"/>
      <c r="J65421" s="13"/>
      <c r="K65421" s="13"/>
      <c r="L65421" s="13"/>
      <c r="M65421" s="14"/>
      <c r="N65421" s="15"/>
      <c r="O65421" s="16"/>
      <c r="P65421" s="17"/>
      <c r="Q65421" s="14"/>
      <c r="R65421" s="15"/>
      <c r="S65421" s="16"/>
      <c r="T65421" s="17"/>
      <c r="U65421" s="14"/>
      <c r="X65421" s="18"/>
      <c r="IN65421" s="11"/>
    </row>
    <row r="65422" s="3" customFormat="1" spans="1:248">
      <c r="A65422" s="11"/>
      <c r="B65422" s="4"/>
      <c r="D65422" s="12"/>
      <c r="E65422" s="4"/>
      <c r="F65422" s="4"/>
      <c r="G65422" s="4"/>
      <c r="H65422" s="13"/>
      <c r="I65422" s="4"/>
      <c r="J65422" s="13"/>
      <c r="K65422" s="13"/>
      <c r="L65422" s="13"/>
      <c r="M65422" s="14"/>
      <c r="N65422" s="15"/>
      <c r="O65422" s="16"/>
      <c r="P65422" s="17"/>
      <c r="Q65422" s="14"/>
      <c r="R65422" s="15"/>
      <c r="S65422" s="16"/>
      <c r="T65422" s="17"/>
      <c r="U65422" s="14"/>
      <c r="X65422" s="18"/>
      <c r="IN65422" s="11"/>
    </row>
    <row r="65423" s="3" customFormat="1" spans="1:248">
      <c r="A65423" s="11"/>
      <c r="B65423" s="4"/>
      <c r="D65423" s="12"/>
      <c r="E65423" s="4"/>
      <c r="F65423" s="4"/>
      <c r="G65423" s="4"/>
      <c r="H65423" s="13"/>
      <c r="I65423" s="4"/>
      <c r="J65423" s="13"/>
      <c r="K65423" s="13"/>
      <c r="L65423" s="13"/>
      <c r="M65423" s="14"/>
      <c r="N65423" s="15"/>
      <c r="O65423" s="16"/>
      <c r="P65423" s="17"/>
      <c r="Q65423" s="14"/>
      <c r="R65423" s="15"/>
      <c r="S65423" s="16"/>
      <c r="T65423" s="17"/>
      <c r="U65423" s="14"/>
      <c r="X65423" s="18"/>
      <c r="IN65423" s="11"/>
    </row>
    <row r="65424" s="3" customFormat="1" spans="1:248">
      <c r="A65424" s="11"/>
      <c r="B65424" s="4"/>
      <c r="D65424" s="12"/>
      <c r="E65424" s="4"/>
      <c r="F65424" s="4"/>
      <c r="G65424" s="4"/>
      <c r="H65424" s="13"/>
      <c r="I65424" s="4"/>
      <c r="J65424" s="13"/>
      <c r="K65424" s="13"/>
      <c r="L65424" s="13"/>
      <c r="M65424" s="14"/>
      <c r="N65424" s="15"/>
      <c r="O65424" s="16"/>
      <c r="P65424" s="17"/>
      <c r="Q65424" s="14"/>
      <c r="R65424" s="15"/>
      <c r="S65424" s="16"/>
      <c r="T65424" s="17"/>
      <c r="U65424" s="14"/>
      <c r="X65424" s="18"/>
      <c r="IN65424" s="11"/>
    </row>
    <row r="65425" s="3" customFormat="1" spans="1:248">
      <c r="A65425" s="11"/>
      <c r="B65425" s="4"/>
      <c r="D65425" s="12"/>
      <c r="E65425" s="4"/>
      <c r="F65425" s="4"/>
      <c r="G65425" s="4"/>
      <c r="H65425" s="13"/>
      <c r="I65425" s="4"/>
      <c r="J65425" s="13"/>
      <c r="K65425" s="13"/>
      <c r="L65425" s="13"/>
      <c r="M65425" s="14"/>
      <c r="N65425" s="15"/>
      <c r="O65425" s="16"/>
      <c r="P65425" s="17"/>
      <c r="Q65425" s="14"/>
      <c r="R65425" s="15"/>
      <c r="S65425" s="16"/>
      <c r="T65425" s="17"/>
      <c r="U65425" s="14"/>
      <c r="X65425" s="18"/>
      <c r="IN65425" s="11"/>
    </row>
    <row r="65426" s="3" customFormat="1" spans="1:248">
      <c r="A65426" s="11"/>
      <c r="B65426" s="4"/>
      <c r="D65426" s="12"/>
      <c r="E65426" s="4"/>
      <c r="F65426" s="4"/>
      <c r="G65426" s="4"/>
      <c r="H65426" s="13"/>
      <c r="I65426" s="4"/>
      <c r="J65426" s="13"/>
      <c r="K65426" s="13"/>
      <c r="L65426" s="13"/>
      <c r="M65426" s="14"/>
      <c r="N65426" s="15"/>
      <c r="O65426" s="16"/>
      <c r="P65426" s="17"/>
      <c r="Q65426" s="14"/>
      <c r="R65426" s="15"/>
      <c r="S65426" s="16"/>
      <c r="T65426" s="17"/>
      <c r="U65426" s="14"/>
      <c r="X65426" s="18"/>
      <c r="IN65426" s="11"/>
    </row>
    <row r="65427" s="3" customFormat="1" spans="1:248">
      <c r="A65427" s="11"/>
      <c r="B65427" s="4"/>
      <c r="D65427" s="12"/>
      <c r="E65427" s="4"/>
      <c r="F65427" s="4"/>
      <c r="G65427" s="4"/>
      <c r="H65427" s="13"/>
      <c r="I65427" s="4"/>
      <c r="J65427" s="13"/>
      <c r="K65427" s="13"/>
      <c r="L65427" s="13"/>
      <c r="M65427" s="14"/>
      <c r="N65427" s="15"/>
      <c r="O65427" s="16"/>
      <c r="P65427" s="17"/>
      <c r="Q65427" s="14"/>
      <c r="R65427" s="15"/>
      <c r="S65427" s="16"/>
      <c r="T65427" s="17"/>
      <c r="U65427" s="14"/>
      <c r="X65427" s="18"/>
      <c r="IN65427" s="11"/>
    </row>
    <row r="65428" s="3" customFormat="1" spans="1:248">
      <c r="A65428" s="11"/>
      <c r="B65428" s="4"/>
      <c r="D65428" s="12"/>
      <c r="E65428" s="4"/>
      <c r="F65428" s="4"/>
      <c r="G65428" s="4"/>
      <c r="H65428" s="13"/>
      <c r="I65428" s="4"/>
      <c r="J65428" s="13"/>
      <c r="K65428" s="13"/>
      <c r="L65428" s="13"/>
      <c r="M65428" s="14"/>
      <c r="N65428" s="15"/>
      <c r="O65428" s="16"/>
      <c r="P65428" s="17"/>
      <c r="Q65428" s="14"/>
      <c r="R65428" s="15"/>
      <c r="S65428" s="16"/>
      <c r="T65428" s="17"/>
      <c r="U65428" s="14"/>
      <c r="X65428" s="18"/>
      <c r="IN65428" s="11"/>
    </row>
    <row r="65429" s="3" customFormat="1" spans="1:248">
      <c r="A65429" s="11"/>
      <c r="B65429" s="4"/>
      <c r="D65429" s="12"/>
      <c r="E65429" s="4"/>
      <c r="F65429" s="4"/>
      <c r="G65429" s="4"/>
      <c r="H65429" s="13"/>
      <c r="I65429" s="4"/>
      <c r="J65429" s="13"/>
      <c r="K65429" s="13"/>
      <c r="L65429" s="13"/>
      <c r="M65429" s="14"/>
      <c r="N65429" s="15"/>
      <c r="O65429" s="16"/>
      <c r="P65429" s="17"/>
      <c r="Q65429" s="14"/>
      <c r="R65429" s="15"/>
      <c r="S65429" s="16"/>
      <c r="T65429" s="17"/>
      <c r="U65429" s="14"/>
      <c r="X65429" s="18"/>
      <c r="IN65429" s="11"/>
    </row>
    <row r="65430" s="3" customFormat="1" spans="1:248">
      <c r="A65430" s="11"/>
      <c r="B65430" s="4"/>
      <c r="D65430" s="12"/>
      <c r="E65430" s="4"/>
      <c r="F65430" s="4"/>
      <c r="G65430" s="4"/>
      <c r="H65430" s="13"/>
      <c r="I65430" s="4"/>
      <c r="J65430" s="13"/>
      <c r="K65430" s="13"/>
      <c r="L65430" s="13"/>
      <c r="M65430" s="14"/>
      <c r="N65430" s="15"/>
      <c r="O65430" s="16"/>
      <c r="P65430" s="17"/>
      <c r="Q65430" s="14"/>
      <c r="R65430" s="15"/>
      <c r="S65430" s="16"/>
      <c r="T65430" s="17"/>
      <c r="U65430" s="14"/>
      <c r="X65430" s="18"/>
      <c r="IN65430" s="11"/>
    </row>
    <row r="65431" s="3" customFormat="1" spans="1:248">
      <c r="A65431" s="11"/>
      <c r="B65431" s="4"/>
      <c r="D65431" s="12"/>
      <c r="E65431" s="4"/>
      <c r="F65431" s="4"/>
      <c r="G65431" s="4"/>
      <c r="H65431" s="13"/>
      <c r="I65431" s="4"/>
      <c r="J65431" s="13"/>
      <c r="K65431" s="13"/>
      <c r="L65431" s="13"/>
      <c r="M65431" s="14"/>
      <c r="N65431" s="15"/>
      <c r="O65431" s="16"/>
      <c r="P65431" s="17"/>
      <c r="Q65431" s="14"/>
      <c r="R65431" s="15"/>
      <c r="S65431" s="16"/>
      <c r="T65431" s="17"/>
      <c r="U65431" s="14"/>
      <c r="X65431" s="18"/>
      <c r="IN65431" s="11"/>
    </row>
    <row r="65432" s="3" customFormat="1" spans="1:248">
      <c r="A65432" s="11"/>
      <c r="B65432" s="4"/>
      <c r="D65432" s="12"/>
      <c r="E65432" s="4"/>
      <c r="F65432" s="4"/>
      <c r="G65432" s="4"/>
      <c r="H65432" s="13"/>
      <c r="I65432" s="4"/>
      <c r="J65432" s="13"/>
      <c r="K65432" s="13"/>
      <c r="L65432" s="13"/>
      <c r="M65432" s="14"/>
      <c r="N65432" s="15"/>
      <c r="O65432" s="16"/>
      <c r="P65432" s="17"/>
      <c r="Q65432" s="14"/>
      <c r="R65432" s="15"/>
      <c r="S65432" s="16"/>
      <c r="T65432" s="17"/>
      <c r="U65432" s="14"/>
      <c r="X65432" s="18"/>
      <c r="IN65432" s="11"/>
    </row>
    <row r="65433" s="3" customFormat="1" spans="1:248">
      <c r="A65433" s="11"/>
      <c r="B65433" s="4"/>
      <c r="D65433" s="12"/>
      <c r="E65433" s="4"/>
      <c r="F65433" s="4"/>
      <c r="G65433" s="4"/>
      <c r="H65433" s="13"/>
      <c r="I65433" s="4"/>
      <c r="J65433" s="13"/>
      <c r="K65433" s="13"/>
      <c r="L65433" s="13"/>
      <c r="M65433" s="14"/>
      <c r="N65433" s="15"/>
      <c r="O65433" s="16"/>
      <c r="P65433" s="17"/>
      <c r="Q65433" s="14"/>
      <c r="R65433" s="15"/>
      <c r="S65433" s="16"/>
      <c r="T65433" s="17"/>
      <c r="U65433" s="14"/>
      <c r="X65433" s="18"/>
      <c r="IN65433" s="11"/>
    </row>
    <row r="65434" s="3" customFormat="1" spans="1:248">
      <c r="A65434" s="11"/>
      <c r="B65434" s="4"/>
      <c r="D65434" s="12"/>
      <c r="E65434" s="4"/>
      <c r="F65434" s="4"/>
      <c r="G65434" s="4"/>
      <c r="H65434" s="13"/>
      <c r="I65434" s="4"/>
      <c r="J65434" s="13"/>
      <c r="K65434" s="13"/>
      <c r="L65434" s="13"/>
      <c r="M65434" s="14"/>
      <c r="N65434" s="15"/>
      <c r="O65434" s="16"/>
      <c r="P65434" s="17"/>
      <c r="Q65434" s="14"/>
      <c r="R65434" s="15"/>
      <c r="S65434" s="16"/>
      <c r="T65434" s="17"/>
      <c r="U65434" s="14"/>
      <c r="X65434" s="18"/>
      <c r="IN65434" s="11"/>
    </row>
    <row r="65435" s="3" customFormat="1" spans="1:248">
      <c r="A65435" s="11"/>
      <c r="B65435" s="4"/>
      <c r="D65435" s="12"/>
      <c r="E65435" s="4"/>
      <c r="F65435" s="4"/>
      <c r="G65435" s="4"/>
      <c r="H65435" s="13"/>
      <c r="I65435" s="4"/>
      <c r="J65435" s="13"/>
      <c r="K65435" s="13"/>
      <c r="L65435" s="13"/>
      <c r="M65435" s="14"/>
      <c r="N65435" s="15"/>
      <c r="O65435" s="16"/>
      <c r="P65435" s="17"/>
      <c r="Q65435" s="14"/>
      <c r="R65435" s="15"/>
      <c r="S65435" s="16"/>
      <c r="T65435" s="17"/>
      <c r="U65435" s="14"/>
      <c r="X65435" s="18"/>
      <c r="IN65435" s="11"/>
    </row>
    <row r="65436" s="3" customFormat="1" spans="1:248">
      <c r="A65436" s="11"/>
      <c r="B65436" s="4"/>
      <c r="D65436" s="12"/>
      <c r="E65436" s="4"/>
      <c r="F65436" s="4"/>
      <c r="G65436" s="4"/>
      <c r="H65436" s="13"/>
      <c r="I65436" s="4"/>
      <c r="J65436" s="13"/>
      <c r="K65436" s="13"/>
      <c r="L65436" s="13"/>
      <c r="M65436" s="14"/>
      <c r="N65436" s="15"/>
      <c r="O65436" s="16"/>
      <c r="P65436" s="17"/>
      <c r="Q65436" s="14"/>
      <c r="R65436" s="15"/>
      <c r="S65436" s="16"/>
      <c r="T65436" s="17"/>
      <c r="U65436" s="14"/>
      <c r="X65436" s="18"/>
      <c r="IN65436" s="11"/>
    </row>
    <row r="65437" s="3" customFormat="1" spans="1:248">
      <c r="A65437" s="11"/>
      <c r="B65437" s="4"/>
      <c r="D65437" s="12"/>
      <c r="E65437" s="4"/>
      <c r="F65437" s="4"/>
      <c r="G65437" s="4"/>
      <c r="H65437" s="13"/>
      <c r="I65437" s="4"/>
      <c r="J65437" s="13"/>
      <c r="K65437" s="13"/>
      <c r="L65437" s="13"/>
      <c r="M65437" s="14"/>
      <c r="N65437" s="15"/>
      <c r="O65437" s="16"/>
      <c r="P65437" s="17"/>
      <c r="Q65437" s="14"/>
      <c r="R65437" s="15"/>
      <c r="S65437" s="16"/>
      <c r="T65437" s="17"/>
      <c r="U65437" s="14"/>
      <c r="X65437" s="18"/>
      <c r="IN65437" s="11"/>
    </row>
    <row r="65438" s="3" customFormat="1" spans="1:248">
      <c r="A65438" s="11"/>
      <c r="B65438" s="4"/>
      <c r="D65438" s="12"/>
      <c r="E65438" s="4"/>
      <c r="F65438" s="4"/>
      <c r="G65438" s="4"/>
      <c r="H65438" s="13"/>
      <c r="I65438" s="4"/>
      <c r="J65438" s="13"/>
      <c r="K65438" s="13"/>
      <c r="L65438" s="13"/>
      <c r="M65438" s="14"/>
      <c r="N65438" s="15"/>
      <c r="O65438" s="16"/>
      <c r="P65438" s="17"/>
      <c r="Q65438" s="14"/>
      <c r="R65438" s="15"/>
      <c r="S65438" s="16"/>
      <c r="T65438" s="17"/>
      <c r="U65438" s="14"/>
      <c r="X65438" s="18"/>
      <c r="IN65438" s="11"/>
    </row>
    <row r="65439" s="3" customFormat="1" spans="1:248">
      <c r="A65439" s="11"/>
      <c r="B65439" s="4"/>
      <c r="D65439" s="12"/>
      <c r="E65439" s="4"/>
      <c r="F65439" s="4"/>
      <c r="G65439" s="4"/>
      <c r="H65439" s="13"/>
      <c r="I65439" s="4"/>
      <c r="J65439" s="13"/>
      <c r="K65439" s="13"/>
      <c r="L65439" s="13"/>
      <c r="M65439" s="14"/>
      <c r="N65439" s="15"/>
      <c r="O65439" s="16"/>
      <c r="P65439" s="17"/>
      <c r="Q65439" s="14"/>
      <c r="R65439" s="15"/>
      <c r="S65439" s="16"/>
      <c r="T65439" s="17"/>
      <c r="U65439" s="14"/>
      <c r="X65439" s="18"/>
      <c r="IN65439" s="11"/>
    </row>
    <row r="65440" s="3" customFormat="1" spans="1:248">
      <c r="A65440" s="11"/>
      <c r="B65440" s="4"/>
      <c r="D65440" s="12"/>
      <c r="E65440" s="4"/>
      <c r="F65440" s="4"/>
      <c r="G65440" s="4"/>
      <c r="H65440" s="13"/>
      <c r="I65440" s="4"/>
      <c r="J65440" s="13"/>
      <c r="K65440" s="13"/>
      <c r="L65440" s="13"/>
      <c r="M65440" s="14"/>
      <c r="N65440" s="15"/>
      <c r="O65440" s="16"/>
      <c r="P65440" s="17"/>
      <c r="Q65440" s="14"/>
      <c r="R65440" s="15"/>
      <c r="S65440" s="16"/>
      <c r="T65440" s="17"/>
      <c r="U65440" s="14"/>
      <c r="X65440" s="18"/>
      <c r="IN65440" s="11"/>
    </row>
    <row r="65441" s="3" customFormat="1" spans="1:248">
      <c r="A65441" s="11"/>
      <c r="B65441" s="4"/>
      <c r="D65441" s="12"/>
      <c r="E65441" s="4"/>
      <c r="F65441" s="4"/>
      <c r="G65441" s="4"/>
      <c r="H65441" s="13"/>
      <c r="I65441" s="4"/>
      <c r="J65441" s="13"/>
      <c r="K65441" s="13"/>
      <c r="L65441" s="13"/>
      <c r="M65441" s="14"/>
      <c r="N65441" s="15"/>
      <c r="O65441" s="16"/>
      <c r="P65441" s="17"/>
      <c r="Q65441" s="14"/>
      <c r="R65441" s="15"/>
      <c r="S65441" s="16"/>
      <c r="T65441" s="17"/>
      <c r="U65441" s="14"/>
      <c r="X65441" s="18"/>
      <c r="IN65441" s="11"/>
    </row>
    <row r="65442" s="3" customFormat="1" spans="1:248">
      <c r="A65442" s="11"/>
      <c r="B65442" s="4"/>
      <c r="D65442" s="12"/>
      <c r="E65442" s="4"/>
      <c r="F65442" s="4"/>
      <c r="G65442" s="4"/>
      <c r="H65442" s="13"/>
      <c r="I65442" s="4"/>
      <c r="J65442" s="13"/>
      <c r="K65442" s="13"/>
      <c r="L65442" s="13"/>
      <c r="M65442" s="14"/>
      <c r="N65442" s="15"/>
      <c r="O65442" s="16"/>
      <c r="P65442" s="17"/>
      <c r="Q65442" s="14"/>
      <c r="R65442" s="15"/>
      <c r="S65442" s="16"/>
      <c r="T65442" s="17"/>
      <c r="U65442" s="14"/>
      <c r="X65442" s="18"/>
      <c r="IN65442" s="11"/>
    </row>
    <row r="65443" s="3" customFormat="1" spans="1:248">
      <c r="A65443" s="11"/>
      <c r="B65443" s="4"/>
      <c r="D65443" s="12"/>
      <c r="E65443" s="4"/>
      <c r="F65443" s="4"/>
      <c r="G65443" s="4"/>
      <c r="H65443" s="13"/>
      <c r="I65443" s="4"/>
      <c r="J65443" s="13"/>
      <c r="K65443" s="13"/>
      <c r="L65443" s="13"/>
      <c r="M65443" s="14"/>
      <c r="N65443" s="15"/>
      <c r="O65443" s="16"/>
      <c r="P65443" s="17"/>
      <c r="Q65443" s="14"/>
      <c r="R65443" s="15"/>
      <c r="S65443" s="16"/>
      <c r="T65443" s="17"/>
      <c r="U65443" s="14"/>
      <c r="X65443" s="18"/>
      <c r="IN65443" s="11"/>
    </row>
    <row r="65444" s="3" customFormat="1" spans="1:248">
      <c r="A65444" s="11"/>
      <c r="B65444" s="4"/>
      <c r="D65444" s="12"/>
      <c r="E65444" s="4"/>
      <c r="F65444" s="4"/>
      <c r="G65444" s="4"/>
      <c r="H65444" s="13"/>
      <c r="I65444" s="4"/>
      <c r="J65444" s="13"/>
      <c r="K65444" s="13"/>
      <c r="L65444" s="13"/>
      <c r="M65444" s="14"/>
      <c r="N65444" s="15"/>
      <c r="O65444" s="16"/>
      <c r="P65444" s="17"/>
      <c r="Q65444" s="14"/>
      <c r="R65444" s="15"/>
      <c r="S65444" s="16"/>
      <c r="T65444" s="17"/>
      <c r="U65444" s="14"/>
      <c r="X65444" s="18"/>
      <c r="IN65444" s="11"/>
    </row>
    <row r="65445" s="3" customFormat="1" spans="1:248">
      <c r="A65445" s="11"/>
      <c r="B65445" s="4"/>
      <c r="D65445" s="12"/>
      <c r="E65445" s="4"/>
      <c r="F65445" s="4"/>
      <c r="G65445" s="4"/>
      <c r="H65445" s="13"/>
      <c r="I65445" s="4"/>
      <c r="J65445" s="13"/>
      <c r="K65445" s="13"/>
      <c r="L65445" s="13"/>
      <c r="M65445" s="14"/>
      <c r="N65445" s="15"/>
      <c r="O65445" s="16"/>
      <c r="P65445" s="17"/>
      <c r="Q65445" s="14"/>
      <c r="R65445" s="15"/>
      <c r="S65445" s="16"/>
      <c r="T65445" s="17"/>
      <c r="U65445" s="14"/>
      <c r="X65445" s="18"/>
      <c r="IN65445" s="11"/>
    </row>
    <row r="65446" s="3" customFormat="1" spans="1:248">
      <c r="A65446" s="11"/>
      <c r="B65446" s="4"/>
      <c r="D65446" s="12"/>
      <c r="E65446" s="4"/>
      <c r="F65446" s="4"/>
      <c r="G65446" s="4"/>
      <c r="H65446" s="13"/>
      <c r="I65446" s="4"/>
      <c r="J65446" s="13"/>
      <c r="K65446" s="13"/>
      <c r="L65446" s="13"/>
      <c r="M65446" s="14"/>
      <c r="N65446" s="15"/>
      <c r="O65446" s="16"/>
      <c r="P65446" s="17"/>
      <c r="Q65446" s="14"/>
      <c r="R65446" s="15"/>
      <c r="S65446" s="16"/>
      <c r="T65446" s="17"/>
      <c r="U65446" s="14"/>
      <c r="X65446" s="18"/>
      <c r="IN65446" s="11"/>
    </row>
    <row r="65447" s="3" customFormat="1" spans="1:248">
      <c r="A65447" s="11"/>
      <c r="B65447" s="4"/>
      <c r="D65447" s="12"/>
      <c r="E65447" s="4"/>
      <c r="F65447" s="4"/>
      <c r="G65447" s="4"/>
      <c r="H65447" s="13"/>
      <c r="I65447" s="4"/>
      <c r="J65447" s="13"/>
      <c r="K65447" s="13"/>
      <c r="L65447" s="13"/>
      <c r="M65447" s="14"/>
      <c r="N65447" s="15"/>
      <c r="O65447" s="16"/>
      <c r="P65447" s="17"/>
      <c r="Q65447" s="14"/>
      <c r="R65447" s="15"/>
      <c r="S65447" s="16"/>
      <c r="T65447" s="17"/>
      <c r="U65447" s="14"/>
      <c r="X65447" s="18"/>
      <c r="IN65447" s="11"/>
    </row>
    <row r="65448" s="3" customFormat="1" spans="1:248">
      <c r="A65448" s="11"/>
      <c r="B65448" s="4"/>
      <c r="D65448" s="12"/>
      <c r="E65448" s="4"/>
      <c r="F65448" s="4"/>
      <c r="G65448" s="4"/>
      <c r="H65448" s="13"/>
      <c r="I65448" s="4"/>
      <c r="J65448" s="13"/>
      <c r="K65448" s="13"/>
      <c r="L65448" s="13"/>
      <c r="M65448" s="14"/>
      <c r="N65448" s="15"/>
      <c r="O65448" s="16"/>
      <c r="P65448" s="17"/>
      <c r="Q65448" s="14"/>
      <c r="R65448" s="15"/>
      <c r="S65448" s="16"/>
      <c r="T65448" s="17"/>
      <c r="U65448" s="14"/>
      <c r="X65448" s="18"/>
      <c r="IN65448" s="11"/>
    </row>
    <row r="65449" s="3" customFormat="1" spans="1:248">
      <c r="A65449" s="11"/>
      <c r="B65449" s="4"/>
      <c r="D65449" s="12"/>
      <c r="E65449" s="4"/>
      <c r="F65449" s="4"/>
      <c r="G65449" s="4"/>
      <c r="H65449" s="13"/>
      <c r="I65449" s="4"/>
      <c r="J65449" s="13"/>
      <c r="K65449" s="13"/>
      <c r="L65449" s="13"/>
      <c r="M65449" s="14"/>
      <c r="N65449" s="15"/>
      <c r="O65449" s="16"/>
      <c r="P65449" s="17"/>
      <c r="Q65449" s="14"/>
      <c r="R65449" s="15"/>
      <c r="S65449" s="16"/>
      <c r="T65449" s="17"/>
      <c r="U65449" s="14"/>
      <c r="X65449" s="18"/>
      <c r="IN65449" s="11"/>
    </row>
    <row r="65450" s="3" customFormat="1" spans="1:248">
      <c r="A65450" s="11"/>
      <c r="B65450" s="4"/>
      <c r="D65450" s="12"/>
      <c r="E65450" s="4"/>
      <c r="F65450" s="4"/>
      <c r="G65450" s="4"/>
      <c r="H65450" s="13"/>
      <c r="I65450" s="4"/>
      <c r="J65450" s="13"/>
      <c r="K65450" s="13"/>
      <c r="L65450" s="13"/>
      <c r="M65450" s="14"/>
      <c r="N65450" s="15"/>
      <c r="O65450" s="16"/>
      <c r="P65450" s="17"/>
      <c r="Q65450" s="14"/>
      <c r="R65450" s="15"/>
      <c r="S65450" s="16"/>
      <c r="T65450" s="17"/>
      <c r="U65450" s="14"/>
      <c r="X65450" s="18"/>
      <c r="IN65450" s="11"/>
    </row>
    <row r="65451" s="3" customFormat="1" spans="1:248">
      <c r="A65451" s="11"/>
      <c r="B65451" s="4"/>
      <c r="D65451" s="12"/>
      <c r="E65451" s="4"/>
      <c r="F65451" s="4"/>
      <c r="G65451" s="4"/>
      <c r="H65451" s="13"/>
      <c r="I65451" s="4"/>
      <c r="J65451" s="13"/>
      <c r="K65451" s="13"/>
      <c r="L65451" s="13"/>
      <c r="M65451" s="14"/>
      <c r="N65451" s="15"/>
      <c r="O65451" s="16"/>
      <c r="P65451" s="17"/>
      <c r="Q65451" s="14"/>
      <c r="R65451" s="15"/>
      <c r="S65451" s="16"/>
      <c r="T65451" s="17"/>
      <c r="U65451" s="14"/>
      <c r="X65451" s="18"/>
      <c r="IN65451" s="11"/>
    </row>
    <row r="65452" s="3" customFormat="1" spans="1:248">
      <c r="A65452" s="11"/>
      <c r="B65452" s="4"/>
      <c r="D65452" s="12"/>
      <c r="E65452" s="4"/>
      <c r="F65452" s="4"/>
      <c r="G65452" s="4"/>
      <c r="H65452" s="13"/>
      <c r="I65452" s="4"/>
      <c r="J65452" s="13"/>
      <c r="K65452" s="13"/>
      <c r="L65452" s="13"/>
      <c r="M65452" s="14"/>
      <c r="N65452" s="15"/>
      <c r="O65452" s="16"/>
      <c r="P65452" s="17"/>
      <c r="Q65452" s="14"/>
      <c r="R65452" s="15"/>
      <c r="S65452" s="16"/>
      <c r="T65452" s="17"/>
      <c r="U65452" s="14"/>
      <c r="X65452" s="18"/>
      <c r="IN65452" s="11"/>
    </row>
    <row r="65453" s="3" customFormat="1" spans="1:248">
      <c r="A65453" s="11"/>
      <c r="B65453" s="4"/>
      <c r="D65453" s="12"/>
      <c r="E65453" s="4"/>
      <c r="F65453" s="4"/>
      <c r="G65453" s="4"/>
      <c r="H65453" s="13"/>
      <c r="I65453" s="4"/>
      <c r="J65453" s="13"/>
      <c r="K65453" s="13"/>
      <c r="L65453" s="13"/>
      <c r="M65453" s="14"/>
      <c r="N65453" s="15"/>
      <c r="O65453" s="16"/>
      <c r="P65453" s="17"/>
      <c r="Q65453" s="14"/>
      <c r="R65453" s="15"/>
      <c r="S65453" s="16"/>
      <c r="T65453" s="17"/>
      <c r="U65453" s="14"/>
      <c r="X65453" s="18"/>
      <c r="IN65453" s="11"/>
    </row>
    <row r="65454" s="3" customFormat="1" spans="1:248">
      <c r="A65454" s="11"/>
      <c r="B65454" s="4"/>
      <c r="D65454" s="12"/>
      <c r="E65454" s="4"/>
      <c r="F65454" s="4"/>
      <c r="G65454" s="4"/>
      <c r="H65454" s="13"/>
      <c r="I65454" s="4"/>
      <c r="J65454" s="13"/>
      <c r="K65454" s="13"/>
      <c r="L65454" s="13"/>
      <c r="M65454" s="14"/>
      <c r="N65454" s="15"/>
      <c r="O65454" s="16"/>
      <c r="P65454" s="17"/>
      <c r="Q65454" s="14"/>
      <c r="R65454" s="15"/>
      <c r="S65454" s="16"/>
      <c r="T65454" s="17"/>
      <c r="U65454" s="14"/>
      <c r="X65454" s="18"/>
      <c r="IN65454" s="11"/>
    </row>
    <row r="65455" s="3" customFormat="1" spans="1:248">
      <c r="A65455" s="11"/>
      <c r="B65455" s="4"/>
      <c r="D65455" s="12"/>
      <c r="E65455" s="4"/>
      <c r="F65455" s="4"/>
      <c r="G65455" s="4"/>
      <c r="H65455" s="13"/>
      <c r="I65455" s="4"/>
      <c r="J65455" s="13"/>
      <c r="K65455" s="13"/>
      <c r="L65455" s="13"/>
      <c r="M65455" s="14"/>
      <c r="N65455" s="15"/>
      <c r="O65455" s="16"/>
      <c r="P65455" s="17"/>
      <c r="Q65455" s="14"/>
      <c r="R65455" s="15"/>
      <c r="S65455" s="16"/>
      <c r="T65455" s="17"/>
      <c r="U65455" s="14"/>
      <c r="X65455" s="18"/>
      <c r="IN65455" s="11"/>
    </row>
    <row r="65456" s="3" customFormat="1" spans="1:248">
      <c r="A65456" s="11"/>
      <c r="B65456" s="4"/>
      <c r="D65456" s="12"/>
      <c r="E65456" s="4"/>
      <c r="F65456" s="4"/>
      <c r="G65456" s="4"/>
      <c r="H65456" s="13"/>
      <c r="I65456" s="4"/>
      <c r="J65456" s="13"/>
      <c r="K65456" s="13"/>
      <c r="L65456" s="13"/>
      <c r="M65456" s="14"/>
      <c r="N65456" s="15"/>
      <c r="O65456" s="16"/>
      <c r="P65456" s="17"/>
      <c r="Q65456" s="14"/>
      <c r="R65456" s="15"/>
      <c r="S65456" s="16"/>
      <c r="T65456" s="17"/>
      <c r="U65456" s="14"/>
      <c r="X65456" s="18"/>
      <c r="IN65456" s="11"/>
    </row>
    <row r="65457" s="3" customFormat="1" spans="1:248">
      <c r="A65457" s="11"/>
      <c r="B65457" s="4"/>
      <c r="D65457" s="12"/>
      <c r="E65457" s="4"/>
      <c r="F65457" s="4"/>
      <c r="G65457" s="4"/>
      <c r="H65457" s="13"/>
      <c r="I65457" s="4"/>
      <c r="J65457" s="13"/>
      <c r="K65457" s="13"/>
      <c r="L65457" s="13"/>
      <c r="M65457" s="14"/>
      <c r="N65457" s="15"/>
      <c r="O65457" s="16"/>
      <c r="P65457" s="17"/>
      <c r="Q65457" s="14"/>
      <c r="R65457" s="15"/>
      <c r="S65457" s="16"/>
      <c r="T65457" s="17"/>
      <c r="U65457" s="14"/>
      <c r="X65457" s="18"/>
      <c r="IN65457" s="11"/>
    </row>
    <row r="65458" s="3" customFormat="1" spans="1:248">
      <c r="A65458" s="11"/>
      <c r="B65458" s="4"/>
      <c r="D65458" s="12"/>
      <c r="E65458" s="4"/>
      <c r="F65458" s="4"/>
      <c r="G65458" s="4"/>
      <c r="H65458" s="13"/>
      <c r="I65458" s="4"/>
      <c r="J65458" s="13"/>
      <c r="K65458" s="13"/>
      <c r="L65458" s="13"/>
      <c r="M65458" s="14"/>
      <c r="N65458" s="15"/>
      <c r="O65458" s="16"/>
      <c r="P65458" s="17"/>
      <c r="Q65458" s="14"/>
      <c r="R65458" s="15"/>
      <c r="S65458" s="16"/>
      <c r="T65458" s="17"/>
      <c r="U65458" s="14"/>
      <c r="X65458" s="18"/>
      <c r="IN65458" s="11"/>
    </row>
    <row r="65459" s="3" customFormat="1" spans="1:248">
      <c r="A65459" s="11"/>
      <c r="B65459" s="4"/>
      <c r="D65459" s="12"/>
      <c r="E65459" s="4"/>
      <c r="F65459" s="4"/>
      <c r="G65459" s="4"/>
      <c r="H65459" s="13"/>
      <c r="I65459" s="4"/>
      <c r="J65459" s="13"/>
      <c r="K65459" s="13"/>
      <c r="L65459" s="13"/>
      <c r="M65459" s="14"/>
      <c r="N65459" s="15"/>
      <c r="O65459" s="16"/>
      <c r="P65459" s="17"/>
      <c r="Q65459" s="14"/>
      <c r="R65459" s="15"/>
      <c r="S65459" s="16"/>
      <c r="T65459" s="17"/>
      <c r="U65459" s="14"/>
      <c r="X65459" s="18"/>
      <c r="IN65459" s="11"/>
    </row>
    <row r="65460" s="3" customFormat="1" spans="1:248">
      <c r="A65460" s="11"/>
      <c r="B65460" s="4"/>
      <c r="D65460" s="12"/>
      <c r="E65460" s="4"/>
      <c r="F65460" s="4"/>
      <c r="G65460" s="4"/>
      <c r="H65460" s="13"/>
      <c r="I65460" s="4"/>
      <c r="J65460" s="13"/>
      <c r="K65460" s="13"/>
      <c r="L65460" s="13"/>
      <c r="M65460" s="14"/>
      <c r="N65460" s="15"/>
      <c r="O65460" s="16"/>
      <c r="P65460" s="17"/>
      <c r="Q65460" s="14"/>
      <c r="R65460" s="15"/>
      <c r="S65460" s="16"/>
      <c r="T65460" s="17"/>
      <c r="U65460" s="14"/>
      <c r="X65460" s="18"/>
      <c r="IN65460" s="11"/>
    </row>
    <row r="65461" s="3" customFormat="1" spans="1:248">
      <c r="A65461" s="11"/>
      <c r="B65461" s="4"/>
      <c r="D65461" s="12"/>
      <c r="E65461" s="4"/>
      <c r="F65461" s="4"/>
      <c r="G65461" s="4"/>
      <c r="H65461" s="13"/>
      <c r="I65461" s="4"/>
      <c r="J65461" s="13"/>
      <c r="K65461" s="13"/>
      <c r="L65461" s="13"/>
      <c r="M65461" s="14"/>
      <c r="N65461" s="15"/>
      <c r="O65461" s="16"/>
      <c r="P65461" s="17"/>
      <c r="Q65461" s="14"/>
      <c r="R65461" s="15"/>
      <c r="S65461" s="16"/>
      <c r="T65461" s="17"/>
      <c r="U65461" s="14"/>
      <c r="X65461" s="18"/>
      <c r="IN65461" s="11"/>
    </row>
    <row r="65462" s="3" customFormat="1" spans="1:248">
      <c r="A65462" s="11"/>
      <c r="B65462" s="4"/>
      <c r="D65462" s="12"/>
      <c r="E65462" s="4"/>
      <c r="F65462" s="4"/>
      <c r="G65462" s="4"/>
      <c r="H65462" s="13"/>
      <c r="I65462" s="4"/>
      <c r="J65462" s="13"/>
      <c r="K65462" s="13"/>
      <c r="L65462" s="13"/>
      <c r="M65462" s="14"/>
      <c r="N65462" s="15"/>
      <c r="O65462" s="16"/>
      <c r="P65462" s="17"/>
      <c r="Q65462" s="14"/>
      <c r="R65462" s="15"/>
      <c r="S65462" s="16"/>
      <c r="T65462" s="17"/>
      <c r="U65462" s="14"/>
      <c r="X65462" s="18"/>
      <c r="IN65462" s="11"/>
    </row>
    <row r="65463" s="3" customFormat="1" spans="1:248">
      <c r="A65463" s="11"/>
      <c r="B65463" s="4"/>
      <c r="D65463" s="12"/>
      <c r="E65463" s="4"/>
      <c r="F65463" s="4"/>
      <c r="G65463" s="4"/>
      <c r="H65463" s="13"/>
      <c r="I65463" s="4"/>
      <c r="J65463" s="13"/>
      <c r="K65463" s="13"/>
      <c r="L65463" s="13"/>
      <c r="M65463" s="14"/>
      <c r="N65463" s="15"/>
      <c r="O65463" s="16"/>
      <c r="P65463" s="17"/>
      <c r="Q65463" s="14"/>
      <c r="R65463" s="15"/>
      <c r="S65463" s="16"/>
      <c r="T65463" s="17"/>
      <c r="U65463" s="14"/>
      <c r="X65463" s="18"/>
      <c r="IN65463" s="11"/>
    </row>
    <row r="65464" s="3" customFormat="1" spans="1:248">
      <c r="A65464" s="11"/>
      <c r="B65464" s="4"/>
      <c r="D65464" s="12"/>
      <c r="E65464" s="4"/>
      <c r="F65464" s="4"/>
      <c r="G65464" s="4"/>
      <c r="H65464" s="13"/>
      <c r="I65464" s="4"/>
      <c r="J65464" s="13"/>
      <c r="K65464" s="13"/>
      <c r="L65464" s="13"/>
      <c r="M65464" s="14"/>
      <c r="N65464" s="15"/>
      <c r="O65464" s="16"/>
      <c r="P65464" s="17"/>
      <c r="Q65464" s="14"/>
      <c r="R65464" s="15"/>
      <c r="S65464" s="16"/>
      <c r="T65464" s="17"/>
      <c r="U65464" s="14"/>
      <c r="X65464" s="18"/>
      <c r="IN65464" s="11"/>
    </row>
    <row r="65465" s="3" customFormat="1" spans="1:248">
      <c r="A65465" s="11"/>
      <c r="B65465" s="4"/>
      <c r="D65465" s="12"/>
      <c r="E65465" s="4"/>
      <c r="F65465" s="4"/>
      <c r="G65465" s="4"/>
      <c r="H65465" s="13"/>
      <c r="I65465" s="4"/>
      <c r="J65465" s="13"/>
      <c r="K65465" s="13"/>
      <c r="L65465" s="13"/>
      <c r="M65465" s="14"/>
      <c r="N65465" s="15"/>
      <c r="O65465" s="16"/>
      <c r="P65465" s="17"/>
      <c r="Q65465" s="14"/>
      <c r="R65465" s="15"/>
      <c r="S65465" s="16"/>
      <c r="T65465" s="17"/>
      <c r="U65465" s="14"/>
      <c r="X65465" s="18"/>
      <c r="IN65465" s="11"/>
    </row>
    <row r="65466" s="3" customFormat="1" spans="1:248">
      <c r="A65466" s="11"/>
      <c r="B65466" s="4"/>
      <c r="D65466" s="12"/>
      <c r="E65466" s="4"/>
      <c r="F65466" s="4"/>
      <c r="G65466" s="4"/>
      <c r="H65466" s="13"/>
      <c r="I65466" s="4"/>
      <c r="J65466" s="13"/>
      <c r="K65466" s="13"/>
      <c r="L65466" s="13"/>
      <c r="M65466" s="14"/>
      <c r="N65466" s="15"/>
      <c r="O65466" s="16"/>
      <c r="P65466" s="17"/>
      <c r="Q65466" s="14"/>
      <c r="R65466" s="15"/>
      <c r="S65466" s="16"/>
      <c r="T65466" s="17"/>
      <c r="U65466" s="14"/>
      <c r="X65466" s="18"/>
      <c r="IN65466" s="11"/>
    </row>
    <row r="65467" s="3" customFormat="1" spans="1:248">
      <c r="A65467" s="11"/>
      <c r="B65467" s="4"/>
      <c r="D65467" s="12"/>
      <c r="E65467" s="4"/>
      <c r="F65467" s="4"/>
      <c r="G65467" s="4"/>
      <c r="H65467" s="13"/>
      <c r="I65467" s="4"/>
      <c r="J65467" s="13"/>
      <c r="K65467" s="13"/>
      <c r="L65467" s="13"/>
      <c r="M65467" s="14"/>
      <c r="N65467" s="15"/>
      <c r="O65467" s="16"/>
      <c r="P65467" s="17"/>
      <c r="Q65467" s="14"/>
      <c r="R65467" s="15"/>
      <c r="S65467" s="16"/>
      <c r="T65467" s="17"/>
      <c r="U65467" s="14"/>
      <c r="X65467" s="18"/>
      <c r="IN65467" s="11"/>
    </row>
    <row r="65468" s="3" customFormat="1" spans="1:248">
      <c r="A65468" s="11"/>
      <c r="B65468" s="4"/>
      <c r="D65468" s="12"/>
      <c r="E65468" s="4"/>
      <c r="F65468" s="4"/>
      <c r="G65468" s="4"/>
      <c r="H65468" s="13"/>
      <c r="I65468" s="4"/>
      <c r="J65468" s="13"/>
      <c r="K65468" s="13"/>
      <c r="L65468" s="13"/>
      <c r="M65468" s="14"/>
      <c r="N65468" s="15"/>
      <c r="O65468" s="16"/>
      <c r="P65468" s="17"/>
      <c r="Q65468" s="14"/>
      <c r="R65468" s="15"/>
      <c r="S65468" s="16"/>
      <c r="T65468" s="17"/>
      <c r="U65468" s="14"/>
      <c r="X65468" s="18"/>
      <c r="IN65468" s="11"/>
    </row>
    <row r="65469" s="3" customFormat="1" spans="1:248">
      <c r="A65469" s="11"/>
      <c r="B65469" s="4"/>
      <c r="D65469" s="12"/>
      <c r="E65469" s="4"/>
      <c r="F65469" s="4"/>
      <c r="G65469" s="4"/>
      <c r="H65469" s="13"/>
      <c r="I65469" s="4"/>
      <c r="J65469" s="13"/>
      <c r="K65469" s="13"/>
      <c r="L65469" s="13"/>
      <c r="M65469" s="14"/>
      <c r="N65469" s="15"/>
      <c r="O65469" s="16"/>
      <c r="P65469" s="17"/>
      <c r="Q65469" s="14"/>
      <c r="R65469" s="15"/>
      <c r="S65469" s="16"/>
      <c r="T65469" s="17"/>
      <c r="U65469" s="14"/>
      <c r="X65469" s="18"/>
      <c r="IN65469" s="11"/>
    </row>
    <row r="65470" s="3" customFormat="1" spans="1:248">
      <c r="A65470" s="11"/>
      <c r="B65470" s="4"/>
      <c r="D65470" s="12"/>
      <c r="E65470" s="4"/>
      <c r="F65470" s="4"/>
      <c r="G65470" s="4"/>
      <c r="H65470" s="13"/>
      <c r="I65470" s="4"/>
      <c r="J65470" s="13"/>
      <c r="K65470" s="13"/>
      <c r="L65470" s="13"/>
      <c r="M65470" s="14"/>
      <c r="N65470" s="15"/>
      <c r="O65470" s="16"/>
      <c r="P65470" s="17"/>
      <c r="Q65470" s="14"/>
      <c r="R65470" s="15"/>
      <c r="S65470" s="16"/>
      <c r="T65470" s="17"/>
      <c r="U65470" s="14"/>
      <c r="X65470" s="18"/>
      <c r="IN65470" s="11"/>
    </row>
    <row r="65471" s="3" customFormat="1" spans="1:248">
      <c r="A65471" s="11"/>
      <c r="B65471" s="4"/>
      <c r="D65471" s="12"/>
      <c r="E65471" s="4"/>
      <c r="F65471" s="4"/>
      <c r="G65471" s="4"/>
      <c r="H65471" s="13"/>
      <c r="I65471" s="4"/>
      <c r="J65471" s="13"/>
      <c r="K65471" s="13"/>
      <c r="L65471" s="13"/>
      <c r="M65471" s="14"/>
      <c r="N65471" s="15"/>
      <c r="O65471" s="16"/>
      <c r="P65471" s="17"/>
      <c r="Q65471" s="14"/>
      <c r="R65471" s="15"/>
      <c r="S65471" s="16"/>
      <c r="T65471" s="17"/>
      <c r="U65471" s="14"/>
      <c r="X65471" s="18"/>
      <c r="IN65471" s="11"/>
    </row>
    <row r="65472" s="3" customFormat="1" spans="1:248">
      <c r="A65472" s="11"/>
      <c r="B65472" s="4"/>
      <c r="D65472" s="12"/>
      <c r="E65472" s="4"/>
      <c r="F65472" s="4"/>
      <c r="G65472" s="4"/>
      <c r="H65472" s="13"/>
      <c r="I65472" s="4"/>
      <c r="J65472" s="13"/>
      <c r="K65472" s="13"/>
      <c r="L65472" s="13"/>
      <c r="M65472" s="14"/>
      <c r="N65472" s="15"/>
      <c r="O65472" s="16"/>
      <c r="P65472" s="17"/>
      <c r="Q65472" s="14"/>
      <c r="R65472" s="15"/>
      <c r="S65472" s="16"/>
      <c r="T65472" s="17"/>
      <c r="U65472" s="14"/>
      <c r="X65472" s="18"/>
      <c r="IN65472" s="11"/>
    </row>
    <row r="65473" s="3" customFormat="1" spans="1:248">
      <c r="A65473" s="11"/>
      <c r="B65473" s="4"/>
      <c r="D65473" s="12"/>
      <c r="E65473" s="4"/>
      <c r="F65473" s="4"/>
      <c r="G65473" s="4"/>
      <c r="H65473" s="13"/>
      <c r="I65473" s="4"/>
      <c r="J65473" s="13"/>
      <c r="K65473" s="13"/>
      <c r="L65473" s="13"/>
      <c r="M65473" s="14"/>
      <c r="N65473" s="15"/>
      <c r="O65473" s="16"/>
      <c r="P65473" s="17"/>
      <c r="Q65473" s="14"/>
      <c r="R65473" s="15"/>
      <c r="S65473" s="16"/>
      <c r="T65473" s="17"/>
      <c r="U65473" s="14"/>
      <c r="X65473" s="18"/>
      <c r="IN65473" s="11"/>
    </row>
    <row r="65474" s="3" customFormat="1" spans="1:248">
      <c r="A65474" s="11"/>
      <c r="B65474" s="4"/>
      <c r="D65474" s="12"/>
      <c r="E65474" s="4"/>
      <c r="F65474" s="4"/>
      <c r="G65474" s="4"/>
      <c r="H65474" s="13"/>
      <c r="I65474" s="4"/>
      <c r="J65474" s="13"/>
      <c r="K65474" s="13"/>
      <c r="L65474" s="13"/>
      <c r="M65474" s="14"/>
      <c r="N65474" s="15"/>
      <c r="O65474" s="16"/>
      <c r="P65474" s="17"/>
      <c r="Q65474" s="14"/>
      <c r="R65474" s="15"/>
      <c r="S65474" s="16"/>
      <c r="T65474" s="17"/>
      <c r="U65474" s="14"/>
      <c r="X65474" s="18"/>
      <c r="IN65474" s="11"/>
    </row>
    <row r="65475" s="3" customFormat="1" spans="1:248">
      <c r="A65475" s="11"/>
      <c r="B65475" s="4"/>
      <c r="D65475" s="12"/>
      <c r="E65475" s="4"/>
      <c r="F65475" s="4"/>
      <c r="G65475" s="4"/>
      <c r="H65475" s="13"/>
      <c r="I65475" s="4"/>
      <c r="J65475" s="13"/>
      <c r="K65475" s="13"/>
      <c r="L65475" s="13"/>
      <c r="M65475" s="14"/>
      <c r="N65475" s="15"/>
      <c r="O65475" s="16"/>
      <c r="P65475" s="17"/>
      <c r="Q65475" s="14"/>
      <c r="R65475" s="15"/>
      <c r="S65475" s="16"/>
      <c r="T65475" s="17"/>
      <c r="U65475" s="14"/>
      <c r="X65475" s="18"/>
      <c r="IN65475" s="11"/>
    </row>
    <row r="65476" s="3" customFormat="1" spans="1:248">
      <c r="A65476" s="11"/>
      <c r="B65476" s="4"/>
      <c r="D65476" s="12"/>
      <c r="E65476" s="4"/>
      <c r="F65476" s="4"/>
      <c r="G65476" s="4"/>
      <c r="H65476" s="13"/>
      <c r="I65476" s="4"/>
      <c r="J65476" s="13"/>
      <c r="K65476" s="13"/>
      <c r="L65476" s="13"/>
      <c r="M65476" s="14"/>
      <c r="N65476" s="15"/>
      <c r="O65476" s="16"/>
      <c r="P65476" s="17"/>
      <c r="Q65476" s="14"/>
      <c r="R65476" s="15"/>
      <c r="S65476" s="16"/>
      <c r="T65476" s="17"/>
      <c r="U65476" s="14"/>
      <c r="X65476" s="18"/>
      <c r="IN65476" s="11"/>
    </row>
    <row r="65477" s="3" customFormat="1" spans="1:248">
      <c r="A65477" s="11"/>
      <c r="B65477" s="4"/>
      <c r="D65477" s="12"/>
      <c r="E65477" s="4"/>
      <c r="F65477" s="4"/>
      <c r="G65477" s="4"/>
      <c r="H65477" s="13"/>
      <c r="I65477" s="4"/>
      <c r="J65477" s="13"/>
      <c r="K65477" s="13"/>
      <c r="L65477" s="13"/>
      <c r="M65477" s="14"/>
      <c r="N65477" s="15"/>
      <c r="O65477" s="16"/>
      <c r="P65477" s="17"/>
      <c r="Q65477" s="14"/>
      <c r="R65477" s="15"/>
      <c r="S65477" s="16"/>
      <c r="T65477" s="17"/>
      <c r="U65477" s="14"/>
      <c r="X65477" s="18"/>
      <c r="IN65477" s="11"/>
    </row>
    <row r="65478" s="3" customFormat="1" spans="1:248">
      <c r="A65478" s="11"/>
      <c r="B65478" s="4"/>
      <c r="D65478" s="12"/>
      <c r="E65478" s="4"/>
      <c r="F65478" s="4"/>
      <c r="G65478" s="4"/>
      <c r="H65478" s="13"/>
      <c r="I65478" s="4"/>
      <c r="J65478" s="13"/>
      <c r="K65478" s="13"/>
      <c r="L65478" s="13"/>
      <c r="M65478" s="14"/>
      <c r="N65478" s="15"/>
      <c r="O65478" s="16"/>
      <c r="P65478" s="17"/>
      <c r="Q65478" s="14"/>
      <c r="R65478" s="15"/>
      <c r="S65478" s="16"/>
      <c r="T65478" s="17"/>
      <c r="U65478" s="14"/>
      <c r="X65478" s="18"/>
      <c r="IN65478" s="11"/>
    </row>
    <row r="65479" s="3" customFormat="1" spans="1:248">
      <c r="A65479" s="11"/>
      <c r="B65479" s="4"/>
      <c r="D65479" s="12"/>
      <c r="E65479" s="4"/>
      <c r="F65479" s="4"/>
      <c r="G65479" s="4"/>
      <c r="H65479" s="13"/>
      <c r="I65479" s="4"/>
      <c r="J65479" s="13"/>
      <c r="K65479" s="13"/>
      <c r="L65479" s="13"/>
      <c r="M65479" s="14"/>
      <c r="N65479" s="15"/>
      <c r="O65479" s="16"/>
      <c r="P65479" s="17"/>
      <c r="Q65479" s="14"/>
      <c r="R65479" s="15"/>
      <c r="S65479" s="16"/>
      <c r="T65479" s="17"/>
      <c r="U65479" s="14"/>
      <c r="X65479" s="18"/>
      <c r="IN65479" s="11"/>
    </row>
    <row r="65480" s="3" customFormat="1" spans="1:248">
      <c r="A65480" s="11"/>
      <c r="B65480" s="4"/>
      <c r="D65480" s="12"/>
      <c r="E65480" s="4"/>
      <c r="F65480" s="4"/>
      <c r="G65480" s="4"/>
      <c r="H65480" s="13"/>
      <c r="I65480" s="4"/>
      <c r="J65480" s="13"/>
      <c r="K65480" s="13"/>
      <c r="L65480" s="13"/>
      <c r="M65480" s="14"/>
      <c r="N65480" s="15"/>
      <c r="O65480" s="16"/>
      <c r="P65480" s="17"/>
      <c r="Q65480" s="14"/>
      <c r="R65480" s="15"/>
      <c r="S65480" s="16"/>
      <c r="T65480" s="17"/>
      <c r="U65480" s="14"/>
      <c r="X65480" s="18"/>
      <c r="IN65480" s="11"/>
    </row>
    <row r="65481" s="3" customFormat="1" spans="1:248">
      <c r="A65481" s="11"/>
      <c r="B65481" s="4"/>
      <c r="D65481" s="12"/>
      <c r="E65481" s="4"/>
      <c r="F65481" s="4"/>
      <c r="G65481" s="4"/>
      <c r="H65481" s="13"/>
      <c r="I65481" s="4"/>
      <c r="J65481" s="13"/>
      <c r="K65481" s="13"/>
      <c r="L65481" s="13"/>
      <c r="M65481" s="14"/>
      <c r="N65481" s="15"/>
      <c r="O65481" s="16"/>
      <c r="P65481" s="17"/>
      <c r="Q65481" s="14"/>
      <c r="R65481" s="15"/>
      <c r="S65481" s="16"/>
      <c r="T65481" s="17"/>
      <c r="U65481" s="14"/>
      <c r="X65481" s="18"/>
      <c r="IN65481" s="11"/>
    </row>
    <row r="65482" s="3" customFormat="1" spans="1:248">
      <c r="A65482" s="11"/>
      <c r="B65482" s="4"/>
      <c r="D65482" s="12"/>
      <c r="E65482" s="4"/>
      <c r="F65482" s="4"/>
      <c r="G65482" s="4"/>
      <c r="H65482" s="13"/>
      <c r="I65482" s="4"/>
      <c r="J65482" s="13"/>
      <c r="K65482" s="13"/>
      <c r="L65482" s="13"/>
      <c r="M65482" s="14"/>
      <c r="N65482" s="15"/>
      <c r="O65482" s="16"/>
      <c r="P65482" s="17"/>
      <c r="Q65482" s="14"/>
      <c r="R65482" s="15"/>
      <c r="S65482" s="16"/>
      <c r="T65482" s="17"/>
      <c r="U65482" s="14"/>
      <c r="X65482" s="18"/>
      <c r="IN65482" s="11"/>
    </row>
    <row r="65483" s="3" customFormat="1" spans="1:248">
      <c r="A65483" s="11"/>
      <c r="B65483" s="4"/>
      <c r="D65483" s="12"/>
      <c r="E65483" s="4"/>
      <c r="F65483" s="4"/>
      <c r="G65483" s="4"/>
      <c r="H65483" s="13"/>
      <c r="I65483" s="4"/>
      <c r="J65483" s="13"/>
      <c r="K65483" s="13"/>
      <c r="L65483" s="13"/>
      <c r="M65483" s="14"/>
      <c r="N65483" s="15"/>
      <c r="O65483" s="16"/>
      <c r="P65483" s="17"/>
      <c r="Q65483" s="14"/>
      <c r="R65483" s="15"/>
      <c r="S65483" s="16"/>
      <c r="T65483" s="17"/>
      <c r="U65483" s="14"/>
      <c r="X65483" s="18"/>
      <c r="IN65483" s="11"/>
    </row>
    <row r="65484" s="3" customFormat="1" spans="1:248">
      <c r="A65484" s="11"/>
      <c r="B65484" s="4"/>
      <c r="D65484" s="12"/>
      <c r="E65484" s="4"/>
      <c r="F65484" s="4"/>
      <c r="G65484" s="4"/>
      <c r="H65484" s="13"/>
      <c r="I65484" s="4"/>
      <c r="J65484" s="13"/>
      <c r="K65484" s="13"/>
      <c r="L65484" s="13"/>
      <c r="M65484" s="14"/>
      <c r="N65484" s="15"/>
      <c r="O65484" s="16"/>
      <c r="P65484" s="17"/>
      <c r="Q65484" s="14"/>
      <c r="R65484" s="15"/>
      <c r="S65484" s="16"/>
      <c r="T65484" s="17"/>
      <c r="U65484" s="14"/>
      <c r="X65484" s="18"/>
      <c r="IN65484" s="11"/>
    </row>
    <row r="65485" s="3" customFormat="1" spans="1:248">
      <c r="A65485" s="11"/>
      <c r="B65485" s="4"/>
      <c r="D65485" s="12"/>
      <c r="E65485" s="4"/>
      <c r="F65485" s="4"/>
      <c r="G65485" s="4"/>
      <c r="H65485" s="13"/>
      <c r="I65485" s="4"/>
      <c r="J65485" s="13"/>
      <c r="K65485" s="13"/>
      <c r="L65485" s="13"/>
      <c r="M65485" s="14"/>
      <c r="N65485" s="15"/>
      <c r="O65485" s="16"/>
      <c r="P65485" s="17"/>
      <c r="Q65485" s="14"/>
      <c r="R65485" s="15"/>
      <c r="S65485" s="16"/>
      <c r="T65485" s="17"/>
      <c r="U65485" s="14"/>
      <c r="X65485" s="18"/>
      <c r="IN65485" s="11"/>
    </row>
    <row r="65486" s="3" customFormat="1" spans="1:248">
      <c r="A65486" s="11"/>
      <c r="B65486" s="4"/>
      <c r="D65486" s="12"/>
      <c r="E65486" s="4"/>
      <c r="F65486" s="4"/>
      <c r="G65486" s="4"/>
      <c r="H65486" s="13"/>
      <c r="I65486" s="4"/>
      <c r="J65486" s="13"/>
      <c r="K65486" s="13"/>
      <c r="L65486" s="13"/>
      <c r="M65486" s="14"/>
      <c r="N65486" s="15"/>
      <c r="O65486" s="16"/>
      <c r="P65486" s="17"/>
      <c r="Q65486" s="14"/>
      <c r="R65486" s="15"/>
      <c r="S65486" s="16"/>
      <c r="T65486" s="17"/>
      <c r="U65486" s="14"/>
      <c r="X65486" s="18"/>
      <c r="IN65486" s="11"/>
    </row>
    <row r="65487" s="3" customFormat="1" spans="1:248">
      <c r="A65487" s="11"/>
      <c r="B65487" s="4"/>
      <c r="D65487" s="12"/>
      <c r="E65487" s="4"/>
      <c r="F65487" s="4"/>
      <c r="G65487" s="4"/>
      <c r="H65487" s="13"/>
      <c r="I65487" s="4"/>
      <c r="J65487" s="13"/>
      <c r="K65487" s="13"/>
      <c r="L65487" s="13"/>
      <c r="M65487" s="14"/>
      <c r="N65487" s="15"/>
      <c r="O65487" s="16"/>
      <c r="P65487" s="17"/>
      <c r="Q65487" s="14"/>
      <c r="R65487" s="15"/>
      <c r="S65487" s="16"/>
      <c r="T65487" s="17"/>
      <c r="U65487" s="14"/>
      <c r="X65487" s="18"/>
      <c r="IN65487" s="11"/>
    </row>
    <row r="65488" s="3" customFormat="1" spans="1:248">
      <c r="A65488" s="11"/>
      <c r="B65488" s="4"/>
      <c r="D65488" s="12"/>
      <c r="E65488" s="4"/>
      <c r="F65488" s="4"/>
      <c r="G65488" s="4"/>
      <c r="H65488" s="13"/>
      <c r="I65488" s="4"/>
      <c r="J65488" s="13"/>
      <c r="K65488" s="13"/>
      <c r="L65488" s="13"/>
      <c r="M65488" s="14"/>
      <c r="N65488" s="15"/>
      <c r="O65488" s="16"/>
      <c r="P65488" s="17"/>
      <c r="Q65488" s="14"/>
      <c r="R65488" s="15"/>
      <c r="S65488" s="16"/>
      <c r="T65488" s="17"/>
      <c r="U65488" s="14"/>
      <c r="X65488" s="18"/>
      <c r="IN65488" s="11"/>
    </row>
    <row r="65489" s="3" customFormat="1" spans="1:248">
      <c r="A65489" s="11"/>
      <c r="B65489" s="4"/>
      <c r="D65489" s="12"/>
      <c r="E65489" s="4"/>
      <c r="F65489" s="4"/>
      <c r="G65489" s="4"/>
      <c r="H65489" s="13"/>
      <c r="I65489" s="4"/>
      <c r="J65489" s="13"/>
      <c r="K65489" s="13"/>
      <c r="L65489" s="13"/>
      <c r="M65489" s="14"/>
      <c r="N65489" s="15"/>
      <c r="O65489" s="16"/>
      <c r="P65489" s="17"/>
      <c r="Q65489" s="14"/>
      <c r="R65489" s="15"/>
      <c r="S65489" s="16"/>
      <c r="T65489" s="17"/>
      <c r="U65489" s="14"/>
      <c r="X65489" s="18"/>
      <c r="IN65489" s="11"/>
    </row>
    <row r="65490" s="3" customFormat="1" spans="1:248">
      <c r="A65490" s="11"/>
      <c r="B65490" s="4"/>
      <c r="D65490" s="12"/>
      <c r="E65490" s="4"/>
      <c r="F65490" s="4"/>
      <c r="G65490" s="4"/>
      <c r="H65490" s="13"/>
      <c r="I65490" s="4"/>
      <c r="J65490" s="13"/>
      <c r="K65490" s="13"/>
      <c r="L65490" s="13"/>
      <c r="M65490" s="14"/>
      <c r="N65490" s="15"/>
      <c r="O65490" s="16"/>
      <c r="P65490" s="17"/>
      <c r="Q65490" s="14"/>
      <c r="R65490" s="15"/>
      <c r="S65490" s="16"/>
      <c r="T65490" s="17"/>
      <c r="U65490" s="14"/>
      <c r="X65490" s="18"/>
      <c r="IN65490" s="11"/>
    </row>
    <row r="65491" s="3" customFormat="1" spans="1:248">
      <c r="A65491" s="11"/>
      <c r="B65491" s="4"/>
      <c r="D65491" s="12"/>
      <c r="E65491" s="4"/>
      <c r="F65491" s="4"/>
      <c r="G65491" s="4"/>
      <c r="H65491" s="13"/>
      <c r="I65491" s="4"/>
      <c r="J65491" s="13"/>
      <c r="K65491" s="13"/>
      <c r="L65491" s="13"/>
      <c r="M65491" s="14"/>
      <c r="N65491" s="15"/>
      <c r="O65491" s="16"/>
      <c r="P65491" s="17"/>
      <c r="Q65491" s="14"/>
      <c r="R65491" s="15"/>
      <c r="S65491" s="16"/>
      <c r="T65491" s="17"/>
      <c r="U65491" s="14"/>
      <c r="X65491" s="18"/>
      <c r="IN65491" s="11"/>
    </row>
    <row r="65492" s="3" customFormat="1" spans="1:248">
      <c r="A65492" s="11"/>
      <c r="B65492" s="4"/>
      <c r="D65492" s="12"/>
      <c r="E65492" s="4"/>
      <c r="F65492" s="4"/>
      <c r="G65492" s="4"/>
      <c r="H65492" s="13"/>
      <c r="I65492" s="4"/>
      <c r="J65492" s="13"/>
      <c r="K65492" s="13"/>
      <c r="L65492" s="13"/>
      <c r="M65492" s="14"/>
      <c r="N65492" s="15"/>
      <c r="O65492" s="16"/>
      <c r="P65492" s="17"/>
      <c r="Q65492" s="14"/>
      <c r="R65492" s="15"/>
      <c r="S65492" s="16"/>
      <c r="T65492" s="17"/>
      <c r="U65492" s="14"/>
      <c r="X65492" s="18"/>
      <c r="IN65492" s="11"/>
    </row>
    <row r="65493" s="3" customFormat="1" spans="1:248">
      <c r="A65493" s="11"/>
      <c r="B65493" s="4"/>
      <c r="D65493" s="12"/>
      <c r="E65493" s="4"/>
      <c r="F65493" s="4"/>
      <c r="G65493" s="4"/>
      <c r="H65493" s="13"/>
      <c r="I65493" s="4"/>
      <c r="J65493" s="13"/>
      <c r="K65493" s="13"/>
      <c r="L65493" s="13"/>
      <c r="M65493" s="14"/>
      <c r="N65493" s="15"/>
      <c r="O65493" s="16"/>
      <c r="P65493" s="17"/>
      <c r="Q65493" s="14"/>
      <c r="R65493" s="15"/>
      <c r="S65493" s="16"/>
      <c r="T65493" s="17"/>
      <c r="U65493" s="14"/>
      <c r="X65493" s="18"/>
      <c r="IN65493" s="11"/>
    </row>
    <row r="65494" s="4" customFormat="1" ht="25" customHeight="1" spans="1:248">
      <c r="A65494" s="19"/>
      <c r="B65494" s="20"/>
      <c r="C65494" s="20"/>
      <c r="D65494" s="21"/>
      <c r="E65494" s="20"/>
      <c r="F65494" s="20"/>
      <c r="G65494" s="20"/>
      <c r="H65494" s="24"/>
      <c r="I65494" s="20"/>
      <c r="J65494" s="24"/>
      <c r="K65494" s="24"/>
      <c r="L65494" s="24"/>
      <c r="M65494" s="83"/>
      <c r="N65494" s="84"/>
      <c r="O65494" s="85"/>
      <c r="P65494" s="86"/>
      <c r="Q65494" s="83"/>
      <c r="R65494" s="84"/>
      <c r="S65494" s="85"/>
      <c r="T65494" s="86"/>
      <c r="U65494" s="83"/>
      <c r="V65494" s="29"/>
      <c r="W65494" s="20"/>
      <c r="X65494" s="20"/>
      <c r="Y65494" s="20"/>
      <c r="IN65494" s="19"/>
    </row>
    <row r="65495" s="4" customFormat="1" ht="25" customHeight="1" spans="1:248">
      <c r="A65495" s="30"/>
      <c r="B65495" s="31"/>
      <c r="C65495" s="32"/>
      <c r="D65495" s="33"/>
      <c r="E65495" s="31"/>
      <c r="F65495" s="31"/>
      <c r="G65495" s="34"/>
      <c r="H65495" s="35"/>
      <c r="I65495" s="34"/>
      <c r="J65495" s="35"/>
      <c r="K65495" s="35"/>
      <c r="L65495" s="35"/>
      <c r="M65495" s="36"/>
      <c r="N65495" s="37"/>
      <c r="O65495" s="38"/>
      <c r="P65495" s="39"/>
      <c r="Q65495" s="36"/>
      <c r="R65495" s="37"/>
      <c r="S65495" s="38"/>
      <c r="T65495" s="39"/>
      <c r="U65495" s="36"/>
      <c r="V65495" s="44"/>
      <c r="W65495" s="41"/>
      <c r="X65495" s="42"/>
      <c r="Y65495" s="43"/>
      <c r="IN65495" s="30"/>
    </row>
    <row r="65496" s="4" customFormat="1" ht="25" customHeight="1" spans="1:248">
      <c r="A65496" s="30"/>
      <c r="B65496" s="31"/>
      <c r="C65496" s="32"/>
      <c r="D65496" s="33"/>
      <c r="E65496" s="31"/>
      <c r="F65496" s="31"/>
      <c r="G65496" s="34"/>
      <c r="H65496" s="35"/>
      <c r="I65496" s="34"/>
      <c r="J65496" s="35"/>
      <c r="K65496" s="35"/>
      <c r="L65496" s="35"/>
      <c r="M65496" s="36"/>
      <c r="N65496" s="37"/>
      <c r="O65496" s="38"/>
      <c r="P65496" s="39"/>
      <c r="Q65496" s="36"/>
      <c r="R65496" s="37"/>
      <c r="S65496" s="38"/>
      <c r="T65496" s="39"/>
      <c r="U65496" s="36"/>
      <c r="V65496" s="44"/>
      <c r="W65496" s="41"/>
      <c r="X65496" s="42"/>
      <c r="Y65496" s="43"/>
      <c r="IN65496" s="30"/>
    </row>
    <row r="65497" s="4" customFormat="1" ht="25" customHeight="1" spans="1:248">
      <c r="A65497" s="30"/>
      <c r="B65497" s="31"/>
      <c r="C65497" s="32"/>
      <c r="D65497" s="33"/>
      <c r="E65497" s="31"/>
      <c r="F65497" s="31"/>
      <c r="G65497" s="34"/>
      <c r="H65497" s="35"/>
      <c r="I65497" s="34"/>
      <c r="J65497" s="35"/>
      <c r="K65497" s="35"/>
      <c r="L65497" s="35"/>
      <c r="M65497" s="36"/>
      <c r="N65497" s="37"/>
      <c r="O65497" s="38"/>
      <c r="P65497" s="39"/>
      <c r="Q65497" s="36"/>
      <c r="R65497" s="37"/>
      <c r="S65497" s="38"/>
      <c r="T65497" s="39"/>
      <c r="U65497" s="36"/>
      <c r="V65497" s="44"/>
      <c r="W65497" s="41"/>
      <c r="X65497" s="42"/>
      <c r="Y65497" s="43"/>
      <c r="IN65497" s="30"/>
    </row>
    <row r="65498" s="4" customFormat="1" ht="25" customHeight="1" spans="1:248">
      <c r="A65498" s="30"/>
      <c r="B65498" s="31"/>
      <c r="C65498" s="32"/>
      <c r="D65498" s="33"/>
      <c r="E65498" s="31"/>
      <c r="F65498" s="31"/>
      <c r="G65498" s="34"/>
      <c r="H65498" s="35"/>
      <c r="I65498" s="34"/>
      <c r="J65498" s="35"/>
      <c r="K65498" s="35"/>
      <c r="L65498" s="35"/>
      <c r="M65498" s="36"/>
      <c r="N65498" s="37"/>
      <c r="O65498" s="38"/>
      <c r="P65498" s="39"/>
      <c r="Q65498" s="36"/>
      <c r="R65498" s="37"/>
      <c r="S65498" s="38"/>
      <c r="T65498" s="39"/>
      <c r="U65498" s="36"/>
      <c r="V65498" s="44"/>
      <c r="W65498" s="41"/>
      <c r="X65498" s="42"/>
      <c r="Y65498" s="43"/>
      <c r="IN65498" s="30"/>
    </row>
    <row r="65499" s="4" customFormat="1" ht="25" customHeight="1" spans="1:248">
      <c r="A65499" s="30"/>
      <c r="B65499" s="31"/>
      <c r="C65499" s="32"/>
      <c r="D65499" s="33"/>
      <c r="E65499" s="31"/>
      <c r="F65499" s="31"/>
      <c r="G65499" s="34"/>
      <c r="H65499" s="35"/>
      <c r="I65499" s="34"/>
      <c r="J65499" s="35"/>
      <c r="K65499" s="35"/>
      <c r="L65499" s="35"/>
      <c r="M65499" s="36"/>
      <c r="N65499" s="37"/>
      <c r="O65499" s="38"/>
      <c r="P65499" s="39"/>
      <c r="Q65499" s="36"/>
      <c r="R65499" s="37"/>
      <c r="S65499" s="38"/>
      <c r="T65499" s="39"/>
      <c r="U65499" s="36"/>
      <c r="V65499" s="44"/>
      <c r="W65499" s="41"/>
      <c r="X65499" s="42"/>
      <c r="Y65499" s="43"/>
      <c r="IN65499" s="30"/>
    </row>
    <row r="65500" s="4" customFormat="1" ht="25" customHeight="1" spans="1:248">
      <c r="A65500" s="30"/>
      <c r="B65500" s="31"/>
      <c r="C65500" s="32"/>
      <c r="D65500" s="33"/>
      <c r="E65500" s="31"/>
      <c r="F65500" s="31"/>
      <c r="G65500" s="34"/>
      <c r="H65500" s="35"/>
      <c r="I65500" s="34"/>
      <c r="J65500" s="35"/>
      <c r="K65500" s="35"/>
      <c r="L65500" s="35"/>
      <c r="M65500" s="36"/>
      <c r="N65500" s="37"/>
      <c r="O65500" s="38"/>
      <c r="P65500" s="39"/>
      <c r="Q65500" s="36"/>
      <c r="R65500" s="37"/>
      <c r="S65500" s="38"/>
      <c r="T65500" s="39"/>
      <c r="U65500" s="36"/>
      <c r="V65500" s="44"/>
      <c r="W65500" s="41"/>
      <c r="X65500" s="42"/>
      <c r="Y65500" s="43"/>
      <c r="IN65500" s="30"/>
    </row>
    <row r="65501" s="4" customFormat="1" ht="25" customHeight="1" spans="1:248">
      <c r="A65501" s="30"/>
      <c r="B65501" s="31"/>
      <c r="C65501" s="32"/>
      <c r="D65501" s="33"/>
      <c r="E65501" s="31"/>
      <c r="F65501" s="31"/>
      <c r="G65501" s="34"/>
      <c r="H65501" s="35"/>
      <c r="I65501" s="34"/>
      <c r="J65501" s="35"/>
      <c r="K65501" s="35"/>
      <c r="L65501" s="35"/>
      <c r="M65501" s="36"/>
      <c r="N65501" s="37"/>
      <c r="O65501" s="38"/>
      <c r="P65501" s="39"/>
      <c r="Q65501" s="36"/>
      <c r="R65501" s="37"/>
      <c r="S65501" s="38"/>
      <c r="T65501" s="39"/>
      <c r="U65501" s="36"/>
      <c r="V65501" s="44"/>
      <c r="W65501" s="41"/>
      <c r="X65501" s="42"/>
      <c r="Y65501" s="43"/>
      <c r="IN65501" s="30"/>
    </row>
    <row r="65502" s="4" customFormat="1" ht="25" customHeight="1" spans="1:248">
      <c r="A65502" s="30"/>
      <c r="B65502" s="31"/>
      <c r="C65502" s="32"/>
      <c r="D65502" s="33"/>
      <c r="E65502" s="31"/>
      <c r="F65502" s="31"/>
      <c r="G65502" s="34"/>
      <c r="H65502" s="35"/>
      <c r="I65502" s="34"/>
      <c r="J65502" s="35"/>
      <c r="K65502" s="35"/>
      <c r="L65502" s="35"/>
      <c r="M65502" s="36"/>
      <c r="N65502" s="37"/>
      <c r="O65502" s="38"/>
      <c r="P65502" s="39"/>
      <c r="Q65502" s="36"/>
      <c r="R65502" s="37"/>
      <c r="S65502" s="38"/>
      <c r="T65502" s="39"/>
      <c r="U65502" s="36"/>
      <c r="V65502" s="44"/>
      <c r="W65502" s="41"/>
      <c r="X65502" s="42"/>
      <c r="Y65502" s="43"/>
      <c r="IN65502" s="30"/>
    </row>
    <row r="65503" s="4" customFormat="1" ht="25" customHeight="1" spans="1:248">
      <c r="A65503" s="30"/>
      <c r="B65503" s="31"/>
      <c r="C65503" s="32"/>
      <c r="D65503" s="33"/>
      <c r="E65503" s="31"/>
      <c r="F65503" s="31"/>
      <c r="G65503" s="34"/>
      <c r="H65503" s="35"/>
      <c r="I65503" s="34"/>
      <c r="J65503" s="35"/>
      <c r="K65503" s="35"/>
      <c r="L65503" s="35"/>
      <c r="M65503" s="36"/>
      <c r="N65503" s="37"/>
      <c r="O65503" s="38"/>
      <c r="P65503" s="39"/>
      <c r="Q65503" s="36"/>
      <c r="R65503" s="37"/>
      <c r="S65503" s="38"/>
      <c r="T65503" s="39"/>
      <c r="U65503" s="36"/>
      <c r="V65503" s="44"/>
      <c r="W65503" s="41"/>
      <c r="X65503" s="42"/>
      <c r="Y65503" s="43"/>
      <c r="IN65503" s="30"/>
    </row>
    <row r="65504" s="4" customFormat="1" ht="25" customHeight="1" spans="1:248">
      <c r="A65504" s="30"/>
      <c r="B65504" s="31"/>
      <c r="C65504" s="32"/>
      <c r="D65504" s="33"/>
      <c r="E65504" s="31"/>
      <c r="F65504" s="31"/>
      <c r="G65504" s="34"/>
      <c r="H65504" s="35"/>
      <c r="I65504" s="34"/>
      <c r="J65504" s="35"/>
      <c r="K65504" s="35"/>
      <c r="L65504" s="35"/>
      <c r="M65504" s="36"/>
      <c r="N65504" s="37"/>
      <c r="O65504" s="38"/>
      <c r="P65504" s="39"/>
      <c r="Q65504" s="36"/>
      <c r="R65504" s="37"/>
      <c r="S65504" s="38"/>
      <c r="T65504" s="39"/>
      <c r="U65504" s="36"/>
      <c r="V65504" s="44"/>
      <c r="W65504" s="41"/>
      <c r="X65504" s="42"/>
      <c r="Y65504" s="43"/>
      <c r="IN65504" s="30"/>
    </row>
    <row r="65505" s="4" customFormat="1" ht="25" customHeight="1" spans="1:248">
      <c r="A65505" s="30"/>
      <c r="B65505" s="31"/>
      <c r="C65505" s="32"/>
      <c r="D65505" s="33"/>
      <c r="E65505" s="31"/>
      <c r="F65505" s="31"/>
      <c r="G65505" s="34"/>
      <c r="H65505" s="35"/>
      <c r="I65505" s="34"/>
      <c r="J65505" s="35"/>
      <c r="K65505" s="35"/>
      <c r="L65505" s="35"/>
      <c r="M65505" s="36"/>
      <c r="N65505" s="37"/>
      <c r="O65505" s="38"/>
      <c r="P65505" s="39"/>
      <c r="Q65505" s="36"/>
      <c r="R65505" s="37"/>
      <c r="S65505" s="38"/>
      <c r="T65505" s="39"/>
      <c r="U65505" s="36"/>
      <c r="V65505" s="44"/>
      <c r="W65505" s="41"/>
      <c r="X65505" s="42"/>
      <c r="Y65505" s="43"/>
      <c r="IN65505" s="30"/>
    </row>
    <row r="65506" s="4" customFormat="1" ht="25" customHeight="1" spans="1:248">
      <c r="A65506" s="30"/>
      <c r="B65506" s="31"/>
      <c r="C65506" s="32"/>
      <c r="D65506" s="33"/>
      <c r="E65506" s="31"/>
      <c r="F65506" s="31"/>
      <c r="G65506" s="34"/>
      <c r="H65506" s="35"/>
      <c r="I65506" s="34"/>
      <c r="J65506" s="35"/>
      <c r="K65506" s="35"/>
      <c r="L65506" s="35"/>
      <c r="M65506" s="36"/>
      <c r="N65506" s="37"/>
      <c r="O65506" s="38"/>
      <c r="P65506" s="39"/>
      <c r="Q65506" s="36"/>
      <c r="R65506" s="37"/>
      <c r="S65506" s="38"/>
      <c r="T65506" s="39"/>
      <c r="U65506" s="36"/>
      <c r="V65506" s="44"/>
      <c r="W65506" s="41"/>
      <c r="X65506" s="42"/>
      <c r="Y65506" s="43"/>
      <c r="IN65506" s="30"/>
    </row>
    <row r="65507" s="4" customFormat="1" ht="25" customHeight="1" spans="1:248">
      <c r="A65507" s="30"/>
      <c r="B65507" s="31"/>
      <c r="C65507" s="32"/>
      <c r="D65507" s="33"/>
      <c r="E65507" s="31"/>
      <c r="F65507" s="31"/>
      <c r="G65507" s="34"/>
      <c r="H65507" s="35"/>
      <c r="I65507" s="34"/>
      <c r="J65507" s="35"/>
      <c r="K65507" s="35"/>
      <c r="L65507" s="35"/>
      <c r="M65507" s="36"/>
      <c r="N65507" s="45"/>
      <c r="O65507" s="46"/>
      <c r="P65507" s="47"/>
      <c r="Q65507" s="36"/>
      <c r="R65507" s="45"/>
      <c r="S65507" s="46"/>
      <c r="T65507" s="47"/>
      <c r="U65507" s="36"/>
      <c r="V65507" s="30"/>
      <c r="W65507" s="41"/>
      <c r="X65507" s="42"/>
      <c r="Y65507" s="43"/>
      <c r="IN65507" s="30"/>
    </row>
    <row r="65508" s="4" customFormat="1" ht="25" customHeight="1" spans="1:248">
      <c r="A65508" s="30"/>
      <c r="B65508" s="31"/>
      <c r="C65508" s="32"/>
      <c r="D65508" s="33"/>
      <c r="E65508" s="31"/>
      <c r="F65508" s="31"/>
      <c r="G65508" s="34"/>
      <c r="H65508" s="35"/>
      <c r="I65508" s="34"/>
      <c r="J65508" s="35"/>
      <c r="K65508" s="35"/>
      <c r="L65508" s="35"/>
      <c r="M65508" s="36"/>
      <c r="N65508" s="45"/>
      <c r="O65508" s="46"/>
      <c r="P65508" s="47"/>
      <c r="Q65508" s="36"/>
      <c r="R65508" s="45"/>
      <c r="S65508" s="46"/>
      <c r="T65508" s="47"/>
      <c r="U65508" s="36"/>
      <c r="V65508" s="30"/>
      <c r="W65508" s="41"/>
      <c r="X65508" s="42"/>
      <c r="Y65508" s="43"/>
      <c r="IN65508" s="30"/>
    </row>
    <row r="65509" s="3" customFormat="1" ht="25" customHeight="1" spans="1:248">
      <c r="A65509" s="11"/>
      <c r="B65509" s="4"/>
      <c r="D65509" s="12"/>
      <c r="E65509" s="4"/>
      <c r="F65509" s="4"/>
      <c r="G65509" s="4"/>
      <c r="H65509" s="13"/>
      <c r="I65509" s="4"/>
      <c r="J65509" s="13"/>
      <c r="K65509" s="13"/>
      <c r="L65509" s="13"/>
      <c r="M65509" s="14"/>
      <c r="N65509" s="15"/>
      <c r="O65509" s="16"/>
      <c r="P65509" s="17"/>
      <c r="Q65509" s="14"/>
      <c r="R65509" s="15"/>
      <c r="S65509" s="16"/>
      <c r="T65509" s="17"/>
      <c r="U65509" s="14"/>
      <c r="X65509" s="18"/>
      <c r="IN65509" s="11"/>
    </row>
    <row r="65510" s="3" customFormat="1" ht="25" customHeight="1" spans="1:248">
      <c r="A65510" s="11"/>
      <c r="B65510" s="4"/>
      <c r="D65510" s="12"/>
      <c r="E65510" s="4"/>
      <c r="F65510" s="4"/>
      <c r="G65510" s="4"/>
      <c r="H65510" s="13"/>
      <c r="I65510" s="4"/>
      <c r="J65510" s="13"/>
      <c r="K65510" s="13"/>
      <c r="L65510" s="13"/>
      <c r="M65510" s="14"/>
      <c r="N65510" s="15"/>
      <c r="O65510" s="16"/>
      <c r="P65510" s="17"/>
      <c r="Q65510" s="14"/>
      <c r="R65510" s="15"/>
      <c r="S65510" s="16"/>
      <c r="T65510" s="17"/>
      <c r="U65510" s="14"/>
      <c r="X65510" s="18"/>
      <c r="IN65510" s="11"/>
    </row>
    <row r="65511" s="3" customFormat="1" ht="25" customHeight="1" spans="1:248">
      <c r="A65511" s="11"/>
      <c r="B65511" s="4"/>
      <c r="D65511" s="12"/>
      <c r="E65511" s="4"/>
      <c r="F65511" s="4"/>
      <c r="G65511" s="4"/>
      <c r="H65511" s="13"/>
      <c r="I65511" s="4"/>
      <c r="J65511" s="13"/>
      <c r="K65511" s="13"/>
      <c r="L65511" s="13"/>
      <c r="M65511" s="14"/>
      <c r="N65511" s="15"/>
      <c r="O65511" s="16"/>
      <c r="P65511" s="17"/>
      <c r="Q65511" s="14"/>
      <c r="R65511" s="15"/>
      <c r="S65511" s="16"/>
      <c r="T65511" s="17"/>
      <c r="U65511" s="14"/>
      <c r="X65511" s="18"/>
      <c r="IN65511" s="11"/>
    </row>
    <row r="65512" s="3" customFormat="1" ht="25" customHeight="1" spans="1:248">
      <c r="A65512" s="11"/>
      <c r="B65512" s="4"/>
      <c r="D65512" s="12"/>
      <c r="E65512" s="4"/>
      <c r="F65512" s="4"/>
      <c r="G65512" s="4"/>
      <c r="H65512" s="13"/>
      <c r="I65512" s="4"/>
      <c r="J65512" s="13"/>
      <c r="K65512" s="13"/>
      <c r="L65512" s="13"/>
      <c r="M65512" s="14"/>
      <c r="N65512" s="15"/>
      <c r="O65512" s="16"/>
      <c r="P65512" s="17"/>
      <c r="Q65512" s="14"/>
      <c r="R65512" s="15"/>
      <c r="S65512" s="16"/>
      <c r="T65512" s="17"/>
      <c r="U65512" s="14"/>
      <c r="X65512" s="18"/>
      <c r="IN65512" s="11"/>
    </row>
    <row r="65513" s="3" customFormat="1" ht="25" customHeight="1" spans="1:248">
      <c r="A65513" s="11"/>
      <c r="B65513" s="4"/>
      <c r="D65513" s="12"/>
      <c r="E65513" s="4"/>
      <c r="F65513" s="4"/>
      <c r="G65513" s="4"/>
      <c r="H65513" s="13"/>
      <c r="I65513" s="4"/>
      <c r="J65513" s="13"/>
      <c r="K65513" s="13"/>
      <c r="L65513" s="13"/>
      <c r="M65513" s="14"/>
      <c r="N65513" s="15"/>
      <c r="O65513" s="16"/>
      <c r="P65513" s="17"/>
      <c r="Q65513" s="14"/>
      <c r="R65513" s="15"/>
      <c r="S65513" s="16"/>
      <c r="T65513" s="17"/>
      <c r="U65513" s="14"/>
      <c r="X65513" s="18"/>
      <c r="IN65513" s="11"/>
    </row>
    <row r="65514" s="3" customFormat="1" ht="25" customHeight="1" spans="1:248">
      <c r="A65514" s="11"/>
      <c r="B65514" s="4"/>
      <c r="D65514" s="12"/>
      <c r="E65514" s="4"/>
      <c r="F65514" s="4"/>
      <c r="G65514" s="87"/>
      <c r="H65514" s="13"/>
      <c r="I65514" s="87"/>
      <c r="J65514" s="13"/>
      <c r="K65514" s="13"/>
      <c r="L65514" s="13"/>
      <c r="M65514" s="14"/>
      <c r="N65514" s="15"/>
      <c r="O65514" s="16"/>
      <c r="P65514" s="17"/>
      <c r="Q65514" s="14"/>
      <c r="R65514" s="15"/>
      <c r="S65514" s="16"/>
      <c r="T65514" s="17"/>
      <c r="U65514" s="14"/>
      <c r="X65514" s="18"/>
      <c r="IN65514" s="11"/>
    </row>
    <row r="65515" s="3" customFormat="1" ht="25" customHeight="1" spans="1:248">
      <c r="A65515" s="11"/>
      <c r="B65515" s="4"/>
      <c r="D65515" s="12"/>
      <c r="E65515" s="4"/>
      <c r="F65515" s="4"/>
      <c r="G65515" s="4"/>
      <c r="H65515" s="13"/>
      <c r="I65515" s="4"/>
      <c r="J65515" s="13"/>
      <c r="K65515" s="13"/>
      <c r="L65515" s="13"/>
      <c r="M65515" s="14"/>
      <c r="N65515" s="15"/>
      <c r="O65515" s="16"/>
      <c r="P65515" s="17"/>
      <c r="Q65515" s="14"/>
      <c r="R65515" s="15"/>
      <c r="S65515" s="16"/>
      <c r="T65515" s="17"/>
      <c r="U65515" s="14"/>
      <c r="X65515" s="18"/>
      <c r="IN65515" s="11"/>
    </row>
    <row r="65516" s="3" customFormat="1" ht="25" customHeight="1" spans="1:248">
      <c r="A65516" s="11"/>
      <c r="B65516" s="4"/>
      <c r="D65516" s="12"/>
      <c r="E65516" s="4"/>
      <c r="F65516" s="4"/>
      <c r="G65516" s="4"/>
      <c r="H65516" s="13"/>
      <c r="I65516" s="4"/>
      <c r="J65516" s="13"/>
      <c r="K65516" s="13"/>
      <c r="L65516" s="13"/>
      <c r="M65516" s="14"/>
      <c r="N65516" s="15"/>
      <c r="O65516" s="16"/>
      <c r="P65516" s="17"/>
      <c r="Q65516" s="14"/>
      <c r="R65516" s="15"/>
      <c r="S65516" s="16"/>
      <c r="T65516" s="17"/>
      <c r="U65516" s="14"/>
      <c r="X65516" s="18"/>
      <c r="IN65516" s="11"/>
    </row>
    <row r="65517" s="3" customFormat="1" ht="25" customHeight="1" spans="1:248">
      <c r="A65517" s="11"/>
      <c r="B65517" s="4"/>
      <c r="D65517" s="12"/>
      <c r="E65517" s="4"/>
      <c r="F65517" s="4"/>
      <c r="G65517" s="4"/>
      <c r="H65517" s="13"/>
      <c r="I65517" s="4"/>
      <c r="J65517" s="13"/>
      <c r="K65517" s="13"/>
      <c r="L65517" s="13"/>
      <c r="M65517" s="14"/>
      <c r="N65517" s="15"/>
      <c r="O65517" s="16"/>
      <c r="P65517" s="17"/>
      <c r="Q65517" s="14"/>
      <c r="R65517" s="15"/>
      <c r="S65517" s="16"/>
      <c r="T65517" s="17"/>
      <c r="U65517" s="14"/>
      <c r="X65517" s="18"/>
      <c r="IN65517" s="11"/>
    </row>
    <row r="65518" s="3" customFormat="1" ht="25" customHeight="1" spans="1:248">
      <c r="A65518" s="11"/>
      <c r="B65518" s="4"/>
      <c r="D65518" s="12"/>
      <c r="E65518" s="4"/>
      <c r="F65518" s="4"/>
      <c r="G65518" s="4"/>
      <c r="H65518" s="13"/>
      <c r="I65518" s="4"/>
      <c r="J65518" s="13"/>
      <c r="K65518" s="13"/>
      <c r="L65518" s="13"/>
      <c r="M65518" s="14"/>
      <c r="N65518" s="15"/>
      <c r="O65518" s="16"/>
      <c r="P65518" s="17"/>
      <c r="Q65518" s="14"/>
      <c r="R65518" s="15"/>
      <c r="S65518" s="16"/>
      <c r="T65518" s="17"/>
      <c r="U65518" s="14"/>
      <c r="X65518" s="18"/>
      <c r="IN65518" s="11"/>
    </row>
    <row r="65519" s="3" customFormat="1" ht="25" customHeight="1" spans="1:248">
      <c r="A65519" s="11"/>
      <c r="B65519" s="4"/>
      <c r="D65519" s="12"/>
      <c r="E65519" s="4"/>
      <c r="F65519" s="4"/>
      <c r="G65519" s="4"/>
      <c r="H65519" s="13"/>
      <c r="I65519" s="4"/>
      <c r="J65519" s="13"/>
      <c r="K65519" s="13"/>
      <c r="L65519" s="13"/>
      <c r="M65519" s="14"/>
      <c r="N65519" s="15"/>
      <c r="O65519" s="16"/>
      <c r="P65519" s="17"/>
      <c r="Q65519" s="14"/>
      <c r="R65519" s="15"/>
      <c r="S65519" s="16"/>
      <c r="T65519" s="17"/>
      <c r="U65519" s="14"/>
      <c r="X65519" s="18"/>
      <c r="IN65519" s="11"/>
    </row>
    <row r="65520" s="3" customFormat="1" ht="25" customHeight="1" spans="1:248">
      <c r="A65520" s="11"/>
      <c r="B65520" s="4"/>
      <c r="D65520" s="12"/>
      <c r="E65520" s="4"/>
      <c r="F65520" s="4"/>
      <c r="G65520" s="4"/>
      <c r="H65520" s="13"/>
      <c r="I65520" s="4"/>
      <c r="J65520" s="13"/>
      <c r="K65520" s="13"/>
      <c r="L65520" s="13"/>
      <c r="M65520" s="14"/>
      <c r="N65520" s="15"/>
      <c r="O65520" s="16"/>
      <c r="P65520" s="17"/>
      <c r="Q65520" s="14"/>
      <c r="R65520" s="15"/>
      <c r="S65520" s="16"/>
      <c r="T65520" s="17"/>
      <c r="U65520" s="14"/>
      <c r="X65520" s="18"/>
      <c r="IN65520" s="11"/>
    </row>
    <row r="65521" s="3" customFormat="1" ht="25" customHeight="1" spans="1:248">
      <c r="A65521" s="11"/>
      <c r="B65521" s="4"/>
      <c r="D65521" s="12"/>
      <c r="E65521" s="4"/>
      <c r="F65521" s="4"/>
      <c r="G65521" s="4"/>
      <c r="H65521" s="13"/>
      <c r="I65521" s="4"/>
      <c r="J65521" s="13"/>
      <c r="K65521" s="13"/>
      <c r="L65521" s="13"/>
      <c r="M65521" s="14"/>
      <c r="N65521" s="15"/>
      <c r="O65521" s="16"/>
      <c r="P65521" s="17"/>
      <c r="Q65521" s="14"/>
      <c r="R65521" s="15"/>
      <c r="S65521" s="16"/>
      <c r="T65521" s="17"/>
      <c r="U65521" s="14"/>
      <c r="X65521" s="18"/>
      <c r="IN65521" s="11"/>
    </row>
    <row r="65522" s="3" customFormat="1" ht="25" customHeight="1" spans="1:248">
      <c r="A65522" s="11"/>
      <c r="B65522" s="4"/>
      <c r="D65522" s="12"/>
      <c r="E65522" s="4"/>
      <c r="F65522" s="4"/>
      <c r="G65522" s="4"/>
      <c r="H65522" s="13"/>
      <c r="I65522" s="4"/>
      <c r="J65522" s="13"/>
      <c r="K65522" s="13"/>
      <c r="L65522" s="13"/>
      <c r="M65522" s="14"/>
      <c r="N65522" s="15"/>
      <c r="O65522" s="16"/>
      <c r="P65522" s="17"/>
      <c r="Q65522" s="14"/>
      <c r="R65522" s="15"/>
      <c r="S65522" s="16"/>
      <c r="T65522" s="17"/>
      <c r="U65522" s="14"/>
      <c r="X65522" s="18"/>
      <c r="IN65522" s="11"/>
    </row>
    <row r="65523" s="3" customFormat="1" ht="25" customHeight="1" spans="1:248">
      <c r="A65523" s="11"/>
      <c r="B65523" s="4"/>
      <c r="D65523" s="12"/>
      <c r="E65523" s="4"/>
      <c r="F65523" s="4"/>
      <c r="G65523" s="4"/>
      <c r="H65523" s="13"/>
      <c r="I65523" s="4"/>
      <c r="J65523" s="13"/>
      <c r="K65523" s="13"/>
      <c r="L65523" s="13"/>
      <c r="M65523" s="14"/>
      <c r="N65523" s="15"/>
      <c r="O65523" s="16"/>
      <c r="P65523" s="17"/>
      <c r="Q65523" s="14"/>
      <c r="R65523" s="15"/>
      <c r="S65523" s="16"/>
      <c r="T65523" s="17"/>
      <c r="U65523" s="14"/>
      <c r="X65523" s="18"/>
      <c r="IN65523" s="11"/>
    </row>
    <row r="65524" s="3" customFormat="1" ht="25" customHeight="1" spans="1:248">
      <c r="A65524" s="11"/>
      <c r="B65524" s="4"/>
      <c r="D65524" s="12"/>
      <c r="E65524" s="4"/>
      <c r="F65524" s="4"/>
      <c r="G65524" s="4"/>
      <c r="H65524" s="13"/>
      <c r="I65524" s="4"/>
      <c r="J65524" s="13"/>
      <c r="K65524" s="13"/>
      <c r="L65524" s="13"/>
      <c r="M65524" s="14"/>
      <c r="N65524" s="15"/>
      <c r="O65524" s="16"/>
      <c r="P65524" s="17"/>
      <c r="Q65524" s="14"/>
      <c r="R65524" s="15"/>
      <c r="S65524" s="16"/>
      <c r="T65524" s="17"/>
      <c r="U65524" s="14"/>
      <c r="X65524" s="18"/>
      <c r="IN65524" s="11"/>
    </row>
    <row r="65525" s="3" customFormat="1" ht="25" customHeight="1" spans="1:248">
      <c r="A65525" s="11"/>
      <c r="B65525" s="4"/>
      <c r="D65525" s="12"/>
      <c r="E65525" s="4"/>
      <c r="F65525" s="4"/>
      <c r="G65525" s="4"/>
      <c r="H65525" s="13"/>
      <c r="I65525" s="4"/>
      <c r="J65525" s="13"/>
      <c r="K65525" s="13"/>
      <c r="L65525" s="13"/>
      <c r="M65525" s="14"/>
      <c r="N65525" s="15"/>
      <c r="O65525" s="16"/>
      <c r="P65525" s="17"/>
      <c r="Q65525" s="14"/>
      <c r="R65525" s="15"/>
      <c r="S65525" s="16"/>
      <c r="T65525" s="17"/>
      <c r="U65525" s="14"/>
      <c r="X65525" s="18"/>
      <c r="IN65525" s="11"/>
    </row>
    <row r="65526" s="3" customFormat="1" ht="25" customHeight="1" spans="1:248">
      <c r="A65526" s="11"/>
      <c r="B65526" s="4"/>
      <c r="D65526" s="12"/>
      <c r="E65526" s="4"/>
      <c r="F65526" s="4"/>
      <c r="G65526" s="4"/>
      <c r="H65526" s="13"/>
      <c r="I65526" s="4"/>
      <c r="J65526" s="13"/>
      <c r="K65526" s="13"/>
      <c r="L65526" s="13"/>
      <c r="M65526" s="14"/>
      <c r="N65526" s="15"/>
      <c r="O65526" s="16"/>
      <c r="P65526" s="17"/>
      <c r="Q65526" s="14"/>
      <c r="R65526" s="15"/>
      <c r="S65526" s="16"/>
      <c r="T65526" s="17"/>
      <c r="U65526" s="14"/>
      <c r="X65526" s="18"/>
      <c r="IN65526" s="11"/>
    </row>
    <row r="65527" s="3" customFormat="1" ht="25" customHeight="1" spans="1:248">
      <c r="A65527" s="11"/>
      <c r="B65527" s="4"/>
      <c r="D65527" s="12"/>
      <c r="E65527" s="4"/>
      <c r="F65527" s="4"/>
      <c r="G65527" s="4"/>
      <c r="H65527" s="13"/>
      <c r="I65527" s="4"/>
      <c r="J65527" s="13"/>
      <c r="K65527" s="13"/>
      <c r="L65527" s="13"/>
      <c r="M65527" s="14"/>
      <c r="N65527" s="15"/>
      <c r="O65527" s="16"/>
      <c r="P65527" s="17"/>
      <c r="Q65527" s="14"/>
      <c r="R65527" s="15"/>
      <c r="S65527" s="16"/>
      <c r="T65527" s="17"/>
      <c r="U65527" s="14"/>
      <c r="X65527" s="18"/>
      <c r="IN65527" s="11"/>
    </row>
    <row r="65528" s="3" customFormat="1" ht="25" customHeight="1" spans="1:248">
      <c r="A65528" s="11"/>
      <c r="B65528" s="4"/>
      <c r="D65528" s="12"/>
      <c r="E65528" s="4"/>
      <c r="F65528" s="4"/>
      <c r="G65528" s="4"/>
      <c r="H65528" s="13"/>
      <c r="I65528" s="4"/>
      <c r="J65528" s="13"/>
      <c r="K65528" s="13"/>
      <c r="L65528" s="13"/>
      <c r="M65528" s="14"/>
      <c r="N65528" s="15"/>
      <c r="O65528" s="16"/>
      <c r="P65528" s="17"/>
      <c r="Q65528" s="14"/>
      <c r="R65528" s="15"/>
      <c r="S65528" s="16"/>
      <c r="T65528" s="17"/>
      <c r="U65528" s="14"/>
      <c r="X65528" s="18"/>
      <c r="IN65528" s="11"/>
    </row>
    <row r="65529" s="3" customFormat="1" ht="25" customHeight="1" spans="1:248">
      <c r="A65529" s="11"/>
      <c r="B65529" s="4"/>
      <c r="D65529" s="12"/>
      <c r="E65529" s="4"/>
      <c r="F65529" s="4"/>
      <c r="G65529" s="4"/>
      <c r="H65529" s="13"/>
      <c r="I65529" s="4"/>
      <c r="J65529" s="13"/>
      <c r="K65529" s="13"/>
      <c r="L65529" s="13"/>
      <c r="M65529" s="14"/>
      <c r="N65529" s="15"/>
      <c r="O65529" s="16"/>
      <c r="P65529" s="17"/>
      <c r="Q65529" s="14"/>
      <c r="R65529" s="15"/>
      <c r="S65529" s="16"/>
      <c r="T65529" s="17"/>
      <c r="U65529" s="14"/>
      <c r="X65529" s="18"/>
      <c r="IN65529" s="11"/>
    </row>
    <row r="65530" s="3" customFormat="1" ht="25" customHeight="1" spans="1:248">
      <c r="A65530" s="11"/>
      <c r="B65530" s="4"/>
      <c r="D65530" s="12"/>
      <c r="E65530" s="4"/>
      <c r="F65530" s="4"/>
      <c r="G65530" s="4"/>
      <c r="H65530" s="13"/>
      <c r="I65530" s="4"/>
      <c r="J65530" s="13"/>
      <c r="K65530" s="13"/>
      <c r="L65530" s="13"/>
      <c r="M65530" s="14"/>
      <c r="N65530" s="15"/>
      <c r="O65530" s="16"/>
      <c r="P65530" s="17"/>
      <c r="Q65530" s="14"/>
      <c r="R65530" s="15"/>
      <c r="S65530" s="16"/>
      <c r="T65530" s="17"/>
      <c r="U65530" s="14"/>
      <c r="X65530" s="18"/>
      <c r="IN65530" s="11"/>
    </row>
    <row r="65531" s="3" customFormat="1" ht="25" customHeight="1" spans="1:248">
      <c r="A65531" s="11"/>
      <c r="B65531" s="4"/>
      <c r="D65531" s="12"/>
      <c r="E65531" s="4"/>
      <c r="F65531" s="4"/>
      <c r="G65531" s="4"/>
      <c r="H65531" s="13"/>
      <c r="I65531" s="4"/>
      <c r="J65531" s="13"/>
      <c r="K65531" s="13"/>
      <c r="L65531" s="13"/>
      <c r="M65531" s="14"/>
      <c r="N65531" s="15"/>
      <c r="O65531" s="16"/>
      <c r="P65531" s="17"/>
      <c r="Q65531" s="14"/>
      <c r="R65531" s="15"/>
      <c r="S65531" s="16"/>
      <c r="T65531" s="17"/>
      <c r="U65531" s="14"/>
      <c r="X65531" s="18"/>
      <c r="IN65531" s="11"/>
    </row>
    <row r="65532" s="3" customFormat="1" ht="25" customHeight="1" spans="1:248">
      <c r="A65532" s="11"/>
      <c r="B65532" s="4"/>
      <c r="D65532" s="12"/>
      <c r="E65532" s="4"/>
      <c r="F65532" s="4"/>
      <c r="G65532" s="4"/>
      <c r="H65532" s="13"/>
      <c r="I65532" s="4"/>
      <c r="J65532" s="13"/>
      <c r="K65532" s="13"/>
      <c r="L65532" s="13"/>
      <c r="M65532" s="14"/>
      <c r="N65532" s="15"/>
      <c r="O65532" s="16"/>
      <c r="P65532" s="17"/>
      <c r="Q65532" s="14"/>
      <c r="R65532" s="15"/>
      <c r="S65532" s="16"/>
      <c r="T65532" s="17"/>
      <c r="U65532" s="14"/>
      <c r="X65532" s="18"/>
      <c r="IN65532" s="11"/>
    </row>
    <row r="65533" s="3" customFormat="1" ht="25" customHeight="1" spans="1:248">
      <c r="A65533" s="11"/>
      <c r="B65533" s="4"/>
      <c r="D65533" s="12"/>
      <c r="E65533" s="4"/>
      <c r="F65533" s="4"/>
      <c r="G65533" s="4"/>
      <c r="H65533" s="13"/>
      <c r="I65533" s="4"/>
      <c r="J65533" s="13"/>
      <c r="K65533" s="13"/>
      <c r="L65533" s="13"/>
      <c r="M65533" s="14"/>
      <c r="N65533" s="15"/>
      <c r="O65533" s="16"/>
      <c r="P65533" s="17"/>
      <c r="Q65533" s="14"/>
      <c r="R65533" s="15"/>
      <c r="S65533" s="16"/>
      <c r="T65533" s="17"/>
      <c r="U65533" s="14"/>
      <c r="X65533" s="18"/>
      <c r="IN65533" s="11"/>
    </row>
    <row r="65534" s="3" customFormat="1" ht="25" customHeight="1" spans="1:248">
      <c r="A65534" s="11"/>
      <c r="B65534" s="4"/>
      <c r="D65534" s="12"/>
      <c r="E65534" s="4"/>
      <c r="F65534" s="4"/>
      <c r="G65534" s="4"/>
      <c r="H65534" s="13"/>
      <c r="I65534" s="4"/>
      <c r="J65534" s="13"/>
      <c r="K65534" s="13"/>
      <c r="L65534" s="13"/>
      <c r="M65534" s="14"/>
      <c r="N65534" s="15"/>
      <c r="O65534" s="16"/>
      <c r="P65534" s="17"/>
      <c r="Q65534" s="14"/>
      <c r="R65534" s="15"/>
      <c r="S65534" s="16"/>
      <c r="T65534" s="17"/>
      <c r="U65534" s="14"/>
      <c r="X65534" s="18"/>
      <c r="IN65534" s="11"/>
    </row>
    <row r="65535" s="3" customFormat="1" ht="25" customHeight="1" spans="1:248">
      <c r="A65535" s="11"/>
      <c r="B65535" s="4"/>
      <c r="D65535" s="12"/>
      <c r="E65535" s="4"/>
      <c r="F65535" s="4"/>
      <c r="G65535" s="4"/>
      <c r="H65535" s="13"/>
      <c r="I65535" s="4"/>
      <c r="J65535" s="13"/>
      <c r="K65535" s="13"/>
      <c r="L65535" s="13"/>
      <c r="M65535" s="14"/>
      <c r="N65535" s="15"/>
      <c r="O65535" s="16"/>
      <c r="P65535" s="17"/>
      <c r="Q65535" s="14"/>
      <c r="R65535" s="15"/>
      <c r="S65535" s="16"/>
      <c r="T65535" s="17"/>
      <c r="U65535" s="14"/>
      <c r="X65535" s="18"/>
      <c r="IN65535" s="11"/>
    </row>
    <row r="65536" s="3" customFormat="1" ht="25" customHeight="1" spans="1:248">
      <c r="A65536" s="11"/>
      <c r="B65536" s="4"/>
      <c r="D65536" s="12"/>
      <c r="E65536" s="4"/>
      <c r="F65536" s="4"/>
      <c r="G65536" s="4"/>
      <c r="H65536" s="13"/>
      <c r="I65536" s="4"/>
      <c r="J65536" s="13"/>
      <c r="K65536" s="13"/>
      <c r="L65536" s="13"/>
      <c r="M65536" s="14"/>
      <c r="N65536" s="15"/>
      <c r="O65536" s="16"/>
      <c r="P65536" s="17"/>
      <c r="Q65536" s="14"/>
      <c r="R65536" s="15"/>
      <c r="S65536" s="16"/>
      <c r="T65536" s="17"/>
      <c r="U65536" s="14"/>
      <c r="X65536" s="18"/>
      <c r="IN65536" s="11"/>
    </row>
  </sheetData>
  <sheetProtection formatCells="0" formatColumns="0" formatRows="0" insertRows="0" insertColumns="0" insertHyperlinks="0" deleteColumns="0" deleteRows="0" sort="0" autoFilter="0" pivotTables="0"/>
  <mergeCells count="3">
    <mergeCell ref="A17:D17"/>
    <mergeCell ref="A18:D18"/>
    <mergeCell ref="A43:D43"/>
  </mergeCells>
  <pageMargins left="0.75" right="0.75" top="1" bottom="1" header="0.5" footer="0.5"/>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C204"/>
  <sheetViews>
    <sheetView workbookViewId="0">
      <pane ySplit="1" topLeftCell="A25" activePane="bottomLeft" state="frozen"/>
      <selection/>
      <selection pane="bottomLeft" activeCell="B109" sqref="B109"/>
    </sheetView>
  </sheetViews>
  <sheetFormatPr defaultColWidth="9.775" defaultRowHeight="14.25" outlineLevelCol="2"/>
  <cols>
    <col min="1" max="1" width="15" style="4" customWidth="1"/>
    <col min="2" max="2" width="17" style="4" customWidth="1"/>
    <col min="3" max="3" width="37.1333333333333" style="4" customWidth="1"/>
    <col min="4" max="16384" width="9.775" style="3"/>
  </cols>
  <sheetData>
    <row r="1" s="3" customFormat="1" ht="25" customHeight="1" spans="1:3">
      <c r="A1" s="5" t="s">
        <v>991</v>
      </c>
      <c r="B1" s="5" t="s">
        <v>729</v>
      </c>
      <c r="C1" s="6" t="s">
        <v>992</v>
      </c>
    </row>
    <row r="2" s="3" customFormat="1" ht="25" hidden="1" customHeight="1" spans="1:3">
      <c r="A2" s="5" t="s">
        <v>107</v>
      </c>
      <c r="B2" s="5" t="s">
        <v>458</v>
      </c>
      <c r="C2" s="6" t="s">
        <v>107</v>
      </c>
    </row>
    <row r="3" s="3" customFormat="1" ht="25" hidden="1" customHeight="1" spans="1:3">
      <c r="A3" s="5" t="s">
        <v>107</v>
      </c>
      <c r="B3" s="5" t="s">
        <v>449</v>
      </c>
      <c r="C3" s="6" t="s">
        <v>993</v>
      </c>
    </row>
    <row r="4" s="3" customFormat="1" ht="25" hidden="1" customHeight="1" spans="1:3">
      <c r="A4" s="5" t="s">
        <v>107</v>
      </c>
      <c r="B4" s="5" t="s">
        <v>994</v>
      </c>
      <c r="C4" s="6" t="s">
        <v>995</v>
      </c>
    </row>
    <row r="5" s="3" customFormat="1" ht="25" hidden="1" customHeight="1" spans="1:3">
      <c r="A5" s="5" t="s">
        <v>107</v>
      </c>
      <c r="B5" s="5" t="s">
        <v>536</v>
      </c>
      <c r="C5" s="5" t="s">
        <v>996</v>
      </c>
    </row>
    <row r="6" s="3" customFormat="1" ht="25" hidden="1" customHeight="1" spans="1:3">
      <c r="A6" s="5" t="s">
        <v>997</v>
      </c>
      <c r="B6" s="5" t="s">
        <v>998</v>
      </c>
      <c r="C6" s="6" t="s">
        <v>999</v>
      </c>
    </row>
    <row r="7" s="3" customFormat="1" ht="25" hidden="1" customHeight="1" spans="1:3">
      <c r="A7" s="5" t="s">
        <v>27</v>
      </c>
      <c r="B7" s="5" t="s">
        <v>458</v>
      </c>
      <c r="C7" s="6" t="s">
        <v>27</v>
      </c>
    </row>
    <row r="8" s="3" customFormat="1" ht="25" hidden="1" customHeight="1" spans="1:3">
      <c r="A8" s="5" t="s">
        <v>27</v>
      </c>
      <c r="B8" s="5" t="s">
        <v>449</v>
      </c>
      <c r="C8" s="6" t="s">
        <v>563</v>
      </c>
    </row>
    <row r="9" s="3" customFormat="1" ht="25" hidden="1" customHeight="1" spans="1:3">
      <c r="A9" s="5" t="s">
        <v>27</v>
      </c>
      <c r="B9" s="5" t="s">
        <v>1000</v>
      </c>
      <c r="C9" s="6" t="s">
        <v>1001</v>
      </c>
    </row>
    <row r="10" s="3" customFormat="1" ht="25" hidden="1" customHeight="1" spans="1:3">
      <c r="A10" s="5" t="s">
        <v>27</v>
      </c>
      <c r="B10" s="7" t="s">
        <v>1002</v>
      </c>
      <c r="C10" s="6" t="s">
        <v>1003</v>
      </c>
    </row>
    <row r="11" s="3" customFormat="1" ht="25" hidden="1" customHeight="1" spans="1:3">
      <c r="A11" s="5" t="s">
        <v>27</v>
      </c>
      <c r="B11" s="7" t="s">
        <v>543</v>
      </c>
      <c r="C11" s="6" t="s">
        <v>1004</v>
      </c>
    </row>
    <row r="12" s="3" customFormat="1" ht="25" hidden="1" customHeight="1" spans="1:3">
      <c r="A12" s="5" t="s">
        <v>27</v>
      </c>
      <c r="B12" s="5" t="s">
        <v>536</v>
      </c>
      <c r="C12" s="5" t="s">
        <v>1005</v>
      </c>
    </row>
    <row r="13" s="3" customFormat="1" ht="25" hidden="1" customHeight="1" spans="1:3">
      <c r="A13" s="5" t="s">
        <v>14</v>
      </c>
      <c r="B13" s="5" t="s">
        <v>458</v>
      </c>
      <c r="C13" s="6" t="s">
        <v>14</v>
      </c>
    </row>
    <row r="14" s="3" customFormat="1" ht="25" hidden="1" customHeight="1" spans="1:3">
      <c r="A14" s="5" t="s">
        <v>14</v>
      </c>
      <c r="B14" s="5" t="s">
        <v>449</v>
      </c>
      <c r="C14" s="6" t="s">
        <v>1006</v>
      </c>
    </row>
    <row r="15" s="3" customFormat="1" ht="25" hidden="1" customHeight="1" spans="1:3">
      <c r="A15" s="5" t="s">
        <v>14</v>
      </c>
      <c r="B15" s="5" t="s">
        <v>536</v>
      </c>
      <c r="C15" s="5" t="s">
        <v>1007</v>
      </c>
    </row>
    <row r="16" s="3" customFormat="1" ht="25" hidden="1" customHeight="1" spans="1:3">
      <c r="A16" s="5" t="s">
        <v>19</v>
      </c>
      <c r="B16" s="5" t="s">
        <v>524</v>
      </c>
      <c r="C16" s="6" t="s">
        <v>1008</v>
      </c>
    </row>
    <row r="17" s="3" customFormat="1" ht="25" hidden="1" customHeight="1" spans="1:3">
      <c r="A17" s="5" t="s">
        <v>26</v>
      </c>
      <c r="B17" s="5" t="s">
        <v>458</v>
      </c>
      <c r="C17" s="6" t="s">
        <v>26</v>
      </c>
    </row>
    <row r="18" s="3" customFormat="1" ht="25" hidden="1" customHeight="1" spans="1:3">
      <c r="A18" s="5" t="s">
        <v>26</v>
      </c>
      <c r="B18" s="5" t="s">
        <v>449</v>
      </c>
      <c r="C18" s="6" t="s">
        <v>1009</v>
      </c>
    </row>
    <row r="19" s="3" customFormat="1" ht="25" hidden="1" customHeight="1" spans="1:3">
      <c r="A19" s="5" t="s">
        <v>26</v>
      </c>
      <c r="B19" s="5" t="s">
        <v>1000</v>
      </c>
      <c r="C19" s="6" t="s">
        <v>1010</v>
      </c>
    </row>
    <row r="20" s="3" customFormat="1" ht="25" hidden="1" customHeight="1" spans="1:3">
      <c r="A20" s="5" t="s">
        <v>26</v>
      </c>
      <c r="B20" s="5" t="s">
        <v>1011</v>
      </c>
      <c r="C20" s="6" t="s">
        <v>1012</v>
      </c>
    </row>
    <row r="21" s="3" customFormat="1" ht="25" hidden="1" customHeight="1" spans="1:3">
      <c r="A21" s="5" t="s">
        <v>15</v>
      </c>
      <c r="B21" s="5" t="s">
        <v>458</v>
      </c>
      <c r="C21" s="6" t="s">
        <v>782</v>
      </c>
    </row>
    <row r="22" s="3" customFormat="1" ht="25" hidden="1" customHeight="1" spans="1:3">
      <c r="A22" s="5" t="s">
        <v>15</v>
      </c>
      <c r="B22" s="5" t="s">
        <v>449</v>
      </c>
      <c r="C22" s="6" t="s">
        <v>1013</v>
      </c>
    </row>
    <row r="23" s="3" customFormat="1" ht="25" hidden="1" customHeight="1" spans="1:3">
      <c r="A23" s="5" t="s">
        <v>15</v>
      </c>
      <c r="B23" s="5" t="s">
        <v>500</v>
      </c>
      <c r="C23" s="6" t="s">
        <v>1014</v>
      </c>
    </row>
    <row r="24" s="3" customFormat="1" ht="25" hidden="1" customHeight="1" spans="1:3">
      <c r="A24" s="5" t="s">
        <v>15</v>
      </c>
      <c r="B24" s="7" t="s">
        <v>1015</v>
      </c>
      <c r="C24" s="6" t="s">
        <v>1016</v>
      </c>
    </row>
    <row r="25" s="3" customFormat="1" ht="25" customHeight="1" spans="1:3">
      <c r="A25" s="5" t="s">
        <v>46</v>
      </c>
      <c r="B25" s="7" t="s">
        <v>458</v>
      </c>
      <c r="C25" s="6" t="s">
        <v>46</v>
      </c>
    </row>
    <row r="26" s="3" customFormat="1" ht="25" customHeight="1" spans="1:3">
      <c r="A26" s="5" t="s">
        <v>46</v>
      </c>
      <c r="B26" s="5" t="s">
        <v>524</v>
      </c>
      <c r="C26" s="6" t="s">
        <v>1017</v>
      </c>
    </row>
    <row r="27" s="3" customFormat="1" ht="25" hidden="1" customHeight="1" spans="1:3">
      <c r="A27" s="5" t="s">
        <v>16</v>
      </c>
      <c r="B27" s="5" t="s">
        <v>449</v>
      </c>
      <c r="C27" s="6" t="s">
        <v>593</v>
      </c>
    </row>
    <row r="28" s="3" customFormat="1" ht="25" hidden="1" customHeight="1" spans="1:3">
      <c r="A28" s="5" t="s">
        <v>10</v>
      </c>
      <c r="B28" s="7" t="s">
        <v>458</v>
      </c>
      <c r="C28" s="5" t="s">
        <v>10</v>
      </c>
    </row>
    <row r="29" s="3" customFormat="1" ht="25" hidden="1" customHeight="1" spans="1:3">
      <c r="A29" s="5" t="s">
        <v>10</v>
      </c>
      <c r="B29" s="5" t="s">
        <v>543</v>
      </c>
      <c r="C29" s="6" t="s">
        <v>1018</v>
      </c>
    </row>
    <row r="30" s="3" customFormat="1" ht="25" hidden="1" customHeight="1" spans="1:3">
      <c r="A30" s="8" t="s">
        <v>10</v>
      </c>
      <c r="B30" s="8" t="s">
        <v>625</v>
      </c>
      <c r="C30" s="9" t="s">
        <v>1019</v>
      </c>
    </row>
    <row r="31" s="3" customFormat="1" ht="25" hidden="1" customHeight="1" spans="1:3">
      <c r="A31" s="5" t="s">
        <v>11</v>
      </c>
      <c r="B31" s="7" t="s">
        <v>458</v>
      </c>
      <c r="C31" s="5" t="s">
        <v>11</v>
      </c>
    </row>
    <row r="32" s="3" customFormat="1" ht="25" hidden="1" customHeight="1" spans="1:3">
      <c r="A32" s="8" t="s">
        <v>69</v>
      </c>
      <c r="B32" s="8" t="s">
        <v>500</v>
      </c>
      <c r="C32" s="9" t="s">
        <v>1020</v>
      </c>
    </row>
    <row r="33" s="3" customFormat="1" ht="25" hidden="1" customHeight="1" spans="1:3">
      <c r="A33" s="8" t="s">
        <v>65</v>
      </c>
      <c r="B33" s="8" t="s">
        <v>458</v>
      </c>
      <c r="C33" s="9" t="s">
        <v>65</v>
      </c>
    </row>
    <row r="34" s="3" customFormat="1" ht="25" hidden="1" customHeight="1" spans="1:3">
      <c r="A34" s="5" t="s">
        <v>21</v>
      </c>
      <c r="B34" s="5" t="s">
        <v>458</v>
      </c>
      <c r="C34" s="6" t="s">
        <v>21</v>
      </c>
    </row>
    <row r="35" s="3" customFormat="1" ht="25" hidden="1" customHeight="1" spans="1:3">
      <c r="A35" s="5" t="s">
        <v>22</v>
      </c>
      <c r="B35" s="5" t="s">
        <v>458</v>
      </c>
      <c r="C35" s="6" t="s">
        <v>22</v>
      </c>
    </row>
    <row r="36" s="3" customFormat="1" ht="25" hidden="1" customHeight="1" spans="1:3">
      <c r="A36" s="5" t="s">
        <v>22</v>
      </c>
      <c r="B36" s="5" t="s">
        <v>1011</v>
      </c>
      <c r="C36" s="6" t="s">
        <v>1021</v>
      </c>
    </row>
    <row r="37" s="3" customFormat="1" ht="25" hidden="1" customHeight="1" spans="1:3">
      <c r="A37" s="5" t="s">
        <v>23</v>
      </c>
      <c r="B37" s="5" t="s">
        <v>458</v>
      </c>
      <c r="C37" s="6" t="s">
        <v>23</v>
      </c>
    </row>
    <row r="38" s="3" customFormat="1" ht="25" hidden="1" customHeight="1" spans="1:3">
      <c r="A38" s="5" t="s">
        <v>23</v>
      </c>
      <c r="B38" s="5" t="s">
        <v>449</v>
      </c>
      <c r="C38" s="6" t="s">
        <v>1022</v>
      </c>
    </row>
    <row r="39" s="3" customFormat="1" ht="25" hidden="1" customHeight="1" spans="1:3">
      <c r="A39" s="5" t="s">
        <v>118</v>
      </c>
      <c r="B39" s="5" t="s">
        <v>458</v>
      </c>
      <c r="C39" s="6" t="s">
        <v>118</v>
      </c>
    </row>
    <row r="40" s="3" customFormat="1" ht="25" hidden="1" customHeight="1" spans="1:3">
      <c r="A40" s="5" t="s">
        <v>118</v>
      </c>
      <c r="B40" s="5" t="s">
        <v>524</v>
      </c>
      <c r="C40" s="6" t="s">
        <v>1023</v>
      </c>
    </row>
    <row r="41" s="3" customFormat="1" ht="25" hidden="1" customHeight="1" spans="1:3">
      <c r="A41" s="8" t="s">
        <v>118</v>
      </c>
      <c r="B41" s="8" t="s">
        <v>600</v>
      </c>
      <c r="C41" s="9" t="s">
        <v>1024</v>
      </c>
    </row>
    <row r="42" s="3" customFormat="1" ht="25" hidden="1" customHeight="1" spans="1:3">
      <c r="A42" s="5" t="s">
        <v>29</v>
      </c>
      <c r="B42" s="7" t="s">
        <v>508</v>
      </c>
      <c r="C42" s="6" t="s">
        <v>1025</v>
      </c>
    </row>
    <row r="43" s="3" customFormat="1" ht="25" hidden="1" customHeight="1" spans="1:3">
      <c r="A43" s="5" t="s">
        <v>50</v>
      </c>
      <c r="B43" s="7" t="s">
        <v>508</v>
      </c>
      <c r="C43" s="6" t="s">
        <v>1026</v>
      </c>
    </row>
    <row r="44" s="3" customFormat="1" ht="25" hidden="1" customHeight="1" spans="1:3">
      <c r="A44" s="5" t="s">
        <v>51</v>
      </c>
      <c r="B44" s="7" t="s">
        <v>508</v>
      </c>
      <c r="C44" s="6" t="s">
        <v>1027</v>
      </c>
    </row>
    <row r="45" s="3" customFormat="1" ht="25" hidden="1" customHeight="1" spans="1:3">
      <c r="A45" s="5" t="s">
        <v>52</v>
      </c>
      <c r="B45" s="7" t="s">
        <v>508</v>
      </c>
      <c r="C45" s="6" t="s">
        <v>1028</v>
      </c>
    </row>
    <row r="46" s="3" customFormat="1" ht="25" hidden="1" customHeight="1" spans="1:3">
      <c r="A46" s="5" t="s">
        <v>53</v>
      </c>
      <c r="B46" s="7" t="s">
        <v>508</v>
      </c>
      <c r="C46" s="6" t="s">
        <v>1029</v>
      </c>
    </row>
    <row r="47" s="3" customFormat="1" ht="25" hidden="1" customHeight="1" spans="1:3">
      <c r="A47" s="5" t="s">
        <v>54</v>
      </c>
      <c r="B47" s="7" t="s">
        <v>508</v>
      </c>
      <c r="C47" s="6" t="s">
        <v>1030</v>
      </c>
    </row>
    <row r="48" s="3" customFormat="1" ht="25" hidden="1" customHeight="1" spans="1:3">
      <c r="A48" s="5" t="s">
        <v>55</v>
      </c>
      <c r="B48" s="7" t="s">
        <v>508</v>
      </c>
      <c r="C48" s="6" t="s">
        <v>1031</v>
      </c>
    </row>
    <row r="49" s="3" customFormat="1" ht="25" hidden="1" customHeight="1" spans="1:3">
      <c r="A49" s="5" t="s">
        <v>56</v>
      </c>
      <c r="B49" s="7" t="s">
        <v>508</v>
      </c>
      <c r="C49" s="6" t="s">
        <v>1032</v>
      </c>
    </row>
    <row r="50" s="3" customFormat="1" ht="25" hidden="1" customHeight="1" spans="1:3">
      <c r="A50" s="5" t="s">
        <v>57</v>
      </c>
      <c r="B50" s="7" t="s">
        <v>508</v>
      </c>
      <c r="C50" s="6" t="s">
        <v>1033</v>
      </c>
    </row>
    <row r="51" s="3" customFormat="1" ht="25" hidden="1" customHeight="1" spans="1:3">
      <c r="A51" s="5" t="s">
        <v>58</v>
      </c>
      <c r="B51" s="7" t="s">
        <v>508</v>
      </c>
      <c r="C51" s="6" t="s">
        <v>1034</v>
      </c>
    </row>
    <row r="52" s="3" customFormat="1" ht="25" hidden="1" customHeight="1" spans="1:3">
      <c r="A52" s="5" t="s">
        <v>59</v>
      </c>
      <c r="B52" s="7" t="s">
        <v>508</v>
      </c>
      <c r="C52" s="6" t="s">
        <v>1035</v>
      </c>
    </row>
    <row r="53" s="3" customFormat="1" ht="25" hidden="1" customHeight="1" spans="1:3">
      <c r="A53" s="5" t="s">
        <v>61</v>
      </c>
      <c r="B53" s="7" t="s">
        <v>508</v>
      </c>
      <c r="C53" s="6" t="s">
        <v>1036</v>
      </c>
    </row>
    <row r="54" s="3" customFormat="1" ht="25" hidden="1" customHeight="1" spans="1:3">
      <c r="A54" s="5" t="s">
        <v>25</v>
      </c>
      <c r="B54" s="7" t="s">
        <v>449</v>
      </c>
      <c r="C54" s="6" t="s">
        <v>1037</v>
      </c>
    </row>
    <row r="55" s="3" customFormat="1" ht="25" hidden="1" customHeight="1" spans="1:3">
      <c r="A55" s="5" t="s">
        <v>25</v>
      </c>
      <c r="B55" s="7" t="s">
        <v>1038</v>
      </c>
      <c r="C55" s="6" t="s">
        <v>1039</v>
      </c>
    </row>
    <row r="56" s="3" customFormat="1" ht="25" hidden="1" customHeight="1" spans="1:3">
      <c r="A56" s="8" t="s">
        <v>64</v>
      </c>
      <c r="B56" s="8" t="s">
        <v>458</v>
      </c>
      <c r="C56" s="9" t="s">
        <v>64</v>
      </c>
    </row>
    <row r="57" s="3" customFormat="1" ht="25" hidden="1" customHeight="1" spans="1:3">
      <c r="A57" s="8" t="s">
        <v>67</v>
      </c>
      <c r="B57" s="8" t="s">
        <v>458</v>
      </c>
      <c r="C57" s="9" t="s">
        <v>67</v>
      </c>
    </row>
    <row r="58" s="3" customFormat="1" ht="25" hidden="1" customHeight="1" spans="1:3">
      <c r="A58" s="5" t="s">
        <v>67</v>
      </c>
      <c r="B58" s="7" t="s">
        <v>540</v>
      </c>
      <c r="C58" s="6" t="s">
        <v>1040</v>
      </c>
    </row>
    <row r="59" s="3" customFormat="1" ht="25" hidden="1" customHeight="1" spans="1:3">
      <c r="A59" s="8" t="s">
        <v>66</v>
      </c>
      <c r="B59" s="8" t="s">
        <v>458</v>
      </c>
      <c r="C59" s="9" t="s">
        <v>66</v>
      </c>
    </row>
    <row r="60" s="3" customFormat="1" ht="25" hidden="1" customHeight="1" spans="1:3">
      <c r="A60" s="5" t="s">
        <v>90</v>
      </c>
      <c r="B60" s="7" t="s">
        <v>508</v>
      </c>
      <c r="C60" s="6" t="s">
        <v>1041</v>
      </c>
    </row>
    <row r="61" s="3" customFormat="1" ht="25" hidden="1" customHeight="1" spans="1:3">
      <c r="A61" s="5" t="s">
        <v>94</v>
      </c>
      <c r="B61" s="7" t="s">
        <v>508</v>
      </c>
      <c r="C61" s="6" t="s">
        <v>1042</v>
      </c>
    </row>
    <row r="62" s="3" customFormat="1" ht="25" hidden="1" customHeight="1" spans="1:3">
      <c r="A62" s="5" t="s">
        <v>96</v>
      </c>
      <c r="B62" s="7" t="s">
        <v>508</v>
      </c>
      <c r="C62" s="6" t="s">
        <v>1043</v>
      </c>
    </row>
    <row r="63" s="3" customFormat="1" ht="25" hidden="1" customHeight="1" spans="1:3">
      <c r="A63" s="5" t="s">
        <v>98</v>
      </c>
      <c r="B63" s="7" t="s">
        <v>508</v>
      </c>
      <c r="C63" s="6" t="s">
        <v>1044</v>
      </c>
    </row>
    <row r="64" s="3" customFormat="1" ht="25" hidden="1" customHeight="1" spans="1:3">
      <c r="A64" s="8" t="s">
        <v>60</v>
      </c>
      <c r="B64" s="8" t="s">
        <v>458</v>
      </c>
      <c r="C64" s="9" t="s">
        <v>60</v>
      </c>
    </row>
    <row r="65" s="3" customFormat="1" ht="25" hidden="1" customHeight="1" spans="1:3">
      <c r="A65" s="5" t="s">
        <v>63</v>
      </c>
      <c r="B65" s="5" t="s">
        <v>458</v>
      </c>
      <c r="C65" s="6" t="s">
        <v>63</v>
      </c>
    </row>
    <row r="66" s="3" customFormat="1" ht="25" hidden="1" customHeight="1" spans="1:3">
      <c r="A66" s="5" t="s">
        <v>133</v>
      </c>
      <c r="B66" s="7" t="s">
        <v>548</v>
      </c>
      <c r="C66" s="6" t="s">
        <v>133</v>
      </c>
    </row>
    <row r="67" s="3" customFormat="1" ht="25" hidden="1" customHeight="1" spans="1:3">
      <c r="A67" s="5" t="s">
        <v>1045</v>
      </c>
      <c r="B67" s="7" t="s">
        <v>998</v>
      </c>
      <c r="C67" s="6" t="s">
        <v>1046</v>
      </c>
    </row>
    <row r="68" s="3" customFormat="1" ht="25" hidden="1" customHeight="1" spans="1:3">
      <c r="A68" s="5" t="s">
        <v>28</v>
      </c>
      <c r="B68" s="5" t="s">
        <v>458</v>
      </c>
      <c r="C68" s="6" t="s">
        <v>28</v>
      </c>
    </row>
    <row r="69" s="3" customFormat="1" ht="25" hidden="1" customHeight="1" spans="1:3">
      <c r="A69" s="5" t="s">
        <v>12</v>
      </c>
      <c r="B69" s="5" t="s">
        <v>532</v>
      </c>
      <c r="C69" s="6" t="s">
        <v>1047</v>
      </c>
    </row>
    <row r="70" s="3" customFormat="1" ht="25" hidden="1" customHeight="1" spans="1:3">
      <c r="A70" s="5" t="s">
        <v>136</v>
      </c>
      <c r="B70" s="5" t="s">
        <v>458</v>
      </c>
      <c r="C70" s="6" t="s">
        <v>136</v>
      </c>
    </row>
    <row r="71" s="3" customFormat="1" ht="25" hidden="1" customHeight="1" spans="1:3">
      <c r="A71" s="5" t="s">
        <v>136</v>
      </c>
      <c r="B71" s="5" t="s">
        <v>532</v>
      </c>
      <c r="C71" s="6" t="s">
        <v>557</v>
      </c>
    </row>
    <row r="72" s="3" customFormat="1" ht="25" hidden="1" customHeight="1" spans="1:3">
      <c r="A72" s="5" t="s">
        <v>136</v>
      </c>
      <c r="B72" s="5" t="s">
        <v>998</v>
      </c>
      <c r="C72" s="6" t="s">
        <v>1048</v>
      </c>
    </row>
    <row r="73" s="3" customFormat="1" ht="25" hidden="1" customHeight="1" spans="1:3">
      <c r="A73" s="5" t="s">
        <v>164</v>
      </c>
      <c r="B73" s="5" t="s">
        <v>458</v>
      </c>
      <c r="C73" s="6" t="s">
        <v>164</v>
      </c>
    </row>
    <row r="74" s="3" customFormat="1" ht="25" hidden="1" customHeight="1" spans="1:3">
      <c r="A74" s="5" t="s">
        <v>164</v>
      </c>
      <c r="B74" s="5" t="s">
        <v>1011</v>
      </c>
      <c r="C74" s="6" t="s">
        <v>1049</v>
      </c>
    </row>
    <row r="75" s="3" customFormat="1" ht="25" hidden="1" customHeight="1" spans="1:3">
      <c r="A75" s="5" t="s">
        <v>164</v>
      </c>
      <c r="B75" s="5" t="s">
        <v>1050</v>
      </c>
      <c r="C75" s="6" t="s">
        <v>1051</v>
      </c>
    </row>
    <row r="76" s="3" customFormat="1" ht="25" hidden="1" customHeight="1" spans="1:3">
      <c r="A76" s="5" t="s">
        <v>49</v>
      </c>
      <c r="B76" s="5" t="s">
        <v>458</v>
      </c>
      <c r="C76" s="6" t="s">
        <v>49</v>
      </c>
    </row>
    <row r="77" s="3" customFormat="1" ht="25" hidden="1" customHeight="1" spans="1:3">
      <c r="A77" s="5" t="s">
        <v>49</v>
      </c>
      <c r="B77" s="5" t="s">
        <v>570</v>
      </c>
      <c r="C77" s="6" t="s">
        <v>1052</v>
      </c>
    </row>
    <row r="78" s="3" customFormat="1" ht="25" hidden="1" customHeight="1" spans="1:3">
      <c r="A78" s="5" t="s">
        <v>49</v>
      </c>
      <c r="B78" s="5" t="s">
        <v>449</v>
      </c>
      <c r="C78" s="6" t="s">
        <v>1053</v>
      </c>
    </row>
    <row r="79" s="3" customFormat="1" ht="25" hidden="1" customHeight="1" spans="1:3">
      <c r="A79" s="5" t="s">
        <v>49</v>
      </c>
      <c r="B79" s="5" t="s">
        <v>1054</v>
      </c>
      <c r="C79" s="6" t="s">
        <v>1055</v>
      </c>
    </row>
    <row r="80" s="3" customFormat="1" ht="25" hidden="1" customHeight="1" spans="1:3">
      <c r="A80" s="5" t="s">
        <v>49</v>
      </c>
      <c r="B80" s="5" t="s">
        <v>566</v>
      </c>
      <c r="C80" s="6" t="s">
        <v>1056</v>
      </c>
    </row>
    <row r="81" s="3" customFormat="1" ht="25" hidden="1" customHeight="1" spans="1:3">
      <c r="A81" s="5" t="s">
        <v>270</v>
      </c>
      <c r="B81" s="5" t="s">
        <v>458</v>
      </c>
      <c r="C81" s="5" t="s">
        <v>270</v>
      </c>
    </row>
    <row r="82" s="3" customFormat="1" ht="25" hidden="1" customHeight="1" spans="1:3">
      <c r="A82" s="5" t="s">
        <v>270</v>
      </c>
      <c r="B82" s="5" t="s">
        <v>449</v>
      </c>
      <c r="C82" s="5" t="s">
        <v>635</v>
      </c>
    </row>
    <row r="83" s="3" customFormat="1" ht="25" hidden="1" customHeight="1" spans="1:3">
      <c r="A83" s="5" t="s">
        <v>988</v>
      </c>
      <c r="B83" s="5" t="s">
        <v>458</v>
      </c>
      <c r="C83" s="5" t="s">
        <v>988</v>
      </c>
    </row>
    <row r="84" s="3" customFormat="1" ht="25" hidden="1" customHeight="1" spans="1:3">
      <c r="A84" s="5" t="s">
        <v>988</v>
      </c>
      <c r="B84" s="5" t="s">
        <v>449</v>
      </c>
      <c r="C84" s="5" t="s">
        <v>1057</v>
      </c>
    </row>
    <row r="85" s="3" customFormat="1" ht="25" hidden="1" customHeight="1" spans="1:3">
      <c r="A85" s="5" t="s">
        <v>44</v>
      </c>
      <c r="B85" s="5" t="s">
        <v>449</v>
      </c>
      <c r="C85" s="5" t="s">
        <v>1058</v>
      </c>
    </row>
    <row r="86" s="3" customFormat="1" ht="25" hidden="1" customHeight="1" spans="1:3">
      <c r="A86" s="5" t="s">
        <v>281</v>
      </c>
      <c r="B86" s="5" t="s">
        <v>449</v>
      </c>
      <c r="C86" s="5" t="s">
        <v>1059</v>
      </c>
    </row>
    <row r="87" s="3" customFormat="1" ht="25" hidden="1" customHeight="1" spans="1:3">
      <c r="A87" s="5" t="s">
        <v>19</v>
      </c>
      <c r="B87" s="5" t="s">
        <v>458</v>
      </c>
      <c r="C87" s="5" t="s">
        <v>19</v>
      </c>
    </row>
    <row r="88" s="3" customFormat="1" ht="25" hidden="1" customHeight="1" spans="1:3">
      <c r="A88" s="5" t="s">
        <v>70</v>
      </c>
      <c r="B88" s="5" t="s">
        <v>458</v>
      </c>
      <c r="C88" s="5" t="s">
        <v>70</v>
      </c>
    </row>
    <row r="89" s="3" customFormat="1" ht="25" hidden="1" customHeight="1" spans="1:3">
      <c r="A89" s="5" t="s">
        <v>48</v>
      </c>
      <c r="B89" s="5" t="s">
        <v>458</v>
      </c>
      <c r="C89" s="5" t="s">
        <v>48</v>
      </c>
    </row>
    <row r="90" s="3" customFormat="1" ht="25" hidden="1" customHeight="1" spans="1:3">
      <c r="A90" s="5" t="s">
        <v>48</v>
      </c>
      <c r="B90" s="5" t="s">
        <v>449</v>
      </c>
      <c r="C90" s="5" t="s">
        <v>1060</v>
      </c>
    </row>
    <row r="91" s="3" customFormat="1" ht="25" hidden="1" customHeight="1" spans="1:3">
      <c r="A91" s="5" t="s">
        <v>165</v>
      </c>
      <c r="B91" s="5" t="s">
        <v>449</v>
      </c>
      <c r="C91" s="6" t="s">
        <v>165</v>
      </c>
    </row>
    <row r="92" s="3" customFormat="1" ht="25" hidden="1" customHeight="1" spans="1:3">
      <c r="A92" s="5" t="s">
        <v>165</v>
      </c>
      <c r="B92" s="5" t="s">
        <v>458</v>
      </c>
      <c r="C92" s="6" t="s">
        <v>1061</v>
      </c>
    </row>
    <row r="93" s="3" customFormat="1" ht="25" hidden="1" customHeight="1" spans="1:3">
      <c r="A93" s="5" t="s">
        <v>165</v>
      </c>
      <c r="B93" s="5" t="s">
        <v>1062</v>
      </c>
      <c r="C93" s="6" t="s">
        <v>1063</v>
      </c>
    </row>
    <row r="94" s="3" customFormat="1" ht="25" hidden="1" customHeight="1" spans="1:3">
      <c r="A94" s="5" t="s">
        <v>165</v>
      </c>
      <c r="B94" s="5" t="s">
        <v>1064</v>
      </c>
      <c r="C94" s="6" t="s">
        <v>1065</v>
      </c>
    </row>
    <row r="95" s="3" customFormat="1" ht="25" hidden="1" customHeight="1" spans="1:3">
      <c r="A95" s="5" t="s">
        <v>165</v>
      </c>
      <c r="B95" s="5" t="s">
        <v>1066</v>
      </c>
      <c r="C95" s="6" t="s">
        <v>1067</v>
      </c>
    </row>
    <row r="96" s="3" customFormat="1" ht="25" hidden="1" customHeight="1" spans="1:3">
      <c r="A96" s="5" t="s">
        <v>165</v>
      </c>
      <c r="B96" s="5" t="s">
        <v>1068</v>
      </c>
      <c r="C96" s="6" t="s">
        <v>1069</v>
      </c>
    </row>
    <row r="97" s="3" customFormat="1" ht="25" hidden="1" customHeight="1" spans="1:3">
      <c r="A97" s="5" t="s">
        <v>165</v>
      </c>
      <c r="B97" s="5" t="s">
        <v>1070</v>
      </c>
      <c r="C97" s="6" t="s">
        <v>1071</v>
      </c>
    </row>
    <row r="98" s="3" customFormat="1" ht="25" hidden="1" customHeight="1" spans="1:3">
      <c r="A98" s="8" t="s">
        <v>165</v>
      </c>
      <c r="B98" s="8" t="s">
        <v>536</v>
      </c>
      <c r="C98" s="9" t="s">
        <v>1072</v>
      </c>
    </row>
    <row r="99" s="3" customFormat="1" ht="25" hidden="1" customHeight="1" spans="1:3">
      <c r="A99" s="5" t="s">
        <v>1073</v>
      </c>
      <c r="B99" s="5" t="s">
        <v>1070</v>
      </c>
      <c r="C99" s="6" t="s">
        <v>1074</v>
      </c>
    </row>
    <row r="100" s="3" customFormat="1" ht="25" hidden="1" customHeight="1" spans="1:3">
      <c r="A100" s="5" t="s">
        <v>270</v>
      </c>
      <c r="B100" s="5" t="s">
        <v>622</v>
      </c>
      <c r="C100" s="6" t="s">
        <v>1075</v>
      </c>
    </row>
    <row r="101" s="3" customFormat="1" ht="25" hidden="1" customHeight="1" spans="1:3">
      <c r="A101" s="5" t="s">
        <v>69</v>
      </c>
      <c r="B101" s="5" t="s">
        <v>458</v>
      </c>
      <c r="C101" s="6" t="s">
        <v>69</v>
      </c>
    </row>
    <row r="102" s="3" customFormat="1" ht="25" hidden="1" customHeight="1" spans="1:3">
      <c r="A102" s="5" t="s">
        <v>165</v>
      </c>
      <c r="B102" s="5" t="s">
        <v>628</v>
      </c>
      <c r="C102" s="6" t="s">
        <v>1076</v>
      </c>
    </row>
    <row r="103" s="3" customFormat="1" ht="25" hidden="1" customHeight="1" spans="1:3">
      <c r="A103" s="5" t="s">
        <v>45</v>
      </c>
      <c r="B103" s="5" t="s">
        <v>449</v>
      </c>
      <c r="C103" s="6" t="s">
        <v>1077</v>
      </c>
    </row>
    <row r="104" s="3" customFormat="1" ht="25" hidden="1" customHeight="1" spans="1:3">
      <c r="A104" s="5" t="s">
        <v>71</v>
      </c>
      <c r="B104" s="5" t="s">
        <v>643</v>
      </c>
      <c r="C104" s="6" t="s">
        <v>1078</v>
      </c>
    </row>
    <row r="105" s="3" customFormat="1" ht="25" hidden="1" customHeight="1" spans="1:3">
      <c r="A105" s="5" t="s">
        <v>69</v>
      </c>
      <c r="B105" s="5" t="s">
        <v>643</v>
      </c>
      <c r="C105" s="6" t="s">
        <v>1079</v>
      </c>
    </row>
    <row r="106" s="3" customFormat="1" ht="25" hidden="1" customHeight="1" spans="1:3">
      <c r="A106" s="5" t="s">
        <v>71</v>
      </c>
      <c r="B106" s="5" t="s">
        <v>654</v>
      </c>
      <c r="C106" s="6" t="s">
        <v>1080</v>
      </c>
    </row>
    <row r="107" s="3" customFormat="1" ht="25" hidden="1" customHeight="1" spans="1:3">
      <c r="A107" s="5" t="s">
        <v>10</v>
      </c>
      <c r="B107" s="5" t="s">
        <v>654</v>
      </c>
      <c r="C107" s="6" t="s">
        <v>1081</v>
      </c>
    </row>
    <row r="108" s="3" customFormat="1" ht="25" hidden="1" customHeight="1" spans="1:3">
      <c r="A108" s="5" t="s">
        <v>69</v>
      </c>
      <c r="B108" s="5" t="s">
        <v>654</v>
      </c>
      <c r="C108" s="6" t="s">
        <v>1082</v>
      </c>
    </row>
    <row r="109" s="3" customFormat="1" ht="25" customHeight="1" spans="1:3">
      <c r="A109" s="5" t="s">
        <v>46</v>
      </c>
      <c r="B109" s="5" t="s">
        <v>472</v>
      </c>
      <c r="C109" s="6" t="s">
        <v>1083</v>
      </c>
    </row>
    <row r="110" s="3" customFormat="1" ht="25" hidden="1" customHeight="1" spans="1:3">
      <c r="A110" s="5" t="s">
        <v>69</v>
      </c>
      <c r="B110" s="5" t="s">
        <v>487</v>
      </c>
      <c r="C110" s="6" t="s">
        <v>1084</v>
      </c>
    </row>
    <row r="111" s="3" customFormat="1" ht="25" hidden="1" customHeight="1" spans="1:3">
      <c r="A111" s="5" t="s">
        <v>70</v>
      </c>
      <c r="B111" s="5" t="s">
        <v>487</v>
      </c>
      <c r="C111" s="6" t="s">
        <v>1085</v>
      </c>
    </row>
    <row r="112" s="3" customFormat="1" ht="25" customHeight="1" spans="1:3">
      <c r="A112" s="5" t="s">
        <v>65</v>
      </c>
      <c r="B112" s="5" t="s">
        <v>449</v>
      </c>
      <c r="C112" s="6" t="s">
        <v>1086</v>
      </c>
    </row>
    <row r="113" s="3" customFormat="1" ht="25" customHeight="1" spans="1:3">
      <c r="A113" s="5" t="s">
        <v>68</v>
      </c>
      <c r="B113" s="5" t="s">
        <v>494</v>
      </c>
      <c r="C113" s="6" t="s">
        <v>1087</v>
      </c>
    </row>
    <row r="114" s="3" customFormat="1" ht="25" customHeight="1" spans="1:3">
      <c r="A114" s="5"/>
      <c r="B114" s="5"/>
      <c r="C114" s="6"/>
    </row>
    <row r="115" ht="25" customHeight="1"/>
    <row r="116" ht="25" customHeight="1"/>
    <row r="117" ht="25" customHeight="1"/>
    <row r="118" ht="25" customHeight="1"/>
    <row r="119" ht="25" customHeight="1"/>
    <row r="120" ht="25" customHeight="1"/>
    <row r="121" ht="25" customHeight="1"/>
    <row r="122" ht="25" customHeight="1"/>
    <row r="123" ht="25" customHeight="1"/>
    <row r="124" ht="25" customHeight="1"/>
    <row r="125" ht="25" customHeight="1"/>
    <row r="126" ht="25" customHeight="1"/>
    <row r="127" ht="25" customHeight="1"/>
    <row r="128" ht="25" customHeight="1"/>
    <row r="129" ht="25" customHeight="1"/>
    <row r="130" ht="25" customHeight="1"/>
    <row r="131" ht="25" customHeight="1"/>
    <row r="132" ht="25" customHeight="1"/>
    <row r="133" ht="25" customHeight="1"/>
    <row r="134" ht="25" customHeight="1"/>
    <row r="135" ht="25" customHeight="1"/>
    <row r="136" ht="25" customHeight="1"/>
    <row r="137" ht="25" customHeight="1"/>
    <row r="138" ht="25" customHeight="1"/>
    <row r="139" ht="25" customHeight="1"/>
    <row r="140" ht="25" customHeight="1"/>
    <row r="141" ht="25" customHeight="1"/>
    <row r="142" ht="25" customHeight="1"/>
    <row r="143" ht="25" customHeight="1"/>
    <row r="144" ht="25" customHeight="1"/>
    <row r="145" ht="25" customHeight="1"/>
    <row r="146" ht="25" customHeight="1"/>
    <row r="147" ht="25" customHeight="1"/>
    <row r="148" ht="25" customHeight="1"/>
    <row r="149" ht="25" customHeight="1"/>
    <row r="150" ht="25" customHeight="1"/>
    <row r="151" ht="25" customHeight="1"/>
    <row r="152" ht="25" customHeight="1"/>
    <row r="153" ht="25" customHeight="1"/>
    <row r="154" ht="25" customHeight="1"/>
    <row r="155" ht="25" customHeight="1"/>
    <row r="156" ht="25" customHeight="1"/>
    <row r="157" ht="25" customHeight="1"/>
    <row r="158" ht="25" customHeight="1"/>
    <row r="159" ht="25" customHeight="1"/>
    <row r="160" ht="25" customHeight="1"/>
    <row r="161" ht="25" customHeight="1"/>
    <row r="162" ht="25" customHeight="1"/>
    <row r="163" ht="25" customHeight="1"/>
    <row r="164" ht="25" customHeight="1"/>
    <row r="165" ht="25" customHeight="1"/>
    <row r="166" ht="25" customHeight="1"/>
    <row r="167" ht="25" customHeight="1"/>
    <row r="168" ht="25" customHeight="1"/>
    <row r="169" ht="25" customHeight="1"/>
    <row r="170" ht="25" customHeight="1"/>
    <row r="171" ht="25" customHeight="1"/>
    <row r="172" ht="25" customHeight="1"/>
    <row r="173" ht="25" customHeight="1"/>
    <row r="174" ht="25" customHeight="1"/>
    <row r="175" ht="25" customHeight="1"/>
    <row r="176" ht="25" customHeight="1"/>
    <row r="177" ht="25" customHeight="1"/>
    <row r="178" ht="25" customHeight="1"/>
    <row r="179" ht="25" customHeight="1"/>
    <row r="180" ht="25" customHeight="1"/>
    <row r="181" ht="25" customHeight="1"/>
    <row r="182" ht="25" customHeight="1"/>
    <row r="183" ht="25" customHeight="1"/>
    <row r="184" ht="25" customHeight="1"/>
    <row r="185" ht="25" customHeight="1"/>
    <row r="186" ht="25" customHeight="1"/>
    <row r="187" ht="25" customHeight="1"/>
    <row r="188" ht="25" customHeight="1"/>
    <row r="189" ht="25" customHeight="1"/>
    <row r="190" ht="25" customHeight="1"/>
    <row r="191" ht="25" customHeight="1"/>
    <row r="192" ht="25" customHeight="1"/>
    <row r="193" ht="25" customHeight="1"/>
    <row r="194" ht="25" customHeight="1"/>
    <row r="195" ht="25" customHeight="1"/>
    <row r="196" ht="25" customHeight="1"/>
    <row r="197" ht="25" customHeight="1"/>
    <row r="198" ht="25" customHeight="1"/>
    <row r="199" ht="25" customHeight="1"/>
    <row r="200" ht="25" customHeight="1"/>
    <row r="201" ht="25" customHeight="1"/>
    <row r="202" ht="25" customHeight="1"/>
    <row r="203" ht="25" customHeight="1"/>
    <row r="204" ht="25" customHeight="1"/>
  </sheetData>
  <sheetProtection formatCells="0" formatColumns="0" formatRows="0" insertRows="0" insertColumns="0" insertHyperlinks="0" deleteColumns="0" deleteRows="0" sort="0" autoFilter="0" pivotTables="0"/>
  <autoFilter xmlns:etc="http://www.wps.cn/officeDocument/2017/etCustomData" ref="A1:C113" etc:filterBottomFollowUsedRange="0">
    <filterColumn colId="0">
      <customFilters>
        <customFilter operator="equal" val="BS074D6"/>
      </customFilters>
    </filterColumn>
    <extLst/>
  </autoFilter>
  <pageMargins left="0.75" right="0.75" top="1" bottom="1" header="0.5" footer="0.5"/>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2"/>
  <sheetViews>
    <sheetView workbookViewId="0">
      <selection activeCell="M53" sqref="M53"/>
    </sheetView>
  </sheetViews>
  <sheetFormatPr defaultColWidth="8.89166666666667" defaultRowHeight="13.5" outlineLevelCol="5"/>
  <cols>
    <col min="1" max="16384" width="8.89166666666667" style="1"/>
  </cols>
  <sheetData>
    <row r="1" spans="1:6">
      <c r="A1" s="2" t="s">
        <v>1088</v>
      </c>
      <c r="B1" s="2"/>
      <c r="C1" s="2"/>
      <c r="D1" s="2"/>
      <c r="E1" s="2"/>
      <c r="F1" s="2"/>
    </row>
    <row r="2" spans="1:6">
      <c r="A2" s="2" t="s">
        <v>991</v>
      </c>
      <c r="B2" s="2" t="s">
        <v>8</v>
      </c>
      <c r="C2" s="2" t="s">
        <v>1089</v>
      </c>
      <c r="D2" s="2"/>
      <c r="E2" s="2"/>
      <c r="F2" s="2"/>
    </row>
    <row r="3" spans="1:6">
      <c r="A3" s="2" t="s">
        <v>748</v>
      </c>
      <c r="B3" s="2">
        <v>6</v>
      </c>
      <c r="C3" s="2" t="s">
        <v>1090</v>
      </c>
      <c r="D3" s="2" t="s">
        <v>1091</v>
      </c>
      <c r="E3" s="2" t="s">
        <v>1092</v>
      </c>
      <c r="F3" s="2" t="s">
        <v>1093</v>
      </c>
    </row>
    <row r="4" spans="1:6">
      <c r="A4" s="2"/>
      <c r="B4" s="2"/>
      <c r="C4" s="2">
        <v>2</v>
      </c>
      <c r="D4" s="2">
        <v>2</v>
      </c>
      <c r="E4" s="2">
        <v>1</v>
      </c>
      <c r="F4" s="2">
        <v>1</v>
      </c>
    </row>
    <row r="5" spans="1:6">
      <c r="A5" s="2" t="s">
        <v>758</v>
      </c>
      <c r="B5" s="2">
        <v>6</v>
      </c>
      <c r="C5" s="2" t="s">
        <v>1094</v>
      </c>
      <c r="D5" s="2" t="s">
        <v>1095</v>
      </c>
      <c r="E5" s="2" t="s">
        <v>1096</v>
      </c>
      <c r="F5" s="2" t="s">
        <v>1097</v>
      </c>
    </row>
    <row r="6" spans="1:6">
      <c r="A6" s="2"/>
      <c r="B6" s="2"/>
      <c r="C6" s="2">
        <v>2</v>
      </c>
      <c r="D6" s="2">
        <v>2</v>
      </c>
      <c r="E6" s="2">
        <v>1</v>
      </c>
      <c r="F6" s="2">
        <v>1</v>
      </c>
    </row>
    <row r="7" spans="1:6">
      <c r="A7" s="2" t="s">
        <v>809</v>
      </c>
      <c r="B7" s="2">
        <v>6</v>
      </c>
      <c r="C7" s="2" t="s">
        <v>1098</v>
      </c>
      <c r="D7" s="2" t="s">
        <v>1099</v>
      </c>
      <c r="E7" s="2" t="s">
        <v>1100</v>
      </c>
      <c r="F7" s="2" t="s">
        <v>1101</v>
      </c>
    </row>
    <row r="8" spans="1:6">
      <c r="A8" s="2"/>
      <c r="B8" s="2"/>
      <c r="C8" s="2">
        <v>2</v>
      </c>
      <c r="D8" s="2">
        <v>2</v>
      </c>
      <c r="E8" s="2">
        <v>1</v>
      </c>
      <c r="F8" s="2">
        <v>1</v>
      </c>
    </row>
    <row r="9" spans="1:6">
      <c r="A9" s="2" t="s">
        <v>812</v>
      </c>
      <c r="B9" s="2">
        <v>6</v>
      </c>
      <c r="C9" s="2" t="s">
        <v>1102</v>
      </c>
      <c r="D9" s="2" t="s">
        <v>1103</v>
      </c>
      <c r="E9" s="2" t="s">
        <v>1104</v>
      </c>
      <c r="F9" s="2" t="s">
        <v>1105</v>
      </c>
    </row>
    <row r="10" spans="1:6">
      <c r="A10" s="2"/>
      <c r="B10" s="2"/>
      <c r="C10" s="2">
        <v>2</v>
      </c>
      <c r="D10" s="2">
        <v>2</v>
      </c>
      <c r="E10" s="2">
        <v>1</v>
      </c>
      <c r="F10" s="2">
        <v>1</v>
      </c>
    </row>
    <row r="11" spans="1:6">
      <c r="A11" s="2"/>
      <c r="B11" s="2"/>
      <c r="C11" s="2"/>
      <c r="D11" s="2"/>
      <c r="E11" s="2"/>
      <c r="F11" s="2"/>
    </row>
    <row r="12" spans="1:6">
      <c r="A12" s="2"/>
      <c r="B12" s="2"/>
      <c r="C12" s="2"/>
      <c r="D12" s="2"/>
      <c r="E12" s="2"/>
      <c r="F12" s="2"/>
    </row>
    <row r="13" spans="1:6">
      <c r="A13" s="2"/>
      <c r="B13" s="2"/>
      <c r="C13" s="2"/>
      <c r="D13" s="2"/>
      <c r="E13" s="2"/>
      <c r="F13" s="2"/>
    </row>
    <row r="14" spans="1:6">
      <c r="A14" s="2"/>
      <c r="B14" s="2"/>
      <c r="C14" s="2"/>
      <c r="D14" s="2"/>
      <c r="E14" s="2"/>
      <c r="F14" s="2"/>
    </row>
    <row r="15" spans="1:6">
      <c r="A15" s="2"/>
      <c r="B15" s="2"/>
      <c r="C15" s="2"/>
      <c r="D15" s="2"/>
      <c r="E15" s="2"/>
      <c r="F15" s="2"/>
    </row>
    <row r="16" spans="1:6">
      <c r="A16" s="2"/>
      <c r="B16" s="2"/>
      <c r="C16" s="2"/>
      <c r="D16" s="2"/>
      <c r="E16" s="2"/>
      <c r="F16" s="2"/>
    </row>
    <row r="17" spans="1:6">
      <c r="A17" s="2"/>
      <c r="B17" s="2"/>
      <c r="C17" s="2"/>
      <c r="D17" s="2"/>
      <c r="E17" s="2"/>
      <c r="F17" s="2"/>
    </row>
    <row r="18" spans="1:6">
      <c r="A18" s="2"/>
      <c r="B18" s="2"/>
      <c r="C18" s="2"/>
      <c r="D18" s="2"/>
      <c r="E18" s="2"/>
      <c r="F18" s="2"/>
    </row>
    <row r="19" spans="1:6">
      <c r="A19" s="2"/>
      <c r="B19" s="2"/>
      <c r="C19" s="2"/>
      <c r="D19" s="2"/>
      <c r="E19" s="2"/>
      <c r="F19" s="2"/>
    </row>
    <row r="20" spans="1:6">
      <c r="A20" s="2"/>
      <c r="B20" s="2"/>
      <c r="C20" s="2"/>
      <c r="D20" s="2"/>
      <c r="E20" s="2"/>
      <c r="F20" s="2"/>
    </row>
    <row r="21" spans="1:6">
      <c r="A21" s="2"/>
      <c r="B21" s="2"/>
      <c r="C21" s="2"/>
      <c r="D21" s="2"/>
      <c r="E21" s="2"/>
      <c r="F21" s="2"/>
    </row>
    <row r="22" spans="1:6">
      <c r="A22" s="2"/>
      <c r="B22" s="2"/>
      <c r="C22" s="2"/>
      <c r="D22" s="2"/>
      <c r="E22" s="2"/>
      <c r="F22" s="2"/>
    </row>
    <row r="23" spans="1:6">
      <c r="A23" s="2"/>
      <c r="B23" s="2"/>
      <c r="C23" s="2"/>
      <c r="D23" s="2"/>
      <c r="E23" s="2"/>
      <c r="F23" s="2"/>
    </row>
    <row r="24" spans="1:6">
      <c r="A24" s="2"/>
      <c r="B24" s="2"/>
      <c r="C24" s="2"/>
      <c r="D24" s="2"/>
      <c r="E24" s="2"/>
      <c r="F24" s="2"/>
    </row>
    <row r="25" spans="1:6">
      <c r="A25" s="2"/>
      <c r="B25" s="2"/>
      <c r="C25" s="2"/>
      <c r="D25" s="2"/>
      <c r="E25" s="2"/>
      <c r="F25" s="2"/>
    </row>
    <row r="26" spans="1:6">
      <c r="A26" s="2"/>
      <c r="B26" s="2"/>
      <c r="C26" s="2"/>
      <c r="D26" s="2"/>
      <c r="E26" s="2"/>
      <c r="F26" s="2"/>
    </row>
    <row r="27" spans="1:6">
      <c r="A27" s="2"/>
      <c r="B27" s="2"/>
      <c r="C27" s="2"/>
      <c r="D27" s="2"/>
      <c r="E27" s="2"/>
      <c r="F27" s="2"/>
    </row>
    <row r="28" spans="1:6">
      <c r="A28" s="2"/>
      <c r="B28" s="2"/>
      <c r="C28" s="2"/>
      <c r="D28" s="2"/>
      <c r="E28" s="2"/>
      <c r="F28" s="2"/>
    </row>
    <row r="29" spans="1:6">
      <c r="A29" s="2"/>
      <c r="B29" s="2"/>
      <c r="C29" s="2"/>
      <c r="D29" s="2"/>
      <c r="E29" s="2"/>
      <c r="F29" s="2"/>
    </row>
    <row r="30" spans="1:6">
      <c r="A30" s="2"/>
      <c r="B30" s="2"/>
      <c r="C30" s="2"/>
      <c r="D30" s="2"/>
      <c r="E30" s="2"/>
      <c r="F30" s="2"/>
    </row>
    <row r="31" spans="1:6">
      <c r="A31" s="2"/>
      <c r="B31" s="2"/>
      <c r="C31" s="2"/>
      <c r="D31" s="2"/>
      <c r="E31" s="2"/>
      <c r="F31" s="2"/>
    </row>
    <row r="32" spans="1:6">
      <c r="A32" s="2"/>
      <c r="B32" s="2"/>
      <c r="C32" s="2"/>
      <c r="D32" s="2"/>
      <c r="E32" s="2"/>
      <c r="F32" s="2"/>
    </row>
  </sheetData>
  <sheetProtection formatCells="0" formatColumns="0" formatRows="0" insertRows="0" insertColumns="0" insertHyperlinks="0" deleteColumns="0" deleteRows="0" sort="0" autoFilter="0" pivotTables="0"/>
  <mergeCells count="32">
    <mergeCell ref="A1:F1"/>
    <mergeCell ref="C2:F2"/>
    <mergeCell ref="A3:A4"/>
    <mergeCell ref="A5:A6"/>
    <mergeCell ref="A7:A8"/>
    <mergeCell ref="A9:A10"/>
    <mergeCell ref="A11:A12"/>
    <mergeCell ref="A13:A14"/>
    <mergeCell ref="A15:A16"/>
    <mergeCell ref="A17:A18"/>
    <mergeCell ref="A19:A20"/>
    <mergeCell ref="A21:A22"/>
    <mergeCell ref="A23:A24"/>
    <mergeCell ref="A25:A26"/>
    <mergeCell ref="A27:A28"/>
    <mergeCell ref="A29:A30"/>
    <mergeCell ref="A31:A32"/>
    <mergeCell ref="B3:B4"/>
    <mergeCell ref="B5:B6"/>
    <mergeCell ref="B7:B8"/>
    <mergeCell ref="B9:B10"/>
    <mergeCell ref="B11:B12"/>
    <mergeCell ref="B13:B14"/>
    <mergeCell ref="B15:B16"/>
    <mergeCell ref="B17:B18"/>
    <mergeCell ref="B19:B20"/>
    <mergeCell ref="B21:B22"/>
    <mergeCell ref="B23:B24"/>
    <mergeCell ref="B25:B26"/>
    <mergeCell ref="B27:B28"/>
    <mergeCell ref="B29:B30"/>
    <mergeCell ref="B31:B32"/>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xmlns:r="http://schemas.openxmlformats.org/officeDocument/2006/relationships">
  <commentList sheetStid="4">
    <commentChains s:ref="K93" rgbClr="FF0000">
      <unresolved>
        <commentChain chainId="49b937194254d13689ba8f3b301e407614392d67">
          <item id="1587d090726665487ffdcd66125e762e4da703b7" userID="1850010794" userName="龙丽娟" dateTime="2026-07-02T02:17:23" isNormal="0">
            <s:text>
              <s:r>
                <s:t xml:space="preserve">201033 7/1 8044pcs</s:t>
              </s:r>
            </s:text>
          </item>
        </commentChain>
      </unresolved>
      <resolved/>
    </commentChains>
    <commentChains s:ref="B203" rgbClr="FF0000">
      <unresolved>
        <commentChain chainId="acac3ce69d42bec949ccd2a1368c23e1bb076293">
          <item id="8626ba1c53f13695b382ff2923952a04fbcf350b" isNormal="1">
            <s:text>
              <s:r>
                <s:t xml:space="preserve">25年库存
A：674102.13
B：3009502.32
印尼：1248171.6</s:t>
              </s:r>
            </s:text>
          </item>
        </commentChain>
      </unresolved>
      <resolved/>
    </commentChains>
  </commentList>
  <commentList sheetStid="5">
    <commentChains s:ref="AJ2" rgbClr="FF0000">
      <unresolved>
        <commentChain chainId="63aa266aec3aac23529e2ba4bc36c77b29bb0dd0">
          <item id="3bbacadb8a98a3749042e08096888b582cdef66b" userID="1851561945" userName="石玉珍" dateTime="2026-08-04T00:46:16" isNormal="0">
            <s:text>
              <s:r>
                <s:t xml:space="preserve">3004726 8/1 1120 pcs 欣泰A5
30004732 8/1 672 pcs 欣泰C6
3004714 8/1 1976 pcs 欣泰A5</s:t>
              </s:r>
            </s:text>
          </item>
          <item id="739688a3dedaa163644282694de7874988a4cf4d" userID="1851561945" userName="石玉珍" dateTime="2026-08-10T00:28:46" isNormal="0">
            <s:text>
              <s:r>
                <s:t xml:space="preserve">3003921 8/7 216 pcs 馥通D1</s:t>
              </s:r>
            </s:text>
          </item>
        </commentChain>
      </unresolved>
      <resolved/>
    </commentChains>
  </commentList>
  <commentList sheetStid="6">
    <commentChains s:ref="AK3" rgbClr="FF0000">
      <unresolved>
        <commentChain chainId="038fa86589f156ed1e3d12084f652a098c3fc59a">
          <item id="9d52a73c3d989a48d0c2511de20a152d38a94f6c" userID="1850010794" userName="龙丽娟" dateTime="2026-08-12T12:15:29" isNormal="0">
            <s:text>
              <s:r>
                <s:t xml:space="preserve">8/10 2004pcs 欣泰E7</s:t>
              </s:r>
            </s:text>
          </item>
        </commentChain>
      </unresolved>
      <resolved/>
    </commentChains>
    <commentChains s:ref="AK5" rgbClr="FF0000">
      <unresolved>
        <commentChain chainId="ffd083b46f2708d696a300a60013c714e57f94bc">
          <item id="a8d616d00283b8e2d9bba6f910003b4f440aaf35" userID="1850010794" userName="龙丽娟" dateTime="2026-08-12T12:16:44" isNormal="0">
            <s:text>
              <s:r>
                <s:t xml:space="preserve">1001498 8/10 84PCS 欣泰E4</s:t>
              </s:r>
            </s:text>
          </item>
        </commentChain>
      </unresolved>
      <resolved/>
    </commentChains>
    <commentChains s:ref="AK8" rgbClr="FF0000">
      <unresolved>
        <commentChain chainId="a95ed7feccd0a6814008be935916500652766cb8">
          <item id="3c4cdc80321f8f7e08c241a83f15f509aac8a18a" userID="1850010794" userName="龙丽娟" dateTime="2026-08-12T12:13:48" isNormal="0">
            <s:text>
              <s:r>
                <s:t xml:space="preserve">8/10 1001498 3000pcs欣泰F4</s:t>
              </s:r>
            </s:text>
          </item>
        </commentChain>
      </unresolved>
      <resolved/>
    </commentChains>
    <commentChains s:ref="AK10" rgbClr="FF0000">
      <unresolved>
        <commentChain chainId="b091edbfd9a40fbe04709d92dc8776221f81fc34">
          <item id="ba1b62d92cc51248e892ed6102548589caec1de9" userID="1850010794" userName="龙丽娟" dateTime="2026-08-12T12:14:18" isNormal="0">
            <s:text>
              <s:r>
                <s:t xml:space="preserve">1001498 8/10 1200pcs欣泰E6</s:t>
              </s:r>
            </s:text>
          </item>
        </commentChain>
      </unresolved>
      <resolved/>
    </commentChains>
  </commentList>
  <commentList sheetStid="8">
    <commentChains s:ref="AJ7" rgbClr="FF0000">
      <unresolved>
        <commentChain chainId="315eb0d88f4570ec16d5708201f51c48c6d4a5a1">
          <item id="083bd5c3a15013c6710ad4710a908085905412d4" isNormal="1">
            <s:text>
              <s:r>
                <s:t xml:space="preserve">Administrator:
1600024 12/22 1578pcs B4楼B4区
1600045 12/23  408pcs B4楼C4区
1600052 12/24   18pcs B4楼C4区</s:t>
              </s:r>
            </s:text>
          </item>
        </commentChain>
      </unresolved>
      <resolved/>
    </commentChains>
    <commentChains s:ref="AL7" rgbClr="FF0000">
      <unresolved>
        <commentChain chainId="eab766ca40f7ae6040a28a9c2a911fc6ab840c7c">
          <item id="17811b0a6a8adf7e2afa71895e865c87cfa1de9f" isNormal="1">
            <s:text>
              <s:r>
                <s:t xml:space="preserve">Administrator:
11/24 上客贴纸 2200pcs</s:t>
              </s:r>
            </s:text>
          </item>
        </commentChain>
      </unresolved>
      <resolved/>
    </commentChains>
    <commentChains s:ref="AJ8" rgbClr="FF0000">
      <unresolved>
        <commentChain chainId="f715293e49121750c1af45dd2e20e5bbcabef6a3">
          <item id="575a1e74f38e1aba3068133d7733b3e37f3f2cf1" isNormal="1">
            <s:text>
              <s:r>
                <s:t xml:space="preserve">Administrator:
1600030 12/22 3036pcs B4楼A4区
1600045 12/23  162pcs B4楼A4区</s:t>
              </s:r>
            </s:text>
          </item>
        </commentChain>
      </unresolved>
      <resolved/>
    </commentChains>
    <commentChains s:ref="AL8" rgbClr="FF0000">
      <unresolved>
        <commentChain chainId="8c38b425e284628b6613a169b0350c08f3543321">
          <item id="7b29b890c3f06b6153c44f54b9f0f7a51021fa3d" isNormal="1">
            <s:text>
              <s:r>
                <s:t xml:space="preserve">Administrator:
11/24 上客贴纸 3300pcs</s:t>
              </s:r>
            </s:text>
          </item>
        </commentChain>
      </unresolved>
      <resolved/>
    </commentChains>
    <commentChains s:ref="AJ9" rgbClr="FF0000">
      <unresolved>
        <commentChain chainId="bcf8095995376bb2c09a84097f90eab95e5a4038">
          <item id="4abd68c9b74cfe19b251b09b4be892c351d0a862" isNormal="1">
            <s:text>
              <s:r>
                <s:t xml:space="preserve">Administrator:
1600024 12/22 2244pcs B4楼C4区
1600045 12/23  132pcs B4楼C4区
1600052 12/24   24pcs B4楼C4区</s:t>
              </s:r>
            </s:text>
          </item>
        </commentChain>
      </unresolved>
      <resolved/>
    </commentChains>
    <commentChains s:ref="AL9" rgbClr="FF0000">
      <unresolved>
        <commentChain chainId="092a1a5f20f445578b12aa45647f4ca296e6f3aa">
          <item id="d42aa81ba95f447307cb678eecb9c7cadd773549" isNormal="1">
            <s:text>
              <s:r>
                <s:t xml:space="preserve">Administrator:
11/24 上客贴纸 2600pcs</s:t>
              </s:r>
            </s:text>
          </item>
        </commentChain>
      </unresolved>
      <resolved/>
    </commentChains>
    <commentChains s:ref="AJ12" rgbClr="FF0000">
      <unresolved>
        <commentChain chainId="ae59ca339a165469fc0d95f0573c494a31a2b34e">
          <item id="6f4b7dd2130b4955c708d75d34a4783815297f8d" isNormal="1">
            <s:text>
              <s:r>
                <s:t xml:space="preserve">Administrator:
1600140 12/29 4002pcs</s:t>
              </s:r>
            </s:text>
          </item>
        </commentChain>
      </unresolved>
      <resolved/>
    </commentChains>
    <commentChains s:ref="AJ21" rgbClr="FF0000">
      <unresolved>
        <commentChain chainId="2e9727ec24f92c1033167ae9aff09fad970a7ec5">
          <item id="de51aff945ce305f20fa70dbe915df731fb8a03a" isNormal="1">
            <s:text>
              <s:r>
                <s:t xml:space="preserve">Administrator:
1001267 1/23 648 pcs 王四楼C1
1001272 1/24 64 pcs</s:t>
              </s:r>
            </s:text>
          </item>
        </commentChain>
      </unresolved>
      <resolved/>
    </commentChains>
    <commentChains s:ref="AJ22" rgbClr="FF0000">
      <unresolved>
        <commentChain chainId="830bc9a1d03e4a9fc29bbe5fcb43205ab9b50596">
          <item id="c6de7d4ee34273ac914f6cfa644d696b510cc212" isNormal="1">
            <s:text>
              <s:r>
                <s:t xml:space="preserve">Administrator:
1001267 1/23 80 pcs 王四楼B1</s:t>
              </s:r>
            </s:text>
          </item>
        </commentChain>
      </unresolved>
      <resolved/>
    </commentChains>
    <commentChains s:ref="AJ26" rgbClr="FF0000">
      <unresolved>
        <commentChain chainId="eb56505fabceca518db810315cf1237011d3b366">
          <item id="d9e117edc4d6d94971e156607ded50c5098ea931" isNormal="1">
            <s:text>
              <s:r>
                <s:t xml:space="preserve">Administrator:
1405618 2/3 2280pcs 华兴三B10
1405613 2/4 2706pcs</s:t>
              </s:r>
            </s:text>
          </item>
        </commentChain>
      </unresolved>
      <resolved/>
    </commentChains>
    <commentChains s:ref="AJ27" rgbClr="FF0000">
      <unresolved>
        <commentChain chainId="1a7eec0904e609bab078c5739879fbb7467fbc76">
          <item id="d101e1238199c4c4ffc4850a26b062fbd5a0310e" isNormal="1">
            <s:text>
              <s:r>
                <s:t xml:space="preserve">Administrator:
1405636 2/3 3594pcs 华兴三A31
1405613 2/4  561pcs</s:t>
              </s:r>
            </s:text>
          </item>
        </commentChain>
      </unresolved>
      <resolved/>
    </commentChains>
    <commentChains s:ref="AL27" rgbClr="FF0000">
      <unresolved>
        <commentChain chainId="db0b8a6e44ffd5ad105fa0e58d86fe84f3e2fab3">
          <item id="9c2cb1598363dd67a776d81ad9bf8e3c59157b2d" isNormal="1">
            <s:text>
              <s:r>
                <s:t xml:space="preserve">Administrator:
12/18 上客贴纸40*46MM 4400pcs
      上客贴纸55*17MM 4400pcs
      上客贴纸37/17MM 4400pcs</s:t>
              </s:r>
            </s:text>
          </item>
        </commentChain>
      </unresolved>
      <resolved/>
    </commentChains>
    <commentChains s:ref="AJ28" rgbClr="FF0000">
      <unresolved>
        <commentChain chainId="b4dfb5cf5c76f8b67da0a0ccca1ae906ea6b94c4">
          <item id="f0767d2b234c03fad5fed83624516a8612990d49" isNormal="1">
            <s:text>
              <s:r>
                <s:t xml:space="preserve">Administrator:
1405632 2/3 4092pcs B4楼A7区</s:t>
              </s:r>
            </s:text>
          </item>
        </commentChain>
      </unresolved>
      <resolved/>
    </commentChains>
    <commentChains s:ref="AL28" rgbClr="FF0000">
      <unresolved>
        <commentChain chainId="981bfd4e6c83534d8433e1f60e76a469f1593447">
          <item id="c4250a42b4b187e094f59db86d9c040d51d9a886" isNormal="1">
            <s:text>
              <s:r>
                <s:t xml:space="preserve">Administrator:
12/18 上客贴纸40*48MM 4400pcs
      上客贴纸55*17MM 4400pcs
      上客贴纸37/17MM 4400pcs</s:t>
              </s:r>
            </s:text>
          </item>
        </commentChain>
      </unresolved>
      <resolved/>
    </commentChains>
    <commentChains s:ref="AJ29" rgbClr="FF0000">
      <unresolved>
        <commentChain chainId="ddfceed78c79e205e85702cc0161ce46b69c159d">
          <item id="8e1c2027ac9c773404083aadaf75bfdb74c0e2ad" isNormal="1">
            <s:text>
              <s:r>
                <s:t xml:space="preserve">Administrator:
1405580 2/5 7776pcs
1405583 2/6 11136pcs
1405558 2/7  360pcs
1405572 2/7 4632pcs</s:t>
              </s:r>
            </s:text>
          </item>
        </commentChain>
      </unresolved>
      <resolved/>
    </commentChains>
    <commentChains s:ref="AL29" rgbClr="FF0000">
      <unresolved>
        <commentChain chainId="acb4040656a0c402d7dd2e05a72a15e840ab369f">
          <item id="49abdd3727fce7990025cd08ee7dd863a85457ca" isNormal="1">
            <s:text>
              <s:r>
                <s:t xml:space="preserve">Administrator:
1/17 上价格贴纸 40800pcs</s:t>
              </s:r>
            </s:text>
          </item>
        </commentChain>
      </unresolved>
      <resolved/>
    </commentChains>
    <commentChains s:ref="AJ31" rgbClr="FF0000">
      <unresolved>
        <commentChain chainId="2f99ac4536ed208632189adeeb8aebf74858252b">
          <item id="4ca0c324e0a16b42a6b5c7029bae9db7521516a5" isNormal="1">
            <s:text>
              <s:r>
                <s:t xml:space="preserve">Administrator:
1405684 1/30 1020pcs 华兴华登仓库一楼</s:t>
              </s:r>
            </s:text>
          </item>
        </commentChain>
      </unresolved>
      <resolved/>
    </commentChains>
    <commentChains s:ref="AJ32" rgbClr="FF0000">
      <unresolved>
        <commentChain chainId="c2512eda28f45795017d0c1871f48a71665f637e">
          <item id="38edaf7e5e708d09bc048157f98827bc2f1d04c4" isNormal="1">
            <s:text>
              <s:r>
                <s:t xml:space="preserve">Administrator:
1405632 2/3 5910pcs B4楼A6区
1405604 2/4 450pcs  B4楼A6区</s:t>
              </s:r>
            </s:text>
          </item>
        </commentChain>
      </unresolved>
      <resolved/>
    </commentChains>
    <commentChains s:ref="AJ36" rgbClr="FF0000">
      <unresolved>
        <commentChain chainId="32a2e09e0fad28517d4b4a463a793d77497f35c7">
          <item id="49e80b80f5743a06601a7c95e06bf45bf5880751" isNormal="1">
            <s:text>
              <s:r>
                <s:t xml:space="preserve">Administrator:
1405691 1/30 184pcs
车间混装一款
送配件包未开单</s:t>
              </s:r>
            </s:text>
          </item>
        </commentChain>
      </unresolved>
      <resolved/>
    </commentChains>
    <commentChains s:ref="AJ37" rgbClr="FF0000">
      <unresolved>
        <commentChain chainId="af072fae32946a07c6a47ae9adb951c6bf4f6272">
          <item id="7a968788bd2e6606abcb637d16d2f85d937a3736" isNormal="1">
            <s:text>
              <s:r>
                <s:t xml:space="preserve">Administrator:
1002934 1/31 红色马桶 900 pcs
            兰色马桶 900 pcs
          红色遥控器 900 pcs
        兰色遥控器 900 pcs</s:t>
              </s:r>
            </s:text>
          </item>
        </commentChain>
      </unresolved>
      <resolved/>
    </commentChains>
    <commentChains s:ref="AJ38" rgbClr="FF0000">
      <unresolved>
        <commentChain chainId="f0030ce51ac8d5282f65cd1ab373060dc0d6a233">
          <item id="d3120448a62bfa55d2c6174b0de2b2c333cd5f72" isNormal="1">
            <s:text>
              <s:r>
                <s:t xml:space="preserve">Administrator:
1405691 1/30 1152pcs
车间混装一款
送配件包未开单</s:t>
              </s:r>
            </s:text>
          </item>
        </commentChain>
      </unresolved>
      <resolved/>
    </commentChains>
    <commentChains s:ref="AJ39" rgbClr="FF0000">
      <unresolved>
        <commentChain chainId="55f1ca43d2ee38098acae999c3de3805074bf625">
          <item id="1f763f330760174bc1b40a22418b62dd409bc9ab" isNormal="1">
            <s:text>
              <s:r>
                <s:t xml:space="preserve">Administrator:
1001152 2/7 4256 pcs 四楼A8
1001156 2/9 1544 pcs 四楼A8</s:t>
              </s:r>
            </s:text>
          </item>
        </commentChain>
      </unresolved>
      <resolved/>
    </commentChains>
    <commentChains s:ref="AJ40" rgbClr="FF0000">
      <unresolved>
        <commentChain chainId="af0fd22cb3bd69ba9e729decf2354a684383f6ba">
          <item id="794cc12aac9d77f4e934bbe4f8f95a3357fefded" isNormal="1">
            <s:text>
              <s:r>
                <s:t xml:space="preserve">Administrator:
1001156 2/9 1400 pcs 四楼A6</s:t>
              </s:r>
            </s:text>
          </item>
        </commentChain>
      </unresolved>
      <resolved/>
    </commentChains>
    <commentChains s:ref="AJ41" rgbClr="FF0000">
      <unresolved>
        <commentChain chainId="d1dbaf8ca457cc8d2826d2924e26f4211e72713e">
          <item id="2aad0e4bc8109de5f07850efecb24d0ea6e06c35" isNormal="1">
            <s:text>
              <s:r>
                <s:t xml:space="preserve">Administrator:
湖南需送500套半成品回来东莞包装，3/11号客人要来看拉
1000939 3/5 红色马桶 530 pcs
            兰色马桶 530 pcs
          红色遥控器 530 pcs
        兰色遥控器 530 pcs
 蓝色公仔530 pcs 红色公仔 530 pcs
1000882 3/11 3680 pcs 四楼A9
1000809 3/16 1608 pcs A5</s:t>
              </s:r>
            </s:text>
          </item>
        </commentChain>
      </unresolved>
      <resolved/>
    </commentChains>
    <commentChains s:ref="AJ44" rgbClr="FF0000">
      <unresolved>
        <commentChain chainId="5a4cdc3cc5f62474867ee35d72d3c1fde6a5cce2">
          <item id="fab9d0e85b7c2e0c5ac1b330521ee074898fe461" isNormal="1">
            <s:text>
              <s:r>
                <s:t xml:space="preserve">Administrator:
1405299 3/16 636pcs B4楼C10区
1405289 3/17  18pcs B4楼C10区</s:t>
              </s:r>
            </s:text>
          </item>
        </commentChain>
      </unresolved>
      <resolved/>
    </commentChains>
    <commentChains s:ref="AL44" rgbClr="FF0000">
      <unresolved>
        <commentChain chainId="c5e252f1114c434305e7fe3a400e6e2274bfedbc">
          <item id="60e69f547e43e7b5e6664f1c33b116a3ab4ee83e" isNormal="1">
            <s:text>
              <s:r>
                <s:t xml:space="preserve">Administrator:
3/2 上客供RFID贴纸 654pcs</s:t>
              </s:r>
            </s:text>
          </item>
        </commentChain>
      </unresolved>
      <resolved/>
    </commentChains>
    <commentChains s:ref="AJ45" rgbClr="FF0000">
      <unresolved>
        <commentChain chainId="59f2cc9f54d3edb13eb39e86768b5fd74669afa4">
          <item id="b0ef6b330b922a8aa2f78c46f35783b68b135211" isNormal="1">
            <s:text>
              <s:r>
                <s:t xml:space="preserve">Administrator:
1405299 3/16 510pcs B4楼C10区
1405289 3/17  12pcs B4楼C10区</s:t>
              </s:r>
            </s:text>
          </item>
        </commentChain>
      </unresolved>
      <resolved/>
    </commentChains>
    <commentChains s:ref="AL45" rgbClr="FF0000">
      <unresolved>
        <commentChain chainId="654e1dac978eba9c2f9bacfb5a2de91550f42626">
          <item id="08da5850c5d98f9270f87f6b8b01cd12e1024dbd" isNormal="1">
            <s:text>
              <s:r>
                <s:t xml:space="preserve">Administrator:
3/2 上客供RFID贴纸 522pcs</s:t>
              </s:r>
            </s:text>
          </item>
        </commentChain>
      </unresolved>
      <resolved/>
    </commentChains>
    <commentChains s:ref="AJ46" rgbClr="FF0000">
      <unresolved>
        <commentChain chainId="358fd1d75cbda9d3098a5da8a105a8566988d349">
          <item id="da29440252e29ac9b51c50773d58b145c304de3d" isNormal="1">
            <s:text>
              <s:r>
                <s:t xml:space="preserve">Administrator:
1405299 3/16 504pcs B4楼C10区
1405289 3/17  18pcs B4楼C10区</s:t>
              </s:r>
            </s:text>
          </item>
        </commentChain>
      </unresolved>
      <resolved/>
    </commentChains>
    <commentChains s:ref="AL46" rgbClr="FF0000">
      <unresolved>
        <commentChain chainId="9a22b2859f84cdaee792fed198e1815ed5e909ea">
          <item id="9384d93dac2da6f1639e026949889d89f2f7b911" isNormal="1">
            <s:text>
              <s:r>
                <s:t xml:space="preserve">Administrator:
3/2 上客供RFID贴纸 522pcs</s:t>
              </s:r>
            </s:text>
          </item>
        </commentChain>
      </unresolved>
      <resolved/>
    </commentChains>
    <commentChains s:ref="AJ47" rgbClr="FF0000">
      <unresolved>
        <commentChain chainId="2cbb1e0da939f7221884c1c11ab1097aa62903e6">
          <item id="f7c0c288e01bc8d9efa14996f3d2c213863a1259" isNormal="1">
            <s:text>
              <s:r>
                <s:t xml:space="preserve">Administrator:
1405299 3/16 138pcs B4楼C10区
1405289 3/17  12pcs B4楼C10区</s:t>
              </s:r>
            </s:text>
          </item>
        </commentChain>
      </unresolved>
      <resolved/>
    </commentChains>
    <commentChains s:ref="AL47" rgbClr="FF0000">
      <unresolved>
        <commentChain chainId="661936d427cf2a45d774ca77b2090ca7cb2a7ecf">
          <item id="3110c97ee3d4c2ab90e478dabaed8786f5da71d9" isNormal="1">
            <s:text>
              <s:r>
                <s:t xml:space="preserve">Administrator:
3/2 上客供RFID贴纸 150pcs</s:t>
              </s:r>
            </s:text>
          </item>
        </commentChain>
      </unresolved>
      <resolved/>
    </commentChains>
    <commentChains s:ref="AJ48" rgbClr="FF0000">
      <unresolved>
        <commentChain chainId="1975ba1c6388a60c53cc309652840e8adc696b04">
          <item id="b33a2fffc6b4a9e54c31abccc3d94ab3408ec189" isNormal="1">
            <s:text>
              <s:r>
                <s:t xml:space="preserve">Administrator:
1405299 3/16 102pcs B4楼C10区
1405289 3/17  18pcs B4楼C10区</s:t>
              </s:r>
            </s:text>
          </item>
        </commentChain>
      </unresolved>
      <resolved/>
    </commentChains>
    <commentChains s:ref="AL48" rgbClr="FF0000">
      <unresolved>
        <commentChain chainId="bc0332b5f1b0e18a3ada657d05787b03a08141e9">
          <item id="2e60ed25df312f5319b7303b348167b384f556d1" isNormal="1">
            <s:text>
              <s:r>
                <s:t xml:space="preserve">Administrator:
3/2 上客供RFID贴纸 120pcs</s:t>
              </s:r>
            </s:text>
          </item>
        </commentChain>
      </unresolved>
      <resolved/>
    </commentChains>
    <commentChains s:ref="AJ49" rgbClr="FF0000">
      <unresolved>
        <commentChain chainId="3bcbf573c5823841fe1ca3befd46e3366c4d3f0c">
          <item id="d6dbb92b015dbcf41035fd7bcee7cdb560072648" isNormal="1">
            <s:text>
              <s:r>
                <s:t xml:space="preserve">Administrator:
1405299 3/16 108pcs B4楼C10区
1405289 3/17  12pcs B4楼C10区 
 </s:t>
              </s:r>
            </s:text>
          </item>
        </commentChain>
      </unresolved>
      <resolved/>
    </commentChains>
    <commentChains s:ref="AL49" rgbClr="FF0000">
      <unresolved>
        <commentChain chainId="55e8cc3551d78146e8782accc8b0101ac8047119">
          <item id="6c2a0dc375ff8d2b82c1802deea3afdbfc97108d" isNormal="1">
            <s:text>
              <s:r>
                <s:t xml:space="preserve">Administrator:
3/2 上客供RFID贴纸 120pcs</s:t>
              </s:r>
            </s:text>
          </item>
        </commentChain>
      </unresolved>
      <resolved/>
    </commentChains>
    <commentChains s:ref="AJ50" rgbClr="FF0000">
      <unresolved>
        <commentChain chainId="5981a3c3850a63428f41849f272f8e3d2de7e2d1">
          <item id="9e53e0d7c5d6b978217d67f216a85ce8bff8e81c" isNormal="1">
            <s:text>
              <s:r>
                <s:t xml:space="preserve">Administrator:
1405300 3/16 192pcs B4楼C10区
1405290 3/17  12pcsB4楼C10区
</s:t>
              </s:r>
            </s:text>
          </item>
        </commentChain>
      </unresolved>
      <resolved/>
    </commentChains>
    <commentChains s:ref="AL50" rgbClr="FF0000">
      <unresolved>
        <commentChain chainId="6cd0e6a9bec3df2bfb4065348a70095dc48dbdfd">
          <item id="8195036f2248cbe030a2830b40106df1a667d7e1" isNormal="1">
            <s:text>
              <s:r>
                <s:t xml:space="preserve">Administrator:
3/2 上客供RFID贴纸 204pcs</s:t>
              </s:r>
            </s:text>
          </item>
        </commentChain>
      </unresolved>
      <resolved/>
    </commentChains>
    <commentChains s:ref="AJ51" rgbClr="FF0000">
      <unresolved>
        <commentChain chainId="cacc3347443006312e9bda2baf18647129fa47e2">
          <item id="4903d21acc5c538d0ebe30988dc03ce217c70169" isNormal="1">
            <s:text>
              <s:r>
                <s:t xml:space="preserve">Administrator:
1405300 3/16 156pcs B4楼C10区
1405290 3/17  6pcs B4楼C10区</s:t>
              </s:r>
            </s:text>
          </item>
        </commentChain>
      </unresolved>
      <resolved/>
    </commentChains>
    <commentChains s:ref="AL51" rgbClr="FF0000">
      <unresolved>
        <commentChain chainId="2fdf4f0515225d4ee3cf83d5883a1b69c6c7bfee">
          <item id="02ee674296b7254146c01e615becc5b2de12b766" isNormal="1">
            <s:text>
              <s:r>
                <s:t xml:space="preserve">Administrator:
3/2 上客供RFID贴纸 162pcs</s:t>
              </s:r>
            </s:text>
          </item>
        </commentChain>
      </unresolved>
      <resolved/>
    </commentChains>
    <commentChains s:ref="AJ52" rgbClr="FF0000">
      <unresolved>
        <commentChain chainId="62645c6c846baea8c38e20a5dcaf1ee6daaae30c">
          <item id="58a5a9ad90b8099136ec724c0b2ed7ba6b54fd17" isNormal="1">
            <s:text>
              <s:r>
                <s:t xml:space="preserve">Administrator:
1405300 3/16 150pcs B4楼C10区
1405290 3/17  12pcsB4楼C10区</s:t>
              </s:r>
            </s:text>
          </item>
        </commentChain>
      </unresolved>
      <resolved/>
    </commentChains>
    <commentChains s:ref="AL52" rgbClr="FF0000">
      <unresolved>
        <commentChain chainId="bae6b10b8106c7d2afe4096dff0043a293952eaf">
          <item id="d26915b536374e5e476e586120338c5604c3c7da" isNormal="1">
            <s:text>
              <s:r>
                <s:t xml:space="preserve">Administrator:
3/2 上客供RFID贴纸 162pcs</s:t>
              </s:r>
            </s:text>
          </item>
        </commentChain>
      </unresolved>
      <resolved/>
    </commentChains>
    <commentChains s:ref="AJ53" rgbClr="FF0000">
      <unresolved>
        <commentChain chainId="8a772642b39556c90bd179f9932dd155f5df5673">
          <item id="f688708bdfe06aba98bfac6a4a219554075be0c3" isNormal="1">
            <s:text>
              <s:r>
                <s:t xml:space="preserve">Administrator:
1405714 1/28 306pcs B4楼A9区</s:t>
              </s:r>
            </s:text>
          </item>
        </commentChain>
      </unresolved>
      <resolved/>
    </commentChains>
    <commentChains s:ref="AJ54" rgbClr="FF0000">
      <unresolved>
        <commentChain chainId="4b5288ed70a1479193c68308c1f388ecc1383d35">
          <item id="ebd1570c42449fc49c2ab3cd74669a226e05a003" isNormal="1">
            <s:text>
              <s:r>
                <s:t xml:space="preserve">Administrator:
1405684 1/30 360pcs 华兴华登仓库一楼</s:t>
              </s:r>
            </s:text>
          </item>
        </commentChain>
      </unresolved>
      <resolved/>
    </commentChains>
    <commentChains s:ref="AJ55" rgbClr="FF0000">
      <unresolved>
        <commentChain chainId="f25715d14e865aefb751ae5108f37d0bff3f6d58">
          <item id="647b98251f4a1bc137e1bd5beddb378dc81e5a03" isNormal="1">
            <s:text>
              <s:r>
                <s:t xml:space="preserve">Administrator:
1405684 1/30 300pcs 华兴华登仓库一楼</s:t>
              </s:r>
            </s:text>
          </item>
        </commentChain>
      </unresolved>
      <resolved/>
    </commentChains>
    <commentChains s:ref="AJ63" rgbClr="FF0000">
      <unresolved>
        <commentChain chainId="86e7e906e0fff9e5bd87efdfda87232d26d745f7">
          <item id="e8daa1a8c78716b59df0977d7f48c76d9d721dbd" isNormal="1">
            <s:text>
              <s:r>
                <s:t xml:space="preserve">Administrator:
1405300 3/16 786pcs B4楼B10区
1405290 3/17  18pcs B4楼C10区</s:t>
              </s:r>
            </s:text>
          </item>
        </commentChain>
      </unresolved>
      <resolved/>
    </commentChains>
    <commentChains s:ref="AL63" rgbClr="FF0000">
      <unresolved>
        <commentChain chainId="25628b55fdb0d27bea2e5b2de5de43386efc5b04">
          <item id="2504535acf929b2af749f6d85687d606147aeae4" isNormal="1">
            <s:text>
              <s:r>
                <s:t xml:space="preserve">Administrator:
3/2 上客供RFID贴纸 804pcs</s:t>
              </s:r>
            </s:text>
          </item>
        </commentChain>
      </unresolved>
      <resolved/>
    </commentChains>
    <commentChains s:ref="AJ64" rgbClr="FF0000">
      <unresolved>
        <commentChain chainId="5b60366a391d5c3a630b72fd560e1741401d7f1f">
          <item id="fda37819d2c20f6412554174c8f45d00b80a3111" isNormal="1">
            <s:text>
              <s:r>
                <s:t xml:space="preserve">Administrator:
1405300 3/16 486pcs B4楼C10区
1405290 3/17  18pcs B4楼C10区 </s:t>
              </s:r>
            </s:text>
          </item>
        </commentChain>
      </unresolved>
      <resolved/>
    </commentChains>
    <commentChains s:ref="AL64" rgbClr="FF0000">
      <unresolved>
        <commentChain chainId="42b3607064088376a40dd63ffe4b28ec79d98c32">
          <item id="e49ee4f156a69d343c4b7a599783f21499a14e80" isNormal="1">
            <s:text>
              <s:r>
                <s:t xml:space="preserve">Administrator:
3/2 上客供RFID贴纸 504pcs</s:t>
              </s:r>
            </s:text>
          </item>
        </commentChain>
      </unresolved>
      <resolved/>
    </commentChains>
    <commentChains s:ref="AJ65" rgbClr="FF0000">
      <unresolved>
        <commentChain chainId="d2ee7b45026807ec253fe3b1ff852d01d2d11978">
          <item id="4976275455836a10ca08332ccaeeb5aea1bd23d1" isNormal="1">
            <s:text>
              <s:r>
                <s:t xml:space="preserve">Administrator:
1405300 3/16 480pcs B4楼C10区
1405290 3/17  24pcs B4楼C10区</s:t>
              </s:r>
            </s:text>
          </item>
        </commentChain>
      </unresolved>
      <resolved/>
    </commentChains>
    <commentChains s:ref="AL65" rgbClr="FF0000">
      <unresolved>
        <commentChain chainId="b22eaf97d800e21940a06efb07b97b9fe9714498">
          <item id="a6dd22f694945dfcdc110fa64e059efd9991ba1f" isNormal="1">
            <s:text>
              <s:r>
                <s:t xml:space="preserve">Administrator:
3/2 上客供RFID贴纸 504pcs</s:t>
              </s:r>
            </s:text>
          </item>
        </commentChain>
      </unresolved>
      <resolved/>
    </commentChains>
    <commentChains s:ref="AJ66" rgbClr="FF0000">
      <unresolved>
        <commentChain chainId="af018a61383338b494d23f574467c0318c084620">
          <item id="6d3b25a21cc94fae1cd55cc97bbd5ac6a048a61d" isNormal="1">
            <s:text>
              <s:r>
                <s:t xml:space="preserve">Administrator:
4/9 1405382 2004pcs
</s:t>
              </s:r>
            </s:text>
          </item>
        </commentChain>
      </unresolved>
      <resolved/>
    </commentChains>
    <commentChains s:ref="AJ67" rgbClr="FF0000">
      <unresolved>
        <commentChain chainId="09589d822a3106f676b7f52974061edbfb549196">
          <item id="336b73c029af2d8d7d2f6566e275e14fc05fbd85" isNormal="1">
            <s:text>
              <s:r>
                <s:t xml:space="preserve">Administrator:
1000723 4/2 1044 pcs 新仓库B14</s:t>
              </s:r>
            </s:text>
          </item>
        </commentChain>
      </unresolved>
      <resolved/>
    </commentChains>
    <commentChains s:ref="AJ68" rgbClr="FF0000">
      <unresolved>
        <commentChain chainId="866df8501f5111348aadf9913e69ba8196e857bc">
          <item id="53dca9165bd9e6d4daad53cfe838aa1a7d14b378" isNormal="1">
            <s:text>
              <s:r>
                <s:t xml:space="preserve">Administrator:
1000723 4/2 1044 pcs 新仓库B14</s:t>
              </s:r>
            </s:text>
          </item>
        </commentChain>
      </unresolved>
      <resolved/>
    </commentChains>
    <commentChains s:ref="AJ70" rgbClr="FF0000">
      <unresolved>
        <commentChain chainId="4b21d4ffb9cd9a92afb106bf0d7cacbb71bc44f8">
          <item id="df873741aaa5119bd35a182248092f7f9b638607" isNormal="1">
            <s:text>
              <s:r>
                <s:t xml:space="preserve">Administrator:
1000723 4/2 24 pcs 新仓库B14</s:t>
              </s:r>
            </s:text>
          </item>
        </commentChain>
      </unresolved>
      <resolved/>
    </commentChains>
    <commentChains s:ref="AJ72" rgbClr="FF0000">
      <unresolved>
        <commentChain chainId="9db4bc5735aa7095eaf40185cd40d5d4d3fcebac">
          <item id="977a89733e8f351deb5bf938dd38c5a5a324bc50" isNormal="1">
            <s:text>
              <s:r>
                <s:t xml:space="preserve">Administrator:
1000783 4/9 808 pcs 华兴三楼B12</s:t>
              </s:r>
            </s:text>
          </item>
        </commentChain>
      </unresolved>
      <resolved/>
    </commentChains>
    <commentChains s:ref="AJ73" rgbClr="FF0000">
      <unresolved>
        <commentChain chainId="d606cedca761d152a32ad8f80f140f991b669a33">
          <item id="4b3c2357b2991da21fd014290210c38ad02a3882" isNormal="1">
            <s:text>
              <s:r>
                <s:t xml:space="preserve">Administrator:
1000783 4/9 60 pcs 华兴三楼B15</s:t>
              </s:r>
            </s:text>
          </item>
        </commentChain>
      </unresolved>
      <resolved/>
    </commentChains>
    <commentChains s:ref="AJ78" rgbClr="FF0000">
      <unresolved>
        <commentChain chainId="a39e70c1b43141aa6dafa2c9b0662005085a8ce5">
          <item id="bf50a1910b9fec914188cf3f16c0cde2782d8950" isNormal="1">
            <s:text>
              <s:r>
                <s:t xml:space="preserve">Administrator:
3001882 4/30 56 pcs 新仓库B10</s:t>
              </s:r>
            </s:text>
          </item>
        </commentChain>
      </unresolved>
      <resolved/>
    </commentChains>
    <commentChains s:ref="AJ79" rgbClr="FF0000">
      <unresolved>
        <commentChain chainId="087902a02e3eab5ae2805fd86b684ceb5b349e8d">
          <item id="4d8a1f43f6b2414dfdaf0ae9a02cbd954c3bb708" isNormal="1">
            <s:text>
              <s:r>
                <s:t xml:space="preserve">Administrator:
3001882 4/30 812 pcs 新仓库B10</s:t>
              </s:r>
            </s:text>
          </item>
        </commentChain>
      </unresolved>
      <resolved/>
    </commentChains>
    <commentChains s:ref="AJ80" rgbClr="FF0000">
      <unresolved>
        <commentChain chainId="2a7fd7323b9dc92eb88959f090aa12d15df382c2">
          <item id="96f540f612b5047b52e65964b08e6708fe84a589" isNormal="1">
            <s:text>
              <s:r>
                <s:t xml:space="preserve">Administrator:
1000017 5/8 496 pcs 四楼B5
1000044 5/9 4 pcs</s:t>
              </s:r>
            </s:text>
          </item>
        </commentChain>
      </unresolved>
      <resolved/>
    </commentChains>
    <commentChains s:ref="AL83" rgbClr="FF0000">
      <unresolved>
        <commentChain chainId="d6393a86334b82953e4aaef81858e0c02a105195">
          <item id="cd508a902985d404151de2030c7f6b9757b2e9c8" isNormal="1">
            <s:text>
              <s:r>
                <s:t xml:space="preserve">Administrator:
4/15 收到价格贴纸2004pcs
4/15收到外箱贴纸334</s:t>
              </s:r>
            </s:text>
          </item>
        </commentChain>
      </unresolved>
      <resolved/>
    </commentChains>
    <commentChains s:ref="AL84" rgbClr="FF0000">
      <unresolved>
        <commentChain chainId="73b9966d8e0cd22477c61495843ed84f38e2e55c">
          <item id="3b3b53ef6ae6777647df5209703b921a0409e806" isNormal="1">
            <s:text>
              <s:r>
                <s:t xml:space="preserve">Administrator:
3/2 上客供RFID贴纸 804pcs</s:t>
              </s:r>
            </s:text>
          </item>
        </commentChain>
      </unresolved>
      <resolved/>
    </commentChains>
    <commentChains s:ref="AL85" rgbClr="FF0000">
      <unresolved>
        <commentChain chainId="d168c7731b7b0de3d085cedbcfa4afff08d08021">
          <item id="62d517c260df988f18c27ce0e37e2365e1fdd311" isNormal="1">
            <s:text>
              <s:r>
                <s:t xml:space="preserve">Administrator:
3/2 上客供RFID贴纸 504pcs</s:t>
              </s:r>
            </s:text>
          </item>
        </commentChain>
      </unresolved>
      <resolved/>
    </commentChains>
    <commentChains s:ref="AL86" rgbClr="FF0000">
      <unresolved>
        <commentChain chainId="090b0cbfffa008b48f7186e5c1f4750afc7593d1">
          <item id="981347903dc5bf749aabf25979c0b23667c0946f" isNormal="1">
            <s:text>
              <s:r>
                <s:t xml:space="preserve">Administrator:
3/2 上客供RFID贴纸 504pcs</s:t>
              </s:r>
            </s:text>
          </item>
        </commentChain>
      </unresolved>
      <resolved/>
    </commentChains>
    <commentChains s:ref="AJ87" rgbClr="FF0000">
      <unresolved>
        <commentChain chainId="d76a5874e70877a56fb1b611d8c01407301c8d48">
          <item id="04f5db153dd6bf2f8bbadfc021f6cdbbd4240c94" isNormal="1">
            <s:text>
              <s:r>
                <s:t xml:space="preserve">Administrator:
3001882 4/30 868 pcs 新仓库B10</s:t>
              </s:r>
            </s:text>
          </item>
        </commentChain>
      </unresolved>
      <resolved/>
    </commentChains>
    <commentChains s:ref="AJ89" rgbClr="FF0000">
      <unresolved>
        <commentChain chainId="36316a38432b4e2d8a3638ec957e29b9ef494074">
          <item id="1ec1d9517062ce78452935869960da7b148ba1d6" isNormal="1">
            <s:text>
              <s:r>
                <s:t xml:space="preserve">Administrator:
1000412 5/30 868 pcs 顶钧C4</s:t>
              </s:r>
            </s:text>
          </item>
        </commentChain>
      </unresolved>
      <resolved/>
    </commentChains>
    <commentChains s:ref="AJ99" rgbClr="FF0000">
      <unresolved>
        <commentChain chainId="6a27944291aa91ea223dc8ba83409ec40cd70400">
          <item id="48f9a282e972388625eb1b5c360b15531c80d709" userID="1851561945" userName="石玉珍" dateTime="2026-06-17T01:28:40" isNormal="0">
            <s:text>
              <s:r>
                <s:t xml:space="preserve">100098 6/16 24 pcs 欣泰A2</s:t>
              </s:r>
            </s:text>
          </item>
        </commentChain>
      </unresolved>
      <resolved/>
    </commentChains>
    <commentChains s:ref="AJ100" rgbClr="FF0000">
      <unresolved>
        <commentChain chainId="1e7677d0d4f9904baccf7ce7c951c7a9f78f84d3">
          <item id="f19bf3b906ef7451a7b26974cfcf7c49ee36b866" userID="1851561945" userName="石玉珍" dateTime="2026-06-17T01:28:50" isNormal="0">
            <s:text>
              <s:r>
                <s:t xml:space="preserve">100098 6/16 1568 pcs  欣泰A2</s:t>
              </s:r>
            </s:text>
          </item>
        </commentChain>
      </unresolved>
      <resolved/>
    </commentChains>
    <commentChains s:ref="AK104" rgbClr="FF0000">
      <unresolved>
        <commentChain chainId="8ea02e52ecc1dde5ca84854443662ffa055f9814">
          <item id="2086a46d473d2f507ff36d057bb67b2bed1acdf9" userID="1850010794" userName="龙丽娟" dateTime="2026-07-22T12:38:15" isNormal="0">
            <s:text>
              <s:r>
                <s:t xml:space="preserve">7/13 2200132 1200pcs钜顺A2</s:t>
              </s:r>
            </s:text>
          </item>
        </commentChain>
      </unresolved>
      <resolved/>
    </commentChains>
    <commentChains s:ref="AK107" rgbClr="FF0000">
      <unresolved>
        <commentChain chainId="dd0724bff5267a8465699ff120c99f2a7fed0605">
          <item id="e1ea087666086904643dc20252acd0c20b367923" userID="1850010794" userName="龙丽娟" dateTime="2026-07-22T12:39:01" isNormal="0">
            <s:text>
              <s:r>
                <s:t xml:space="preserve">7/13 2200132 384pcs钜顺A2</s:t>
              </s:r>
            </s:text>
          </item>
        </commentChain>
      </unresolved>
      <resolved/>
    </commentChains>
    <commentChains s:ref="AK121" rgbClr="FF0000">
      <unresolved>
        <commentChain chainId="2740c5aaca73fb80ec156d6d0bee7b7ab5f35224">
          <item id="fb1e759dc3b647521cf7d3cda4594bb7fecc8660" userID="1850010794" userName="龙丽娟" dateTime="2026-07-22T12:36:30" isNormal="0">
            <s:text>
              <s:r>
                <s:t xml:space="preserve">7/17 1001908 7776pcs欣泰2B4</s:t>
              </s:r>
            </s:text>
          </item>
        </commentChain>
      </unresolved>
      <resolved/>
    </commentChains>
    <commentChains s:ref="AJ128" rgbClr="FF0000">
      <unresolved>
        <commentChain chainId="bb88e7c8c5e687162f08a8eecafd4a3504254352">
          <item id="006a9d25b72d6e99b5a0b6971b4634b167faa3ac" userID="1851561945" userName="石玉珍" dateTime="2026-08-04T00:47:04" isNormal="0">
            <s:text>
              <s:r>
                <s:t xml:space="preserve">3004724 8/1 744 pcs 欣泰C1</s:t>
              </s:r>
            </s:text>
          </item>
        </commentChain>
      </unresolved>
      <resolved/>
    </commentChains>
    <commentChains s:ref="AJ129" rgbClr="FF0000">
      <unresolved>
        <commentChain chainId="274c0e4f10eced81008fb99c29bb3ded5b12454a">
          <item id="4cae43271d07c85758aedde6f1105392592733f0" userID="1851561945" userName="石玉珍" dateTime="2026-08-04T00:47:17" isNormal="0">
            <s:text>
              <s:r>
                <s:t xml:space="preserve">3004724 8/1 124 pcs 欣泰B1</s:t>
              </s:r>
            </s:text>
          </item>
        </commentChain>
      </unresolved>
      <resolved/>
    </commentChains>
    <commentChains s:ref="AK131" rgbClr="FF0000">
      <unresolved>
        <commentChain chainId="f7936c387f105a58bbc57791f5446a966dc6fc50">
          <item id="328b4d5990f5b532b5ea24cc1e1aa8980d1798b9" userID="1850010794" userName="龙丽娟" dateTime="2026-07-22T11:42:18" isNormal="0">
            <s:text>
              <s:r>
                <s:t xml:space="preserve">7/20 1001729 2694pcs钜顺c4</s:t>
              </s:r>
            </s:text>
          </item>
          <item id="61005408d317e61a24cd473f9f57985192ed882d" userID="1850010794" userName="龙丽娟" dateTime="2026-07-22T11:51:37" isNormal="0">
            <s:text>
              <s:r>
                <s:t xml:space="preserve">7/20 1001728 1200pcs欣泰2B3</s:t>
              </s:r>
            </s:text>
          </item>
        </commentChain>
      </unresolved>
      <resolved/>
    </commentChains>
    <commentChains s:ref="AK133" rgbClr="FF0000">
      <unresolved>
        <commentChain chainId="80aa3159a261a7d8c7fbf48aab9cdf5d395a42be">
          <item id="2827ba9649013b5f9f13650ec2d045128bb2fefe" userID="1850010794" userName="龙丽娟" dateTime="2026-08-07T12:56:38" isNormal="0">
            <s:text>
              <s:r>
                <s:t xml:space="preserve">8/1 1001599 1800pcs欣泰e2.</s:t>
              </s:r>
            </s:text>
          </item>
        </commentChain>
      </unresolved>
      <resolved/>
    </commentChains>
  </commentList>
</comments>
</file>

<file path=customXml/item2.xml><?xml version="1.0" encoding="utf-8"?>
<autofilters xmlns="https://web.wps.cn/et/2018/main">
  <sheetItem sheetStid="4">
    <filterData filterID="1474966847"/>
    <filterData filterID="1862877470">
      <hiddenRange rowFrom="1" rowTo="90"/>
      <hiddenRange rowFrom="92" rowTo="186"/>
      <hiddenRange rowFrom="189" rowTo="190"/>
      <hiddenRange rowFrom="193" rowTo="227"/>
    </filterData>
    <filterData filterID="1850010794"/>
    <filterData filterID="1475490905"/>
    <filterData filterID="1828109780"/>
    <filterData filterID="1475812750">
      <hiddenRange rowFrom="1" rowTo="90"/>
      <hiddenRange rowFrom="92" rowTo="130"/>
      <hiddenRange rowFrom="132" rowTo="145"/>
      <hiddenRange rowFrom="148" rowTo="149"/>
      <hiddenRange rowFrom="151" rowTo="152"/>
      <hiddenRange rowFrom="154" rowTo="159"/>
      <hiddenRange rowFrom="161" rowTo="165"/>
      <hiddenRange rowFrom="167" rowTo="167"/>
      <hiddenRange rowFrom="169" rowTo="169"/>
      <hiddenRange rowFrom="171" rowTo="171"/>
      <hiddenRange rowFrom="173" rowTo="173"/>
      <hiddenRange rowFrom="175" rowTo="175"/>
      <hiddenRange rowFrom="177" rowTo="177"/>
      <hiddenRange rowFrom="179" rowTo="179"/>
      <hiddenRange rowFrom="181" rowTo="181"/>
      <hiddenRange rowFrom="183" rowTo="183"/>
      <hiddenRange rowFrom="185" rowTo="185"/>
      <hiddenRange rowFrom="189" rowTo="190"/>
      <hiddenRange rowFrom="193" rowTo="195"/>
      <hiddenRange rowFrom="197" rowTo="227"/>
    </filterData>
    <filterData filterID="1594138801"/>
    <autofilterInfo filterID="1862877470">
      <autoFilter xmlns="http://schemas.openxmlformats.org/spreadsheetml/2006/main" ref="A1:XFD228">
        <filterColumn colId="5">
          <customFilters>
            <customFilter operator="equal" val="BS090D6"/>
          </customFilters>
        </filterColumn>
      </autoFilter>
    </autofilterInfo>
    <autofilterInfo filterID="1475812750">
      <autoFilter xmlns="http://schemas.openxmlformats.org/spreadsheetml/2006/main" ref="A1:XFD228">
        <filterColumn colId="5">
          <customFilters>
            <customFilter operator="equal" val="BS086D6"/>
            <customFilter operator="equal" val="BS090D6"/>
          </customFilters>
        </filterColumn>
      </autoFilter>
    </autofilterInfo>
  </sheetItem>
  <sheetItem sheetStid="6">
    <filterData filterID="1850010794">
      <hiddenRange rowFrom="2" rowTo="7"/>
      <hiddenRange rowFrom="9" rowTo="21"/>
      <hiddenRange rowFrom="23" rowTo="23"/>
      <hiddenRange rowFrom="25" rowTo="25"/>
      <hiddenRange rowFrom="27" rowTo="27"/>
      <hiddenRange rowFrom="29" rowTo="29"/>
      <hiddenRange rowFrom="31" rowTo="44"/>
      <hiddenRange rowFrom="46" rowTo="46"/>
      <hiddenRange rowFrom="48" rowTo="48"/>
      <hiddenRange rowFrom="50" rowTo="50"/>
      <hiddenRange rowFrom="52" rowTo="52"/>
      <hiddenRange rowFrom="54" rowTo="54"/>
      <hiddenRange rowFrom="57" rowTo="88"/>
    </filterData>
    <filterData filterID="1475812750"/>
    <filterData filterID="1474966847"/>
    <filterData filterID="1862877470">
      <hiddenRange rowFrom="1" rowTo="1"/>
      <hiddenRange rowFrom="3" rowTo="8"/>
      <hiddenRange rowFrom="10" rowTo="22"/>
      <hiddenRange rowFrom="24" rowTo="24"/>
      <hiddenRange rowFrom="26" rowTo="26"/>
      <hiddenRange rowFrom="28" rowTo="28"/>
      <hiddenRange rowFrom="30" rowTo="30"/>
      <hiddenRange rowFrom="32" rowTo="45"/>
      <hiddenRange rowFrom="47" rowTo="47"/>
      <hiddenRange rowFrom="49" rowTo="49"/>
      <hiddenRange rowFrom="51" rowTo="51"/>
      <hiddenRange rowFrom="53" rowTo="53"/>
      <hiddenRange rowFrom="55" rowTo="61"/>
      <hiddenRange rowFrom="63" rowTo="88"/>
    </filterData>
    <filterData filterID="1475490905"/>
    <filterData filterID="1594138801">
      <hiddenRange rowFrom="1" rowTo="4"/>
      <hiddenRange rowFrom="7" rowTo="10"/>
      <hiddenRange rowFrom="20" rowTo="31"/>
      <hiddenRange rowFrom="45" rowTo="356"/>
    </filterData>
    <filterData filterID="1848489229">
      <hiddenRange rowFrom="1" rowTo="4"/>
      <hiddenRange rowFrom="6" rowTo="10"/>
      <hiddenRange rowFrom="13" rowTo="18"/>
      <hiddenRange rowFrom="20" rowTo="31"/>
      <hiddenRange rowFrom="35" rowTo="40"/>
      <hiddenRange rowFrom="45" rowTo="356"/>
    </filterData>
    <filterData filterID="1828109780">
      <hiddenRange rowFrom="89" rowTo="356"/>
    </filterData>
    <autofilterInfo filterID="1594138801">
      <autoFilter xmlns="http://schemas.openxmlformats.org/spreadsheetml/2006/main" ref="A1:AQ89">
        <filterColumn colId="6">
          <filters>
            <filter val="SP002A1"/>
            <filter val="SP005A1"/>
            <filter val="SP003A2"/>
            <filter val="SP003A3"/>
          </filters>
        </filterColumn>
      </autoFilter>
    </autofilterInfo>
    <autofilterInfo filterID="1848489229">
      <autoFilter xmlns="http://schemas.openxmlformats.org/spreadsheetml/2006/main" ref="A1:AQ89">
        <filterColumn colId="7">
          <customFilters>
            <customFilter operator="equal" val="冰杯带手柄"/>
          </customFilters>
        </filterColumn>
        <filterColumn colId="34">
          <customFilters>
            <customFilter operator="equal" val="东莞"/>
            <customFilter operator="equal" val="东莞生产"/>
          </customFilters>
        </filterColumn>
      </autoFilter>
    </autofilterInfo>
    <autofilterInfo filterID="1850010794">
      <autoFilter xmlns="http://schemas.openxmlformats.org/spreadsheetml/2006/main" ref="A1:AQ89">
        <filterColumn colId="6">
          <customFilters>
            <customFilter operator="equal" val="BS085D6"/>
          </customFilters>
        </filterColumn>
      </autoFilter>
    </autofilterInfo>
    <autofilterInfo filterID="1862877470">
      <autoFilter xmlns="http://schemas.openxmlformats.org/spreadsheetml/2006/main" ref="A1:AQ89">
        <filterColumn colId="6">
          <customFilters>
            <customFilter operator="equal" val="BS086D6"/>
          </customFilters>
        </filterColumn>
      </autoFilter>
    </autofilterInfo>
  </sheetItem>
  <sheetItem sheetStid="8">
    <filterData filterID="1475812750"/>
    <filterData filterID="1475490905"/>
    <filterData filterID="1828109780"/>
    <filterData filterID="1850010794">
      <hiddenRange rowFrom="1" rowTo="119"/>
      <hiddenRange rowFrom="121" rowTo="124"/>
    </filterData>
    <filterData filterID="1862877470">
      <hiddenRange rowFrom="1" rowTo="119"/>
      <hiddenRange rowFrom="121" rowTo="125"/>
      <hiddenRange rowFrom="127" rowTo="128"/>
      <hiddenRange rowFrom="131" rowTo="132"/>
      <hiddenRange rowFrom="134" rowTo="134"/>
    </filterData>
    <autofilterInfo filterID="1850010794">
      <autoFilter xmlns="http://schemas.openxmlformats.org/spreadsheetml/2006/main" ref="A1:AQ135">
        <filterColumn colId="6">
          <customFilters>
            <customFilter operator="equal" val="BS086D6"/>
          </customFilters>
        </filterColumn>
      </autoFilter>
    </autofilterInfo>
    <autofilterInfo filterID="1862877470">
      <autoFilter xmlns="http://schemas.openxmlformats.org/spreadsheetml/2006/main" ref="A1:AQ135">
        <filterColumn colId="6">
          <customFilters>
            <customFilter operator="equal" val="BS086D6"/>
          </customFilters>
        </filterColumn>
      </autoFilter>
    </autofilterInfo>
  </sheetItem>
  <sheetItem sheetStid="13">
    <filterData filterID="1828109780"/>
  </sheetItem>
</autofilters>
</file>

<file path=customXml/item3.xml><?xml version="1.0" encoding="utf-8"?>
<woProps xmlns="https://web.wps.cn/et/2018/main" xmlns:s="http://schemas.openxmlformats.org/spreadsheetml/2006/main">
  <woSheetsProps>
    <woSheetProps sheetStid="4" interlineOnOff="0" interlineColor="0" isDbSheet="0" isDashBoardSheet="0" isDbDashBoardSheet="0" isFlexPaperSheet="0">
      <cellprotection/>
      <appEtDbRelations/>
    </woSheetProps>
    <woSheetProps sheetStid="5" interlineOnOff="0" interlineColor="0" isDbSheet="0" isDashBoardSheet="0" isDbDashBoardSheet="0" isFlexPaperSheet="0">
      <cellprotection/>
      <appEtDbRelations/>
    </woSheetProps>
    <woSheetProps sheetStid="6" interlineOnOff="0" interlineColor="0" isDbSheet="0" isDashBoardSheet="0" isDbDashBoardSheet="0" isFlexPaperSheet="0">
      <cellprotection/>
      <appEtDbRelations/>
    </woSheetProps>
    <woSheetProps sheetStid="7" interlineOnOff="0" interlineColor="0" isDbSheet="0" isDashBoardSheet="0" isDbDashBoardSheet="0" isFlexPaperSheet="0">
      <cellprotection/>
      <appEtDbRelations/>
    </woSheetProps>
    <woSheetProps sheetStid="8" interlineOnOff="0" interlineColor="0" isDbSheet="0" isDashBoardSheet="0" isDbDashBoardSheet="0" isFlexPaperSheet="0">
      <cellprotection/>
      <appEtDbRelations/>
    </woSheetProps>
    <woSheetProps sheetStid="14" interlineOnOff="0" interlineColor="0" isDbSheet="0" isDashBoardSheet="0" isDbDashBoardSheet="0" isFlexPaperSheet="0">
      <cellprotection/>
      <appEtDbRelations/>
    </woSheetProps>
    <woSheetProps sheetStid="9" interlineOnOff="0" interlineColor="0" isDbSheet="0" isDashBoardSheet="0" isDbDashBoardSheet="0" isFlexPaperSheet="0">
      <cellprotection/>
      <appEtDbRelations/>
    </woSheetProps>
    <woSheetProps sheetStid="11" interlineOnOff="0" interlineColor="0" isDbSheet="0" isDashBoardSheet="0" isDbDashBoardSheet="0" isFlexPaperSheet="0">
      <cellprotection/>
      <appEtDbRelations/>
    </woSheetProps>
    <woSheetProps sheetStid="10" interlineOnOff="0" interlineColor="0" isDbSheet="0" isDashBoardSheet="0" isDbDashBoardSheet="0" isFlexPaperSheet="0">
      <cellprotection/>
      <appEtDbRelations/>
    </woSheetProps>
    <woSheetProps sheetStid="13" interlineOnOff="0" interlineColor="0" isDbSheet="0" isDashBoardSheet="0" isDbDashBoardSheet="0" isFlexPaperSheet="0">
      <cellprotection/>
      <appEtDbRelations/>
    </woSheetProps>
    <woSheetProps sheetStid="15" interlineOnOff="0" interlineColor="0" isDbSheet="0" isDashBoardSheet="0" isDbDashBoardSheet="0" isFlexPaperSheet="0">
      <cellprotection/>
      <appEtDbRelations/>
    </woSheetProps>
  </woSheetsProps>
  <woBookProps>
    <bookSettings fileId="538937804100" isFilterShared="0" woEtMtcEnabled="0" coreConquerUserId="" isAutoUpdatePaused="0" filterType="user" isMergeTasksAutoUpdate="0" isInserPicAsAttachment="0" supportDbFmlaDisp="0"/>
  </woBookProps>
</woProps>
</file>

<file path=customXml/item4.xml><?xml version="1.0" encoding="utf-8"?>
<pixelators xmlns="https://web.wps.cn/et/2018/main" xmlns:s="http://schemas.openxmlformats.org/spreadsheetml/2006/main">
  <pixelatorList sheetStid="4"/>
  <pixelatorList sheetStid="5"/>
  <pixelatorList sheetStid="6"/>
  <pixelatorList sheetStid="7"/>
  <pixelatorList sheetStid="8"/>
  <pixelatorList sheetStid="14"/>
  <pixelatorList sheetStid="9"/>
  <pixelatorList sheetStid="11"/>
  <pixelatorList sheetStid="10"/>
  <pixelatorList sheetStid="13"/>
  <pixelatorList sheetStid="15"/>
  <pixelatorList sheetStid="16"/>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WWO_wpscloud_20260805160907-ca3bb104b7</Application>
  <HeadingPairs>
    <vt:vector size="2" baseType="variant">
      <vt:variant>
        <vt:lpstr>工作表</vt:lpstr>
      </vt:variant>
      <vt:variant>
        <vt:i4>11</vt:i4>
      </vt:variant>
    </vt:vector>
  </HeadingPairs>
  <TitlesOfParts>
    <vt:vector size="11" baseType="lpstr">
      <vt:lpstr>总接单</vt:lpstr>
      <vt:lpstr>A车间总排期</vt:lpstr>
      <vt:lpstr>B车间总排期</vt:lpstr>
      <vt:lpstr>印尼总排期</vt:lpstr>
      <vt:lpstr>已走货</vt:lpstr>
      <vt:lpstr>询单排期</vt:lpstr>
      <vt:lpstr>塑胶+毛绒+电子MA扣数表</vt:lpstr>
      <vt:lpstr>取消单</vt:lpstr>
      <vt:lpstr>已备料MA订单</vt:lpstr>
      <vt:lpstr>系统货号</vt:lpstr>
      <vt:lpstr>各货号毛绒公仔配比汇总表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yuchen</dc:creator>
  <cp:lastModifiedBy>WPS_1734070022</cp:lastModifiedBy>
  <dcterms:created xsi:type="dcterms:W3CDTF">2023-08-11T19:15:00Z</dcterms:created>
  <dcterms:modified xsi:type="dcterms:W3CDTF">2026-09-14T15:20:00Z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2052-12.9.0.28212</vt:lpwstr>
  </property>
  <property fmtid="{D5CDD505-2E9C-101B-9397-08002B2CF9AE}" pid="3" name="ICV">
    <vt:lpwstr>125B6E28A6C04EC7B0B7E393E5AAF06C_12</vt:lpwstr>
  </property>
  <property fmtid="{D5CDD505-2E9C-101B-9397-08002B2CF9AE}" pid="4" name="CalculationRule">
    <vt:i4>0</vt:i4>
  </property>
  <property fmtid="{D5CDD505-2E9C-101B-9397-08002B2CF9AE}" pid="5" name="KSOReadingLayout">
    <vt:bool>true</vt:bool>
  </property>
</Properties>
</file>